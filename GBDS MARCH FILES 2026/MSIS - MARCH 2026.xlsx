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BD5F1ED-6BFD-4044-9398-8492B8E0D42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43" i="2" l="1"/>
  <c r="AB742" i="2"/>
  <c r="AB741" i="2"/>
  <c r="AB740" i="2"/>
  <c r="AB739" i="2"/>
  <c r="AE739" i="2" s="1"/>
  <c r="AI739" i="2" s="1"/>
  <c r="AB738" i="2"/>
  <c r="AC737" i="2"/>
  <c r="AB737" i="2"/>
  <c r="AE737" i="2" s="1"/>
  <c r="AI737" i="2" s="1"/>
  <c r="AB736" i="2"/>
  <c r="AG735" i="2"/>
  <c r="AC735" i="2"/>
  <c r="AB735" i="2"/>
  <c r="AB734" i="2"/>
  <c r="AB733" i="2"/>
  <c r="AB732" i="2"/>
  <c r="AE732" i="2" s="1"/>
  <c r="AI732" i="2" s="1"/>
  <c r="AB731" i="2"/>
  <c r="AE731" i="2" s="1"/>
  <c r="AI731" i="2" s="1"/>
  <c r="AB730" i="2"/>
  <c r="AE730" i="2" s="1"/>
  <c r="AI730" i="2" s="1"/>
  <c r="AB729" i="2"/>
  <c r="AB728" i="2"/>
  <c r="AE728" i="2" s="1"/>
  <c r="AI728" i="2" s="1"/>
  <c r="AB727" i="2"/>
  <c r="AE727" i="2"/>
  <c r="AI727" i="2"/>
  <c r="AA728" i="2"/>
  <c r="AA729" i="2" s="1"/>
  <c r="AA730" i="2" s="1"/>
  <c r="AA731" i="2" s="1"/>
  <c r="AA732" i="2" s="1"/>
  <c r="AA733" i="2" s="1"/>
  <c r="AA734" i="2" s="1"/>
  <c r="AA735" i="2" s="1"/>
  <c r="AA736" i="2" s="1"/>
  <c r="AA737" i="2" s="1"/>
  <c r="AA738" i="2" s="1"/>
  <c r="AA739" i="2" s="1"/>
  <c r="AA740" i="2" s="1"/>
  <c r="AA741" i="2" s="1"/>
  <c r="AA742" i="2" s="1"/>
  <c r="AE729" i="2"/>
  <c r="AI729" i="2"/>
  <c r="AE733" i="2"/>
  <c r="AI733" i="2" s="1"/>
  <c r="AE734" i="2"/>
  <c r="AI734" i="2" s="1"/>
  <c r="AE735" i="2"/>
  <c r="AI735" i="2" s="1"/>
  <c r="AE736" i="2"/>
  <c r="AI736" i="2" s="1"/>
  <c r="AE738" i="2"/>
  <c r="AI738" i="2" s="1"/>
  <c r="AE740" i="2"/>
  <c r="AI740" i="2" s="1"/>
  <c r="AE741" i="2"/>
  <c r="AI741" i="2" s="1"/>
  <c r="AE742" i="2"/>
  <c r="AI742" i="2" s="1"/>
  <c r="AE743" i="2"/>
  <c r="AI743" i="2" s="1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 s="1"/>
  <c r="AE752" i="2"/>
  <c r="AI752" i="2"/>
  <c r="AE753" i="2"/>
  <c r="AI753" i="2" s="1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AG770" i="2"/>
  <c r="AH770" i="2"/>
  <c r="P731" i="2"/>
  <c r="P730" i="2"/>
  <c r="S730" i="2" s="1"/>
  <c r="W730" i="2" s="1"/>
  <c r="P729" i="2"/>
  <c r="U728" i="2"/>
  <c r="P728" i="2"/>
  <c r="Q727" i="2"/>
  <c r="S727" i="2" s="1"/>
  <c r="W727" i="2" s="1"/>
  <c r="P727" i="2"/>
  <c r="V770" i="2"/>
  <c r="O728" i="2"/>
  <c r="O729" i="2" s="1"/>
  <c r="O730" i="2" s="1"/>
  <c r="O731" i="2" s="1"/>
  <c r="S728" i="2"/>
  <c r="S729" i="2"/>
  <c r="W729" i="2" s="1"/>
  <c r="S731" i="2"/>
  <c r="W731" i="2" s="1"/>
  <c r="S732" i="2"/>
  <c r="W732" i="2"/>
  <c r="S733" i="2"/>
  <c r="W733" i="2" s="1"/>
  <c r="S734" i="2"/>
  <c r="W734" i="2"/>
  <c r="S735" i="2"/>
  <c r="W735" i="2"/>
  <c r="S736" i="2"/>
  <c r="W736" i="2"/>
  <c r="S737" i="2"/>
  <c r="W737" i="2" s="1"/>
  <c r="S738" i="2"/>
  <c r="W738" i="2"/>
  <c r="S739" i="2"/>
  <c r="W739" i="2"/>
  <c r="S740" i="2"/>
  <c r="W740" i="2"/>
  <c r="S741" i="2"/>
  <c r="W741" i="2"/>
  <c r="S742" i="2"/>
  <c r="W742" i="2"/>
  <c r="S743" i="2"/>
  <c r="W743" i="2"/>
  <c r="S744" i="2"/>
  <c r="W744" i="2"/>
  <c r="S745" i="2"/>
  <c r="W745" i="2" s="1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 s="1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 s="1"/>
  <c r="S762" i="2"/>
  <c r="W762" i="2"/>
  <c r="S763" i="2"/>
  <c r="W763" i="2"/>
  <c r="S764" i="2"/>
  <c r="W764" i="2"/>
  <c r="S765" i="2"/>
  <c r="W765" i="2"/>
  <c r="W766" i="2"/>
  <c r="S767" i="2"/>
  <c r="W767" i="2" s="1"/>
  <c r="W768" i="2"/>
  <c r="R770" i="2"/>
  <c r="U770" i="2"/>
  <c r="J729" i="2"/>
  <c r="D729" i="2"/>
  <c r="D728" i="2"/>
  <c r="G728" i="2" s="1"/>
  <c r="K728" i="2" s="1"/>
  <c r="J727" i="2"/>
  <c r="J770" i="2" s="1"/>
  <c r="I727" i="2"/>
  <c r="D727" i="2"/>
  <c r="G727" i="2"/>
  <c r="C728" i="2"/>
  <c r="C729" i="2" s="1"/>
  <c r="E770" i="2"/>
  <c r="G729" i="2"/>
  <c r="K729" i="2" s="1"/>
  <c r="I770" i="2"/>
  <c r="G730" i="2"/>
  <c r="K730" i="2" s="1"/>
  <c r="G731" i="2"/>
  <c r="K731" i="2" s="1"/>
  <c r="G732" i="2"/>
  <c r="K732" i="2"/>
  <c r="G733" i="2"/>
  <c r="K733" i="2"/>
  <c r="G734" i="2"/>
  <c r="K734" i="2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/>
  <c r="G741" i="2"/>
  <c r="K741" i="2"/>
  <c r="G742" i="2"/>
  <c r="K742" i="2"/>
  <c r="G743" i="2"/>
  <c r="K743" i="2"/>
  <c r="G744" i="2"/>
  <c r="K744" i="2" s="1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 s="1"/>
  <c r="G767" i="2"/>
  <c r="K767" i="2" s="1"/>
  <c r="F770" i="2"/>
  <c r="AB770" i="2" l="1"/>
  <c r="AE770" i="2"/>
  <c r="AI770" i="2"/>
  <c r="P770" i="2"/>
  <c r="Q770" i="2"/>
  <c r="S770" i="2"/>
  <c r="W728" i="2"/>
  <c r="W770" i="2" s="1"/>
  <c r="D770" i="2"/>
  <c r="K727" i="2"/>
  <c r="K770" i="2" s="1"/>
  <c r="G770" i="2"/>
  <c r="AH674" i="2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27" authorId="0" shapeId="0" xr:uid="{0AA3672F-C494-46DA-9028-79FE46AF0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7" authorId="0" shapeId="0" xr:uid="{4A45AE26-6B66-4C62-BD1F-B7FAA200F7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27" authorId="0" shapeId="0" xr:uid="{D0F3DDB0-0595-45AD-B87B-3EA10B417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FLORDELUNA JUMAWAN
BACONG, SALUG</t>
        </r>
      </text>
    </comment>
    <comment ref="C728" authorId="0" shapeId="0" xr:uid="{B9235E93-FA95-46D7-8255-00F312852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8" authorId="0" shapeId="0" xr:uid="{4C5B6DF8-761E-4F9D-AB92-6AE53DCA6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728" authorId="0" shapeId="0" xr:uid="{A952E6CE-4217-4FFF-8ADE-51C8D41FA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C729" authorId="0" shapeId="0" xr:uid="{A35D5FF5-8997-4154-AF21-7E460346EE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729" authorId="0" shapeId="0" xr:uid="{2D479D89-4B71-4D2E-880D-D11B70D39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29" authorId="0" shapeId="0" xr:uid="{5750A184-1DE9-4801-91C7-DDE787552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730" authorId="0" shapeId="0" xr:uid="{B2B5B188-8DEB-4020-900D-1F5A59BDF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730" authorId="0" shapeId="0" xr:uid="{A7BB039D-6EB3-4CF0-9B50-7A82B4D89D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O731" authorId="0" shapeId="0" xr:uid="{74C4AC68-C016-47CD-B38A-5D997E7997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B7DCAC29-5B4B-4DBB-9C34-20D9BFCD2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ALIT
BACONG, SALUG</t>
        </r>
      </text>
    </comment>
    <comment ref="AA732" authorId="0" shapeId="0" xr:uid="{60FC9033-FDB5-4DD4-8A83-108B44938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MAC LORE
STO NIÑO, SALUG</t>
        </r>
      </text>
    </comment>
    <comment ref="AA733" authorId="0" shapeId="0" xr:uid="{86AEFDA2-FA07-4398-97C2-D2CE21DD0C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CUEVAS
STO NIÑO, SALUG</t>
        </r>
      </text>
    </comment>
    <comment ref="AA734" authorId="0" shapeId="0" xr:uid="{C1A7E221-AA44-418B-9967-529D453F5D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ANALYN
BACONG, SALUG</t>
        </r>
      </text>
    </comment>
    <comment ref="AA735" authorId="0" shapeId="0" xr:uid="{B01F8A26-F336-4795-85CD-0804D10D5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CANALOAN, SALUG</t>
        </r>
      </text>
    </comment>
    <comment ref="AA736" authorId="0" shapeId="0" xr:uid="{951BD32F-0BE7-49C1-9102-A74B67397F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AA737" authorId="0" shapeId="0" xr:uid="{2C6AB829-C7FC-48CA-9C55-89D13F8D2C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AA738" authorId="0" shapeId="0" xr:uid="{C4FC65E7-D989-45C8-B6CE-93649A6494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 EAST, SALUG</t>
        </r>
      </text>
    </comment>
    <comment ref="AA739" authorId="0" shapeId="0" xr:uid="{1C31D8A6-DBA9-4D36-AD39-FD9FA5039E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CARLITO
BACONG, SALUG</t>
        </r>
      </text>
    </comment>
    <comment ref="AA740" authorId="0" shapeId="0" xr:uid="{5D10BFF1-1C02-4F9D-80BC-74771530F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NAONG STORE
BACONG, SALUG</t>
        </r>
      </text>
    </comment>
    <comment ref="AA741" authorId="0" shapeId="0" xr:uid="{44D57961-6724-4AC6-9049-B0A5926D8C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
GOLEO, SINDANGAN</t>
        </r>
      </text>
    </comment>
    <comment ref="AA742" authorId="0" shapeId="0" xr:uid="{F09C726E-8408-46C4-B192-56D7C05EA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743" authorId="0" shapeId="0" xr:uid="{33B6FB40-2F9D-473B-8819-DB4ED25426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INC.</t>
        </r>
      </text>
    </comment>
  </commentList>
</comments>
</file>

<file path=xl/sharedStrings.xml><?xml version="1.0" encoding="utf-8"?>
<sst xmlns="http://schemas.openxmlformats.org/spreadsheetml/2006/main" count="912" uniqueCount="77">
  <si>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</si>
  <si>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</si>
  <si>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</si>
  <si>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</si>
  <si>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</si>
  <si>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</si>
  <si>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</si>
  <si>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</si>
  <si>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</si>
  <si>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</si>
  <si>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</si>
  <si>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</si>
  <si>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</si>
  <si>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</si>
  <si>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</si>
  <si>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</si>
  <si>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</si>
  <si>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</si>
  <si>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</si>
  <si>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</si>
  <si>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</si>
  <si>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</si>
  <si>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</si>
  <si>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</si>
  <si>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</si>
  <si>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</si>
  <si>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</si>
  <si>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</si>
  <si>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</si>
  <si>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</si>
  <si>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</si>
  <si>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</si>
  <si>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</si>
  <si>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</si>
  <si>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</si>
  <si>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</si>
  <si>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</si>
  <si>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</si>
  <si>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</si>
  <si>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</si>
  <si>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</si>
  <si>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</si>
  <si>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</si>
  <si>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</si>
  <si>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</si>
  <si>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</si>
  <si>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</si>
  <si>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</si>
  <si>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</si>
  <si>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</si>
  <si>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</si>
  <si>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</si>
  <si>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</si>
  <si>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</si>
  <si>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</si>
  <si>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</si>
  <si>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</si>
  <si>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</si>
  <si>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</si>
  <si>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</si>
  <si>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</si>
  <si>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</si>
  <si>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</si>
  <si>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</si>
  <si>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</si>
  <si>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</si>
  <si>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</si>
  <si>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</si>
  <si>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</si>
  <si>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</si>
  <si>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</si>
  <si>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</si>
  <si>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</si>
  <si>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</si>
  <si>
    <t>MARCH 18, 2026</t>
  </si>
  <si>
    <t>03/18/2026</t>
  </si>
  <si>
    <t>9585-9587/9713-9717/9662-9677,9751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</si>
</sst>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C28" sqref="C2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6" t="s">
        <v>38</v>
      </c>
      <c r="B6" s="10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30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 t="s">
        <v>76</v>
      </c>
      <c r="D27" s="16">
        <f t="shared" si="3"/>
        <v>876415.52</v>
      </c>
      <c r="F27" s="14">
        <v>347972</v>
      </c>
      <c r="G27" s="14">
        <v>261968.5</v>
      </c>
      <c r="H27" s="14">
        <v>266475.02</v>
      </c>
      <c r="I27" s="14"/>
      <c r="J27" s="17">
        <f t="shared" si="1"/>
        <v>876415.52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7" t="s">
        <v>10</v>
      </c>
      <c r="B42" s="108"/>
      <c r="C42" s="109"/>
      <c r="D42" s="48">
        <f>SUM(D2:D41)</f>
        <v>11374057.57</v>
      </c>
      <c r="J42" s="49">
        <f>SUM(J10:J41)</f>
        <v>11374057.57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739" zoomScaleNormal="100" workbookViewId="0">
      <selection activeCell="Z745" sqref="Z74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5"/>
      <c r="G10" s="27"/>
      <c r="I10" s="115" t="s">
        <v>18</v>
      </c>
      <c r="J10" s="116"/>
      <c r="K10" s="113" t="s">
        <v>19</v>
      </c>
      <c r="N10" s="25"/>
      <c r="O10" s="26"/>
      <c r="P10" s="112" t="s">
        <v>17</v>
      </c>
      <c r="Q10" s="112"/>
      <c r="R10" s="75"/>
      <c r="S10" s="27"/>
      <c r="U10" s="115" t="s">
        <v>18</v>
      </c>
      <c r="V10" s="116"/>
      <c r="W10" s="113" t="s">
        <v>19</v>
      </c>
      <c r="Z10" s="25"/>
      <c r="AA10" s="26"/>
      <c r="AB10" s="112" t="s">
        <v>17</v>
      </c>
      <c r="AC10" s="112"/>
      <c r="AD10" s="75"/>
      <c r="AE10" s="27"/>
      <c r="AG10" s="115" t="s">
        <v>18</v>
      </c>
      <c r="AH10" s="116"/>
      <c r="AI10" s="11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4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2" t="s">
        <v>17</v>
      </c>
      <c r="E65" s="112"/>
      <c r="F65" s="90"/>
      <c r="G65" s="27"/>
      <c r="I65" s="115" t="s">
        <v>18</v>
      </c>
      <c r="J65" s="116"/>
      <c r="K65" s="113" t="s">
        <v>19</v>
      </c>
      <c r="N65" s="25"/>
      <c r="O65" s="26"/>
      <c r="P65" s="112" t="s">
        <v>17</v>
      </c>
      <c r="Q65" s="112"/>
      <c r="R65" s="90"/>
      <c r="S65" s="27"/>
      <c r="U65" s="115" t="s">
        <v>18</v>
      </c>
      <c r="V65" s="116"/>
      <c r="W65" s="113" t="s">
        <v>19</v>
      </c>
      <c r="Z65" s="25"/>
      <c r="AA65" s="26"/>
      <c r="AB65" s="112" t="s">
        <v>17</v>
      </c>
      <c r="AC65" s="112"/>
      <c r="AD65" s="90"/>
      <c r="AE65" s="27"/>
      <c r="AG65" s="115" t="s">
        <v>18</v>
      </c>
      <c r="AH65" s="116"/>
      <c r="AI65" s="113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4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4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11"/>
      <c r="AO67" s="111"/>
      <c r="AP67" s="86"/>
      <c r="AQ67" s="62"/>
      <c r="AR67" s="111"/>
      <c r="AS67" s="111"/>
      <c r="AT67" s="11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1"/>
      <c r="G120" s="27"/>
      <c r="I120" s="115" t="s">
        <v>18</v>
      </c>
      <c r="J120" s="116"/>
      <c r="K120" s="113" t="s">
        <v>19</v>
      </c>
      <c r="N120" s="25"/>
      <c r="O120" s="26"/>
      <c r="P120" s="112" t="s">
        <v>17</v>
      </c>
      <c r="Q120" s="112"/>
      <c r="R120" s="91"/>
      <c r="S120" s="27"/>
      <c r="U120" s="115" t="s">
        <v>18</v>
      </c>
      <c r="V120" s="116"/>
      <c r="W120" s="113" t="s">
        <v>19</v>
      </c>
      <c r="Z120" s="25"/>
      <c r="AA120" s="26"/>
      <c r="AB120" s="112" t="s">
        <v>17</v>
      </c>
      <c r="AC120" s="112"/>
      <c r="AD120" s="91"/>
      <c r="AE120" s="27"/>
      <c r="AG120" s="115" t="s">
        <v>18</v>
      </c>
      <c r="AH120" s="116"/>
      <c r="AI120" s="11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4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4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2"/>
      <c r="G175" s="27"/>
      <c r="I175" s="115" t="s">
        <v>18</v>
      </c>
      <c r="J175" s="116"/>
      <c r="K175" s="113" t="s">
        <v>19</v>
      </c>
      <c r="N175" s="25"/>
      <c r="O175" s="26"/>
      <c r="P175" s="112" t="s">
        <v>17</v>
      </c>
      <c r="Q175" s="112"/>
      <c r="R175" s="92"/>
      <c r="S175" s="27"/>
      <c r="U175" s="115" t="s">
        <v>18</v>
      </c>
      <c r="V175" s="116"/>
      <c r="W175" s="113" t="s">
        <v>19</v>
      </c>
      <c r="Y175" s="62"/>
      <c r="Z175" s="65"/>
      <c r="AA175" s="88"/>
      <c r="AB175" s="111"/>
      <c r="AC175" s="111"/>
      <c r="AD175" s="88"/>
      <c r="AE175" s="88"/>
      <c r="AF175" s="62"/>
      <c r="AG175" s="111"/>
      <c r="AH175" s="111"/>
      <c r="AI175" s="110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4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10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11"/>
      <c r="AO181" s="111"/>
      <c r="AP181" s="86"/>
      <c r="AQ181" s="62"/>
      <c r="AR181" s="111"/>
      <c r="AS181" s="111"/>
      <c r="AT181" s="11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1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11"/>
      <c r="E230" s="111"/>
      <c r="F230" s="88"/>
      <c r="G230" s="88"/>
      <c r="H230" s="62"/>
      <c r="I230" s="111"/>
      <c r="J230" s="111"/>
      <c r="K230" s="110"/>
      <c r="L230" s="62"/>
      <c r="M230" s="62"/>
      <c r="N230" s="65"/>
      <c r="O230" s="88"/>
      <c r="P230" s="111"/>
      <c r="Q230" s="111"/>
      <c r="R230" s="88"/>
      <c r="S230" s="88"/>
      <c r="T230" s="62"/>
      <c r="U230" s="111"/>
      <c r="V230" s="111"/>
      <c r="W230" s="110"/>
      <c r="Z230" s="25"/>
      <c r="AA230" s="26"/>
      <c r="AB230" s="112" t="s">
        <v>17</v>
      </c>
      <c r="AC230" s="112"/>
      <c r="AD230" s="93"/>
      <c r="AE230" s="27"/>
      <c r="AG230" s="115" t="s">
        <v>18</v>
      </c>
      <c r="AH230" s="116"/>
      <c r="AI230" s="11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10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10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94"/>
      <c r="G285" s="27"/>
      <c r="I285" s="115" t="s">
        <v>18</v>
      </c>
      <c r="J285" s="116"/>
      <c r="K285" s="113" t="s">
        <v>19</v>
      </c>
      <c r="N285" s="25"/>
      <c r="O285" s="26"/>
      <c r="P285" s="112" t="s">
        <v>17</v>
      </c>
      <c r="Q285" s="112"/>
      <c r="R285" s="94"/>
      <c r="S285" s="27"/>
      <c r="U285" s="115" t="s">
        <v>18</v>
      </c>
      <c r="V285" s="116"/>
      <c r="W285" s="113" t="s">
        <v>19</v>
      </c>
      <c r="Z285" s="25"/>
      <c r="AA285" s="26"/>
      <c r="AB285" s="112" t="s">
        <v>17</v>
      </c>
      <c r="AC285" s="112"/>
      <c r="AD285" s="94"/>
      <c r="AE285" s="27"/>
      <c r="AG285" s="115" t="s">
        <v>18</v>
      </c>
      <c r="AH285" s="116"/>
      <c r="AI285" s="11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95"/>
      <c r="G340" s="27"/>
      <c r="I340" s="115" t="s">
        <v>18</v>
      </c>
      <c r="J340" s="116"/>
      <c r="K340" s="113" t="s">
        <v>19</v>
      </c>
      <c r="N340" s="25"/>
      <c r="O340" s="26"/>
      <c r="P340" s="112" t="s">
        <v>17</v>
      </c>
      <c r="Q340" s="112"/>
      <c r="R340" s="96"/>
      <c r="S340" s="27"/>
      <c r="U340" s="115" t="s">
        <v>18</v>
      </c>
      <c r="V340" s="116"/>
      <c r="W340" s="113" t="s">
        <v>19</v>
      </c>
      <c r="Z340" s="25"/>
      <c r="AA340" s="26"/>
      <c r="AB340" s="112" t="s">
        <v>17</v>
      </c>
      <c r="AC340" s="112"/>
      <c r="AD340" s="96"/>
      <c r="AE340" s="27"/>
      <c r="AG340" s="115" t="s">
        <v>18</v>
      </c>
      <c r="AH340" s="116"/>
      <c r="AI340" s="11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4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97"/>
      <c r="G395" s="27"/>
      <c r="I395" s="115" t="s">
        <v>18</v>
      </c>
      <c r="J395" s="116"/>
      <c r="K395" s="113" t="s">
        <v>19</v>
      </c>
      <c r="N395" s="25"/>
      <c r="O395" s="26"/>
      <c r="P395" s="112" t="s">
        <v>17</v>
      </c>
      <c r="Q395" s="112"/>
      <c r="R395" s="97"/>
      <c r="S395" s="27"/>
      <c r="U395" s="115" t="s">
        <v>18</v>
      </c>
      <c r="V395" s="116"/>
      <c r="W395" s="113" t="s">
        <v>19</v>
      </c>
      <c r="Z395" s="25"/>
      <c r="AA395" s="26"/>
      <c r="AB395" s="112" t="s">
        <v>17</v>
      </c>
      <c r="AC395" s="112"/>
      <c r="AD395" s="97"/>
      <c r="AE395" s="27"/>
      <c r="AG395" s="115" t="s">
        <v>18</v>
      </c>
      <c r="AH395" s="116"/>
      <c r="AI395" s="11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4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2" t="s">
        <v>17</v>
      </c>
      <c r="E450" s="112"/>
      <c r="F450" s="98"/>
      <c r="G450" s="27"/>
      <c r="I450" s="115" t="s">
        <v>18</v>
      </c>
      <c r="J450" s="116"/>
      <c r="K450" s="113" t="s">
        <v>19</v>
      </c>
      <c r="N450" s="25"/>
      <c r="O450" s="26"/>
      <c r="P450" s="112" t="s">
        <v>17</v>
      </c>
      <c r="Q450" s="112"/>
      <c r="R450" s="98"/>
      <c r="S450" s="27"/>
      <c r="U450" s="115" t="s">
        <v>18</v>
      </c>
      <c r="V450" s="116"/>
      <c r="W450" s="113" t="s">
        <v>19</v>
      </c>
      <c r="Z450" s="25"/>
      <c r="AA450" s="26"/>
      <c r="AB450" s="112" t="s">
        <v>17</v>
      </c>
      <c r="AC450" s="112"/>
      <c r="AD450" s="98"/>
      <c r="AE450" s="27"/>
      <c r="AG450" s="115" t="s">
        <v>18</v>
      </c>
      <c r="AH450" s="116"/>
      <c r="AI450" s="11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4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2" t="s">
        <v>17</v>
      </c>
      <c r="E505" s="112"/>
      <c r="F505" s="99"/>
      <c r="G505" s="27"/>
      <c r="I505" s="115" t="s">
        <v>18</v>
      </c>
      <c r="J505" s="116"/>
      <c r="K505" s="113" t="s">
        <v>19</v>
      </c>
      <c r="N505" s="25"/>
      <c r="O505" s="26"/>
      <c r="P505" s="112" t="s">
        <v>17</v>
      </c>
      <c r="Q505" s="112"/>
      <c r="R505" s="99"/>
      <c r="S505" s="27"/>
      <c r="U505" s="115" t="s">
        <v>18</v>
      </c>
      <c r="V505" s="116"/>
      <c r="W505" s="113" t="s">
        <v>19</v>
      </c>
      <c r="Z505" s="25"/>
      <c r="AA505" s="26"/>
      <c r="AB505" s="112" t="s">
        <v>17</v>
      </c>
      <c r="AC505" s="112"/>
      <c r="AD505" s="99"/>
      <c r="AE505" s="27"/>
      <c r="AG505" s="115" t="s">
        <v>18</v>
      </c>
      <c r="AH505" s="116"/>
      <c r="AI505" s="113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4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4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2" t="s">
        <v>17</v>
      </c>
      <c r="E560" s="112"/>
      <c r="F560" s="100"/>
      <c r="G560" s="27"/>
      <c r="I560" s="115" t="s">
        <v>18</v>
      </c>
      <c r="J560" s="116"/>
      <c r="K560" s="113" t="s">
        <v>19</v>
      </c>
      <c r="N560" s="25"/>
      <c r="O560" s="26"/>
      <c r="P560" s="112" t="s">
        <v>17</v>
      </c>
      <c r="Q560" s="112"/>
      <c r="R560" s="100"/>
      <c r="S560" s="27"/>
      <c r="U560" s="115" t="s">
        <v>18</v>
      </c>
      <c r="V560" s="116"/>
      <c r="W560" s="113" t="s">
        <v>19</v>
      </c>
      <c r="Z560" s="25"/>
      <c r="AA560" s="26"/>
      <c r="AB560" s="112" t="s">
        <v>17</v>
      </c>
      <c r="AC560" s="112"/>
      <c r="AD560" s="100"/>
      <c r="AE560" s="27"/>
      <c r="AG560" s="115" t="s">
        <v>18</v>
      </c>
      <c r="AH560" s="116"/>
      <c r="AI560" s="113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4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4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3"/>
      <c r="C607" s="103"/>
      <c r="D607" s="103"/>
      <c r="E607" s="103"/>
      <c r="F607" s="103"/>
      <c r="G607" s="103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3"/>
      <c r="C608" s="103"/>
      <c r="D608" s="103"/>
      <c r="E608" s="103"/>
      <c r="F608" s="103"/>
      <c r="G608" s="103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3"/>
      <c r="C609" s="103"/>
      <c r="D609" s="103"/>
      <c r="E609" s="103"/>
      <c r="F609" s="103"/>
      <c r="G609" s="103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3"/>
      <c r="C610" s="103"/>
      <c r="D610" s="103"/>
      <c r="E610" s="103"/>
      <c r="F610" s="103"/>
      <c r="G610" s="103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3"/>
      <c r="C611" s="103"/>
      <c r="D611" s="103"/>
      <c r="E611" s="103"/>
      <c r="F611" s="103"/>
      <c r="G611" s="103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3"/>
      <c r="C612" s="103"/>
      <c r="D612" s="103"/>
      <c r="E612" s="103"/>
      <c r="F612" s="103"/>
      <c r="G612" s="103"/>
      <c r="H612" s="62"/>
      <c r="I612" s="103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3"/>
      <c r="C613" s="103"/>
      <c r="D613" s="103"/>
      <c r="E613" s="103"/>
      <c r="F613" s="103"/>
      <c r="G613" s="103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3"/>
      <c r="C614" s="103"/>
      <c r="D614" s="103"/>
      <c r="E614" s="103"/>
      <c r="F614" s="103"/>
      <c r="G614" s="103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3"/>
      <c r="D615" s="111"/>
      <c r="E615" s="111"/>
      <c r="F615" s="103"/>
      <c r="G615" s="103"/>
      <c r="H615" s="62"/>
      <c r="I615" s="111"/>
      <c r="J615" s="111"/>
      <c r="K615" s="110"/>
      <c r="N615" s="25"/>
      <c r="O615" s="26"/>
      <c r="P615" s="112" t="s">
        <v>17</v>
      </c>
      <c r="Q615" s="112"/>
      <c r="R615" s="101"/>
      <c r="S615" s="27"/>
      <c r="U615" s="115" t="s">
        <v>18</v>
      </c>
      <c r="V615" s="116"/>
      <c r="W615" s="113" t="s">
        <v>19</v>
      </c>
      <c r="Z615" s="25"/>
      <c r="AA615" s="26"/>
      <c r="AB615" s="112" t="s">
        <v>17</v>
      </c>
      <c r="AC615" s="112"/>
      <c r="AD615" s="101"/>
      <c r="AE615" s="27"/>
      <c r="AG615" s="115" t="s">
        <v>18</v>
      </c>
      <c r="AH615" s="116"/>
      <c r="AI615" s="113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3"/>
      <c r="C616" s="103"/>
      <c r="D616" s="79"/>
      <c r="E616" s="80"/>
      <c r="F616" s="81"/>
      <c r="G616" s="81"/>
      <c r="H616" s="62"/>
      <c r="I616" s="102"/>
      <c r="J616" s="102"/>
      <c r="K616" s="110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4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4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3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3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3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3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3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3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3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3"/>
      <c r="C659" s="103"/>
      <c r="D659" s="103"/>
      <c r="E659" s="103"/>
      <c r="F659" s="103"/>
      <c r="G659" s="103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3"/>
      <c r="C660" s="103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2" t="s">
        <v>17</v>
      </c>
      <c r="E670" s="112"/>
      <c r="F670" s="104"/>
      <c r="G670" s="27"/>
      <c r="I670" s="115" t="s">
        <v>18</v>
      </c>
      <c r="J670" s="116"/>
      <c r="K670" s="113" t="s">
        <v>19</v>
      </c>
      <c r="N670" s="25"/>
      <c r="O670" s="26"/>
      <c r="P670" s="112" t="s">
        <v>17</v>
      </c>
      <c r="Q670" s="112"/>
      <c r="R670" s="104"/>
      <c r="S670" s="27"/>
      <c r="U670" s="115" t="s">
        <v>18</v>
      </c>
      <c r="V670" s="116"/>
      <c r="W670" s="113" t="s">
        <v>19</v>
      </c>
      <c r="Z670" s="25"/>
      <c r="AA670" s="26"/>
      <c r="AB670" s="112" t="s">
        <v>17</v>
      </c>
      <c r="AC670" s="112"/>
      <c r="AD670" s="104"/>
      <c r="AE670" s="27"/>
      <c r="AG670" s="115" t="s">
        <v>18</v>
      </c>
      <c r="AH670" s="116"/>
      <c r="AI670" s="113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4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4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0" si="187">SUM(P673:Q673)</f>
        <v>5267.5</v>
      </c>
      <c r="T673" s="12"/>
      <c r="U673" s="12"/>
      <c r="V673" s="12">
        <v>-555</v>
      </c>
      <c r="W673" s="12">
        <f t="shared" ref="W673:W713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0" si="189">SUM(AB673:AC673)</f>
        <v>21521</v>
      </c>
      <c r="AF673" s="12"/>
      <c r="AG673" s="12"/>
      <c r="AH673" s="12"/>
      <c r="AI673" s="12">
        <f t="shared" ref="AI673:AI713" si="190">SUM(AE673:AH673)</f>
        <v>21521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:C675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5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3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0</v>
      </c>
      <c r="AH715" s="41">
        <f>SUM(AH672:AH696)</f>
        <v>-41337</v>
      </c>
      <c r="AI715" s="42">
        <f>SUM(AI672:AI714)</f>
        <v>410460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44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44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44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2" t="s">
        <v>17</v>
      </c>
      <c r="E725" s="112"/>
      <c r="F725" s="105"/>
      <c r="G725" s="27"/>
      <c r="I725" s="115" t="s">
        <v>18</v>
      </c>
      <c r="J725" s="116"/>
      <c r="K725" s="113" t="s">
        <v>19</v>
      </c>
      <c r="N725" s="25"/>
      <c r="O725" s="26"/>
      <c r="P725" s="112" t="s">
        <v>17</v>
      </c>
      <c r="Q725" s="112"/>
      <c r="R725" s="105"/>
      <c r="S725" s="27"/>
      <c r="U725" s="115" t="s">
        <v>18</v>
      </c>
      <c r="V725" s="116"/>
      <c r="W725" s="113" t="s">
        <v>19</v>
      </c>
      <c r="Z725" s="25"/>
      <c r="AA725" s="26"/>
      <c r="AB725" s="112" t="s">
        <v>17</v>
      </c>
      <c r="AC725" s="112"/>
      <c r="AD725" s="105"/>
      <c r="AE725" s="27"/>
      <c r="AG725" s="115" t="s">
        <v>18</v>
      </c>
      <c r="AH725" s="116"/>
      <c r="AI725" s="113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4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4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9585</v>
      </c>
      <c r="D727" s="32">
        <f>650*300+20*670+973*10+700*10+912*10+1050*40+872*25+500*5+500*10</f>
        <v>305550</v>
      </c>
      <c r="E727" s="32"/>
      <c r="F727" s="32"/>
      <c r="G727" s="32">
        <f t="shared" ref="G727:G771" si="199">SUM(D727:E727)</f>
        <v>305550</v>
      </c>
      <c r="H727" s="12"/>
      <c r="I727" s="12">
        <f>13440+36630</f>
        <v>50070</v>
      </c>
      <c r="J727" s="12">
        <f>-120+-2886+-27048</f>
        <v>-30054</v>
      </c>
      <c r="K727" s="12">
        <f t="shared" ref="K727:K771" si="200">SUM(G727:J727)</f>
        <v>325566</v>
      </c>
      <c r="M727" s="10">
        <v>1</v>
      </c>
      <c r="N727" s="30" t="s">
        <v>75</v>
      </c>
      <c r="O727" s="31">
        <v>9713</v>
      </c>
      <c r="P727" s="32">
        <f>650*324+229*13</f>
        <v>213577</v>
      </c>
      <c r="Q727" s="32">
        <f>-324*6</f>
        <v>-1944</v>
      </c>
      <c r="R727" s="32"/>
      <c r="S727" s="32">
        <f>SUM(P727:Q727)</f>
        <v>211633</v>
      </c>
      <c r="T727" s="12"/>
      <c r="U727" s="12">
        <v>780</v>
      </c>
      <c r="V727" s="12">
        <v>-420</v>
      </c>
      <c r="W727" s="12">
        <f>SUM(S727:V727)</f>
        <v>211993</v>
      </c>
      <c r="Y727" s="10">
        <v>1</v>
      </c>
      <c r="Z727" s="30" t="s">
        <v>75</v>
      </c>
      <c r="AA727" s="31">
        <v>9662</v>
      </c>
      <c r="AB727" s="32">
        <f>650*2</f>
        <v>1300</v>
      </c>
      <c r="AC727" s="32"/>
      <c r="AD727" s="32"/>
      <c r="AE727" s="32">
        <f>SUM(AB727:AC727)</f>
        <v>1300</v>
      </c>
      <c r="AF727" s="12"/>
      <c r="AG727" s="12"/>
      <c r="AH727" s="12"/>
      <c r="AI727" s="12">
        <f>SUM(AE727:AH727)</f>
        <v>1300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9586</v>
      </c>
      <c r="D728" s="32">
        <f>1582+1582+1582+1950+1175*5+872*10+1582+650*5</f>
        <v>26123</v>
      </c>
      <c r="E728" s="32"/>
      <c r="F728" s="32"/>
      <c r="G728" s="32">
        <f t="shared" si="199"/>
        <v>26123</v>
      </c>
      <c r="H728" s="12"/>
      <c r="I728" s="12"/>
      <c r="J728" s="12"/>
      <c r="K728" s="12">
        <f t="shared" si="200"/>
        <v>26123</v>
      </c>
      <c r="M728" s="10">
        <v>2</v>
      </c>
      <c r="N728" s="30" t="s">
        <v>75</v>
      </c>
      <c r="O728" s="31">
        <f>O727+1</f>
        <v>9714</v>
      </c>
      <c r="P728" s="32">
        <f>650*44+622*5+229</f>
        <v>31939</v>
      </c>
      <c r="Q728" s="32"/>
      <c r="R728" s="32"/>
      <c r="S728" s="32">
        <f t="shared" ref="S728:S771" si="201">SUM(P728:Q728)</f>
        <v>31939</v>
      </c>
      <c r="T728" s="12"/>
      <c r="U728" s="12">
        <f>36+81</f>
        <v>117</v>
      </c>
      <c r="V728" s="12"/>
      <c r="W728" s="12">
        <f t="shared" ref="W728:W771" si="202">SUM(S728:V728)</f>
        <v>32056</v>
      </c>
      <c r="Y728" s="10">
        <v>2</v>
      </c>
      <c r="Z728" s="30" t="s">
        <v>75</v>
      </c>
      <c r="AA728" s="31">
        <f>AA727+1</f>
        <v>9663</v>
      </c>
      <c r="AB728" s="32">
        <f>650*3+9.5*3</f>
        <v>1978.5</v>
      </c>
      <c r="AC728" s="32"/>
      <c r="AD728" s="32"/>
      <c r="AE728" s="32">
        <f t="shared" ref="AE728:AE771" si="203">SUM(AB728:AC728)</f>
        <v>1978.5</v>
      </c>
      <c r="AF728" s="12"/>
      <c r="AG728" s="12"/>
      <c r="AH728" s="12"/>
      <c r="AI728" s="12">
        <f t="shared" ref="AI728:AI771" si="204">SUM(AE728:AH728)</f>
        <v>1978.5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:C741" si="205">C728+1</f>
        <v>9587</v>
      </c>
      <c r="D729" s="33">
        <f>650*14+670+973*2+622*7+229</f>
        <v>16299</v>
      </c>
      <c r="E729" s="33"/>
      <c r="F729" s="33"/>
      <c r="G729" s="33">
        <f t="shared" si="199"/>
        <v>16299</v>
      </c>
      <c r="H729" s="34"/>
      <c r="I729" s="34"/>
      <c r="J729" s="34">
        <f>-1887+-11844</f>
        <v>-13731</v>
      </c>
      <c r="K729" s="34">
        <f t="shared" si="200"/>
        <v>2568</v>
      </c>
      <c r="M729" s="10">
        <v>3</v>
      </c>
      <c r="N729" s="30" t="s">
        <v>75</v>
      </c>
      <c r="O729" s="31">
        <f t="shared" ref="O729:O736" si="206">O728+1</f>
        <v>9715</v>
      </c>
      <c r="P729" s="32">
        <f>650*17+622*2+9.5*5</f>
        <v>12341.5</v>
      </c>
      <c r="Q729" s="32"/>
      <c r="R729" s="32"/>
      <c r="S729" s="32">
        <f t="shared" si="201"/>
        <v>12341.5</v>
      </c>
      <c r="T729" s="12"/>
      <c r="U729" s="12"/>
      <c r="V729" s="12"/>
      <c r="W729" s="12">
        <f t="shared" si="202"/>
        <v>12341.5</v>
      </c>
      <c r="Y729" s="10">
        <v>3</v>
      </c>
      <c r="Z729" s="30" t="s">
        <v>75</v>
      </c>
      <c r="AA729" s="31">
        <f t="shared" ref="AA729:AA755" si="207">AA728+1</f>
        <v>9664</v>
      </c>
      <c r="AB729" s="33">
        <f>650*8+622*7+229</f>
        <v>9783</v>
      </c>
      <c r="AC729" s="33"/>
      <c r="AD729" s="32"/>
      <c r="AE729" s="32">
        <f t="shared" si="203"/>
        <v>9783</v>
      </c>
      <c r="AF729" s="12"/>
      <c r="AG729" s="12"/>
      <c r="AH729" s="12"/>
      <c r="AI729" s="12">
        <f t="shared" si="204"/>
        <v>9783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/>
      <c r="C730" s="11" t="s">
        <v>27</v>
      </c>
      <c r="D730" s="32"/>
      <c r="E730" s="32"/>
      <c r="F730" s="32"/>
      <c r="G730" s="32">
        <f t="shared" si="199"/>
        <v>0</v>
      </c>
      <c r="H730" s="12"/>
      <c r="I730" s="12"/>
      <c r="J730" s="12"/>
      <c r="K730" s="12">
        <f t="shared" si="200"/>
        <v>0</v>
      </c>
      <c r="M730" s="10">
        <v>4</v>
      </c>
      <c r="N730" s="30" t="s">
        <v>75</v>
      </c>
      <c r="O730" s="31">
        <f t="shared" si="206"/>
        <v>9716</v>
      </c>
      <c r="P730" s="32">
        <f>670+973+500</f>
        <v>2143</v>
      </c>
      <c r="Q730" s="32"/>
      <c r="R730" s="32"/>
      <c r="S730" s="32">
        <f t="shared" si="201"/>
        <v>2143</v>
      </c>
      <c r="T730" s="12"/>
      <c r="U730" s="12"/>
      <c r="V730" s="12"/>
      <c r="W730" s="12">
        <f t="shared" si="202"/>
        <v>2143</v>
      </c>
      <c r="Y730" s="10">
        <v>4</v>
      </c>
      <c r="Z730" s="30" t="s">
        <v>75</v>
      </c>
      <c r="AA730" s="31">
        <f t="shared" si="207"/>
        <v>9665</v>
      </c>
      <c r="AB730" s="32">
        <f>650*15+622*5+229</f>
        <v>13089</v>
      </c>
      <c r="AC730" s="32"/>
      <c r="AD730" s="32"/>
      <c r="AE730" s="32">
        <f t="shared" si="203"/>
        <v>13089</v>
      </c>
      <c r="AF730" s="12"/>
      <c r="AG730" s="58">
        <v>20.25</v>
      </c>
      <c r="AH730" s="12"/>
      <c r="AI730" s="12">
        <f t="shared" si="204"/>
        <v>13109.25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83"/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75</v>
      </c>
      <c r="O731" s="31">
        <f t="shared" si="206"/>
        <v>9717</v>
      </c>
      <c r="P731" s="32">
        <f>650*3+912+1050</f>
        <v>3912</v>
      </c>
      <c r="Q731" s="32"/>
      <c r="R731" s="32"/>
      <c r="S731" s="32">
        <f t="shared" si="201"/>
        <v>3912</v>
      </c>
      <c r="T731" s="12"/>
      <c r="U731" s="12"/>
      <c r="V731" s="12"/>
      <c r="W731" s="12">
        <f t="shared" si="202"/>
        <v>3912</v>
      </c>
      <c r="Y731" s="10">
        <v>5</v>
      </c>
      <c r="Z731" s="30" t="s">
        <v>75</v>
      </c>
      <c r="AA731" s="31">
        <f t="shared" si="207"/>
        <v>9666</v>
      </c>
      <c r="AB731" s="32">
        <f>650*9+622*2+9.5*11</f>
        <v>7198.5</v>
      </c>
      <c r="AC731" s="32"/>
      <c r="AD731" s="32"/>
      <c r="AE731" s="32">
        <f t="shared" si="203"/>
        <v>7198.5</v>
      </c>
      <c r="AF731" s="12"/>
      <c r="AG731" s="12">
        <v>4.5</v>
      </c>
      <c r="AH731" s="12"/>
      <c r="AI731" s="12">
        <f t="shared" si="204"/>
        <v>7203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/>
      <c r="O732" s="11" t="s">
        <v>27</v>
      </c>
      <c r="P732" s="32"/>
      <c r="Q732" s="32"/>
      <c r="R732" s="32"/>
      <c r="S732" s="32">
        <f t="shared" si="201"/>
        <v>0</v>
      </c>
      <c r="T732" s="12"/>
      <c r="U732" s="12"/>
      <c r="V732" s="10"/>
      <c r="W732" s="12">
        <f t="shared" si="202"/>
        <v>0</v>
      </c>
      <c r="Y732" s="10">
        <v>6</v>
      </c>
      <c r="Z732" s="30" t="s">
        <v>75</v>
      </c>
      <c r="AA732" s="31">
        <f t="shared" si="207"/>
        <v>9667</v>
      </c>
      <c r="AB732" s="32">
        <f>650*25+622*10+229</f>
        <v>22699</v>
      </c>
      <c r="AC732" s="32"/>
      <c r="AD732" s="32"/>
      <c r="AE732" s="32">
        <f t="shared" si="203"/>
        <v>22699</v>
      </c>
      <c r="AF732" s="12"/>
      <c r="AG732" s="12"/>
      <c r="AH732" s="10">
        <v>-163.5</v>
      </c>
      <c r="AI732" s="12">
        <f t="shared" si="204"/>
        <v>22535.5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/>
      <c r="O733" s="31"/>
      <c r="P733" s="32"/>
      <c r="Q733" s="32"/>
      <c r="R733" s="32"/>
      <c r="S733" s="32">
        <f t="shared" si="201"/>
        <v>0</v>
      </c>
      <c r="T733" s="12"/>
      <c r="U733" s="12"/>
      <c r="V733" s="12"/>
      <c r="W733" s="12">
        <f t="shared" si="202"/>
        <v>0</v>
      </c>
      <c r="Y733" s="10">
        <v>7</v>
      </c>
      <c r="Z733" s="30" t="s">
        <v>75</v>
      </c>
      <c r="AA733" s="31">
        <f t="shared" si="207"/>
        <v>9668</v>
      </c>
      <c r="AB733" s="32">
        <f>650*2+9.5*2</f>
        <v>1319</v>
      </c>
      <c r="AC733" s="32"/>
      <c r="AD733" s="32"/>
      <c r="AE733" s="32">
        <f t="shared" si="203"/>
        <v>1319</v>
      </c>
      <c r="AF733" s="12"/>
      <c r="AG733" s="58"/>
      <c r="AH733" s="12"/>
      <c r="AI733" s="12">
        <f t="shared" si="204"/>
        <v>1319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/>
      <c r="O734" s="31"/>
      <c r="P734" s="32"/>
      <c r="Q734" s="32"/>
      <c r="R734" s="32"/>
      <c r="S734" s="32">
        <f t="shared" si="201"/>
        <v>0</v>
      </c>
      <c r="T734" s="12"/>
      <c r="U734" s="12"/>
      <c r="V734" s="12"/>
      <c r="W734" s="12">
        <f t="shared" si="202"/>
        <v>0</v>
      </c>
      <c r="Y734" s="10">
        <v>8</v>
      </c>
      <c r="Z734" s="30" t="s">
        <v>75</v>
      </c>
      <c r="AA734" s="31">
        <f t="shared" si="207"/>
        <v>9669</v>
      </c>
      <c r="AB734" s="32">
        <f>650*10+9.5*10</f>
        <v>6595</v>
      </c>
      <c r="AC734" s="32"/>
      <c r="AE734" s="32">
        <f t="shared" si="203"/>
        <v>6595</v>
      </c>
      <c r="AF734" s="12"/>
      <c r="AG734" s="12"/>
      <c r="AH734" s="12"/>
      <c r="AI734" s="12">
        <f t="shared" si="204"/>
        <v>6595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31"/>
      <c r="P735" s="32"/>
      <c r="Q735" s="32"/>
      <c r="R735" s="32"/>
      <c r="S735" s="32">
        <f t="shared" si="201"/>
        <v>0</v>
      </c>
      <c r="T735" s="12"/>
      <c r="U735" s="12"/>
      <c r="V735" s="12"/>
      <c r="W735" s="12">
        <f t="shared" si="202"/>
        <v>0</v>
      </c>
      <c r="Y735" s="10">
        <v>9</v>
      </c>
      <c r="Z735" s="30" t="s">
        <v>75</v>
      </c>
      <c r="AA735" s="31">
        <f t="shared" si="207"/>
        <v>9670</v>
      </c>
      <c r="AB735" s="32">
        <f>75*650+622*25+229</f>
        <v>64529</v>
      </c>
      <c r="AC735" s="32">
        <f>-100*6</f>
        <v>-600</v>
      </c>
      <c r="AD735" s="32"/>
      <c r="AE735" s="32">
        <f t="shared" si="203"/>
        <v>63929</v>
      </c>
      <c r="AF735" s="12"/>
      <c r="AG735">
        <f>111*30+78</f>
        <v>3408</v>
      </c>
      <c r="AH735" s="12"/>
      <c r="AI735" s="12">
        <f t="shared" si="204"/>
        <v>67337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O736" s="31"/>
      <c r="P736" s="32"/>
      <c r="Q736" s="32"/>
      <c r="R736" s="32"/>
      <c r="S736" s="32">
        <f t="shared" si="201"/>
        <v>0</v>
      </c>
      <c r="T736" s="12"/>
      <c r="U736" s="12"/>
      <c r="V736" s="12"/>
      <c r="W736" s="12">
        <f t="shared" si="202"/>
        <v>0</v>
      </c>
      <c r="Y736" s="10">
        <v>10</v>
      </c>
      <c r="Z736" s="30" t="s">
        <v>75</v>
      </c>
      <c r="AA736" s="31">
        <f t="shared" si="207"/>
        <v>9671</v>
      </c>
      <c r="AB736" s="32">
        <f>650*7+9.5*12</f>
        <v>4664</v>
      </c>
      <c r="AC736" s="32"/>
      <c r="AD736" s="32"/>
      <c r="AE736" s="32">
        <f t="shared" si="203"/>
        <v>4664</v>
      </c>
      <c r="AF736" s="12"/>
      <c r="AG736" s="12"/>
      <c r="AH736" s="12"/>
      <c r="AI736" s="12">
        <f t="shared" si="204"/>
        <v>4664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P737" s="32"/>
      <c r="Q737" s="32"/>
      <c r="R737" s="32"/>
      <c r="S737" s="32">
        <f t="shared" si="201"/>
        <v>0</v>
      </c>
      <c r="T737" s="12"/>
      <c r="U737" s="12"/>
      <c r="V737" s="12"/>
      <c r="W737" s="12">
        <f t="shared" si="202"/>
        <v>0</v>
      </c>
      <c r="Y737" s="10">
        <v>11</v>
      </c>
      <c r="Z737" s="30" t="s">
        <v>75</v>
      </c>
      <c r="AA737" s="31">
        <f t="shared" si="207"/>
        <v>9672</v>
      </c>
      <c r="AB737" s="32">
        <f>650*80+622*20+872+229*4</f>
        <v>66228</v>
      </c>
      <c r="AC737" s="32">
        <f>-101*6</f>
        <v>-606</v>
      </c>
      <c r="AD737" s="32"/>
      <c r="AE737" s="32">
        <f t="shared" si="203"/>
        <v>65622</v>
      </c>
      <c r="AF737" s="12"/>
      <c r="AG737" s="12"/>
      <c r="AH737" s="12"/>
      <c r="AI737" s="12">
        <f t="shared" si="204"/>
        <v>65622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31"/>
      <c r="P738" s="32"/>
      <c r="Q738" s="32"/>
      <c r="R738" s="32"/>
      <c r="S738" s="32">
        <f t="shared" si="201"/>
        <v>0</v>
      </c>
      <c r="T738" s="12"/>
      <c r="U738" s="12"/>
      <c r="V738" s="12"/>
      <c r="W738" s="12">
        <f t="shared" si="202"/>
        <v>0</v>
      </c>
      <c r="Y738" s="10">
        <v>12</v>
      </c>
      <c r="Z738" s="30" t="s">
        <v>75</v>
      </c>
      <c r="AA738" s="31">
        <f t="shared" si="207"/>
        <v>9673</v>
      </c>
      <c r="AB738" s="32">
        <f>650*55+622*4+229*2</f>
        <v>38696</v>
      </c>
      <c r="AC738" s="32"/>
      <c r="AD738" s="32"/>
      <c r="AE738" s="32">
        <f t="shared" si="203"/>
        <v>38696</v>
      </c>
      <c r="AF738" s="12"/>
      <c r="AG738" s="12">
        <v>49.5</v>
      </c>
      <c r="AH738" s="12"/>
      <c r="AI738" s="12">
        <f t="shared" si="204"/>
        <v>38745.5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31"/>
      <c r="P739" s="32"/>
      <c r="Q739" s="32"/>
      <c r="R739" s="32"/>
      <c r="S739" s="32">
        <f t="shared" si="201"/>
        <v>0</v>
      </c>
      <c r="T739" s="12"/>
      <c r="U739" s="12"/>
      <c r="V739" s="12"/>
      <c r="W739" s="12">
        <f t="shared" si="202"/>
        <v>0</v>
      </c>
      <c r="Y739" s="10">
        <v>13</v>
      </c>
      <c r="Z739" s="30" t="s">
        <v>75</v>
      </c>
      <c r="AA739" s="31">
        <f t="shared" si="207"/>
        <v>9674</v>
      </c>
      <c r="AB739" s="32">
        <f>650*2</f>
        <v>1300</v>
      </c>
      <c r="AC739" s="32"/>
      <c r="AD739" s="32"/>
      <c r="AE739" s="32">
        <f t="shared" si="203"/>
        <v>1300</v>
      </c>
      <c r="AF739" s="12"/>
      <c r="AG739" s="12"/>
      <c r="AH739" s="12"/>
      <c r="AI739" s="12">
        <f t="shared" si="204"/>
        <v>1300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31"/>
      <c r="P740" s="32"/>
      <c r="Q740" s="32"/>
      <c r="R740" s="32"/>
      <c r="S740" s="32">
        <f t="shared" si="201"/>
        <v>0</v>
      </c>
      <c r="T740" s="12"/>
      <c r="U740" s="12"/>
      <c r="V740" s="12"/>
      <c r="W740" s="12">
        <f t="shared" si="202"/>
        <v>0</v>
      </c>
      <c r="Y740" s="10">
        <v>14</v>
      </c>
      <c r="Z740" s="30" t="s">
        <v>75</v>
      </c>
      <c r="AA740" s="31">
        <f t="shared" si="207"/>
        <v>9675</v>
      </c>
      <c r="AB740" s="32">
        <f>650*4+670+9.5*4</f>
        <v>3308</v>
      </c>
      <c r="AC740" s="32"/>
      <c r="AD740" s="32"/>
      <c r="AE740" s="32">
        <f t="shared" si="203"/>
        <v>3308</v>
      </c>
      <c r="AF740" s="12"/>
      <c r="AG740" s="12"/>
      <c r="AH740" s="12"/>
      <c r="AI740" s="12">
        <f t="shared" si="204"/>
        <v>3308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31"/>
      <c r="P741" s="32"/>
      <c r="Q741" s="32"/>
      <c r="R741" s="32"/>
      <c r="S741" s="32">
        <f t="shared" si="201"/>
        <v>0</v>
      </c>
      <c r="T741" s="12"/>
      <c r="U741" s="12"/>
      <c r="V741" s="12"/>
      <c r="W741" s="12">
        <f t="shared" si="202"/>
        <v>0</v>
      </c>
      <c r="Y741" s="10">
        <v>15</v>
      </c>
      <c r="Z741" s="30" t="s">
        <v>75</v>
      </c>
      <c r="AA741" s="31">
        <f t="shared" si="207"/>
        <v>9676</v>
      </c>
      <c r="AB741" s="32">
        <f>650*16</f>
        <v>10400</v>
      </c>
      <c r="AC741" s="32"/>
      <c r="AD741" s="32"/>
      <c r="AE741" s="32">
        <f t="shared" si="203"/>
        <v>10400</v>
      </c>
      <c r="AF741" s="12"/>
      <c r="AG741" s="12"/>
      <c r="AH741" s="12">
        <v>-666</v>
      </c>
      <c r="AI741" s="12">
        <f t="shared" si="204"/>
        <v>9734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31"/>
      <c r="P742" s="32"/>
      <c r="Q742" s="32"/>
      <c r="R742" s="32"/>
      <c r="S742" s="32">
        <f t="shared" si="201"/>
        <v>0</v>
      </c>
      <c r="T742" s="12"/>
      <c r="U742" s="12"/>
      <c r="V742" s="12"/>
      <c r="W742" s="12">
        <f t="shared" si="202"/>
        <v>0</v>
      </c>
      <c r="Y742" s="10">
        <v>16</v>
      </c>
      <c r="Z742" s="30" t="s">
        <v>75</v>
      </c>
      <c r="AA742" s="31">
        <f t="shared" si="207"/>
        <v>9677</v>
      </c>
      <c r="AB742" s="32">
        <f>18*9.5+650*18</f>
        <v>11871</v>
      </c>
      <c r="AC742" s="32"/>
      <c r="AD742" s="32"/>
      <c r="AE742" s="32">
        <f t="shared" si="203"/>
        <v>11871</v>
      </c>
      <c r="AF742" s="12"/>
      <c r="AG742" s="12"/>
      <c r="AH742" s="12"/>
      <c r="AI742" s="12">
        <f t="shared" si="204"/>
        <v>11871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1"/>
        <v>0</v>
      </c>
      <c r="T743" s="12"/>
      <c r="U743" s="12"/>
      <c r="V743" s="12"/>
      <c r="W743" s="12">
        <f t="shared" si="202"/>
        <v>0</v>
      </c>
      <c r="Y743" s="10">
        <v>17</v>
      </c>
      <c r="Z743" s="30" t="s">
        <v>75</v>
      </c>
      <c r="AA743" s="31">
        <v>9751</v>
      </c>
      <c r="AB743" s="35">
        <f>2723.02</f>
        <v>2723.02</v>
      </c>
      <c r="AC743" s="32"/>
      <c r="AD743" s="32"/>
      <c r="AE743" s="32">
        <f t="shared" si="203"/>
        <v>2723.02</v>
      </c>
      <c r="AF743" s="12"/>
      <c r="AG743" s="12"/>
      <c r="AH743" s="12"/>
      <c r="AI743" s="12">
        <f t="shared" si="204"/>
        <v>2723.02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1"/>
        <v>0</v>
      </c>
      <c r="T744" s="12"/>
      <c r="U744" s="12"/>
      <c r="V744" s="12"/>
      <c r="W744" s="12">
        <f t="shared" si="202"/>
        <v>0</v>
      </c>
      <c r="Y744" s="10">
        <v>18</v>
      </c>
      <c r="Z744" s="30"/>
      <c r="AA744" s="11" t="s">
        <v>27</v>
      </c>
      <c r="AB744" s="32"/>
      <c r="AC744" s="32"/>
      <c r="AD744" s="32"/>
      <c r="AE744" s="32">
        <f t="shared" si="203"/>
        <v>0</v>
      </c>
      <c r="AF744" s="12"/>
      <c r="AG744" s="12"/>
      <c r="AH744" s="12"/>
      <c r="AI744" s="12">
        <f t="shared" si="204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1"/>
        <v>0</v>
      </c>
      <c r="T745" s="12"/>
      <c r="U745" s="12"/>
      <c r="V745" s="12"/>
      <c r="W745" s="12">
        <f t="shared" si="202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3"/>
        <v>0</v>
      </c>
      <c r="AF745" s="12"/>
      <c r="AG745" s="12"/>
      <c r="AH745" s="12"/>
      <c r="AI745" s="12">
        <f t="shared" si="204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1"/>
        <v>0</v>
      </c>
      <c r="T746" s="12"/>
      <c r="U746" s="12"/>
      <c r="V746" s="12"/>
      <c r="W746" s="12">
        <f t="shared" si="202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3"/>
        <v>0</v>
      </c>
      <c r="AF746" s="12"/>
      <c r="AG746" s="12"/>
      <c r="AH746" s="12"/>
      <c r="AI746" s="12">
        <f t="shared" si="204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1"/>
        <v>0</v>
      </c>
      <c r="T747" s="10"/>
      <c r="U747" s="10"/>
      <c r="V747" s="10"/>
      <c r="W747" s="12">
        <f t="shared" si="202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03"/>
        <v>0</v>
      </c>
      <c r="AF747" s="10"/>
      <c r="AG747" s="10"/>
      <c r="AH747" s="10"/>
      <c r="AI747" s="12">
        <f t="shared" si="204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1"/>
        <v>0</v>
      </c>
      <c r="T748" s="10"/>
      <c r="U748" s="10"/>
      <c r="V748" s="10"/>
      <c r="W748" s="12">
        <f t="shared" si="202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3"/>
        <v>0</v>
      </c>
      <c r="AF748" s="10"/>
      <c r="AG748" s="10"/>
      <c r="AH748" s="10"/>
      <c r="AI748" s="12">
        <f t="shared" si="204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Q749" s="31"/>
      <c r="S749" s="32">
        <f t="shared" si="201"/>
        <v>0</v>
      </c>
      <c r="T749" s="10"/>
      <c r="U749" s="10"/>
      <c r="V749" s="10"/>
      <c r="W749" s="12">
        <f t="shared" si="202"/>
        <v>0</v>
      </c>
      <c r="Y749" s="10">
        <v>23</v>
      </c>
      <c r="Z749" s="30"/>
      <c r="AA749" s="31"/>
      <c r="AB749" s="47"/>
      <c r="AE749" s="32">
        <f t="shared" si="203"/>
        <v>0</v>
      </c>
      <c r="AF749" s="10"/>
      <c r="AG749" s="10"/>
      <c r="AH749" s="10"/>
      <c r="AI749" s="12">
        <f t="shared" si="204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1"/>
        <v>0</v>
      </c>
      <c r="T750" s="10"/>
      <c r="U750" s="10"/>
      <c r="V750" s="10"/>
      <c r="W750" s="12">
        <f t="shared" si="202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3"/>
        <v>0</v>
      </c>
      <c r="AF750" s="10"/>
      <c r="AG750" s="10"/>
      <c r="AH750" s="10"/>
      <c r="AI750" s="12">
        <f t="shared" si="204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1"/>
        <v>0</v>
      </c>
      <c r="T751" s="10"/>
      <c r="U751" s="10"/>
      <c r="V751" s="10"/>
      <c r="W751" s="12">
        <f t="shared" si="202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3"/>
        <v>0</v>
      </c>
      <c r="AF751" s="10"/>
      <c r="AG751" s="10"/>
      <c r="AH751" s="10"/>
      <c r="AI751" s="12">
        <f t="shared" si="204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1"/>
        <v>0</v>
      </c>
      <c r="T752" s="10"/>
      <c r="U752" s="10"/>
      <c r="V752" s="10"/>
      <c r="W752" s="12">
        <f t="shared" si="202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3"/>
        <v>0</v>
      </c>
      <c r="AF752" s="10"/>
      <c r="AG752" s="10"/>
      <c r="AH752" s="10"/>
      <c r="AI752" s="12">
        <f t="shared" si="204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1"/>
        <v>0</v>
      </c>
      <c r="T753" s="10"/>
      <c r="U753" s="10"/>
      <c r="V753" s="10"/>
      <c r="W753" s="12">
        <f t="shared" si="202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3"/>
        <v>0</v>
      </c>
      <c r="AF753" s="10"/>
      <c r="AG753" s="10"/>
      <c r="AH753" s="10"/>
      <c r="AI753" s="12">
        <f t="shared" si="204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1"/>
        <v>0</v>
      </c>
      <c r="T754" s="10"/>
      <c r="U754" s="10"/>
      <c r="V754" s="10"/>
      <c r="W754" s="12">
        <f t="shared" si="202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3"/>
        <v>0</v>
      </c>
      <c r="AF754" s="10"/>
      <c r="AG754" s="10"/>
      <c r="AH754" s="10"/>
      <c r="AI754" s="12">
        <f t="shared" si="204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1"/>
        <v>0</v>
      </c>
      <c r="T755" s="10"/>
      <c r="U755" s="10"/>
      <c r="V755" s="10"/>
      <c r="W755" s="12">
        <f t="shared" si="202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3"/>
        <v>0</v>
      </c>
      <c r="AF755" s="10"/>
      <c r="AG755" s="10"/>
      <c r="AH755" s="10"/>
      <c r="AI755" s="12">
        <f t="shared" si="204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1"/>
        <v>0</v>
      </c>
      <c r="T756" s="10"/>
      <c r="U756" s="10"/>
      <c r="V756" s="10"/>
      <c r="W756" s="12">
        <f t="shared" si="202"/>
        <v>0</v>
      </c>
      <c r="Y756" s="10">
        <v>30</v>
      </c>
      <c r="Z756" s="30"/>
      <c r="AB756" s="47"/>
      <c r="AC756" s="31"/>
      <c r="AD756" s="31"/>
      <c r="AE756" s="32">
        <f t="shared" si="203"/>
        <v>0</v>
      </c>
      <c r="AF756" s="10"/>
      <c r="AG756" s="10"/>
      <c r="AH756" s="10"/>
      <c r="AI756" s="12">
        <f t="shared" si="204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1"/>
        <v>0</v>
      </c>
      <c r="T757" s="10"/>
      <c r="U757" s="10"/>
      <c r="V757" s="10"/>
      <c r="W757" s="12">
        <f t="shared" si="202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3"/>
        <v>0</v>
      </c>
      <c r="AF757" s="10"/>
      <c r="AG757" s="10"/>
      <c r="AH757" s="10"/>
      <c r="AI757" s="12">
        <f t="shared" si="204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1"/>
        <v>0</v>
      </c>
      <c r="T758" s="10"/>
      <c r="U758" s="10"/>
      <c r="V758" s="10"/>
      <c r="W758" s="12">
        <f t="shared" si="202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3"/>
        <v>0</v>
      </c>
      <c r="AF758" s="10"/>
      <c r="AG758" s="10"/>
      <c r="AH758" s="10"/>
      <c r="AI758" s="12">
        <f t="shared" si="204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1"/>
        <v>0</v>
      </c>
      <c r="T759" s="10"/>
      <c r="U759" s="10"/>
      <c r="V759" s="10"/>
      <c r="W759" s="12">
        <f t="shared" si="202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3"/>
        <v>0</v>
      </c>
      <c r="AF759" s="10"/>
      <c r="AG759" s="10"/>
      <c r="AH759" s="10"/>
      <c r="AI759" s="12">
        <f t="shared" si="204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1"/>
        <v>0</v>
      </c>
      <c r="T760" s="10"/>
      <c r="U760" s="10"/>
      <c r="V760" s="10"/>
      <c r="W760" s="12">
        <f t="shared" si="202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3"/>
        <v>0</v>
      </c>
      <c r="AF760" s="10"/>
      <c r="AG760" s="10"/>
      <c r="AH760" s="10"/>
      <c r="AI760" s="12">
        <f t="shared" si="204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P761" s="47"/>
      <c r="Q761" s="31"/>
      <c r="R761" s="31"/>
      <c r="S761" s="32">
        <f t="shared" si="201"/>
        <v>0</v>
      </c>
      <c r="T761" s="10"/>
      <c r="U761" s="10"/>
      <c r="V761" s="10"/>
      <c r="W761" s="12">
        <f t="shared" si="202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3"/>
        <v>0</v>
      </c>
      <c r="AF761" s="10"/>
      <c r="AG761" s="10"/>
      <c r="AH761" s="10"/>
      <c r="AI761" s="12">
        <f t="shared" si="204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1"/>
        <v>0</v>
      </c>
      <c r="T762" s="10"/>
      <c r="U762" s="10"/>
      <c r="V762" s="10"/>
      <c r="W762" s="12">
        <f t="shared" si="202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3"/>
        <v>0</v>
      </c>
      <c r="AF762" s="10"/>
      <c r="AG762" s="10"/>
      <c r="AH762" s="10"/>
      <c r="AI762" s="12">
        <f t="shared" si="204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O763" s="31"/>
      <c r="P763" s="47"/>
      <c r="Q763" s="31"/>
      <c r="R763" s="31"/>
      <c r="S763" s="32">
        <f t="shared" si="201"/>
        <v>0</v>
      </c>
      <c r="T763" s="10"/>
      <c r="U763" s="10"/>
      <c r="V763" s="10"/>
      <c r="W763" s="12">
        <f t="shared" si="202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3"/>
        <v>0</v>
      </c>
      <c r="AF763" s="10"/>
      <c r="AG763" s="10"/>
      <c r="AH763" s="10"/>
      <c r="AI763" s="12">
        <f t="shared" si="204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1"/>
        <v>0</v>
      </c>
      <c r="T764" s="10"/>
      <c r="U764" s="10"/>
      <c r="V764" s="10"/>
      <c r="W764" s="12">
        <f t="shared" si="202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3"/>
        <v>0</v>
      </c>
      <c r="AF764" s="10"/>
      <c r="AG764" s="10"/>
      <c r="AH764" s="10"/>
      <c r="AI764" s="12">
        <f t="shared" si="204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1"/>
        <v>0</v>
      </c>
      <c r="T765" s="10"/>
      <c r="U765" s="10"/>
      <c r="V765" s="10"/>
      <c r="W765" s="12">
        <f t="shared" si="202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3"/>
        <v>0</v>
      </c>
      <c r="AF765" s="10"/>
      <c r="AG765" s="10"/>
      <c r="AH765" s="10"/>
      <c r="AI765" s="12">
        <f t="shared" si="204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2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4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8">SUM(D767:E767)</f>
        <v>0</v>
      </c>
      <c r="H767" s="10"/>
      <c r="I767" s="10"/>
      <c r="J767" s="10"/>
      <c r="K767" s="12">
        <f t="shared" ref="K767" si="209">SUM(G767:J767)</f>
        <v>0</v>
      </c>
      <c r="M767" s="10"/>
      <c r="N767" s="30"/>
      <c r="O767" s="31"/>
      <c r="P767" s="47"/>
      <c r="Q767" s="31"/>
      <c r="R767" s="31"/>
      <c r="S767" s="32">
        <f t="shared" ref="S767" si="210">SUM(P767:Q767)</f>
        <v>0</v>
      </c>
      <c r="T767" s="10"/>
      <c r="U767" s="10"/>
      <c r="V767" s="10"/>
      <c r="W767" s="12">
        <f t="shared" si="202"/>
        <v>0</v>
      </c>
      <c r="Y767" s="10"/>
      <c r="Z767" s="30"/>
      <c r="AA767" s="31"/>
      <c r="AB767" s="47"/>
      <c r="AC767" s="31"/>
      <c r="AD767" s="31"/>
      <c r="AE767" s="32">
        <f t="shared" ref="AE767" si="211">SUM(AB767:AC767)</f>
        <v>0</v>
      </c>
      <c r="AF767" s="10"/>
      <c r="AG767" s="10"/>
      <c r="AH767" s="10"/>
      <c r="AI767" s="12">
        <f t="shared" si="204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2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4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347972</v>
      </c>
      <c r="E770" s="38">
        <f t="shared" ref="E770:G770" si="212">SUM(E727:E767)</f>
        <v>0</v>
      </c>
      <c r="F770" s="38">
        <f t="shared" si="212"/>
        <v>0</v>
      </c>
      <c r="G770" s="38">
        <f>SUM(G727:G769)</f>
        <v>347972</v>
      </c>
      <c r="H770" s="4"/>
      <c r="I770" s="39">
        <f>SUM(I727:I769)</f>
        <v>50070</v>
      </c>
      <c r="J770" s="39">
        <f>SUM(J727:J769)</f>
        <v>-43785</v>
      </c>
      <c r="K770" s="40">
        <f>SUM(K727:K769)</f>
        <v>354257</v>
      </c>
      <c r="N770" s="57"/>
      <c r="O770" s="57"/>
      <c r="P770" s="38">
        <f>SUM(P727:P769)</f>
        <v>263912.5</v>
      </c>
      <c r="Q770" s="38">
        <f>SUM(Q727:Q751)</f>
        <v>-1944</v>
      </c>
      <c r="R770" s="38">
        <f>SUM(R727:R751)</f>
        <v>0</v>
      </c>
      <c r="S770" s="38">
        <f>SUM(S727:S769)</f>
        <v>261968.5</v>
      </c>
      <c r="T770" s="4"/>
      <c r="U770" s="41">
        <f>SUM(U727:U769)</f>
        <v>897</v>
      </c>
      <c r="V770" s="41">
        <f>SUM(V727:V751)</f>
        <v>-420</v>
      </c>
      <c r="W770" s="42">
        <f>SUM(W727:W769)</f>
        <v>262445.5</v>
      </c>
      <c r="Z770" s="57"/>
      <c r="AA770" s="57"/>
      <c r="AB770" s="38">
        <f>SUM(AB727:AB769)</f>
        <v>267681.02</v>
      </c>
      <c r="AC770" s="38">
        <f>SUM(AC727:AC751)</f>
        <v>-1206</v>
      </c>
      <c r="AD770" s="38">
        <f>SUM(AD727:AD751)</f>
        <v>0</v>
      </c>
      <c r="AE770" s="38">
        <f>SUM(AE727:AE769)</f>
        <v>266475.02</v>
      </c>
      <c r="AF770" s="4"/>
      <c r="AG770" s="41">
        <f>SUM(AG727:AG769)</f>
        <v>3482.25</v>
      </c>
      <c r="AH770" s="41">
        <f>SUM(AH727:AH751)</f>
        <v>-829.5</v>
      </c>
      <c r="AI770" s="42">
        <f>SUM(AI727:AI769)</f>
        <v>269127.77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11"/>
      <c r="E780" s="111"/>
      <c r="F780" s="88"/>
      <c r="G780" s="88"/>
      <c r="H780" s="62"/>
      <c r="I780" s="111"/>
      <c r="J780" s="111"/>
      <c r="K780" s="110"/>
      <c r="L780" s="62"/>
      <c r="M780" s="62"/>
      <c r="N780" s="65"/>
      <c r="O780" s="88"/>
      <c r="P780" s="111"/>
      <c r="Q780" s="111"/>
      <c r="R780" s="88"/>
      <c r="S780" s="88"/>
      <c r="T780" s="62"/>
      <c r="U780" s="111"/>
      <c r="V780" s="111"/>
      <c r="W780" s="110"/>
      <c r="X780" s="62"/>
      <c r="Y780" s="62"/>
      <c r="Z780" s="65"/>
      <c r="AA780" s="88"/>
      <c r="AB780" s="111"/>
      <c r="AC780" s="111"/>
      <c r="AD780" s="88"/>
      <c r="AE780" s="88"/>
      <c r="AF780" s="62"/>
      <c r="AG780" s="111"/>
      <c r="AH780" s="111"/>
      <c r="AI780" s="11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10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10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1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11"/>
      <c r="E835" s="111"/>
      <c r="F835" s="88"/>
      <c r="G835" s="88"/>
      <c r="H835" s="62"/>
      <c r="I835" s="111"/>
      <c r="J835" s="111"/>
      <c r="K835" s="110"/>
      <c r="L835" s="62"/>
      <c r="M835" s="62"/>
      <c r="N835" s="65"/>
      <c r="O835" s="88"/>
      <c r="P835" s="111"/>
      <c r="Q835" s="111"/>
      <c r="R835" s="88"/>
      <c r="S835" s="88"/>
      <c r="T835" s="62"/>
      <c r="U835" s="111"/>
      <c r="V835" s="111"/>
      <c r="W835" s="110"/>
      <c r="X835" s="62"/>
      <c r="Y835" s="62"/>
      <c r="Z835" s="65"/>
      <c r="AA835" s="88"/>
      <c r="AB835" s="111"/>
      <c r="AC835" s="111"/>
      <c r="AD835" s="88"/>
      <c r="AE835" s="88"/>
      <c r="AF835" s="62"/>
      <c r="AG835" s="111"/>
      <c r="AH835" s="111"/>
      <c r="AI835" s="11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10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10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1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11"/>
      <c r="E890" s="111"/>
      <c r="F890" s="88"/>
      <c r="G890" s="88"/>
      <c r="H890" s="62"/>
      <c r="I890" s="111"/>
      <c r="J890" s="111"/>
      <c r="K890" s="110"/>
      <c r="L890" s="62"/>
      <c r="M890" s="62"/>
      <c r="N890" s="65"/>
      <c r="O890" s="88"/>
      <c r="P890" s="111"/>
      <c r="Q890" s="111"/>
      <c r="R890" s="88"/>
      <c r="S890" s="88"/>
      <c r="T890" s="62"/>
      <c r="U890" s="111"/>
      <c r="V890" s="111"/>
      <c r="W890" s="110"/>
      <c r="X890" s="62"/>
      <c r="Y890" s="62"/>
      <c r="Z890" s="65"/>
      <c r="AA890" s="88"/>
      <c r="AB890" s="111"/>
      <c r="AC890" s="111"/>
      <c r="AD890" s="88"/>
      <c r="AE890" s="88"/>
      <c r="AF890" s="62"/>
      <c r="AG890" s="111"/>
      <c r="AH890" s="111"/>
      <c r="AI890" s="11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10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10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1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1"/>
      <c r="E945" s="111"/>
      <c r="F945" s="88"/>
      <c r="G945" s="88"/>
      <c r="H945" s="62"/>
      <c r="I945" s="111"/>
      <c r="J945" s="111"/>
      <c r="K945" s="110"/>
      <c r="L945" s="62"/>
      <c r="M945" s="62"/>
      <c r="N945" s="65"/>
      <c r="O945" s="88"/>
      <c r="P945" s="111"/>
      <c r="Q945" s="111"/>
      <c r="R945" s="88"/>
      <c r="S945" s="88"/>
      <c r="T945" s="62"/>
      <c r="U945" s="111"/>
      <c r="V945" s="111"/>
      <c r="W945" s="110"/>
      <c r="X945" s="62"/>
      <c r="Y945" s="62"/>
      <c r="Z945" s="65"/>
      <c r="AA945" s="88"/>
      <c r="AB945" s="111"/>
      <c r="AC945" s="111"/>
      <c r="AD945" s="88"/>
      <c r="AE945" s="88"/>
      <c r="AF945" s="62"/>
      <c r="AG945" s="111"/>
      <c r="AH945" s="111"/>
      <c r="AI945" s="110"/>
      <c r="AJ945" s="62"/>
      <c r="AK945" s="62"/>
      <c r="AL945" s="65"/>
      <c r="AM945" s="86"/>
      <c r="AN945" s="111"/>
      <c r="AO945" s="111"/>
      <c r="AP945" s="86"/>
      <c r="AQ945" s="86"/>
      <c r="AR945" s="62"/>
      <c r="AS945" s="111"/>
      <c r="AT945" s="111"/>
      <c r="AU945" s="110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0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0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0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1"/>
      <c r="E1000" s="111"/>
      <c r="F1000" s="86"/>
      <c r="G1000" s="86"/>
      <c r="H1000" s="62"/>
      <c r="I1000" s="111"/>
      <c r="J1000" s="111"/>
      <c r="K1000" s="110"/>
      <c r="L1000" s="62"/>
      <c r="M1000" s="62"/>
      <c r="N1000" s="65"/>
      <c r="O1000" s="86"/>
      <c r="P1000" s="111"/>
      <c r="Q1000" s="111"/>
      <c r="R1000" s="86"/>
      <c r="S1000" s="86"/>
      <c r="T1000" s="62"/>
      <c r="U1000" s="111"/>
      <c r="V1000" s="111"/>
      <c r="W1000" s="110"/>
      <c r="X1000" s="62"/>
      <c r="Y1000" s="62"/>
      <c r="Z1000" s="65"/>
      <c r="AA1000" s="86"/>
      <c r="AB1000" s="111"/>
      <c r="AC1000" s="111"/>
      <c r="AD1000" s="86"/>
      <c r="AE1000" s="86"/>
      <c r="AF1000" s="62"/>
      <c r="AG1000" s="111"/>
      <c r="AH1000" s="111"/>
      <c r="AI1000" s="11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0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0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1"/>
      <c r="E1055" s="111"/>
      <c r="F1055" s="86"/>
      <c r="G1055" s="86"/>
      <c r="H1055" s="62"/>
      <c r="I1055" s="111"/>
      <c r="J1055" s="111"/>
      <c r="K1055" s="110"/>
      <c r="L1055" s="62"/>
      <c r="M1055" s="62"/>
      <c r="N1055" s="65"/>
      <c r="O1055" s="86"/>
      <c r="P1055" s="111"/>
      <c r="Q1055" s="111"/>
      <c r="R1055" s="86"/>
      <c r="S1055" s="86"/>
      <c r="T1055" s="62"/>
      <c r="U1055" s="111"/>
      <c r="V1055" s="111"/>
      <c r="W1055" s="110"/>
      <c r="X1055" s="62"/>
      <c r="Y1055" s="62"/>
      <c r="Z1055" s="65"/>
      <c r="AA1055" s="86"/>
      <c r="AB1055" s="111"/>
      <c r="AC1055" s="111"/>
      <c r="AD1055" s="86"/>
      <c r="AE1055" s="86"/>
      <c r="AF1055" s="62"/>
      <c r="AG1055" s="111"/>
      <c r="AH1055" s="111"/>
      <c r="AI1055" s="11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0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0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1"/>
      <c r="E1110" s="111"/>
      <c r="F1110" s="86"/>
      <c r="G1110" s="86"/>
      <c r="H1110" s="62"/>
      <c r="I1110" s="111"/>
      <c r="J1110" s="111"/>
      <c r="K1110" s="110"/>
      <c r="L1110" s="62"/>
      <c r="M1110" s="62"/>
      <c r="N1110" s="65"/>
      <c r="O1110" s="86"/>
      <c r="P1110" s="111"/>
      <c r="Q1110" s="111"/>
      <c r="R1110" s="86"/>
      <c r="S1110" s="86"/>
      <c r="T1110" s="62"/>
      <c r="U1110" s="111"/>
      <c r="V1110" s="111"/>
      <c r="W1110" s="110"/>
      <c r="X1110" s="62"/>
      <c r="Y1110" s="62"/>
      <c r="Z1110" s="65"/>
      <c r="AA1110" s="86"/>
      <c r="AB1110" s="111"/>
      <c r="AC1110" s="111"/>
      <c r="AD1110" s="86"/>
      <c r="AE1110" s="86"/>
      <c r="AF1110" s="62"/>
      <c r="AG1110" s="111"/>
      <c r="AH1110" s="111"/>
      <c r="AI1110" s="11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0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0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1"/>
      <c r="E1165" s="111"/>
      <c r="F1165" s="86"/>
      <c r="G1165" s="86"/>
      <c r="H1165" s="62"/>
      <c r="I1165" s="111"/>
      <c r="J1165" s="111"/>
      <c r="K1165" s="110"/>
      <c r="L1165" s="62"/>
      <c r="M1165" s="62"/>
      <c r="N1165" s="65"/>
      <c r="O1165" s="86"/>
      <c r="P1165" s="111"/>
      <c r="Q1165" s="111"/>
      <c r="R1165" s="86"/>
      <c r="S1165" s="86"/>
      <c r="T1165" s="62"/>
      <c r="U1165" s="111"/>
      <c r="V1165" s="111"/>
      <c r="W1165" s="110"/>
      <c r="X1165" s="62"/>
      <c r="Y1165" s="62"/>
      <c r="Z1165" s="65"/>
      <c r="AA1165" s="86"/>
      <c r="AB1165" s="111"/>
      <c r="AC1165" s="111"/>
      <c r="AD1165" s="86"/>
      <c r="AE1165" s="86"/>
      <c r="AF1165" s="62"/>
      <c r="AG1165" s="111"/>
      <c r="AH1165" s="111"/>
      <c r="AI1165" s="11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0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0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1"/>
      <c r="E1221" s="111"/>
      <c r="F1221" s="86"/>
      <c r="G1221" s="86"/>
      <c r="H1221" s="62"/>
      <c r="I1221" s="111"/>
      <c r="J1221" s="111"/>
      <c r="K1221" s="110"/>
      <c r="L1221" s="62"/>
      <c r="M1221" s="62"/>
      <c r="N1221" s="65"/>
      <c r="O1221" s="86"/>
      <c r="P1221" s="111"/>
      <c r="Q1221" s="111"/>
      <c r="R1221" s="86"/>
      <c r="S1221" s="86"/>
      <c r="T1221" s="62"/>
      <c r="U1221" s="111"/>
      <c r="V1221" s="111"/>
      <c r="W1221" s="110"/>
      <c r="X1221" s="62"/>
      <c r="Y1221" s="62"/>
      <c r="Z1221" s="65"/>
      <c r="AA1221" s="86"/>
      <c r="AB1221" s="111"/>
      <c r="AC1221" s="111"/>
      <c r="AD1221" s="86"/>
      <c r="AE1221" s="86"/>
      <c r="AF1221" s="62"/>
      <c r="AG1221" s="111"/>
      <c r="AH1221" s="111"/>
      <c r="AI1221" s="11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0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0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1"/>
      <c r="E1283" s="111"/>
      <c r="F1283" s="86"/>
      <c r="G1283" s="86"/>
      <c r="H1283" s="62"/>
      <c r="I1283" s="111"/>
      <c r="J1283" s="111"/>
      <c r="K1283" s="110"/>
      <c r="L1283" s="62"/>
      <c r="M1283" s="62"/>
      <c r="N1283" s="65"/>
      <c r="O1283" s="86"/>
      <c r="P1283" s="111"/>
      <c r="Q1283" s="111"/>
      <c r="R1283" s="86"/>
      <c r="S1283" s="86"/>
      <c r="T1283" s="62"/>
      <c r="U1283" s="111"/>
      <c r="V1283" s="111"/>
      <c r="W1283" s="110"/>
      <c r="X1283" s="62"/>
      <c r="Y1283" s="62"/>
      <c r="Z1283" s="65"/>
      <c r="AA1283" s="86"/>
      <c r="AB1283" s="111"/>
      <c r="AC1283" s="111"/>
      <c r="AD1283" s="86"/>
      <c r="AE1283" s="86"/>
      <c r="AF1283" s="62"/>
      <c r="AG1283" s="111"/>
      <c r="AH1283" s="111"/>
      <c r="AI1283" s="11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0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0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2026-03-19T02:44:50Z</dcterms:modified>
</cp:coreProperties>
</file>