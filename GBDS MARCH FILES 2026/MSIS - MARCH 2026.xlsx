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4657CD5B-060B-461B-ABFF-4B4E70289804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174" i="2" l="1"/>
  <c r="AE1174" i="2" s="1"/>
  <c r="AI1174" i="2" s="1"/>
  <c r="AB1173" i="2"/>
  <c r="AB1172" i="2"/>
  <c r="AG1172" i="2"/>
  <c r="AC1172" i="2"/>
  <c r="AE1172" i="2"/>
  <c r="AI1172" i="2" s="1"/>
  <c r="AG1171" i="2"/>
  <c r="AG1210" i="2" s="1"/>
  <c r="AB1171" i="2"/>
  <c r="AB1170" i="2"/>
  <c r="AB1169" i="2"/>
  <c r="AE1169" i="2" s="1"/>
  <c r="AI1169" i="2" s="1"/>
  <c r="AC1168" i="2"/>
  <c r="AE1168" i="2" s="1"/>
  <c r="AB1168" i="2"/>
  <c r="AC1167" i="2"/>
  <c r="AB1167" i="2"/>
  <c r="AE1167" i="2" s="1"/>
  <c r="AI1167" i="2" s="1"/>
  <c r="AA1170" i="2"/>
  <c r="AA1171" i="2" s="1"/>
  <c r="AA1172" i="2" s="1"/>
  <c r="AA1173" i="2" s="1"/>
  <c r="AA1174" i="2" s="1"/>
  <c r="AE1170" i="2"/>
  <c r="AI1170" i="2" s="1"/>
  <c r="AE1171" i="2"/>
  <c r="AI1171" i="2" s="1"/>
  <c r="AE1173" i="2"/>
  <c r="AI1173" i="2"/>
  <c r="AE1175" i="2"/>
  <c r="AI1175" i="2" s="1"/>
  <c r="AE1176" i="2"/>
  <c r="AI1176" i="2" s="1"/>
  <c r="AE1177" i="2"/>
  <c r="AI1177" i="2"/>
  <c r="AE1178" i="2"/>
  <c r="AI1178" i="2" s="1"/>
  <c r="AE1179" i="2"/>
  <c r="AI1179" i="2"/>
  <c r="AE1180" i="2"/>
  <c r="AI1180" i="2"/>
  <c r="AE1181" i="2"/>
  <c r="AI1181" i="2" s="1"/>
  <c r="AE1182" i="2"/>
  <c r="AI1182" i="2"/>
  <c r="AE1183" i="2"/>
  <c r="AI1183" i="2"/>
  <c r="AE1184" i="2"/>
  <c r="AI1184" i="2"/>
  <c r="AE1185" i="2"/>
  <c r="AI1185" i="2"/>
  <c r="AE1186" i="2"/>
  <c r="AI1186" i="2" s="1"/>
  <c r="AE1187" i="2"/>
  <c r="AI1187" i="2" s="1"/>
  <c r="AE1188" i="2"/>
  <c r="AI1188" i="2"/>
  <c r="AE1189" i="2"/>
  <c r="AI1189" i="2" s="1"/>
  <c r="AE1190" i="2"/>
  <c r="AI1190" i="2" s="1"/>
  <c r="AE1191" i="2"/>
  <c r="AI1191" i="2" s="1"/>
  <c r="AE1192" i="2"/>
  <c r="AI1192" i="2"/>
  <c r="AE1193" i="2"/>
  <c r="AI1193" i="2"/>
  <c r="AE1194" i="2"/>
  <c r="AI1194" i="2" s="1"/>
  <c r="AE1195" i="2"/>
  <c r="AI1195" i="2"/>
  <c r="AE1196" i="2"/>
  <c r="AI1196" i="2"/>
  <c r="AE1197" i="2"/>
  <c r="AI1197" i="2" s="1"/>
  <c r="AE1198" i="2"/>
  <c r="AI1198" i="2"/>
  <c r="AE1199" i="2"/>
  <c r="AI1199" i="2"/>
  <c r="AE1200" i="2"/>
  <c r="AI1200" i="2"/>
  <c r="AE1201" i="2"/>
  <c r="AI1201" i="2"/>
  <c r="AE1202" i="2"/>
  <c r="AI1202" i="2" s="1"/>
  <c r="AE1203" i="2"/>
  <c r="AI1203" i="2" s="1"/>
  <c r="AE1204" i="2"/>
  <c r="AI1204" i="2"/>
  <c r="AE1205" i="2"/>
  <c r="AI1205" i="2" s="1"/>
  <c r="AI1206" i="2"/>
  <c r="AE1207" i="2"/>
  <c r="AI1207" i="2" s="1"/>
  <c r="AI1208" i="2"/>
  <c r="AD1210" i="2"/>
  <c r="AH1210" i="2"/>
  <c r="E1172" i="2"/>
  <c r="D1172" i="2"/>
  <c r="D1171" i="2"/>
  <c r="G1171" i="2" s="1"/>
  <c r="K1171" i="2" s="1"/>
  <c r="J1170" i="2"/>
  <c r="J1210" i="2" s="1"/>
  <c r="D1170" i="2"/>
  <c r="G1170" i="2" s="1"/>
  <c r="E1169" i="2"/>
  <c r="D1169" i="2"/>
  <c r="E1168" i="2"/>
  <c r="D1168" i="2"/>
  <c r="D1167" i="2"/>
  <c r="G1167" i="2"/>
  <c r="C1168" i="2"/>
  <c r="C1169" i="2" s="1"/>
  <c r="C1170" i="2" s="1"/>
  <c r="C1171" i="2" s="1"/>
  <c r="C1172" i="2" s="1"/>
  <c r="I1210" i="2"/>
  <c r="G1173" i="2"/>
  <c r="K1173" i="2" s="1"/>
  <c r="G1174" i="2"/>
  <c r="K1174" i="2" s="1"/>
  <c r="G1175" i="2"/>
  <c r="K1175" i="2" s="1"/>
  <c r="G1176" i="2"/>
  <c r="K1176" i="2" s="1"/>
  <c r="G1177" i="2"/>
  <c r="K1177" i="2" s="1"/>
  <c r="G1178" i="2"/>
  <c r="K1178" i="2" s="1"/>
  <c r="G1179" i="2"/>
  <c r="K1179" i="2" s="1"/>
  <c r="G1180" i="2"/>
  <c r="K1180" i="2"/>
  <c r="G1181" i="2"/>
  <c r="K1181" i="2"/>
  <c r="G1182" i="2"/>
  <c r="K1182" i="2"/>
  <c r="G1183" i="2"/>
  <c r="K1183" i="2"/>
  <c r="G1184" i="2"/>
  <c r="K1184" i="2"/>
  <c r="G1185" i="2"/>
  <c r="K1185" i="2"/>
  <c r="G1186" i="2"/>
  <c r="K1186" i="2"/>
  <c r="G1187" i="2"/>
  <c r="K1187" i="2" s="1"/>
  <c r="G1188" i="2"/>
  <c r="K1188" i="2"/>
  <c r="G1189" i="2"/>
  <c r="K1189" i="2"/>
  <c r="G1190" i="2"/>
  <c r="K1190" i="2"/>
  <c r="G1191" i="2"/>
  <c r="K1191" i="2"/>
  <c r="G1192" i="2"/>
  <c r="K1192" i="2"/>
  <c r="G1193" i="2"/>
  <c r="K1193" i="2"/>
  <c r="G1194" i="2"/>
  <c r="K1194" i="2"/>
  <c r="G1195" i="2"/>
  <c r="K1195" i="2" s="1"/>
  <c r="G1196" i="2"/>
  <c r="K1196" i="2"/>
  <c r="G1197" i="2"/>
  <c r="K1197" i="2"/>
  <c r="G1198" i="2"/>
  <c r="K1198" i="2"/>
  <c r="G1199" i="2"/>
  <c r="K1199" i="2"/>
  <c r="G1200" i="2"/>
  <c r="K1200" i="2"/>
  <c r="G1207" i="2"/>
  <c r="K1207" i="2"/>
  <c r="F1210" i="2"/>
  <c r="AC1210" i="2" l="1"/>
  <c r="AI1168" i="2"/>
  <c r="AI1210" i="2" s="1"/>
  <c r="AE1210" i="2"/>
  <c r="AB1210" i="2"/>
  <c r="E1210" i="2"/>
  <c r="G1172" i="2"/>
  <c r="K1172" i="2" s="1"/>
  <c r="D1210" i="2"/>
  <c r="G1168" i="2"/>
  <c r="K1168" i="2" s="1"/>
  <c r="K1167" i="2"/>
  <c r="G1169" i="2"/>
  <c r="K1169" i="2" s="1"/>
  <c r="K1170" i="2"/>
  <c r="AB1122" i="2"/>
  <c r="AE1122" i="2" s="1"/>
  <c r="AI1122" i="2" s="1"/>
  <c r="AB1121" i="2"/>
  <c r="AE1121" i="2" s="1"/>
  <c r="AI1121" i="2" s="1"/>
  <c r="AB1120" i="2"/>
  <c r="AB1119" i="2"/>
  <c r="AE1119" i="2" s="1"/>
  <c r="AI1119" i="2" s="1"/>
  <c r="AB1118" i="2"/>
  <c r="AE1118" i="2" s="1"/>
  <c r="AI1118" i="2" s="1"/>
  <c r="AB1117" i="2"/>
  <c r="AE1117" i="2" s="1"/>
  <c r="AI1117" i="2" s="1"/>
  <c r="AB1116" i="2"/>
  <c r="AE1116" i="2" s="1"/>
  <c r="AI1116" i="2" s="1"/>
  <c r="AC1115" i="2"/>
  <c r="AB1115" i="2"/>
  <c r="AE1115" i="2" s="1"/>
  <c r="AI1115" i="2" s="1"/>
  <c r="AG1114" i="2"/>
  <c r="AG1155" i="2" s="1"/>
  <c r="AC1114" i="2"/>
  <c r="AB1114" i="2"/>
  <c r="AE1114" i="2" s="1"/>
  <c r="AC1113" i="2"/>
  <c r="AC1155" i="2" s="1"/>
  <c r="AB1113" i="2"/>
  <c r="AB1112" i="2"/>
  <c r="AA1114" i="2"/>
  <c r="AA1115" i="2" s="1"/>
  <c r="AA1116" i="2" s="1"/>
  <c r="AA1117" i="2" s="1"/>
  <c r="AA1118" i="2" s="1"/>
  <c r="AA1119" i="2" s="1"/>
  <c r="AA1120" i="2" s="1"/>
  <c r="AA1121" i="2" s="1"/>
  <c r="AA1122" i="2" s="1"/>
  <c r="AH1155" i="2"/>
  <c r="AD1155" i="2"/>
  <c r="AI1153" i="2"/>
  <c r="AI1152" i="2"/>
  <c r="AE1152" i="2"/>
  <c r="AI1151" i="2"/>
  <c r="AE1150" i="2"/>
  <c r="AI1150" i="2" s="1"/>
  <c r="AE1149" i="2"/>
  <c r="AI1149" i="2" s="1"/>
  <c r="AE1148" i="2"/>
  <c r="AI1148" i="2" s="1"/>
  <c r="AE1147" i="2"/>
  <c r="AI1147" i="2" s="1"/>
  <c r="AI1146" i="2"/>
  <c r="AE1146" i="2"/>
  <c r="AE1145" i="2"/>
  <c r="AI1145" i="2" s="1"/>
  <c r="AE1144" i="2"/>
  <c r="AI1144" i="2" s="1"/>
  <c r="AI1143" i="2"/>
  <c r="AE1143" i="2"/>
  <c r="AE1142" i="2"/>
  <c r="AI1142" i="2" s="1"/>
  <c r="AE1141" i="2"/>
  <c r="AI1141" i="2" s="1"/>
  <c r="AE1140" i="2"/>
  <c r="AI1140" i="2" s="1"/>
  <c r="AI1139" i="2"/>
  <c r="AE1139" i="2"/>
  <c r="AI1138" i="2"/>
  <c r="AE1138" i="2"/>
  <c r="AE1137" i="2"/>
  <c r="AI1137" i="2" s="1"/>
  <c r="AI1136" i="2"/>
  <c r="AE1136" i="2"/>
  <c r="AI1135" i="2"/>
  <c r="AE1135" i="2"/>
  <c r="AE1134" i="2"/>
  <c r="AI1134" i="2" s="1"/>
  <c r="AE1133" i="2"/>
  <c r="AI1133" i="2" s="1"/>
  <c r="AE1132" i="2"/>
  <c r="AI1132" i="2" s="1"/>
  <c r="AE1131" i="2"/>
  <c r="AI1131" i="2" s="1"/>
  <c r="AE1130" i="2"/>
  <c r="AI1130" i="2" s="1"/>
  <c r="AE1129" i="2"/>
  <c r="AI1129" i="2" s="1"/>
  <c r="AE1128" i="2"/>
  <c r="AI1128" i="2" s="1"/>
  <c r="AI1127" i="2"/>
  <c r="AE1127" i="2"/>
  <c r="AE1126" i="2"/>
  <c r="AI1126" i="2" s="1"/>
  <c r="AE1125" i="2"/>
  <c r="AI1125" i="2" s="1"/>
  <c r="AE1124" i="2"/>
  <c r="AI1124" i="2" s="1"/>
  <c r="AE1123" i="2"/>
  <c r="AI1123" i="2" s="1"/>
  <c r="AE1120" i="2"/>
  <c r="AI1120" i="2" s="1"/>
  <c r="AA1113" i="2"/>
  <c r="AE1112" i="2"/>
  <c r="P1118" i="2"/>
  <c r="V1118" i="2"/>
  <c r="S1118" i="2"/>
  <c r="W1118" i="2" s="1"/>
  <c r="U1117" i="2"/>
  <c r="U1155" i="2" s="1"/>
  <c r="P1117" i="2"/>
  <c r="P1116" i="2"/>
  <c r="S1116" i="2" s="1"/>
  <c r="W1116" i="2" s="1"/>
  <c r="P1115" i="2"/>
  <c r="P1114" i="2"/>
  <c r="P1113" i="2"/>
  <c r="U1112" i="2"/>
  <c r="P1112" i="2"/>
  <c r="V1112" i="2"/>
  <c r="Q1112" i="2"/>
  <c r="S1112" i="2"/>
  <c r="O1113" i="2"/>
  <c r="O1114" i="2" s="1"/>
  <c r="O1115" i="2" s="1"/>
  <c r="O1116" i="2" s="1"/>
  <c r="O1117" i="2" s="1"/>
  <c r="O1118" i="2" s="1"/>
  <c r="S1113" i="2"/>
  <c r="W1113" i="2" s="1"/>
  <c r="S1114" i="2"/>
  <c r="W1114" i="2" s="1"/>
  <c r="S1115" i="2"/>
  <c r="W1115" i="2" s="1"/>
  <c r="S1117" i="2"/>
  <c r="W1117" i="2" s="1"/>
  <c r="S1119" i="2"/>
  <c r="W1119" i="2"/>
  <c r="S1120" i="2"/>
  <c r="W1120" i="2" s="1"/>
  <c r="S1121" i="2"/>
  <c r="W1121" i="2" s="1"/>
  <c r="S1122" i="2"/>
  <c r="W1122" i="2" s="1"/>
  <c r="S1123" i="2"/>
  <c r="W1123" i="2" s="1"/>
  <c r="S1124" i="2"/>
  <c r="W1124" i="2"/>
  <c r="S1125" i="2"/>
  <c r="W1125" i="2"/>
  <c r="S1126" i="2"/>
  <c r="W1126" i="2"/>
  <c r="S1127" i="2"/>
  <c r="W1127" i="2"/>
  <c r="S1128" i="2"/>
  <c r="W1128" i="2"/>
  <c r="S1129" i="2"/>
  <c r="W1129" i="2"/>
  <c r="S1130" i="2"/>
  <c r="W1130" i="2"/>
  <c r="S1131" i="2"/>
  <c r="W1131" i="2"/>
  <c r="S1132" i="2"/>
  <c r="W1132" i="2"/>
  <c r="S1133" i="2"/>
  <c r="W1133" i="2"/>
  <c r="S1134" i="2"/>
  <c r="W1134" i="2"/>
  <c r="S1135" i="2"/>
  <c r="W1135" i="2"/>
  <c r="S1136" i="2"/>
  <c r="W1136" i="2"/>
  <c r="S1137" i="2"/>
  <c r="W1137" i="2"/>
  <c r="S1138" i="2"/>
  <c r="W1138" i="2"/>
  <c r="S1139" i="2"/>
  <c r="W1139" i="2"/>
  <c r="S1140" i="2"/>
  <c r="W1140" i="2"/>
  <c r="S1141" i="2"/>
  <c r="W1141" i="2"/>
  <c r="S1142" i="2"/>
  <c r="W1142" i="2"/>
  <c r="S1143" i="2"/>
  <c r="W1143" i="2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/>
  <c r="W1151" i="2"/>
  <c r="S1152" i="2"/>
  <c r="W1152" i="2"/>
  <c r="W1153" i="2"/>
  <c r="R1155" i="2"/>
  <c r="V1155" i="2"/>
  <c r="D1123" i="2"/>
  <c r="D1122" i="2"/>
  <c r="D1121" i="2"/>
  <c r="G1121" i="2" s="1"/>
  <c r="K1121" i="2" s="1"/>
  <c r="D1120" i="2"/>
  <c r="D1119" i="2"/>
  <c r="D1118" i="2"/>
  <c r="G1118" i="2" s="1"/>
  <c r="K1118" i="2" s="1"/>
  <c r="D1117" i="2"/>
  <c r="G1117" i="2" s="1"/>
  <c r="K1117" i="2" s="1"/>
  <c r="C1118" i="2"/>
  <c r="C1119" i="2" s="1"/>
  <c r="C1120" i="2" s="1"/>
  <c r="C1121" i="2" s="1"/>
  <c r="C1122" i="2" s="1"/>
  <c r="C1123" i="2" s="1"/>
  <c r="D1116" i="2"/>
  <c r="I1115" i="2"/>
  <c r="I1155" i="2" s="1"/>
  <c r="D1115" i="2"/>
  <c r="G1115" i="2" s="1"/>
  <c r="K1115" i="2" s="1"/>
  <c r="C1113" i="2"/>
  <c r="C1114" i="2" s="1"/>
  <c r="C1115" i="2" s="1"/>
  <c r="C1116" i="2" s="1"/>
  <c r="C1117" i="2" s="1"/>
  <c r="D1114" i="2"/>
  <c r="G1114" i="2" s="1"/>
  <c r="K1114" i="2" s="1"/>
  <c r="D1113" i="2"/>
  <c r="D1112" i="2"/>
  <c r="G1112" i="2"/>
  <c r="G1113" i="2"/>
  <c r="K1113" i="2"/>
  <c r="G1116" i="2"/>
  <c r="K1116" i="2" s="1"/>
  <c r="G1119" i="2"/>
  <c r="K1119" i="2" s="1"/>
  <c r="G1120" i="2"/>
  <c r="K1120" i="2" s="1"/>
  <c r="G1122" i="2"/>
  <c r="K1122" i="2" s="1"/>
  <c r="G1123" i="2"/>
  <c r="K1123" i="2"/>
  <c r="G1124" i="2"/>
  <c r="K1124" i="2" s="1"/>
  <c r="G1125" i="2"/>
  <c r="K1125" i="2"/>
  <c r="G1126" i="2"/>
  <c r="K1126" i="2"/>
  <c r="G1127" i="2"/>
  <c r="K1127" i="2"/>
  <c r="G1128" i="2"/>
  <c r="K1128" i="2" s="1"/>
  <c r="G1129" i="2"/>
  <c r="K1129" i="2" s="1"/>
  <c r="G1130" i="2"/>
  <c r="K1130" i="2"/>
  <c r="G1131" i="2"/>
  <c r="K1131" i="2"/>
  <c r="G1132" i="2"/>
  <c r="K1132" i="2" s="1"/>
  <c r="G1133" i="2"/>
  <c r="K1133" i="2"/>
  <c r="G1134" i="2"/>
  <c r="K1134" i="2"/>
  <c r="G1135" i="2"/>
  <c r="K1135" i="2"/>
  <c r="G1136" i="2"/>
  <c r="K1136" i="2"/>
  <c r="G1137" i="2"/>
  <c r="K1137" i="2"/>
  <c r="G1138" i="2"/>
  <c r="K1138" i="2"/>
  <c r="G1139" i="2"/>
  <c r="K1139" i="2"/>
  <c r="G1140" i="2"/>
  <c r="K1140" i="2" s="1"/>
  <c r="G1141" i="2"/>
  <c r="K1141" i="2"/>
  <c r="G1142" i="2"/>
  <c r="K1142" i="2"/>
  <c r="G1143" i="2"/>
  <c r="K1143" i="2"/>
  <c r="G1144" i="2"/>
  <c r="K1144" i="2"/>
  <c r="G1145" i="2"/>
  <c r="K1145" i="2"/>
  <c r="G1152" i="2"/>
  <c r="K1152" i="2"/>
  <c r="E1155" i="2"/>
  <c r="F1155" i="2"/>
  <c r="J1155" i="2"/>
  <c r="K1210" i="2" l="1"/>
  <c r="G1210" i="2"/>
  <c r="AI1114" i="2"/>
  <c r="AI1112" i="2"/>
  <c r="AE1113" i="2"/>
  <c r="AI1113" i="2" s="1"/>
  <c r="AB1155" i="2"/>
  <c r="P1155" i="2"/>
  <c r="Q1155" i="2"/>
  <c r="S1155" i="2"/>
  <c r="W1112" i="2"/>
  <c r="W1155" i="2" s="1"/>
  <c r="K1112" i="2"/>
  <c r="K1155" i="2" s="1"/>
  <c r="G1155" i="2"/>
  <c r="D1155" i="2"/>
  <c r="P1069" i="2"/>
  <c r="V1068" i="2"/>
  <c r="V1100" i="2" s="1"/>
  <c r="U1068" i="2"/>
  <c r="Q1068" i="2"/>
  <c r="P1068" i="2"/>
  <c r="S1068" i="2" s="1"/>
  <c r="W1068" i="2" s="1"/>
  <c r="P1067" i="2"/>
  <c r="P1066" i="2"/>
  <c r="S1066" i="2" s="1"/>
  <c r="W1066" i="2" s="1"/>
  <c r="P1065" i="2"/>
  <c r="S1065" i="2" s="1"/>
  <c r="W1065" i="2" s="1"/>
  <c r="P1064" i="2"/>
  <c r="S1064" i="2" s="1"/>
  <c r="W1064" i="2" s="1"/>
  <c r="P1063" i="2"/>
  <c r="S1063" i="2" s="1"/>
  <c r="W1063" i="2" s="1"/>
  <c r="P1062" i="2"/>
  <c r="P1061" i="2"/>
  <c r="P1060" i="2"/>
  <c r="P1059" i="2"/>
  <c r="P1058" i="2"/>
  <c r="P1057" i="2"/>
  <c r="O1059" i="2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S1057" i="2"/>
  <c r="W1057" i="2" s="1"/>
  <c r="O1058" i="2"/>
  <c r="S1058" i="2"/>
  <c r="W1058" i="2" s="1"/>
  <c r="U1100" i="2"/>
  <c r="S1059" i="2"/>
  <c r="W1059" i="2" s="1"/>
  <c r="S1061" i="2"/>
  <c r="W1061" i="2" s="1"/>
  <c r="S1062" i="2"/>
  <c r="W1062" i="2"/>
  <c r="S1067" i="2"/>
  <c r="W1067" i="2" s="1"/>
  <c r="S1069" i="2"/>
  <c r="W1069" i="2" s="1"/>
  <c r="S1070" i="2"/>
  <c r="W1070" i="2"/>
  <c r="S1071" i="2"/>
  <c r="W1071" i="2"/>
  <c r="S1072" i="2"/>
  <c r="W1072" i="2"/>
  <c r="S1073" i="2"/>
  <c r="W1073" i="2"/>
  <c r="S1074" i="2"/>
  <c r="W1074" i="2"/>
  <c r="S1075" i="2"/>
  <c r="W1075" i="2" s="1"/>
  <c r="S1076" i="2"/>
  <c r="W1076" i="2"/>
  <c r="S1077" i="2"/>
  <c r="W1077" i="2"/>
  <c r="S1078" i="2"/>
  <c r="W1078" i="2"/>
  <c r="S1079" i="2"/>
  <c r="W1079" i="2"/>
  <c r="S1080" i="2"/>
  <c r="W1080" i="2"/>
  <c r="S1081" i="2"/>
  <c r="W1081" i="2"/>
  <c r="S1082" i="2"/>
  <c r="W1082" i="2"/>
  <c r="S1083" i="2"/>
  <c r="W1083" i="2" s="1"/>
  <c r="S1084" i="2"/>
  <c r="W1084" i="2"/>
  <c r="S1085" i="2"/>
  <c r="W1085" i="2"/>
  <c r="S1086" i="2"/>
  <c r="W1086" i="2"/>
  <c r="S1087" i="2"/>
  <c r="W1087" i="2"/>
  <c r="S1088" i="2"/>
  <c r="W1088" i="2"/>
  <c r="S1089" i="2"/>
  <c r="W1089" i="2"/>
  <c r="S1090" i="2"/>
  <c r="W1090" i="2"/>
  <c r="S1091" i="2"/>
  <c r="W1091" i="2" s="1"/>
  <c r="S1092" i="2"/>
  <c r="W1092" i="2"/>
  <c r="S1093" i="2"/>
  <c r="W1093" i="2"/>
  <c r="S1094" i="2"/>
  <c r="W1094" i="2"/>
  <c r="S1095" i="2"/>
  <c r="W1095" i="2"/>
  <c r="W1096" i="2"/>
  <c r="S1097" i="2"/>
  <c r="W1097" i="2"/>
  <c r="W1098" i="2"/>
  <c r="Q1100" i="2"/>
  <c r="R1100" i="2"/>
  <c r="D1062" i="2"/>
  <c r="D1061" i="2"/>
  <c r="G1061" i="2" s="1"/>
  <c r="K1061" i="2" s="1"/>
  <c r="D1060" i="2"/>
  <c r="G1060" i="2" s="1"/>
  <c r="K1060" i="2" s="1"/>
  <c r="D1059" i="2"/>
  <c r="G1059" i="2" s="1"/>
  <c r="K1059" i="2" s="1"/>
  <c r="D1058" i="2"/>
  <c r="G1058" i="2" s="1"/>
  <c r="K1058" i="2" s="1"/>
  <c r="I1057" i="2"/>
  <c r="I1100" i="2" s="1"/>
  <c r="D1057" i="2"/>
  <c r="E1057" i="2"/>
  <c r="F1100" i="2"/>
  <c r="G1097" i="2"/>
  <c r="K1097" i="2" s="1"/>
  <c r="G1090" i="2"/>
  <c r="K1090" i="2" s="1"/>
  <c r="G1089" i="2"/>
  <c r="K1089" i="2" s="1"/>
  <c r="G1088" i="2"/>
  <c r="K1088" i="2" s="1"/>
  <c r="K1087" i="2"/>
  <c r="G1087" i="2"/>
  <c r="G1086" i="2"/>
  <c r="K1086" i="2" s="1"/>
  <c r="G1085" i="2"/>
  <c r="K1085" i="2" s="1"/>
  <c r="K1084" i="2"/>
  <c r="G1084" i="2"/>
  <c r="G1083" i="2"/>
  <c r="K1083" i="2" s="1"/>
  <c r="G1082" i="2"/>
  <c r="K1082" i="2" s="1"/>
  <c r="G1081" i="2"/>
  <c r="K1081" i="2" s="1"/>
  <c r="G1080" i="2"/>
  <c r="K1080" i="2" s="1"/>
  <c r="K1079" i="2"/>
  <c r="G1079" i="2"/>
  <c r="G1078" i="2"/>
  <c r="K1078" i="2" s="1"/>
  <c r="G1077" i="2"/>
  <c r="K1077" i="2" s="1"/>
  <c r="K1076" i="2"/>
  <c r="G1076" i="2"/>
  <c r="G1075" i="2"/>
  <c r="K1075" i="2" s="1"/>
  <c r="G1074" i="2"/>
  <c r="K1074" i="2" s="1"/>
  <c r="G1073" i="2"/>
  <c r="K1073" i="2" s="1"/>
  <c r="G1072" i="2"/>
  <c r="K1072" i="2" s="1"/>
  <c r="G1071" i="2"/>
  <c r="K1071" i="2" s="1"/>
  <c r="G1070" i="2"/>
  <c r="K1070" i="2" s="1"/>
  <c r="G1069" i="2"/>
  <c r="K1069" i="2" s="1"/>
  <c r="G1068" i="2"/>
  <c r="K1068" i="2" s="1"/>
  <c r="G1067" i="2"/>
  <c r="K1067" i="2" s="1"/>
  <c r="G1066" i="2"/>
  <c r="K1066" i="2" s="1"/>
  <c r="G1065" i="2"/>
  <c r="K1065" i="2" s="1"/>
  <c r="G1064" i="2"/>
  <c r="K1064" i="2" s="1"/>
  <c r="G1063" i="2"/>
  <c r="K1063" i="2" s="1"/>
  <c r="G1062" i="2"/>
  <c r="K1062" i="2" s="1"/>
  <c r="J1100" i="2"/>
  <c r="C1058" i="2"/>
  <c r="C1059" i="2" s="1"/>
  <c r="C1060" i="2" s="1"/>
  <c r="C1061" i="2" s="1"/>
  <c r="C1062" i="2" s="1"/>
  <c r="E1100" i="2"/>
  <c r="AI1155" i="2" l="1"/>
  <c r="AE1155" i="2"/>
  <c r="P1100" i="2"/>
  <c r="S1060" i="2"/>
  <c r="W1060" i="2" s="1"/>
  <c r="S1100" i="2"/>
  <c r="W1100" i="2"/>
  <c r="D1100" i="2"/>
  <c r="G1057" i="2"/>
  <c r="AC1007" i="2"/>
  <c r="AE1007" i="2" s="1"/>
  <c r="AI1007" i="2" s="1"/>
  <c r="AB1007" i="2"/>
  <c r="AB1006" i="2"/>
  <c r="AE1006" i="2" s="1"/>
  <c r="AI1006" i="2" s="1"/>
  <c r="AB1005" i="2"/>
  <c r="AE1005" i="2" s="1"/>
  <c r="AI1005" i="2" s="1"/>
  <c r="AB1004" i="2"/>
  <c r="AE1004" i="2" s="1"/>
  <c r="AI1004" i="2" s="1"/>
  <c r="AG1003" i="2"/>
  <c r="AG1045" i="2" s="1"/>
  <c r="AC1003" i="2"/>
  <c r="AB1003" i="2"/>
  <c r="AG1002" i="2"/>
  <c r="AB1002" i="2"/>
  <c r="AA1003" i="2"/>
  <c r="AA1005" i="2" s="1"/>
  <c r="AA1006" i="2" s="1"/>
  <c r="AA1007" i="2" s="1"/>
  <c r="AE1008" i="2"/>
  <c r="AI1008" i="2" s="1"/>
  <c r="AE1009" i="2"/>
  <c r="AI1009" i="2"/>
  <c r="AE1010" i="2"/>
  <c r="AI1010" i="2"/>
  <c r="AE1011" i="2"/>
  <c r="AI1011" i="2"/>
  <c r="AE1012" i="2"/>
  <c r="AI1012" i="2" s="1"/>
  <c r="AE1013" i="2"/>
  <c r="AI1013" i="2" s="1"/>
  <c r="AE1014" i="2"/>
  <c r="AI1014" i="2" s="1"/>
  <c r="AE1015" i="2"/>
  <c r="AI1015" i="2"/>
  <c r="AE1016" i="2"/>
  <c r="AI1016" i="2"/>
  <c r="AE1017" i="2"/>
  <c r="AI1017" i="2"/>
  <c r="AE1018" i="2"/>
  <c r="AI1018" i="2"/>
  <c r="AE1019" i="2"/>
  <c r="AI1019" i="2"/>
  <c r="AE1020" i="2"/>
  <c r="AI1020" i="2" s="1"/>
  <c r="AE1021" i="2"/>
  <c r="AI1021" i="2" s="1"/>
  <c r="AE1022" i="2"/>
  <c r="AI1022" i="2" s="1"/>
  <c r="AE1023" i="2"/>
  <c r="AI1023" i="2"/>
  <c r="AE1024" i="2"/>
  <c r="AI1024" i="2"/>
  <c r="AE1025" i="2"/>
  <c r="AI1025" i="2"/>
  <c r="AE1026" i="2"/>
  <c r="AI1026" i="2"/>
  <c r="AE1027" i="2"/>
  <c r="AI1027" i="2"/>
  <c r="AE1028" i="2"/>
  <c r="AI1028" i="2" s="1"/>
  <c r="AE1029" i="2"/>
  <c r="AI1029" i="2"/>
  <c r="AE1030" i="2"/>
  <c r="AI1030" i="2" s="1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 s="1"/>
  <c r="AE1037" i="2"/>
  <c r="AI1037" i="2"/>
  <c r="AE1038" i="2"/>
  <c r="AI1038" i="2" s="1"/>
  <c r="AE1039" i="2"/>
  <c r="AI1039" i="2"/>
  <c r="AE1040" i="2"/>
  <c r="AI1040" i="2"/>
  <c r="AI1041" i="2"/>
  <c r="AE1042" i="2"/>
  <c r="AI1042" i="2"/>
  <c r="AI1043" i="2"/>
  <c r="AD1045" i="2"/>
  <c r="AH1045" i="2"/>
  <c r="P1006" i="2"/>
  <c r="S1006" i="2" s="1"/>
  <c r="W1006" i="2" s="1"/>
  <c r="P1005" i="2"/>
  <c r="P1004" i="2"/>
  <c r="S1004" i="2" s="1"/>
  <c r="W1004" i="2" s="1"/>
  <c r="U1003" i="2"/>
  <c r="P1003" i="2"/>
  <c r="U1002" i="2"/>
  <c r="Q1002" i="2"/>
  <c r="Q1045" i="2" s="1"/>
  <c r="P1002" i="2"/>
  <c r="O1003" i="2"/>
  <c r="O1005" i="2" s="1"/>
  <c r="O1006" i="2" s="1"/>
  <c r="S1003" i="2"/>
  <c r="S1007" i="2"/>
  <c r="W1007" i="2" s="1"/>
  <c r="S1008" i="2"/>
  <c r="W1008" i="2" s="1"/>
  <c r="V1045" i="2"/>
  <c r="S1009" i="2"/>
  <c r="W1009" i="2" s="1"/>
  <c r="S1010" i="2"/>
  <c r="W1010" i="2" s="1"/>
  <c r="S1011" i="2"/>
  <c r="W1011" i="2" s="1"/>
  <c r="S1012" i="2"/>
  <c r="W1012" i="2" s="1"/>
  <c r="S1013" i="2"/>
  <c r="W1013" i="2"/>
  <c r="S1014" i="2"/>
  <c r="W1014" i="2"/>
  <c r="S1015" i="2"/>
  <c r="W1015" i="2"/>
  <c r="S1016" i="2"/>
  <c r="W1016" i="2"/>
  <c r="S1017" i="2"/>
  <c r="W1017" i="2" s="1"/>
  <c r="S1018" i="2"/>
  <c r="W1018" i="2" s="1"/>
  <c r="S1019" i="2"/>
  <c r="W1019" i="2" s="1"/>
  <c r="S1020" i="2"/>
  <c r="W1020" i="2" s="1"/>
  <c r="S1021" i="2"/>
  <c r="W1021" i="2"/>
  <c r="S1022" i="2"/>
  <c r="W1022" i="2" s="1"/>
  <c r="S1023" i="2"/>
  <c r="W1023" i="2"/>
  <c r="S1024" i="2"/>
  <c r="W1024" i="2"/>
  <c r="S1025" i="2"/>
  <c r="W1025" i="2" s="1"/>
  <c r="S1026" i="2"/>
  <c r="W1026" i="2" s="1"/>
  <c r="S1027" i="2"/>
  <c r="W1027" i="2" s="1"/>
  <c r="S1028" i="2"/>
  <c r="W1028" i="2" s="1"/>
  <c r="S1029" i="2"/>
  <c r="W1029" i="2"/>
  <c r="S1030" i="2"/>
  <c r="W1030" i="2"/>
  <c r="S1031" i="2"/>
  <c r="W1031" i="2"/>
  <c r="S1032" i="2"/>
  <c r="W1032" i="2"/>
  <c r="S1033" i="2"/>
  <c r="W1033" i="2" s="1"/>
  <c r="S1034" i="2"/>
  <c r="W1034" i="2" s="1"/>
  <c r="S1035" i="2"/>
  <c r="W1035" i="2" s="1"/>
  <c r="S1036" i="2"/>
  <c r="W1036" i="2" s="1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R1045" i="2"/>
  <c r="K1057" i="2" l="1"/>
  <c r="K1100" i="2" s="1"/>
  <c r="G1100" i="2"/>
  <c r="AC1045" i="2"/>
  <c r="AE1003" i="2"/>
  <c r="AI1003" i="2" s="1"/>
  <c r="AB1045" i="2"/>
  <c r="AE1002" i="2"/>
  <c r="AI1002" i="2" s="1"/>
  <c r="AE1045" i="2"/>
  <c r="P1045" i="2"/>
  <c r="W1003" i="2"/>
  <c r="U1045" i="2"/>
  <c r="S1002" i="2"/>
  <c r="W1002" i="2" s="1"/>
  <c r="S1005" i="2"/>
  <c r="W1005" i="2" s="1"/>
  <c r="AB952" i="2"/>
  <c r="AE952" i="2" s="1"/>
  <c r="AI952" i="2" s="1"/>
  <c r="AB951" i="2"/>
  <c r="AE951" i="2" s="1"/>
  <c r="AI951" i="2" s="1"/>
  <c r="AB950" i="2"/>
  <c r="AB949" i="2"/>
  <c r="AB948" i="2"/>
  <c r="AB947" i="2"/>
  <c r="AA948" i="2"/>
  <c r="AA949" i="2" s="1"/>
  <c r="AA950" i="2" s="1"/>
  <c r="AA951" i="2" s="1"/>
  <c r="AA952" i="2" s="1"/>
  <c r="AE948" i="2"/>
  <c r="AI948" i="2" s="1"/>
  <c r="AC990" i="2"/>
  <c r="AE949" i="2"/>
  <c r="AI949" i="2"/>
  <c r="AE950" i="2"/>
  <c r="AI950" i="2" s="1"/>
  <c r="AE953" i="2"/>
  <c r="AI953" i="2" s="1"/>
  <c r="AE954" i="2"/>
  <c r="AI954" i="2" s="1"/>
  <c r="AE955" i="2"/>
  <c r="AI955" i="2"/>
  <c r="AE956" i="2"/>
  <c r="AI956" i="2" s="1"/>
  <c r="AE957" i="2"/>
  <c r="AI957" i="2" s="1"/>
  <c r="AE958" i="2"/>
  <c r="AI958" i="2"/>
  <c r="AE959" i="2"/>
  <c r="AI959" i="2"/>
  <c r="AE960" i="2"/>
  <c r="AI960" i="2" s="1"/>
  <c r="AE961" i="2"/>
  <c r="AI961" i="2" s="1"/>
  <c r="AE962" i="2"/>
  <c r="AI962" i="2"/>
  <c r="AE963" i="2"/>
  <c r="AI963" i="2"/>
  <c r="AE964" i="2"/>
  <c r="AI964" i="2" s="1"/>
  <c r="AE965" i="2"/>
  <c r="AI965" i="2" s="1"/>
  <c r="AE966" i="2"/>
  <c r="AI966" i="2"/>
  <c r="AE967" i="2"/>
  <c r="AI967" i="2"/>
  <c r="AE968" i="2"/>
  <c r="AI968" i="2" s="1"/>
  <c r="AE969" i="2"/>
  <c r="AI969" i="2" s="1"/>
  <c r="AE970" i="2"/>
  <c r="AI970" i="2"/>
  <c r="AE971" i="2"/>
  <c r="AI971" i="2"/>
  <c r="AE972" i="2"/>
  <c r="AI972" i="2" s="1"/>
  <c r="AE973" i="2"/>
  <c r="AI973" i="2" s="1"/>
  <c r="AE974" i="2"/>
  <c r="AI974" i="2"/>
  <c r="AE975" i="2"/>
  <c r="AI975" i="2"/>
  <c r="AE976" i="2"/>
  <c r="AI976" i="2" s="1"/>
  <c r="AE977" i="2"/>
  <c r="AI977" i="2" s="1"/>
  <c r="AE978" i="2"/>
  <c r="AI978" i="2"/>
  <c r="AE979" i="2"/>
  <c r="AI979" i="2"/>
  <c r="AE980" i="2"/>
  <c r="AI980" i="2" s="1"/>
  <c r="AE981" i="2"/>
  <c r="AI981" i="2" s="1"/>
  <c r="AE982" i="2"/>
  <c r="AI982" i="2"/>
  <c r="AE983" i="2"/>
  <c r="AI983" i="2"/>
  <c r="AE984" i="2"/>
  <c r="AI984" i="2" s="1"/>
  <c r="AE985" i="2"/>
  <c r="AI985" i="2" s="1"/>
  <c r="AI986" i="2"/>
  <c r="AE987" i="2"/>
  <c r="AI987" i="2" s="1"/>
  <c r="AI988" i="2"/>
  <c r="AD990" i="2"/>
  <c r="AG990" i="2"/>
  <c r="AH990" i="2"/>
  <c r="V953" i="2"/>
  <c r="V990" i="2" s="1"/>
  <c r="Q953" i="2"/>
  <c r="S953" i="2" s="1"/>
  <c r="W953" i="2" s="1"/>
  <c r="P953" i="2"/>
  <c r="U952" i="2"/>
  <c r="U990" i="2" s="1"/>
  <c r="Q952" i="2"/>
  <c r="P952" i="2"/>
  <c r="S952" i="2" s="1"/>
  <c r="W952" i="2" s="1"/>
  <c r="P951" i="2"/>
  <c r="S951" i="2" s="1"/>
  <c r="W951" i="2" s="1"/>
  <c r="P950" i="2"/>
  <c r="S950" i="2" s="1"/>
  <c r="W950" i="2" s="1"/>
  <c r="P949" i="2"/>
  <c r="P948" i="2"/>
  <c r="P947" i="2"/>
  <c r="O951" i="2"/>
  <c r="O952" i="2" s="1"/>
  <c r="O953" i="2" s="1"/>
  <c r="O948" i="2"/>
  <c r="S948" i="2"/>
  <c r="W948" i="2" s="1"/>
  <c r="O949" i="2"/>
  <c r="O950" i="2" s="1"/>
  <c r="S949" i="2"/>
  <c r="W949" i="2" s="1"/>
  <c r="S954" i="2"/>
  <c r="W954" i="2"/>
  <c r="S955" i="2"/>
  <c r="W955" i="2"/>
  <c r="S956" i="2"/>
  <c r="W956" i="2"/>
  <c r="S957" i="2"/>
  <c r="W957" i="2"/>
  <c r="S958" i="2"/>
  <c r="W958" i="2" s="1"/>
  <c r="S959" i="2"/>
  <c r="W959" i="2"/>
  <c r="S960" i="2"/>
  <c r="W960" i="2"/>
  <c r="S961" i="2"/>
  <c r="W961" i="2" s="1"/>
  <c r="S962" i="2"/>
  <c r="W962" i="2"/>
  <c r="S963" i="2"/>
  <c r="W963" i="2"/>
  <c r="S964" i="2"/>
  <c r="W964" i="2"/>
  <c r="S965" i="2"/>
  <c r="W965" i="2"/>
  <c r="S966" i="2"/>
  <c r="W966" i="2" s="1"/>
  <c r="S967" i="2"/>
  <c r="W967" i="2"/>
  <c r="S968" i="2"/>
  <c r="W968" i="2"/>
  <c r="S969" i="2"/>
  <c r="W969" i="2"/>
  <c r="S970" i="2"/>
  <c r="W970" i="2"/>
  <c r="S971" i="2"/>
  <c r="W971" i="2"/>
  <c r="S972" i="2"/>
  <c r="W972" i="2"/>
  <c r="S973" i="2"/>
  <c r="W973" i="2" s="1"/>
  <c r="S974" i="2"/>
  <c r="W974" i="2" s="1"/>
  <c r="S975" i="2"/>
  <c r="W975" i="2"/>
  <c r="S976" i="2"/>
  <c r="W976" i="2"/>
  <c r="S977" i="2"/>
  <c r="W977" i="2"/>
  <c r="S978" i="2"/>
  <c r="W978" i="2"/>
  <c r="S979" i="2"/>
  <c r="W979" i="2"/>
  <c r="S980" i="2"/>
  <c r="W980" i="2"/>
  <c r="S981" i="2"/>
  <c r="W981" i="2"/>
  <c r="S982" i="2"/>
  <c r="W982" i="2" s="1"/>
  <c r="S983" i="2"/>
  <c r="W983" i="2"/>
  <c r="S984" i="2"/>
  <c r="W984" i="2"/>
  <c r="S985" i="2"/>
  <c r="W985" i="2"/>
  <c r="W986" i="2"/>
  <c r="S987" i="2"/>
  <c r="W987" i="2"/>
  <c r="W988" i="2"/>
  <c r="R990" i="2"/>
  <c r="J950" i="2"/>
  <c r="J990" i="2" s="1"/>
  <c r="D950" i="2"/>
  <c r="G950" i="2" s="1"/>
  <c r="D949" i="2"/>
  <c r="G949" i="2" s="1"/>
  <c r="K949" i="2" s="1"/>
  <c r="D948" i="2"/>
  <c r="I947" i="2"/>
  <c r="E947" i="2"/>
  <c r="E990" i="2" s="1"/>
  <c r="D947" i="2"/>
  <c r="G947" i="2" s="1"/>
  <c r="K947" i="2" s="1"/>
  <c r="C948" i="2"/>
  <c r="C949" i="2" s="1"/>
  <c r="C950" i="2" s="1"/>
  <c r="G951" i="2"/>
  <c r="K951" i="2"/>
  <c r="G952" i="2"/>
  <c r="K952" i="2" s="1"/>
  <c r="G953" i="2"/>
  <c r="K953" i="2"/>
  <c r="G954" i="2"/>
  <c r="K954" i="2" s="1"/>
  <c r="G955" i="2"/>
  <c r="K955" i="2"/>
  <c r="G956" i="2"/>
  <c r="K956" i="2" s="1"/>
  <c r="G957" i="2"/>
  <c r="K957" i="2"/>
  <c r="G958" i="2"/>
  <c r="K958" i="2" s="1"/>
  <c r="G959" i="2"/>
  <c r="K959" i="2"/>
  <c r="G960" i="2"/>
  <c r="K960" i="2"/>
  <c r="G961" i="2"/>
  <c r="K961" i="2" s="1"/>
  <c r="G962" i="2"/>
  <c r="K962" i="2"/>
  <c r="G963" i="2"/>
  <c r="K963" i="2"/>
  <c r="G964" i="2"/>
  <c r="K964" i="2"/>
  <c r="G965" i="2"/>
  <c r="K965" i="2"/>
  <c r="G966" i="2"/>
  <c r="K966" i="2"/>
  <c r="G967" i="2"/>
  <c r="K967" i="2"/>
  <c r="G968" i="2"/>
  <c r="K968" i="2"/>
  <c r="G969" i="2"/>
  <c r="K969" i="2" s="1"/>
  <c r="G970" i="2"/>
  <c r="K970" i="2"/>
  <c r="G971" i="2"/>
  <c r="K971" i="2"/>
  <c r="G972" i="2"/>
  <c r="K972" i="2"/>
  <c r="G973" i="2"/>
  <c r="K973" i="2"/>
  <c r="G974" i="2"/>
  <c r="K974" i="2"/>
  <c r="G975" i="2"/>
  <c r="K975" i="2"/>
  <c r="G976" i="2"/>
  <c r="K976" i="2"/>
  <c r="G977" i="2"/>
  <c r="K977" i="2" s="1"/>
  <c r="G978" i="2"/>
  <c r="K978" i="2"/>
  <c r="G979" i="2"/>
  <c r="K979" i="2"/>
  <c r="G980" i="2"/>
  <c r="K980" i="2"/>
  <c r="G987" i="2"/>
  <c r="K987" i="2"/>
  <c r="F990" i="2"/>
  <c r="I990" i="2"/>
  <c r="AI1045" i="2" l="1"/>
  <c r="W1045" i="2"/>
  <c r="S1045" i="2"/>
  <c r="AB990" i="2"/>
  <c r="AE947" i="2"/>
  <c r="AI947" i="2" s="1"/>
  <c r="AI990" i="2" s="1"/>
  <c r="Q990" i="2"/>
  <c r="P990" i="2"/>
  <c r="S947" i="2"/>
  <c r="W947" i="2" s="1"/>
  <c r="W990" i="2"/>
  <c r="S990" i="2"/>
  <c r="K950" i="2"/>
  <c r="D990" i="2"/>
  <c r="G948" i="2"/>
  <c r="K948" i="2" s="1"/>
  <c r="K990" i="2"/>
  <c r="G990" i="2"/>
  <c r="AA898" i="2"/>
  <c r="AA899" i="2" s="1"/>
  <c r="AB899" i="2"/>
  <c r="AB898" i="2"/>
  <c r="AB897" i="2"/>
  <c r="AG896" i="2"/>
  <c r="AB896" i="2"/>
  <c r="AE896" i="2" s="1"/>
  <c r="AI896" i="2" s="1"/>
  <c r="AC895" i="2"/>
  <c r="AB895" i="2"/>
  <c r="AE895" i="2" s="1"/>
  <c r="AI895" i="2" s="1"/>
  <c r="AH894" i="2"/>
  <c r="AH935" i="2" s="1"/>
  <c r="AC894" i="2"/>
  <c r="AE894" i="2" s="1"/>
  <c r="AI894" i="2" s="1"/>
  <c r="AB894" i="2"/>
  <c r="AG893" i="2"/>
  <c r="AG935" i="2" s="1"/>
  <c r="AB893" i="2"/>
  <c r="AG892" i="2"/>
  <c r="AB892" i="2"/>
  <c r="AE892" i="2" s="1"/>
  <c r="AA893" i="2"/>
  <c r="AA894" i="2" s="1"/>
  <c r="AA895" i="2" s="1"/>
  <c r="AA896" i="2" s="1"/>
  <c r="AA897" i="2" s="1"/>
  <c r="AE893" i="2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/>
  <c r="AE903" i="2"/>
  <c r="AI903" i="2"/>
  <c r="AE904" i="2"/>
  <c r="AI904" i="2" s="1"/>
  <c r="AE905" i="2"/>
  <c r="AI905" i="2"/>
  <c r="AE906" i="2"/>
  <c r="AI906" i="2"/>
  <c r="AE907" i="2"/>
  <c r="AI907" i="2"/>
  <c r="AE908" i="2"/>
  <c r="AI908" i="2" s="1"/>
  <c r="AE909" i="2"/>
  <c r="AI909" i="2" s="1"/>
  <c r="AE910" i="2"/>
  <c r="AI910" i="2"/>
  <c r="AE911" i="2"/>
  <c r="AI911" i="2"/>
  <c r="AE912" i="2"/>
  <c r="AI912" i="2"/>
  <c r="AE913" i="2"/>
  <c r="AI913" i="2"/>
  <c r="AE914" i="2"/>
  <c r="AI914" i="2"/>
  <c r="AE915" i="2"/>
  <c r="AI915" i="2" s="1"/>
  <c r="AE916" i="2"/>
  <c r="AI916" i="2" s="1"/>
  <c r="AE917" i="2"/>
  <c r="AI917" i="2" s="1"/>
  <c r="AE918" i="2"/>
  <c r="AI918" i="2"/>
  <c r="AE919" i="2"/>
  <c r="AI919" i="2"/>
  <c r="AE920" i="2"/>
  <c r="AI920" i="2"/>
  <c r="AE921" i="2"/>
  <c r="AI921" i="2"/>
  <c r="AE922" i="2"/>
  <c r="AI922" i="2"/>
  <c r="AE923" i="2"/>
  <c r="AI923" i="2" s="1"/>
  <c r="AE924" i="2"/>
  <c r="AI924" i="2" s="1"/>
  <c r="AE925" i="2"/>
  <c r="AI925" i="2" s="1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/>
  <c r="AI933" i="2"/>
  <c r="AD935" i="2"/>
  <c r="P895" i="2"/>
  <c r="S895" i="2" s="1"/>
  <c r="W895" i="2" s="1"/>
  <c r="P894" i="2"/>
  <c r="S894" i="2" s="1"/>
  <c r="W894" i="2" s="1"/>
  <c r="P893" i="2"/>
  <c r="U892" i="2"/>
  <c r="Q892" i="2"/>
  <c r="S892" i="2" s="1"/>
  <c r="P892" i="2"/>
  <c r="O893" i="2"/>
  <c r="O894" i="2" s="1"/>
  <c r="O895" i="2" s="1"/>
  <c r="S893" i="2"/>
  <c r="W893" i="2"/>
  <c r="V935" i="2"/>
  <c r="S896" i="2"/>
  <c r="W896" i="2" s="1"/>
  <c r="S897" i="2"/>
  <c r="W897" i="2"/>
  <c r="S898" i="2"/>
  <c r="W898" i="2" s="1"/>
  <c r="S899" i="2"/>
  <c r="W899" i="2" s="1"/>
  <c r="S900" i="2"/>
  <c r="W900" i="2" s="1"/>
  <c r="S901" i="2"/>
  <c r="W901" i="2"/>
  <c r="S902" i="2"/>
  <c r="W902" i="2"/>
  <c r="S903" i="2"/>
  <c r="W903" i="2" s="1"/>
  <c r="S904" i="2"/>
  <c r="W904" i="2"/>
  <c r="S905" i="2"/>
  <c r="W905" i="2"/>
  <c r="S906" i="2"/>
  <c r="W906" i="2" s="1"/>
  <c r="S907" i="2"/>
  <c r="W907" i="2" s="1"/>
  <c r="S908" i="2"/>
  <c r="W908" i="2"/>
  <c r="S909" i="2"/>
  <c r="W909" i="2"/>
  <c r="S910" i="2"/>
  <c r="W910" i="2"/>
  <c r="S911" i="2"/>
  <c r="W911" i="2" s="1"/>
  <c r="S912" i="2"/>
  <c r="W912" i="2"/>
  <c r="S913" i="2"/>
  <c r="W913" i="2"/>
  <c r="S914" i="2"/>
  <c r="W914" i="2" s="1"/>
  <c r="S915" i="2"/>
  <c r="W915" i="2" s="1"/>
  <c r="S916" i="2"/>
  <c r="W916" i="2"/>
  <c r="S917" i="2"/>
  <c r="W917" i="2"/>
  <c r="S918" i="2"/>
  <c r="W918" i="2"/>
  <c r="S919" i="2"/>
  <c r="W919" i="2" s="1"/>
  <c r="S920" i="2"/>
  <c r="W920" i="2"/>
  <c r="S921" i="2"/>
  <c r="W921" i="2"/>
  <c r="S922" i="2"/>
  <c r="W922" i="2" s="1"/>
  <c r="S923" i="2"/>
  <c r="W923" i="2" s="1"/>
  <c r="S924" i="2"/>
  <c r="W924" i="2"/>
  <c r="S925" i="2"/>
  <c r="W925" i="2"/>
  <c r="S926" i="2"/>
  <c r="W926" i="2"/>
  <c r="S927" i="2"/>
  <c r="W927" i="2" s="1"/>
  <c r="S928" i="2"/>
  <c r="W928" i="2"/>
  <c r="S929" i="2"/>
  <c r="W929" i="2"/>
  <c r="S930" i="2"/>
  <c r="W930" i="2" s="1"/>
  <c r="W931" i="2"/>
  <c r="S932" i="2"/>
  <c r="W932" i="2"/>
  <c r="W933" i="2"/>
  <c r="R935" i="2"/>
  <c r="U935" i="2"/>
  <c r="J903" i="2"/>
  <c r="J935" i="2" s="1"/>
  <c r="I903" i="2"/>
  <c r="I935" i="2" s="1"/>
  <c r="D903" i="2"/>
  <c r="D902" i="2"/>
  <c r="G902" i="2" s="1"/>
  <c r="K902" i="2" s="1"/>
  <c r="D901" i="2"/>
  <c r="D900" i="2"/>
  <c r="D899" i="2"/>
  <c r="D898" i="2"/>
  <c r="G898" i="2" s="1"/>
  <c r="K898" i="2" s="1"/>
  <c r="D897" i="2"/>
  <c r="G897" i="2" s="1"/>
  <c r="K897" i="2" s="1"/>
  <c r="D896" i="2"/>
  <c r="D895" i="2"/>
  <c r="G895" i="2" s="1"/>
  <c r="K895" i="2" s="1"/>
  <c r="I894" i="2"/>
  <c r="D894" i="2"/>
  <c r="D893" i="2"/>
  <c r="D892" i="2"/>
  <c r="C895" i="2"/>
  <c r="C896" i="2" s="1"/>
  <c r="C897" i="2" s="1"/>
  <c r="C898" i="2" s="1"/>
  <c r="C899" i="2" s="1"/>
  <c r="C900" i="2" s="1"/>
  <c r="C901" i="2" s="1"/>
  <c r="C902" i="2" s="1"/>
  <c r="C903" i="2" s="1"/>
  <c r="C893" i="2"/>
  <c r="G893" i="2"/>
  <c r="K893" i="2" s="1"/>
  <c r="C894" i="2"/>
  <c r="G894" i="2"/>
  <c r="G896" i="2"/>
  <c r="K896" i="2" s="1"/>
  <c r="G899" i="2"/>
  <c r="K899" i="2" s="1"/>
  <c r="G900" i="2"/>
  <c r="K900" i="2"/>
  <c r="G901" i="2"/>
  <c r="K901" i="2" s="1"/>
  <c r="G903" i="2"/>
  <c r="G904" i="2"/>
  <c r="K904" i="2"/>
  <c r="G905" i="2"/>
  <c r="K905" i="2"/>
  <c r="G906" i="2"/>
  <c r="K906" i="2" s="1"/>
  <c r="G907" i="2"/>
  <c r="K907" i="2" s="1"/>
  <c r="G908" i="2"/>
  <c r="K908" i="2"/>
  <c r="G909" i="2"/>
  <c r="K909" i="2"/>
  <c r="G910" i="2"/>
  <c r="K910" i="2"/>
  <c r="G911" i="2"/>
  <c r="K911" i="2" s="1"/>
  <c r="G912" i="2"/>
  <c r="K912" i="2"/>
  <c r="G913" i="2"/>
  <c r="K913" i="2"/>
  <c r="G914" i="2"/>
  <c r="K914" i="2"/>
  <c r="G915" i="2"/>
  <c r="K915" i="2" s="1"/>
  <c r="G916" i="2"/>
  <c r="K916" i="2"/>
  <c r="G917" i="2"/>
  <c r="K917" i="2"/>
  <c r="G918" i="2"/>
  <c r="K918" i="2"/>
  <c r="G919" i="2"/>
  <c r="K919" i="2" s="1"/>
  <c r="G920" i="2"/>
  <c r="K920" i="2"/>
  <c r="G921" i="2"/>
  <c r="K921" i="2"/>
  <c r="G922" i="2"/>
  <c r="K922" i="2"/>
  <c r="G923" i="2"/>
  <c r="K923" i="2" s="1"/>
  <c r="G924" i="2"/>
  <c r="K924" i="2"/>
  <c r="G925" i="2"/>
  <c r="K925" i="2"/>
  <c r="G932" i="2"/>
  <c r="K932" i="2"/>
  <c r="E935" i="2"/>
  <c r="F935" i="2"/>
  <c r="AE990" i="2" l="1"/>
  <c r="AC935" i="2"/>
  <c r="AI893" i="2"/>
  <c r="AI892" i="2"/>
  <c r="AB935" i="2"/>
  <c r="AE935" i="2"/>
  <c r="AI935" i="2"/>
  <c r="P935" i="2"/>
  <c r="W892" i="2"/>
  <c r="Q935" i="2"/>
  <c r="W935" i="2"/>
  <c r="S935" i="2"/>
  <c r="K903" i="2"/>
  <c r="D935" i="2"/>
  <c r="K894" i="2"/>
  <c r="G892" i="2"/>
  <c r="K892" i="2" s="1"/>
  <c r="AC842" i="2"/>
  <c r="AB842" i="2"/>
  <c r="AE842" i="2" s="1"/>
  <c r="AI842" i="2" s="1"/>
  <c r="AB841" i="2"/>
  <c r="AC840" i="2"/>
  <c r="AB840" i="2"/>
  <c r="AE840" i="2" s="1"/>
  <c r="AI840" i="2" s="1"/>
  <c r="AC839" i="2"/>
  <c r="AB839" i="2"/>
  <c r="AA839" i="2"/>
  <c r="AA840" i="2"/>
  <c r="AA841" i="2" s="1"/>
  <c r="AA842" i="2" s="1"/>
  <c r="AB838" i="2"/>
  <c r="AE838" i="2"/>
  <c r="AI838" i="2" s="1"/>
  <c r="AC837" i="2"/>
  <c r="AB837" i="2"/>
  <c r="AE837" i="2" s="1"/>
  <c r="AA838" i="2"/>
  <c r="AE839" i="2"/>
  <c r="AI839" i="2" s="1"/>
  <c r="AE841" i="2"/>
  <c r="AI841" i="2" s="1"/>
  <c r="AE843" i="2"/>
  <c r="AI843" i="2"/>
  <c r="AE844" i="2"/>
  <c r="AI844" i="2"/>
  <c r="AE845" i="2"/>
  <c r="AI845" i="2"/>
  <c r="AE846" i="2"/>
  <c r="AI846" i="2"/>
  <c r="AE847" i="2"/>
  <c r="AI847" i="2"/>
  <c r="AE848" i="2"/>
  <c r="AI848" i="2" s="1"/>
  <c r="AE849" i="2"/>
  <c r="AI849" i="2"/>
  <c r="AE850" i="2"/>
  <c r="AI850" i="2" s="1"/>
  <c r="AE851" i="2"/>
  <c r="AI851" i="2"/>
  <c r="AE852" i="2"/>
  <c r="AI852" i="2"/>
  <c r="AE853" i="2"/>
  <c r="AI853" i="2"/>
  <c r="AE854" i="2"/>
  <c r="AI854" i="2"/>
  <c r="AE855" i="2"/>
  <c r="AI855" i="2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/>
  <c r="AE873" i="2"/>
  <c r="AI873" i="2"/>
  <c r="AE874" i="2"/>
  <c r="AI874" i="2" s="1"/>
  <c r="AE875" i="2"/>
  <c r="AI875" i="2"/>
  <c r="AI876" i="2"/>
  <c r="AE877" i="2"/>
  <c r="AI877" i="2" s="1"/>
  <c r="AI878" i="2"/>
  <c r="AC880" i="2"/>
  <c r="AD880" i="2"/>
  <c r="AG880" i="2"/>
  <c r="AH880" i="2"/>
  <c r="P846" i="2"/>
  <c r="P845" i="2"/>
  <c r="S845" i="2" s="1"/>
  <c r="W845" i="2" s="1"/>
  <c r="P844" i="2"/>
  <c r="S844" i="2" s="1"/>
  <c r="W844" i="2" s="1"/>
  <c r="P843" i="2"/>
  <c r="P842" i="2"/>
  <c r="S842" i="2" s="1"/>
  <c r="W842" i="2" s="1"/>
  <c r="P841" i="2"/>
  <c r="V840" i="2"/>
  <c r="V880" i="2" s="1"/>
  <c r="P840" i="2"/>
  <c r="S840" i="2" s="1"/>
  <c r="W840" i="2" s="1"/>
  <c r="P839" i="2"/>
  <c r="Q838" i="2"/>
  <c r="Q880" i="2" s="1"/>
  <c r="P838" i="2"/>
  <c r="P837" i="2"/>
  <c r="S837" i="2" s="1"/>
  <c r="W837" i="2" s="1"/>
  <c r="O838" i="2"/>
  <c r="O839" i="2"/>
  <c r="O840" i="2" s="1"/>
  <c r="O841" i="2" s="1"/>
  <c r="O842" i="2" s="1"/>
  <c r="O843" i="2" s="1"/>
  <c r="O844" i="2" s="1"/>
  <c r="O845" i="2" s="1"/>
  <c r="O846" i="2" s="1"/>
  <c r="S841" i="2"/>
  <c r="W841" i="2" s="1"/>
  <c r="S843" i="2"/>
  <c r="W843" i="2" s="1"/>
  <c r="S846" i="2"/>
  <c r="W846" i="2" s="1"/>
  <c r="S847" i="2"/>
  <c r="W847" i="2" s="1"/>
  <c r="S848" i="2"/>
  <c r="W848" i="2" s="1"/>
  <c r="S849" i="2"/>
  <c r="W849" i="2" s="1"/>
  <c r="S850" i="2"/>
  <c r="W850" i="2" s="1"/>
  <c r="S851" i="2"/>
  <c r="W851" i="2" s="1"/>
  <c r="S852" i="2"/>
  <c r="W852" i="2" s="1"/>
  <c r="S853" i="2"/>
  <c r="W853" i="2"/>
  <c r="S854" i="2"/>
  <c r="W854" i="2"/>
  <c r="S855" i="2"/>
  <c r="W855" i="2" s="1"/>
  <c r="S856" i="2"/>
  <c r="W856" i="2" s="1"/>
  <c r="S857" i="2"/>
  <c r="W857" i="2" s="1"/>
  <c r="S858" i="2"/>
  <c r="W858" i="2" s="1"/>
  <c r="S859" i="2"/>
  <c r="W859" i="2" s="1"/>
  <c r="S860" i="2"/>
  <c r="W860" i="2" s="1"/>
  <c r="S861" i="2"/>
  <c r="W861" i="2"/>
  <c r="S862" i="2"/>
  <c r="W862" i="2"/>
  <c r="S863" i="2"/>
  <c r="W863" i="2" s="1"/>
  <c r="S864" i="2"/>
  <c r="W864" i="2" s="1"/>
  <c r="S865" i="2"/>
  <c r="W865" i="2" s="1"/>
  <c r="S866" i="2"/>
  <c r="W866" i="2" s="1"/>
  <c r="S867" i="2"/>
  <c r="W867" i="2" s="1"/>
  <c r="S868" i="2"/>
  <c r="W868" i="2" s="1"/>
  <c r="S869" i="2"/>
  <c r="W869" i="2"/>
  <c r="S870" i="2"/>
  <c r="W870" i="2"/>
  <c r="S871" i="2"/>
  <c r="W871" i="2" s="1"/>
  <c r="S872" i="2"/>
  <c r="W872" i="2" s="1"/>
  <c r="S873" i="2"/>
  <c r="W873" i="2" s="1"/>
  <c r="S874" i="2"/>
  <c r="W874" i="2" s="1"/>
  <c r="S875" i="2"/>
  <c r="W875" i="2" s="1"/>
  <c r="W876" i="2"/>
  <c r="S877" i="2"/>
  <c r="W877" i="2" s="1"/>
  <c r="W878" i="2"/>
  <c r="R880" i="2"/>
  <c r="U880" i="2"/>
  <c r="D843" i="2"/>
  <c r="D842" i="2"/>
  <c r="G842" i="2" s="1"/>
  <c r="K842" i="2" s="1"/>
  <c r="D841" i="2"/>
  <c r="D840" i="2"/>
  <c r="G840" i="2" s="1"/>
  <c r="K840" i="2" s="1"/>
  <c r="D839" i="2"/>
  <c r="G839" i="2" s="1"/>
  <c r="K839" i="2" s="1"/>
  <c r="D838" i="2"/>
  <c r="D837" i="2"/>
  <c r="G837" i="2"/>
  <c r="C838" i="2"/>
  <c r="C839" i="2" s="1"/>
  <c r="C841" i="2" s="1"/>
  <c r="C842" i="2" s="1"/>
  <c r="C843" i="2" s="1"/>
  <c r="G838" i="2"/>
  <c r="K838" i="2" s="1"/>
  <c r="G841" i="2"/>
  <c r="K841" i="2" s="1"/>
  <c r="G843" i="2"/>
  <c r="K843" i="2" s="1"/>
  <c r="G844" i="2"/>
  <c r="K844" i="2" s="1"/>
  <c r="G845" i="2"/>
  <c r="K845" i="2" s="1"/>
  <c r="G846" i="2"/>
  <c r="K846" i="2" s="1"/>
  <c r="G847" i="2"/>
  <c r="K847" i="2"/>
  <c r="G848" i="2"/>
  <c r="K848" i="2"/>
  <c r="G849" i="2"/>
  <c r="K849" i="2"/>
  <c r="G850" i="2"/>
  <c r="K850" i="2" s="1"/>
  <c r="G851" i="2"/>
  <c r="K851" i="2"/>
  <c r="G852" i="2"/>
  <c r="K852" i="2"/>
  <c r="G853" i="2"/>
  <c r="K853" i="2"/>
  <c r="G854" i="2"/>
  <c r="K854" i="2" s="1"/>
  <c r="G855" i="2"/>
  <c r="K855" i="2"/>
  <c r="G856" i="2"/>
  <c r="K856" i="2"/>
  <c r="G857" i="2"/>
  <c r="K857" i="2"/>
  <c r="G858" i="2"/>
  <c r="K858" i="2" s="1"/>
  <c r="G859" i="2"/>
  <c r="K859" i="2"/>
  <c r="G860" i="2"/>
  <c r="K860" i="2"/>
  <c r="G861" i="2"/>
  <c r="K861" i="2"/>
  <c r="G862" i="2"/>
  <c r="K862" i="2" s="1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 s="1"/>
  <c r="G877" i="2"/>
  <c r="K877" i="2"/>
  <c r="E880" i="2"/>
  <c r="F880" i="2"/>
  <c r="I880" i="2"/>
  <c r="J880" i="2"/>
  <c r="AB786" i="2"/>
  <c r="AB785" i="2"/>
  <c r="AE785" i="2" s="1"/>
  <c r="AI785" i="2" s="1"/>
  <c r="AC784" i="2"/>
  <c r="AB784" i="2"/>
  <c r="AC783" i="2"/>
  <c r="AB783" i="2"/>
  <c r="AH782" i="2"/>
  <c r="AH825" i="2" s="1"/>
  <c r="AC782" i="2"/>
  <c r="AB782" i="2"/>
  <c r="AE782" i="2"/>
  <c r="AA783" i="2"/>
  <c r="AA785" i="2" s="1"/>
  <c r="AA786" i="2" s="1"/>
  <c r="AE783" i="2"/>
  <c r="AE784" i="2"/>
  <c r="AI784" i="2" s="1"/>
  <c r="AE786" i="2"/>
  <c r="AI786" i="2"/>
  <c r="AE787" i="2"/>
  <c r="AI787" i="2" s="1"/>
  <c r="AE788" i="2"/>
  <c r="AI788" i="2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/>
  <c r="AE797" i="2"/>
  <c r="AI797" i="2" s="1"/>
  <c r="AE798" i="2"/>
  <c r="AI798" i="2"/>
  <c r="AE799" i="2"/>
  <c r="AI799" i="2"/>
  <c r="AE800" i="2"/>
  <c r="AI800" i="2" s="1"/>
  <c r="AE801" i="2"/>
  <c r="AI801" i="2"/>
  <c r="AE802" i="2"/>
  <c r="AI802" i="2"/>
  <c r="AE803" i="2"/>
  <c r="AI803" i="2"/>
  <c r="AE804" i="2"/>
  <c r="AI804" i="2" s="1"/>
  <c r="AE805" i="2"/>
  <c r="AI805" i="2" s="1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 s="1"/>
  <c r="AE813" i="2"/>
  <c r="AI813" i="2" s="1"/>
  <c r="AE814" i="2"/>
  <c r="AI814" i="2"/>
  <c r="AE815" i="2"/>
  <c r="AI815" i="2"/>
  <c r="AE816" i="2"/>
  <c r="AI816" i="2" s="1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1" i="2"/>
  <c r="P790" i="2"/>
  <c r="P789" i="2"/>
  <c r="P788" i="2"/>
  <c r="S788" i="2" s="1"/>
  <c r="W788" i="2" s="1"/>
  <c r="P787" i="2"/>
  <c r="S787" i="2" s="1"/>
  <c r="W787" i="2" s="1"/>
  <c r="U786" i="2"/>
  <c r="U825" i="2" s="1"/>
  <c r="P786" i="2"/>
  <c r="S786" i="2" s="1"/>
  <c r="P785" i="2"/>
  <c r="P784" i="2"/>
  <c r="S784" i="2" s="1"/>
  <c r="W784" i="2" s="1"/>
  <c r="Q783" i="2"/>
  <c r="S783" i="2" s="1"/>
  <c r="W783" i="2" s="1"/>
  <c r="P783" i="2"/>
  <c r="P782" i="2"/>
  <c r="S782" i="2" s="1"/>
  <c r="W782" i="2" s="1"/>
  <c r="O787" i="2"/>
  <c r="O788" i="2" s="1"/>
  <c r="O789" i="2" s="1"/>
  <c r="O790" i="2" s="1"/>
  <c r="O791" i="2" s="1"/>
  <c r="O783" i="2"/>
  <c r="O784" i="2" s="1"/>
  <c r="O785" i="2" s="1"/>
  <c r="O786" i="2" s="1"/>
  <c r="S785" i="2"/>
  <c r="W785" i="2" s="1"/>
  <c r="S789" i="2"/>
  <c r="W789" i="2" s="1"/>
  <c r="S790" i="2"/>
  <c r="W790" i="2"/>
  <c r="S791" i="2"/>
  <c r="W791" i="2" s="1"/>
  <c r="S792" i="2"/>
  <c r="W792" i="2" s="1"/>
  <c r="S793" i="2"/>
  <c r="W793" i="2"/>
  <c r="S794" i="2"/>
  <c r="W794" i="2" s="1"/>
  <c r="S795" i="2"/>
  <c r="W795" i="2"/>
  <c r="S796" i="2"/>
  <c r="W796" i="2"/>
  <c r="S797" i="2"/>
  <c r="W797" i="2"/>
  <c r="S798" i="2"/>
  <c r="W798" i="2"/>
  <c r="S799" i="2"/>
  <c r="W799" i="2"/>
  <c r="S800" i="2"/>
  <c r="W800" i="2" s="1"/>
  <c r="S801" i="2"/>
  <c r="W801" i="2"/>
  <c r="S802" i="2"/>
  <c r="W802" i="2" s="1"/>
  <c r="S803" i="2"/>
  <c r="W803" i="2"/>
  <c r="S804" i="2"/>
  <c r="W804" i="2"/>
  <c r="S805" i="2"/>
  <c r="W805" i="2"/>
  <c r="S806" i="2"/>
  <c r="W806" i="2"/>
  <c r="S807" i="2"/>
  <c r="W807" i="2"/>
  <c r="S808" i="2"/>
  <c r="W808" i="2" s="1"/>
  <c r="S809" i="2"/>
  <c r="W809" i="2"/>
  <c r="S810" i="2"/>
  <c r="W810" i="2" s="1"/>
  <c r="S811" i="2"/>
  <c r="W811" i="2"/>
  <c r="S812" i="2"/>
  <c r="W812" i="2"/>
  <c r="S813" i="2"/>
  <c r="W813" i="2"/>
  <c r="S814" i="2"/>
  <c r="W814" i="2"/>
  <c r="S815" i="2"/>
  <c r="W815" i="2"/>
  <c r="S816" i="2"/>
  <c r="W816" i="2" s="1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R825" i="2"/>
  <c r="V825" i="2"/>
  <c r="I790" i="2"/>
  <c r="D790" i="2"/>
  <c r="D789" i="2"/>
  <c r="D788" i="2"/>
  <c r="D787" i="2"/>
  <c r="G787" i="2" s="1"/>
  <c r="K787" i="2" s="1"/>
  <c r="J786" i="2"/>
  <c r="J825" i="2" s="1"/>
  <c r="I786" i="2"/>
  <c r="I825" i="2" s="1"/>
  <c r="E786" i="2"/>
  <c r="E825" i="2" s="1"/>
  <c r="D786" i="2"/>
  <c r="G786" i="2" s="1"/>
  <c r="D785" i="2"/>
  <c r="D784" i="2"/>
  <c r="G784" i="2" s="1"/>
  <c r="K784" i="2" s="1"/>
  <c r="D783" i="2"/>
  <c r="D782" i="2"/>
  <c r="G782" i="2"/>
  <c r="C783" i="2"/>
  <c r="C784" i="2" s="1"/>
  <c r="C785" i="2" s="1"/>
  <c r="C786" i="2" s="1"/>
  <c r="C787" i="2" s="1"/>
  <c r="C788" i="2" s="1"/>
  <c r="C790" i="2" s="1"/>
  <c r="G783" i="2"/>
  <c r="K783" i="2" s="1"/>
  <c r="G785" i="2"/>
  <c r="K785" i="2"/>
  <c r="G788" i="2"/>
  <c r="K788" i="2" s="1"/>
  <c r="G789" i="2"/>
  <c r="K789" i="2" s="1"/>
  <c r="G790" i="2"/>
  <c r="K790" i="2"/>
  <c r="G791" i="2"/>
  <c r="K791" i="2"/>
  <c r="G792" i="2"/>
  <c r="K792" i="2" s="1"/>
  <c r="G793" i="2"/>
  <c r="K793" i="2"/>
  <c r="G794" i="2"/>
  <c r="K794" i="2" s="1"/>
  <c r="G795" i="2"/>
  <c r="K795" i="2" s="1"/>
  <c r="G796" i="2"/>
  <c r="K796" i="2"/>
  <c r="G797" i="2"/>
  <c r="K797" i="2" s="1"/>
  <c r="G798" i="2"/>
  <c r="K798" i="2"/>
  <c r="G799" i="2"/>
  <c r="K799" i="2"/>
  <c r="G800" i="2"/>
  <c r="K800" i="2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 s="1"/>
  <c r="G811" i="2"/>
  <c r="K811" i="2" s="1"/>
  <c r="G812" i="2"/>
  <c r="K812" i="2"/>
  <c r="G813" i="2"/>
  <c r="K813" i="2" s="1"/>
  <c r="G814" i="2"/>
  <c r="K814" i="2"/>
  <c r="G815" i="2"/>
  <c r="K815" i="2"/>
  <c r="G822" i="2"/>
  <c r="K822" i="2"/>
  <c r="F825" i="2"/>
  <c r="K935" i="2" l="1"/>
  <c r="G935" i="2"/>
  <c r="AE880" i="2"/>
  <c r="AI837" i="2"/>
  <c r="AI880" i="2" s="1"/>
  <c r="AB880" i="2"/>
  <c r="S838" i="2"/>
  <c r="W838" i="2" s="1"/>
  <c r="P880" i="2"/>
  <c r="S839" i="2"/>
  <c r="W839" i="2" s="1"/>
  <c r="W880" i="2" s="1"/>
  <c r="D880" i="2"/>
  <c r="K837" i="2"/>
  <c r="K880" i="2" s="1"/>
  <c r="G880" i="2"/>
  <c r="AC825" i="2"/>
  <c r="AI782" i="2"/>
  <c r="AI783" i="2"/>
  <c r="AI825" i="2" s="1"/>
  <c r="AE825" i="2"/>
  <c r="AB825" i="2"/>
  <c r="W786" i="2"/>
  <c r="Q825" i="2"/>
  <c r="P825" i="2"/>
  <c r="S825" i="2"/>
  <c r="W825" i="2"/>
  <c r="K786" i="2"/>
  <c r="G825" i="2"/>
  <c r="K782" i="2"/>
  <c r="D825" i="2"/>
  <c r="AB743" i="2"/>
  <c r="AB742" i="2"/>
  <c r="AB741" i="2"/>
  <c r="AB740" i="2"/>
  <c r="AB739" i="2"/>
  <c r="AE739" i="2" s="1"/>
  <c r="AI739" i="2" s="1"/>
  <c r="AB738" i="2"/>
  <c r="AC737" i="2"/>
  <c r="AB737" i="2"/>
  <c r="AE737" i="2" s="1"/>
  <c r="AI737" i="2" s="1"/>
  <c r="AB736" i="2"/>
  <c r="AG735" i="2"/>
  <c r="AC735" i="2"/>
  <c r="AB735" i="2"/>
  <c r="AB734" i="2"/>
  <c r="AB733" i="2"/>
  <c r="AB732" i="2"/>
  <c r="AE732" i="2" s="1"/>
  <c r="AI732" i="2" s="1"/>
  <c r="AB731" i="2"/>
  <c r="AE731" i="2" s="1"/>
  <c r="AI731" i="2" s="1"/>
  <c r="AB730" i="2"/>
  <c r="AE730" i="2" s="1"/>
  <c r="AI730" i="2" s="1"/>
  <c r="AB729" i="2"/>
  <c r="AB728" i="2"/>
  <c r="AE728" i="2" s="1"/>
  <c r="AI728" i="2" s="1"/>
  <c r="AB727" i="2"/>
  <c r="AE727" i="2"/>
  <c r="AI727" i="2"/>
  <c r="AA728" i="2"/>
  <c r="AA729" i="2" s="1"/>
  <c r="AA730" i="2" s="1"/>
  <c r="AA731" i="2" s="1"/>
  <c r="AA732" i="2" s="1"/>
  <c r="AA733" i="2" s="1"/>
  <c r="AA734" i="2" s="1"/>
  <c r="AA735" i="2" s="1"/>
  <c r="AA736" i="2" s="1"/>
  <c r="AA737" i="2" s="1"/>
  <c r="AA738" i="2" s="1"/>
  <c r="AA739" i="2" s="1"/>
  <c r="AA740" i="2" s="1"/>
  <c r="AA741" i="2" s="1"/>
  <c r="AA742" i="2" s="1"/>
  <c r="AE729" i="2"/>
  <c r="AI729" i="2"/>
  <c r="AE733" i="2"/>
  <c r="AI733" i="2" s="1"/>
  <c r="AE734" i="2"/>
  <c r="AI734" i="2" s="1"/>
  <c r="AE735" i="2"/>
  <c r="AI735" i="2" s="1"/>
  <c r="AE736" i="2"/>
  <c r="AI736" i="2" s="1"/>
  <c r="AE738" i="2"/>
  <c r="AI738" i="2" s="1"/>
  <c r="AE740" i="2"/>
  <c r="AI740" i="2" s="1"/>
  <c r="AE741" i="2"/>
  <c r="AI741" i="2" s="1"/>
  <c r="AE742" i="2"/>
  <c r="AI742" i="2" s="1"/>
  <c r="AE743" i="2"/>
  <c r="AI743" i="2" s="1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 s="1"/>
  <c r="AE752" i="2"/>
  <c r="AI752" i="2"/>
  <c r="AE753" i="2"/>
  <c r="AI753" i="2" s="1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AG770" i="2"/>
  <c r="AH770" i="2"/>
  <c r="P731" i="2"/>
  <c r="P730" i="2"/>
  <c r="S730" i="2" s="1"/>
  <c r="W730" i="2" s="1"/>
  <c r="P729" i="2"/>
  <c r="U728" i="2"/>
  <c r="P728" i="2"/>
  <c r="Q727" i="2"/>
  <c r="S727" i="2" s="1"/>
  <c r="W727" i="2" s="1"/>
  <c r="P727" i="2"/>
  <c r="V770" i="2"/>
  <c r="O728" i="2"/>
  <c r="O729" i="2" s="1"/>
  <c r="O730" i="2" s="1"/>
  <c r="O731" i="2" s="1"/>
  <c r="S728" i="2"/>
  <c r="S729" i="2"/>
  <c r="W729" i="2" s="1"/>
  <c r="S731" i="2"/>
  <c r="W731" i="2" s="1"/>
  <c r="S732" i="2"/>
  <c r="W732" i="2"/>
  <c r="S733" i="2"/>
  <c r="W733" i="2" s="1"/>
  <c r="S734" i="2"/>
  <c r="W734" i="2"/>
  <c r="S735" i="2"/>
  <c r="W735" i="2"/>
  <c r="S736" i="2"/>
  <c r="W736" i="2"/>
  <c r="S737" i="2"/>
  <c r="W737" i="2" s="1"/>
  <c r="S738" i="2"/>
  <c r="W738" i="2"/>
  <c r="S739" i="2"/>
  <c r="W739" i="2"/>
  <c r="S740" i="2"/>
  <c r="W740" i="2"/>
  <c r="S741" i="2"/>
  <c r="W741" i="2"/>
  <c r="S742" i="2"/>
  <c r="W742" i="2"/>
  <c r="S743" i="2"/>
  <c r="W743" i="2"/>
  <c r="S744" i="2"/>
  <c r="W744" i="2"/>
  <c r="S745" i="2"/>
  <c r="W745" i="2" s="1"/>
  <c r="S746" i="2"/>
  <c r="W746" i="2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 s="1"/>
  <c r="S754" i="2"/>
  <c r="W754" i="2"/>
  <c r="S755" i="2"/>
  <c r="W755" i="2"/>
  <c r="S756" i="2"/>
  <c r="W756" i="2"/>
  <c r="S757" i="2"/>
  <c r="W757" i="2"/>
  <c r="S758" i="2"/>
  <c r="W758" i="2"/>
  <c r="S759" i="2"/>
  <c r="W759" i="2"/>
  <c r="S760" i="2"/>
  <c r="W760" i="2"/>
  <c r="S761" i="2"/>
  <c r="W761" i="2" s="1"/>
  <c r="S762" i="2"/>
  <c r="W762" i="2"/>
  <c r="S763" i="2"/>
  <c r="W763" i="2"/>
  <c r="S764" i="2"/>
  <c r="W764" i="2"/>
  <c r="S765" i="2"/>
  <c r="W765" i="2"/>
  <c r="W766" i="2"/>
  <c r="S767" i="2"/>
  <c r="W767" i="2" s="1"/>
  <c r="W768" i="2"/>
  <c r="R770" i="2"/>
  <c r="U770" i="2"/>
  <c r="J729" i="2"/>
  <c r="D729" i="2"/>
  <c r="D728" i="2"/>
  <c r="G728" i="2" s="1"/>
  <c r="K728" i="2" s="1"/>
  <c r="J727" i="2"/>
  <c r="J770" i="2" s="1"/>
  <c r="I727" i="2"/>
  <c r="D727" i="2"/>
  <c r="G727" i="2"/>
  <c r="C728" i="2"/>
  <c r="C729" i="2" s="1"/>
  <c r="E770" i="2"/>
  <c r="G729" i="2"/>
  <c r="K729" i="2" s="1"/>
  <c r="I770" i="2"/>
  <c r="G730" i="2"/>
  <c r="K730" i="2" s="1"/>
  <c r="G731" i="2"/>
  <c r="K731" i="2" s="1"/>
  <c r="G732" i="2"/>
  <c r="K732" i="2"/>
  <c r="G733" i="2"/>
  <c r="K733" i="2"/>
  <c r="G734" i="2"/>
  <c r="K734" i="2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/>
  <c r="G741" i="2"/>
  <c r="K741" i="2"/>
  <c r="G742" i="2"/>
  <c r="K742" i="2"/>
  <c r="G743" i="2"/>
  <c r="K743" i="2"/>
  <c r="G744" i="2"/>
  <c r="K744" i="2" s="1"/>
  <c r="G745" i="2"/>
  <c r="K745" i="2" s="1"/>
  <c r="G746" i="2"/>
  <c r="K746" i="2"/>
  <c r="G747" i="2"/>
  <c r="K747" i="2" s="1"/>
  <c r="G748" i="2"/>
  <c r="K748" i="2"/>
  <c r="G749" i="2"/>
  <c r="K749" i="2"/>
  <c r="G750" i="2"/>
  <c r="K750" i="2"/>
  <c r="G751" i="2"/>
  <c r="K751" i="2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 s="1"/>
  <c r="G767" i="2"/>
  <c r="K767" i="2" s="1"/>
  <c r="F770" i="2"/>
  <c r="S880" i="2" l="1"/>
  <c r="K825" i="2"/>
  <c r="AB770" i="2"/>
  <c r="AE770" i="2"/>
  <c r="AI770" i="2"/>
  <c r="P770" i="2"/>
  <c r="Q770" i="2"/>
  <c r="S770" i="2"/>
  <c r="W728" i="2"/>
  <c r="W770" i="2" s="1"/>
  <c r="D770" i="2"/>
  <c r="K727" i="2"/>
  <c r="K770" i="2" s="1"/>
  <c r="G770" i="2"/>
  <c r="AH674" i="2"/>
  <c r="AB674" i="2"/>
  <c r="AB715" i="2" s="1"/>
  <c r="AB673" i="2"/>
  <c r="AH672" i="2"/>
  <c r="AH715" i="2" s="1"/>
  <c r="AB672" i="2"/>
  <c r="AE672" i="2"/>
  <c r="AA673" i="2"/>
  <c r="AA674" i="2" s="1"/>
  <c r="AE673" i="2"/>
  <c r="AI673" i="2" s="1"/>
  <c r="AG715" i="2"/>
  <c r="AE675" i="2"/>
  <c r="AI675" i="2" s="1"/>
  <c r="AE676" i="2"/>
  <c r="AI676" i="2" s="1"/>
  <c r="AE677" i="2"/>
  <c r="AI677" i="2" s="1"/>
  <c r="AE678" i="2"/>
  <c r="AI678" i="2"/>
  <c r="AE679" i="2"/>
  <c r="AI679" i="2"/>
  <c r="AE680" i="2"/>
  <c r="AI680" i="2"/>
  <c r="AE681" i="2"/>
  <c r="AI681" i="2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5" i="2"/>
  <c r="V674" i="2"/>
  <c r="Q674" i="2"/>
  <c r="P674" i="2"/>
  <c r="P673" i="2"/>
  <c r="V672" i="2"/>
  <c r="Q672" i="2"/>
  <c r="Q715" i="2" s="1"/>
  <c r="P672" i="2"/>
  <c r="P715" i="2" s="1"/>
  <c r="O673" i="2"/>
  <c r="O674" i="2" s="1"/>
  <c r="O675" i="2" s="1"/>
  <c r="S673" i="2"/>
  <c r="W673" i="2"/>
  <c r="S674" i="2"/>
  <c r="S675" i="2"/>
  <c r="W675" i="2" s="1"/>
  <c r="S676" i="2"/>
  <c r="W676" i="2"/>
  <c r="S677" i="2"/>
  <c r="W677" i="2" s="1"/>
  <c r="S678" i="2"/>
  <c r="W678" i="2" s="1"/>
  <c r="S679" i="2"/>
  <c r="W679" i="2"/>
  <c r="S680" i="2"/>
  <c r="W680" i="2"/>
  <c r="S681" i="2"/>
  <c r="W681" i="2"/>
  <c r="S682" i="2"/>
  <c r="W682" i="2"/>
  <c r="S683" i="2"/>
  <c r="W683" i="2"/>
  <c r="S684" i="2"/>
  <c r="W684" i="2"/>
  <c r="S685" i="2"/>
  <c r="W685" i="2" s="1"/>
  <c r="S686" i="2"/>
  <c r="W686" i="2"/>
  <c r="S687" i="2"/>
  <c r="W687" i="2"/>
  <c r="S688" i="2"/>
  <c r="W688" i="2"/>
  <c r="S689" i="2"/>
  <c r="W689" i="2"/>
  <c r="S690" i="2"/>
  <c r="W690" i="2"/>
  <c r="S691" i="2"/>
  <c r="W691" i="2"/>
  <c r="S692" i="2"/>
  <c r="W692" i="2" s="1"/>
  <c r="S693" i="2"/>
  <c r="W693" i="2" s="1"/>
  <c r="S694" i="2"/>
  <c r="W694" i="2"/>
  <c r="S695" i="2"/>
  <c r="W695" i="2"/>
  <c r="S696" i="2"/>
  <c r="W696" i="2"/>
  <c r="S697" i="2"/>
  <c r="W697" i="2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 s="1"/>
  <c r="W713" i="2"/>
  <c r="R715" i="2"/>
  <c r="U715" i="2"/>
  <c r="J675" i="2"/>
  <c r="I675" i="2"/>
  <c r="E675" i="2"/>
  <c r="G675" i="2" s="1"/>
  <c r="D675" i="2"/>
  <c r="I674" i="2"/>
  <c r="E674" i="2"/>
  <c r="D674" i="2"/>
  <c r="G674" i="2" s="1"/>
  <c r="K674" i="2" s="1"/>
  <c r="J673" i="2"/>
  <c r="D673" i="2"/>
  <c r="G673" i="2" s="1"/>
  <c r="D672" i="2"/>
  <c r="F715" i="2"/>
  <c r="K712" i="2"/>
  <c r="G712" i="2"/>
  <c r="K705" i="2"/>
  <c r="G705" i="2"/>
  <c r="G704" i="2"/>
  <c r="K704" i="2" s="1"/>
  <c r="G703" i="2"/>
  <c r="K703" i="2" s="1"/>
  <c r="K702" i="2"/>
  <c r="G702" i="2"/>
  <c r="G701" i="2"/>
  <c r="K701" i="2" s="1"/>
  <c r="G700" i="2"/>
  <c r="K700" i="2" s="1"/>
  <c r="K699" i="2"/>
  <c r="G699" i="2"/>
  <c r="K698" i="2"/>
  <c r="G698" i="2"/>
  <c r="K697" i="2"/>
  <c r="G697" i="2"/>
  <c r="G696" i="2"/>
  <c r="K696" i="2" s="1"/>
  <c r="G695" i="2"/>
  <c r="K695" i="2" s="1"/>
  <c r="K694" i="2"/>
  <c r="G694" i="2"/>
  <c r="G693" i="2"/>
  <c r="K693" i="2" s="1"/>
  <c r="G692" i="2"/>
  <c r="K692" i="2" s="1"/>
  <c r="K691" i="2"/>
  <c r="G691" i="2"/>
  <c r="K690" i="2"/>
  <c r="G690" i="2"/>
  <c r="K689" i="2"/>
  <c r="G689" i="2"/>
  <c r="G688" i="2"/>
  <c r="K688" i="2" s="1"/>
  <c r="G687" i="2"/>
  <c r="K687" i="2" s="1"/>
  <c r="K686" i="2"/>
  <c r="G686" i="2"/>
  <c r="G685" i="2"/>
  <c r="K685" i="2" s="1"/>
  <c r="G684" i="2"/>
  <c r="K684" i="2" s="1"/>
  <c r="K683" i="2"/>
  <c r="G683" i="2"/>
  <c r="K682" i="2"/>
  <c r="G682" i="2"/>
  <c r="K681" i="2"/>
  <c r="G681" i="2"/>
  <c r="G680" i="2"/>
  <c r="K680" i="2" s="1"/>
  <c r="G679" i="2"/>
  <c r="K679" i="2" s="1"/>
  <c r="G678" i="2"/>
  <c r="K678" i="2" s="1"/>
  <c r="I715" i="2"/>
  <c r="G677" i="2"/>
  <c r="K677" i="2" s="1"/>
  <c r="G676" i="2"/>
  <c r="K676" i="2" s="1"/>
  <c r="C673" i="2"/>
  <c r="C674" i="2" s="1"/>
  <c r="C675" i="2" s="1"/>
  <c r="AI672" i="2" l="1"/>
  <c r="AE674" i="2"/>
  <c r="AI674" i="2" s="1"/>
  <c r="AE715" i="2"/>
  <c r="W674" i="2"/>
  <c r="V715" i="2"/>
  <c r="S672" i="2"/>
  <c r="W672" i="2" s="1"/>
  <c r="J715" i="2"/>
  <c r="K675" i="2"/>
  <c r="E715" i="2"/>
  <c r="K673" i="2"/>
  <c r="D715" i="2"/>
  <c r="G672" i="2"/>
  <c r="AC621" i="2"/>
  <c r="AC660" i="2" s="1"/>
  <c r="AB621" i="2"/>
  <c r="AG620" i="2"/>
  <c r="AB620" i="2"/>
  <c r="AG619" i="2"/>
  <c r="AB619" i="2"/>
  <c r="AG618" i="2"/>
  <c r="AC618" i="2"/>
  <c r="AB618" i="2"/>
  <c r="AB617" i="2"/>
  <c r="AE617" i="2"/>
  <c r="AI617" i="2" s="1"/>
  <c r="AA618" i="2"/>
  <c r="AA619" i="2" s="1"/>
  <c r="AA620" i="2" s="1"/>
  <c r="AA621" i="2" s="1"/>
  <c r="AE618" i="2"/>
  <c r="AE619" i="2"/>
  <c r="AE622" i="2"/>
  <c r="AI622" i="2"/>
  <c r="AE623" i="2"/>
  <c r="AI623" i="2" s="1"/>
  <c r="AE624" i="2"/>
  <c r="AI624" i="2" s="1"/>
  <c r="AE625" i="2"/>
  <c r="AI625" i="2"/>
  <c r="AE626" i="2"/>
  <c r="AI626" i="2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 s="1"/>
  <c r="AE633" i="2"/>
  <c r="AI633" i="2" s="1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AH660" i="2"/>
  <c r="S617" i="2"/>
  <c r="W617" i="2" s="1"/>
  <c r="O618" i="2"/>
  <c r="S618" i="2"/>
  <c r="W618" i="2" s="1"/>
  <c r="O619" i="2"/>
  <c r="O620" i="2" s="1"/>
  <c r="O621" i="2" s="1"/>
  <c r="O622" i="2" s="1"/>
  <c r="O623" i="2" s="1"/>
  <c r="P660" i="2"/>
  <c r="S619" i="2"/>
  <c r="S620" i="2"/>
  <c r="W620" i="2"/>
  <c r="S621" i="2"/>
  <c r="W621" i="2"/>
  <c r="S622" i="2"/>
  <c r="W622" i="2" s="1"/>
  <c r="S623" i="2"/>
  <c r="W623" i="2" s="1"/>
  <c r="S624" i="2"/>
  <c r="W624" i="2" s="1"/>
  <c r="S625" i="2"/>
  <c r="W625" i="2"/>
  <c r="S626" i="2"/>
  <c r="W626" i="2" s="1"/>
  <c r="S627" i="2"/>
  <c r="W627" i="2" s="1"/>
  <c r="V660" i="2"/>
  <c r="S628" i="2"/>
  <c r="W628" i="2" s="1"/>
  <c r="S629" i="2"/>
  <c r="W629" i="2"/>
  <c r="S630" i="2"/>
  <c r="W630" i="2"/>
  <c r="S631" i="2"/>
  <c r="W631" i="2"/>
  <c r="S632" i="2"/>
  <c r="W632" i="2" s="1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 s="1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 s="1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Q660" i="2"/>
  <c r="R660" i="2"/>
  <c r="U660" i="2"/>
  <c r="AI715" i="2" l="1"/>
  <c r="W715" i="2"/>
  <c r="S715" i="2"/>
  <c r="G715" i="2"/>
  <c r="K672" i="2"/>
  <c r="K715" i="2" s="1"/>
  <c r="AE621" i="2"/>
  <c r="AI621" i="2" s="1"/>
  <c r="AB660" i="2"/>
  <c r="AE620" i="2"/>
  <c r="AI620" i="2" s="1"/>
  <c r="AI660" i="2" s="1"/>
  <c r="AI619" i="2"/>
  <c r="AG660" i="2"/>
  <c r="AI618" i="2"/>
  <c r="S660" i="2"/>
  <c r="W619" i="2"/>
  <c r="W660" i="2" s="1"/>
  <c r="U566" i="2"/>
  <c r="AE660" i="2" l="1"/>
  <c r="AB572" i="2"/>
  <c r="AE572" i="2" s="1"/>
  <c r="AI572" i="2" s="1"/>
  <c r="AB571" i="2"/>
  <c r="AE571" i="2" s="1"/>
  <c r="AI571" i="2" s="1"/>
  <c r="AB570" i="2"/>
  <c r="AB569" i="2"/>
  <c r="AA569" i="2"/>
  <c r="AA570" i="2"/>
  <c r="AA571" i="2" s="1"/>
  <c r="AA572" i="2" s="1"/>
  <c r="AC568" i="2"/>
  <c r="AC605" i="2" s="1"/>
  <c r="AB568" i="2"/>
  <c r="AB567" i="2"/>
  <c r="AG566" i="2"/>
  <c r="AB566" i="2"/>
  <c r="AH565" i="2"/>
  <c r="AI565" i="2" s="1"/>
  <c r="AB565" i="2"/>
  <c r="AC564" i="2"/>
  <c r="AE564" i="2" s="1"/>
  <c r="AI564" i="2" s="1"/>
  <c r="AB564" i="2"/>
  <c r="AC563" i="2"/>
  <c r="AB563" i="2"/>
  <c r="AB562" i="2"/>
  <c r="AE562" i="2"/>
  <c r="AA563" i="2"/>
  <c r="AE563" i="2"/>
  <c r="AI563" i="2" s="1"/>
  <c r="AA564" i="2"/>
  <c r="AA565" i="2" s="1"/>
  <c r="AA566" i="2" s="1"/>
  <c r="AA567" i="2" s="1"/>
  <c r="AE565" i="2"/>
  <c r="AE566" i="2"/>
  <c r="AI566" i="2" s="1"/>
  <c r="AE567" i="2"/>
  <c r="AI567" i="2" s="1"/>
  <c r="AE569" i="2"/>
  <c r="AI569" i="2" s="1"/>
  <c r="AE570" i="2"/>
  <c r="AI570" i="2" s="1"/>
  <c r="AE573" i="2"/>
  <c r="AI573" i="2" s="1"/>
  <c r="AE574" i="2"/>
  <c r="AI574" i="2" s="1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 s="1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P577" i="2"/>
  <c r="S577" i="2" s="1"/>
  <c r="W577" i="2" s="1"/>
  <c r="P576" i="2"/>
  <c r="S576" i="2" s="1"/>
  <c r="W576" i="2" s="1"/>
  <c r="P575" i="2"/>
  <c r="S575" i="2" s="1"/>
  <c r="W575" i="2" s="1"/>
  <c r="P574" i="2"/>
  <c r="O574" i="2"/>
  <c r="O575" i="2" s="1"/>
  <c r="O576" i="2" s="1"/>
  <c r="P573" i="2"/>
  <c r="S573" i="2" s="1"/>
  <c r="W573" i="2" s="1"/>
  <c r="V572" i="2"/>
  <c r="P572" i="2"/>
  <c r="S572" i="2"/>
  <c r="U571" i="2"/>
  <c r="U605" i="2" s="1"/>
  <c r="P571" i="2"/>
  <c r="S571" i="2" s="1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S564" i="2" s="1"/>
  <c r="W564" i="2" s="1"/>
  <c r="V563" i="2"/>
  <c r="P563" i="2"/>
  <c r="P562" i="2"/>
  <c r="S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S563" i="2"/>
  <c r="S565" i="2"/>
  <c r="W565" i="2" s="1"/>
  <c r="S570" i="2"/>
  <c r="W570" i="2" s="1"/>
  <c r="S574" i="2"/>
  <c r="W574" i="2" s="1"/>
  <c r="S578" i="2"/>
  <c r="W578" i="2" s="1"/>
  <c r="S579" i="2"/>
  <c r="W579" i="2" s="1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 s="1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 s="1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J568" i="2"/>
  <c r="J605" i="2" s="1"/>
  <c r="D568" i="2"/>
  <c r="I567" i="2"/>
  <c r="D567" i="2"/>
  <c r="G567" i="2" s="1"/>
  <c r="D566" i="2"/>
  <c r="G566" i="2" s="1"/>
  <c r="K566" i="2" s="1"/>
  <c r="J565" i="2"/>
  <c r="E565" i="2"/>
  <c r="D565" i="2"/>
  <c r="D564" i="2"/>
  <c r="G564" i="2" s="1"/>
  <c r="K564" i="2" s="1"/>
  <c r="E563" i="2"/>
  <c r="D563" i="2"/>
  <c r="D562" i="2"/>
  <c r="G562" i="2"/>
  <c r="K562" i="2" s="1"/>
  <c r="C563" i="2"/>
  <c r="C564" i="2" s="1"/>
  <c r="C565" i="2" s="1"/>
  <c r="C566" i="2" s="1"/>
  <c r="C567" i="2" s="1"/>
  <c r="C568" i="2" s="1"/>
  <c r="E605" i="2"/>
  <c r="G565" i="2"/>
  <c r="K565" i="2" s="1"/>
  <c r="G568" i="2"/>
  <c r="G569" i="2"/>
  <c r="K569" i="2" s="1"/>
  <c r="G570" i="2"/>
  <c r="K570" i="2" s="1"/>
  <c r="G571" i="2"/>
  <c r="K571" i="2"/>
  <c r="G572" i="2"/>
  <c r="K572" i="2"/>
  <c r="G573" i="2"/>
  <c r="K573" i="2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F605" i="2"/>
  <c r="W605" i="2" l="1"/>
  <c r="AE568" i="2"/>
  <c r="AI568" i="2" s="1"/>
  <c r="AH605" i="2"/>
  <c r="AI562" i="2"/>
  <c r="AI605" i="2" s="1"/>
  <c r="AE605" i="2"/>
  <c r="AB605" i="2"/>
  <c r="V605" i="2"/>
  <c r="W572" i="2"/>
  <c r="W571" i="2"/>
  <c r="W563" i="2"/>
  <c r="P605" i="2"/>
  <c r="S605" i="2"/>
  <c r="W562" i="2"/>
  <c r="I605" i="2"/>
  <c r="K568" i="2"/>
  <c r="K605" i="2" s="1"/>
  <c r="K567" i="2"/>
  <c r="D605" i="2"/>
  <c r="G563" i="2"/>
  <c r="K563" i="2" s="1"/>
  <c r="G605" i="2"/>
  <c r="AB513" i="2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AB550" i="2" l="1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D36" i="1" s="1"/>
  <c r="J37" i="1"/>
  <c r="J27" i="1"/>
  <c r="D27" i="1" s="1"/>
  <c r="J28" i="1"/>
  <c r="D28" i="1" s="1"/>
  <c r="J29" i="1"/>
  <c r="D29" i="1" s="1"/>
  <c r="J30" i="1"/>
  <c r="J20" i="1"/>
  <c r="D20" i="1" s="1"/>
  <c r="J21" i="1"/>
  <c r="D21" i="1" s="1"/>
  <c r="J22" i="1"/>
  <c r="J23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D39" i="1" s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F25" authorId="0" shapeId="0" xr:uid="{C04F0441-E3A0-401F-9F94-115C654B7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H25" authorId="0" shapeId="0" xr:uid="{6C7EF103-70A1-4C35-BAC1-5F6B457EF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
RONNEL</t>
        </r>
      </text>
    </comment>
    <comment ref="F30" authorId="0" shapeId="0" xr:uid="{18543D32-ED49-4506-88E7-726EFB4D4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30" authorId="0" shapeId="0" xr:uid="{CB4D1CEC-9712-41B8-ABA4-92D50153CE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H30" authorId="0" shapeId="0" xr:uid="{654D5819-85D9-41CD-A241-2FD56A08E2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H33" authorId="0" shapeId="0" xr:uid="{297E6368-5456-4082-9F2A-AD7080C6A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34" authorId="0" shapeId="0" xr:uid="{D6A1D33B-E281-470D-B2B0-93700DFFEB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H35" authorId="0" shapeId="0" xr:uid="{95DE54A3-FFB3-4C16-8CEC-80B027923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39" authorId="0" shapeId="0" xr:uid="{3E134C01-C908-479F-B0E3-70850872EB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562" authorId="0" shapeId="0" xr:uid="{F7382BC4-1BF3-4CAD-901C-BCE8FF4B1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562" authorId="0" shapeId="0" xr:uid="{C28F826B-0165-4F49-842E-7E46655F2F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562" authorId="0" shapeId="0" xr:uid="{8574BF25-3565-476C-AA4C-DD3BCD53FF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63" authorId="0" shapeId="0" xr:uid="{6BF6BFED-1AC2-4126-B68B-64B608FD8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4AAC3F11-ACED-44E4-805A-54AFFF4FE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3" authorId="0" shapeId="0" xr:uid="{2EA641FA-47F4-433A-9939-975CF5549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564" authorId="0" shapeId="0" xr:uid="{595CDB86-CDDC-4547-8227-85DFD60E7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
POB, SIAYAN</t>
        </r>
      </text>
    </comment>
    <comment ref="O564" authorId="0" shapeId="0" xr:uid="{0A27555B-0C3A-4D73-BEDD-8FA3DA7444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564" authorId="0" shapeId="0" xr:uid="{B1382911-15E1-4829-B865-067999816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5" authorId="0" shapeId="0" xr:uid="{8ACD6686-7909-448B-92D0-D59E95B92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65" authorId="0" shapeId="0" xr:uid="{58164F9C-6FDA-4DE6-B7DD-B46398AA1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565" authorId="0" shapeId="0" xr:uid="{65D77A1A-8B1C-407A-BD02-32B1719387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4923A96E-B52B-41E6-A2E0-CDF61FB5A4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66" authorId="0" shapeId="0" xr:uid="{62AF50F4-DFC4-4989-9DF9-9C13F9816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6" authorId="0" shapeId="0" xr:uid="{5B966BD4-D52B-4C6E-8C4E-B25C14C6F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 STORE
BAYBAY, LILOY</t>
        </r>
      </text>
    </comment>
    <comment ref="C567" authorId="0" shapeId="0" xr:uid="{55F099B0-1D2A-4355-A9BF-0DF57200F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RM, SALUG</t>
        </r>
      </text>
    </comment>
    <comment ref="O567" authorId="0" shapeId="0" xr:uid="{DE7CCA16-8925-47AC-99E9-5CBF63947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567" authorId="0" shapeId="0" xr:uid="{658A7E2E-0E29-4048-8420-C92EFCAC8A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8" authorId="0" shapeId="0" xr:uid="{16316F23-D352-41E5-B29B-BE75339F5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</t>
        </r>
      </text>
    </comment>
    <comment ref="O568" authorId="0" shapeId="0" xr:uid="{36CAC869-C9D3-41DA-99F1-2843D323D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64983275-836D-44B6-9B4C-5642E5FF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569" authorId="0" shapeId="0" xr:uid="{262B9CD5-89A2-4551-8D4B-8242F80B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569" authorId="0" shapeId="0" xr:uid="{631F9071-CFAA-4EAB-ACE3-84D9438741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O570" authorId="0" shapeId="0" xr:uid="{24F568FD-94C9-4B0F-A99F-C9CF5B8B7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TALINGA, BACUNGAN</t>
        </r>
      </text>
    </comment>
    <comment ref="AA570" authorId="0" shapeId="0" xr:uid="{71C8B474-16D0-41B4-A9EE-80193FA86E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 EAST, SALUG</t>
        </r>
      </text>
    </comment>
    <comment ref="O571" authorId="0" shapeId="0" xr:uid="{43EDC16D-8AAE-43F1-A682-BE859C331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 SALOMIA
TALINGA, BACUNGAN</t>
        </r>
      </text>
    </comment>
    <comment ref="AA571" authorId="0" shapeId="0" xr:uid="{4B95974E-AB8A-47ED-A48A-6DFEEFA5E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572" authorId="0" shapeId="0" xr:uid="{5C60CBC2-3F9B-4038-AA94-41D39B3D0B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 STORE
TALINGA, BACUNGAN</t>
        </r>
      </text>
    </comment>
    <comment ref="AA572" authorId="0" shapeId="0" xr:uid="{554CCCEE-68C1-4D5C-9E6C-1FDDA0C5EA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O573" authorId="0" shapeId="0" xr:uid="{CB9B1197-34B3-4054-8571-04BD9C8E6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O574" authorId="0" shapeId="0" xr:uid="{C0EBADC0-0293-4A37-A7CA-BBB3DE8D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575" authorId="0" shapeId="0" xr:uid="{F9397E54-74CE-43E7-ADFB-EC84E7D800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576" authorId="0" shapeId="0" xr:uid="{0844DDAC-0D33-417A-A300-CEFDB2206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577" authorId="0" shapeId="0" xr:uid="{C6CCBAF5-65ED-43EA-889E-91FC5082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578" authorId="0" shapeId="0" xr:uid="{E0FB175E-AAAE-4492-936E-1FC52CD38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O617" authorId="0" shapeId="0" xr:uid="{E94A8693-09EF-4639-8F3F-73F13CF75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17" authorId="0" shapeId="0" xr:uid="{2DD4C5C0-A215-4C13-BD11-C8E2066B4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618" authorId="0" shapeId="0" xr:uid="{F1B930BA-8693-496F-841D-BC49C7B2B9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618" authorId="0" shapeId="0" xr:uid="{EEFB7A5D-4A3C-4227-B0F0-7E1BFA341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619" authorId="0" shapeId="0" xr:uid="{DB34504E-D83A-45E0-8EB0-25939B42F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 STORE
POB, BACUNGAN</t>
        </r>
      </text>
    </comment>
    <comment ref="AA619" authorId="0" shapeId="0" xr:uid="{9F2CA444-4999-45DD-8011-E73DC185D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620" authorId="0" shapeId="0" xr:uid="{6E40C513-20E8-4D24-A03E-CD472519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620" authorId="0" shapeId="0" xr:uid="{CE194C3F-8DA2-4DE3-AB90-2983E9897D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621" authorId="0" shapeId="0" xr:uid="{D3F09678-AB36-4E51-B994-5D8368E45B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21" authorId="0" shapeId="0" xr:uid="{C48E95C3-3393-4294-8D57-A0DD1FC16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22" authorId="0" shapeId="0" xr:uid="{1E812BCF-D20F-44BB-A4E8-8296B4949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23" authorId="0" shapeId="0" xr:uid="{E0729EBB-5DD6-4C18-9000-FF6A512A1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672" authorId="0" shapeId="0" xr:uid="{EADB99D9-4392-48F6-AF54-97D628E66B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72" authorId="0" shapeId="0" xr:uid="{47E81E94-5D5C-4855-ABE7-F99BB055F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72" authorId="0" shapeId="0" xr:uid="{FB6BE35A-4A30-4D3D-A0B1-CC2DC1A2F0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3" authorId="0" shapeId="0" xr:uid="{ECACD153-583B-4232-A253-D32080827E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LIZIEL BAYAWA
BALOK, SINDANGAN</t>
        </r>
      </text>
    </comment>
    <comment ref="O673" authorId="0" shapeId="0" xr:uid="{CA98534D-36BB-41AE-B451-32AA4CA86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3" authorId="0" shapeId="0" xr:uid="{C9262E6D-6D82-4D1D-A24C-46EEF84C5E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A647D89B-234C-4D93-920C-19D1AB7B4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4" authorId="0" shapeId="0" xr:uid="{CB1A9E62-199A-47F4-BAFC-6F6C0402F8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74" authorId="0" shapeId="0" xr:uid="{24EB302C-72F7-4826-AF62-6FBCADC37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75" authorId="0" shapeId="0" xr:uid="{33463648-BE50-4A0C-A7E5-E2DACA9EDD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675" authorId="0" shapeId="0" xr:uid="{E7CAA7DA-4968-4766-8FC7-688C05EE3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27" authorId="0" shapeId="0" xr:uid="{0AA3672F-C494-46DA-9028-79FE46AF0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7" authorId="0" shapeId="0" xr:uid="{4A45AE26-6B66-4C62-BD1F-B7FAA200F7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27" authorId="0" shapeId="0" xr:uid="{D0F3DDB0-0595-45AD-B87B-3EA10B417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FLORDELUNA JUMAWAN
BACONG, SALUG</t>
        </r>
      </text>
    </comment>
    <comment ref="C728" authorId="0" shapeId="0" xr:uid="{B9235E93-FA95-46D7-8255-00F312852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8" authorId="0" shapeId="0" xr:uid="{4C5B6DF8-761E-4F9D-AB92-6AE53DCA6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728" authorId="0" shapeId="0" xr:uid="{A952E6CE-4217-4FFF-8ADE-51C8D41FA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4J'S BAKESHOP
BACONG, SALUG</t>
        </r>
      </text>
    </comment>
    <comment ref="C729" authorId="0" shapeId="0" xr:uid="{A35D5FF5-8997-4154-AF21-7E460346EE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
DISUD, SINDANGAN</t>
        </r>
      </text>
    </comment>
    <comment ref="O729" authorId="0" shapeId="0" xr:uid="{2D479D89-4B71-4D2E-880D-D11B70D39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29" authorId="0" shapeId="0" xr:uid="{5750A184-1DE9-4801-91C7-DDE7875527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730" authorId="0" shapeId="0" xr:uid="{B2B5B188-8DEB-4020-900D-1F5A59BDF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730" authorId="0" shapeId="0" xr:uid="{A7BB039D-6EB3-4CF0-9B50-7A82B4D89D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O731" authorId="0" shapeId="0" xr:uid="{74C4AC68-C016-47CD-B38A-5D997E7997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B7DCAC29-5B4B-4DBB-9C34-20D9BFCD29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ALIT
BACONG, SALUG</t>
        </r>
      </text>
    </comment>
    <comment ref="AA732" authorId="0" shapeId="0" xr:uid="{60FC9033-FDB5-4DD4-8A83-108B44938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MAC LORE
STO NIÑO, SALUG</t>
        </r>
      </text>
    </comment>
    <comment ref="AA733" authorId="0" shapeId="0" xr:uid="{86AEFDA2-FA07-4398-97C2-D2CE21DD0C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CUEVAS
STO NIÑO, SALUG</t>
        </r>
      </text>
    </comment>
    <comment ref="AA734" authorId="0" shapeId="0" xr:uid="{C1A7E221-AA44-418B-9967-529D453F5D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ANALYN
BACONG, SALUG</t>
        </r>
      </text>
    </comment>
    <comment ref="AA735" authorId="0" shapeId="0" xr:uid="{B01F8A26-F336-4795-85CD-0804D10D5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CANALOAN, SALUG</t>
        </r>
      </text>
    </comment>
    <comment ref="AA736" authorId="0" shapeId="0" xr:uid="{951BD32F-0BE7-49C1-9102-A74B67397F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AA737" authorId="0" shapeId="0" xr:uid="{2C6AB829-C7FC-48CA-9C55-89D13F8D2C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AA738" authorId="0" shapeId="0" xr:uid="{C4FC65E7-D989-45C8-B6CE-93649A6494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 EAST, SALUG</t>
        </r>
      </text>
    </comment>
    <comment ref="AA739" authorId="0" shapeId="0" xr:uid="{1C31D8A6-DBA9-4D36-AD39-FD9FA5039E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CARLITO
BACONG, SALUG</t>
        </r>
      </text>
    </comment>
    <comment ref="AA740" authorId="0" shapeId="0" xr:uid="{5D10BFF1-1C02-4F9D-80BC-74771530F7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NAONG STORE
BACONG, SALUG</t>
        </r>
      </text>
    </comment>
    <comment ref="AA741" authorId="0" shapeId="0" xr:uid="{44D57961-6724-4AC6-9049-B0A5926D8C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
GOLEO, SINDANGAN</t>
        </r>
      </text>
    </comment>
    <comment ref="AA742" authorId="0" shapeId="0" xr:uid="{F09C726E-8408-46C4-B192-56D7C05EA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AA743" authorId="0" shapeId="0" xr:uid="{33B6FB40-2F9D-473B-8819-DB4ED25426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 MIGUEL BREWERY INC.</t>
        </r>
      </text>
    </comment>
    <comment ref="C782" authorId="0" shapeId="0" xr:uid="{4FB7C226-2A2F-490F-8D7A-7A8473461A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POB, SINDANGAN</t>
        </r>
      </text>
    </comment>
    <comment ref="O782" authorId="0" shapeId="0" xr:uid="{899A0BB5-7F9A-4333-B508-4AA3C814A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82" authorId="0" shapeId="0" xr:uid="{9FC2173C-CB5A-484C-A454-1D04B0831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3" authorId="0" shapeId="0" xr:uid="{FF25E494-A7B0-4E72-94F3-51D79A1B75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83" authorId="0" shapeId="0" xr:uid="{733D21BD-B40D-4080-B4EC-A40EFB569C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83" authorId="0" shapeId="0" xr:uid="{A1E190E7-597D-41AA-BFBA-C9C023DA8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784" authorId="0" shapeId="0" xr:uid="{F29B06ED-42B1-43D7-B295-9FD86ED53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84" authorId="0" shapeId="0" xr:uid="{812CFF98-4F9C-495E-8CE0-DFB5A10417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4" authorId="0" shapeId="0" xr:uid="{A44933DC-6A0E-495B-946E-BEA297F7C1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85" authorId="0" shapeId="0" xr:uid="{7734148C-0672-496B-B1C2-08EABA218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O785" authorId="0" shapeId="0" xr:uid="{E0CA7E07-7DC1-4B11-B7F8-64C21CE07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785" authorId="0" shapeId="0" xr:uid="{CD6E67A4-1585-4BD5-B80C-645227B4E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86" authorId="0" shapeId="0" xr:uid="{BA2655F5-7A44-4ECA-BF97-2BD0192A8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786" authorId="0" shapeId="0" xr:uid="{36DEDDCE-D416-4835-BD64-3290FA4D4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6" authorId="0" shapeId="0" xr:uid="{0B1F35E6-6DA3-4913-A6DE-2CAF8D3738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C787" authorId="0" shapeId="0" xr:uid="{92E3B391-C690-409E-B66A-00C992523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787" authorId="0" shapeId="0" xr:uid="{4657FD6C-C20C-40C1-9EF0-30016F559A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C788" authorId="0" shapeId="0" xr:uid="{9370334C-0E48-4D44-A50B-A4DF052FDA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788" authorId="0" shapeId="0" xr:uid="{3D90D06D-BE12-4DB6-9070-C7374DDD4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89" authorId="0" shapeId="0" xr:uid="{03C3AFE6-27B5-4C6C-B315-9629ABC26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789" authorId="0" shapeId="0" xr:uid="{4A5C9442-1C6E-4180-B167-A368DA4A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TALINGA, BACUNGAN</t>
        </r>
      </text>
    </comment>
    <comment ref="C790" authorId="0" shapeId="0" xr:uid="{9D26518D-DF3C-4751-9E78-15973B3058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 BAGUIO</t>
        </r>
      </text>
    </comment>
    <comment ref="O790" authorId="0" shapeId="0" xr:uid="{D3CE5974-C04A-44EA-8AF3-A8345995C0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791" authorId="0" shapeId="0" xr:uid="{B5B55408-F063-4EDE-8DED-086BC4565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837" authorId="0" shapeId="0" xr:uid="{2D9A7BCA-8DED-436F-8DE7-5E4C3A023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DENOYAN, SIAYAN</t>
        </r>
      </text>
    </comment>
    <comment ref="O837" authorId="0" shapeId="0" xr:uid="{B652B568-287A-491E-A88D-E58826A0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37" authorId="0" shapeId="0" xr:uid="{18D86D9E-2064-4284-A9DD-84D062EC2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838" authorId="0" shapeId="0" xr:uid="{6C072B0C-4506-442D-B3F1-918A5AF19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838" authorId="0" shapeId="0" xr:uid="{0D95AA9D-77B7-4A3C-B47E-EC65D1D53A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838" authorId="0" shapeId="0" xr:uid="{4C8E7622-D2C9-4744-889A-939C1D526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839" authorId="0" shapeId="0" xr:uid="{00D50E0E-FE52-4C8D-A2C9-840716D24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839" authorId="0" shapeId="0" xr:uid="{706EEDAA-17A3-4F2E-BA80-6B749AFE4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839" authorId="0" shapeId="0" xr:uid="{4798E6A2-4355-47AE-8DF5-97894FF6C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EMOTEN STORE
POB EAST, SALUG</t>
        </r>
      </text>
    </comment>
    <comment ref="C840" authorId="0" shapeId="0" xr:uid="{B241AA09-988F-43BA-A99C-DC1EACA8EF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840" authorId="0" shapeId="0" xr:uid="{1D6BA980-7E7D-476E-BD8B-4EC6859F7A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40" authorId="0" shapeId="0" xr:uid="{DE36A58E-9D5E-4840-B7B7-3139F418F6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41" authorId="0" shapeId="0" xr:uid="{AAC71FE7-A385-464B-84BE-170213053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841" authorId="0" shapeId="0" xr:uid="{0B532DC9-A8A0-481C-9FA4-79ED310A7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AA841" authorId="0" shapeId="0" xr:uid="{0D26F965-61D7-4CE3-9AC4-1235C1233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42" authorId="0" shapeId="0" xr:uid="{C5C533FB-88F7-4A9D-95D7-10809D38EA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42" authorId="0" shapeId="0" xr:uid="{BFEB0064-4E39-476C-B2C2-C1C3D9137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SANOPAO
MARAS, SINDANGAN</t>
        </r>
      </text>
    </comment>
    <comment ref="AA842" authorId="0" shapeId="0" xr:uid="{18AE79E4-C97A-4E64-98E9-DB6B913FB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 STORE
BACONG, SALUG</t>
        </r>
      </text>
    </comment>
    <comment ref="C843" authorId="0" shapeId="0" xr:uid="{312C240C-C52B-4786-AEEA-7239C324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GABIOLA
DAGAO, SIAYAN</t>
        </r>
      </text>
    </comment>
    <comment ref="O843" authorId="0" shapeId="0" xr:uid="{C99604B9-32E9-4E90-B48C-C6796CCEB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844" authorId="0" shapeId="0" xr:uid="{BB2219FE-F8C8-4E80-9AE7-AA3D367772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845" authorId="0" shapeId="0" xr:uid="{C2FBF2BF-E408-41EC-ACA2-D29C1E82A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846" authorId="0" shapeId="0" xr:uid="{E0161F1D-F6E1-4533-B30B-5DDB613D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92" authorId="0" shapeId="0" xr:uid="{B73A67E0-1DBF-450F-B072-9195E7EEC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892" authorId="0" shapeId="0" xr:uid="{42DAAAD9-7AC7-4BC2-AA45-21A0F5CBC6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892" authorId="0" shapeId="0" xr:uid="{69BEE74A-9D8B-4996-9802-17B0C79FE5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C893" authorId="0" shapeId="0" xr:uid="{AA5FCD45-80F4-4434-9BAB-2122430D96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DAPAON, SINDANGAN</t>
        </r>
      </text>
    </comment>
    <comment ref="O893" authorId="0" shapeId="0" xr:uid="{50FDC39C-6636-4AE6-A6B7-2DE0C52D21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93" authorId="0" shapeId="0" xr:uid="{4FA7EBB1-CF8A-4C42-B5EA-5EFF3E5F52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894" authorId="0" shapeId="0" xr:uid="{898B3213-98AA-4714-9F83-FD929AEC43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4" authorId="0" shapeId="0" xr:uid="{191B5328-F849-40C0-BC17-E051976D7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894" authorId="0" shapeId="0" xr:uid="{2A0C332C-3BEA-4A0B-A5FB-3681367249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895" authorId="0" shapeId="0" xr:uid="{F4F77430-A5D3-4F15-A54E-33FD8F691C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O895" authorId="0" shapeId="0" xr:uid="{57E9665F-6B1E-494B-80DB-050C91D2D9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95" authorId="0" shapeId="0" xr:uid="{AC2D2DB5-B79B-4CD9-AD44-4B6BD313A9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896" authorId="0" shapeId="0" xr:uid="{57CA3B68-BD87-49A4-9A18-9AE10BCE1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ROSALYN BALASE
POB, SINDANGAN</t>
        </r>
      </text>
    </comment>
    <comment ref="AA896" authorId="0" shapeId="0" xr:uid="{7327789A-2246-45FC-93E7-8557A13D7F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C897" authorId="0" shapeId="0" xr:uid="{158FB475-BFF2-45AF-87F7-E0AC8AE35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ROSEMARIE CABABAT
POB, SINDANGAN</t>
        </r>
      </text>
    </comment>
    <comment ref="AA897" authorId="0" shapeId="0" xr:uid="{1430045D-D9FA-49BD-8FB1-CFA6FB949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
CANAWAN, SALUG</t>
        </r>
      </text>
    </comment>
    <comment ref="C898" authorId="0" shapeId="0" xr:uid="{32655AA0-08F7-4BDC-B4F4-B57057DBE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CABILLO
POB, SINDANGAN</t>
        </r>
      </text>
    </comment>
    <comment ref="AA898" authorId="0" shapeId="0" xr:uid="{4F4DAF57-E087-47C7-BFF3-EF26A6D4B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BACONG, SALUG</t>
        </r>
      </text>
    </comment>
    <comment ref="C899" authorId="0" shapeId="0" xr:uid="{1CC2B576-BE63-4DCC-AB7C-32CBD34B43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CERNAN
POB, SINDANGAN</t>
        </r>
      </text>
    </comment>
    <comment ref="AA899" authorId="0" shapeId="0" xr:uid="{AABEB828-A779-4711-9E38-45CF55CE0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900" authorId="0" shapeId="0" xr:uid="{22E1A0DB-4074-4BF6-A452-997F9126D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DIOSDADA TORIÑO
POB, SINDANGAN</t>
        </r>
      </text>
    </comment>
    <comment ref="C901" authorId="0" shapeId="0" xr:uid="{7581CB0E-8BB9-4F67-A391-FFF4B54A0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VANESSA RADA
POB, SINDANGAN</t>
        </r>
      </text>
    </comment>
    <comment ref="C902" authorId="0" shapeId="0" xr:uid="{D91515D4-071D-4923-88D0-3895B61909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LIZA MAE DELACRUZ
POB, SINDANGAN</t>
        </r>
      </text>
    </comment>
    <comment ref="C903" authorId="0" shapeId="0" xr:uid="{EB0749A8-4872-4D1D-B333-5E4480701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947" authorId="0" shapeId="0" xr:uid="{E845E55C-58FF-4B4B-A42C-04A6DC2A6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JUN CATIG
GUNYAN, SIAYAN</t>
        </r>
      </text>
    </comment>
    <comment ref="O947" authorId="0" shapeId="0" xr:uid="{40F95725-13BB-4F15-9FFD-1791EBC67E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947" authorId="0" shapeId="0" xr:uid="{73C0D8EB-D253-4E1F-92C6-7026FFDA27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8" authorId="0" shapeId="0" xr:uid="{F4D631DB-4F35-421A-9AEB-2DA0F53953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LANIE, SUERTE
POB, SIAYAN</t>
        </r>
      </text>
    </comment>
    <comment ref="O948" authorId="0" shapeId="0" xr:uid="{82386E18-532D-4B50-9C5B-8DB91DDC83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948" authorId="0" shapeId="0" xr:uid="{47B49593-DF4E-43C8-89DA-A0150A41A9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949" authorId="0" shapeId="0" xr:uid="{873067B4-927C-440A-A411-A7ECDAE1B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ROMEO
POB, SIAYAN</t>
        </r>
      </text>
    </comment>
    <comment ref="O949" authorId="0" shapeId="0" xr:uid="{75838087-8AFB-44F5-8920-740072C0B1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
UPPER INUMAN, SINDANGAN</t>
        </r>
      </text>
    </comment>
    <comment ref="AA949" authorId="0" shapeId="0" xr:uid="{5A901664-F2A9-4815-8F6E-B80B7905C5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950" authorId="0" shapeId="0" xr:uid="{7280F4BB-1721-4EAC-9484-7BA030BC26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SABANATE
DAGAO, SIAYAN</t>
        </r>
      </text>
    </comment>
    <comment ref="O950" authorId="0" shapeId="0" xr:uid="{D2A7EEA6-B3A6-4B33-89BF-551626F64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950" authorId="0" shapeId="0" xr:uid="{52ECCD97-E635-4E4C-BCE2-9407FDF904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1" authorId="0" shapeId="0" xr:uid="{F4C3CEC4-E4DF-47D1-A88F-5E184C783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REMOLUNA
UPPER INUMAN, SINDANGAN</t>
        </r>
      </text>
    </comment>
    <comment ref="AA951" authorId="0" shapeId="0" xr:uid="{7C770E15-5FB3-4AB6-86E7-4CF316735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O952" authorId="0" shapeId="0" xr:uid="{221E1816-FE58-4360-9033-32A00A3F5F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952" authorId="0" shapeId="0" xr:uid="{60BD9B21-4C72-43E5-B37F-81581B14D2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O953" authorId="0" shapeId="0" xr:uid="{788C3555-2C28-4075-A5D7-489BC0BA5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002" authorId="0" shapeId="0" xr:uid="{E77446CF-D8C8-4BD0-954F-072B338A1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002" authorId="0" shapeId="0" xr:uid="{4A470945-5C7D-4C59-9A0A-7FAB28D32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03" authorId="0" shapeId="0" xr:uid="{8092C57E-AA34-4EFC-8FB8-15E4369E8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1003" authorId="0" shapeId="0" xr:uid="{76C0BE5E-1AA1-495E-A60A-70A39AF28D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1004" authorId="0" shapeId="0" xr:uid="{08CCF192-3EDE-4F96-8EF2-55A6A3994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1004" authorId="0" shapeId="0" xr:uid="{CCCA67FF-73A3-47FE-8377-C1EC00B616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1005" authorId="0" shapeId="0" xr:uid="{F303C98E-EAA9-4ACF-9C76-EF7F34637A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05" authorId="0" shapeId="0" xr:uid="{7925FC86-9826-4A69-A42A-DC00CA693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1006" authorId="0" shapeId="0" xr:uid="{47499744-430E-4972-9980-EE895ECDAD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006" authorId="0" shapeId="0" xr:uid="{9F7BDD22-57A6-4757-B241-743C806EC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1007" authorId="0" shapeId="0" xr:uid="{9592280C-A1BB-4E84-BEFD-D9FB35070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57" authorId="0" shapeId="0" xr:uid="{39F3C408-271D-45B3-A1E2-3ACDB53DC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057" authorId="0" shapeId="0" xr:uid="{A925A43B-39BF-48CE-A294-DCF00517F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BAGATUN
GOLEO, SINDANGAN</t>
        </r>
      </text>
    </comment>
    <comment ref="C1058" authorId="0" shapeId="0" xr:uid="{3849D043-FBE6-419D-8BFC-5006F493A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1058" authorId="0" shapeId="0" xr:uid="{9B6B079E-30BD-4F10-BFE3-A209224F9A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C1059" authorId="0" shapeId="0" xr:uid="{99D11E7A-3E7F-4E68-9C6F-4F551A2CD6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059" authorId="0" shapeId="0" xr:uid="{5DDE2059-9D26-44D3-9FCE-16D99AFF3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ALEN STORE
TALINGA, BACUNGAN</t>
        </r>
      </text>
    </comment>
    <comment ref="C1060" authorId="0" shapeId="0" xr:uid="{08B20DEA-405D-4C23-8F69-A39A82A39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
LABAKID, SINDANGAN</t>
        </r>
      </text>
    </comment>
    <comment ref="O1060" authorId="0" shapeId="0" xr:uid="{400EBD3D-1615-4957-9092-9261089B9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1061" authorId="0" shapeId="0" xr:uid="{5F5B4625-2F07-4356-9635-FDF4020C4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CABALLERO
LABAKID, SINDANGAN</t>
        </r>
      </text>
    </comment>
    <comment ref="O1061" authorId="0" shapeId="0" xr:uid="{2BAC261B-BBA8-4E5C-B840-5F93BA99FB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C1062" authorId="0" shapeId="0" xr:uid="{A48BA898-903F-434C-B38F-9FBE5EB9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SAAVEDRA
LABAKID, SINDANGAN</t>
        </r>
      </text>
    </comment>
    <comment ref="O1062" authorId="0" shapeId="0" xr:uid="{3DDC9BCC-9B9D-4F0C-A165-8FC8BCC038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1063" authorId="0" shapeId="0" xr:uid="{038808FB-3CCE-4327-8879-FDE7C2B60F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064" authorId="0" shapeId="0" xr:uid="{E4ED6BDF-FA3C-4956-B19C-933855CE64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O1065" authorId="0" shapeId="0" xr:uid="{993925B7-0D98-41E6-A162-E2E8E800F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NYAH'S STORE
TALINGA, BACUNGAN</t>
        </r>
      </text>
    </comment>
    <comment ref="O1066" authorId="0" shapeId="0" xr:uid="{B6FC2932-1466-451E-8A1C-22D05BFE8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PALABU
MARAS, SINDANGAN</t>
        </r>
      </text>
    </comment>
    <comment ref="O1067" authorId="0" shapeId="0" xr:uid="{4FB09262-8C50-4417-AA1A-E81C0CE3A8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O1068" authorId="0" shapeId="0" xr:uid="{743EF015-7910-4B61-975F-E04B0A8D07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O1069" authorId="0" shapeId="0" xr:uid="{D06D8BBC-6CAE-4631-9EAC-CD0D902BE0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1112" authorId="0" shapeId="0" xr:uid="{B5D5BBE0-0E0E-4E1D-9F11-42BAF829F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1112" authorId="0" shapeId="0" xr:uid="{A8F52F2B-F987-4904-8EEA-59741CB4BB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112" authorId="0" shapeId="0" xr:uid="{CBBF9564-4B4C-4FA2-AB3C-DA52B1A540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113" authorId="0" shapeId="0" xr:uid="{22AE64D3-FFF4-486F-9BF6-3C3CBBB395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O1113" authorId="0" shapeId="0" xr:uid="{1D6A3BB9-2DC2-446F-BB9D-62266177A8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1113" authorId="0" shapeId="0" xr:uid="{704570B0-6A41-471D-B22C-F8CBF305E2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MIRACLE STORE
POB EAST, SALUG</t>
        </r>
      </text>
    </comment>
    <comment ref="C1114" authorId="0" shapeId="0" xr:uid="{1EA2CAC0-ED6D-4E1A-B7C3-4D1350AC6A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1114" authorId="0" shapeId="0" xr:uid="{859A5131-0F34-4C4F-BDAC-1E8A2A1E9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APRIL CALIPAYAN
GOLEO, SINDANGAN</t>
        </r>
      </text>
    </comment>
    <comment ref="AA1114" authorId="0" shapeId="0" xr:uid="{C6355960-3C01-415D-9450-679AE83011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115" authorId="0" shapeId="0" xr:uid="{06E0C12E-0F97-42F7-A565-FF0840FE7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ROMWO
RIVERSIDE SIAYAN</t>
        </r>
      </text>
    </comment>
    <comment ref="O1115" authorId="0" shapeId="0" xr:uid="{371F3390-F6A5-4D12-9E6E-95C186C892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NIETEZ
GOLEO, SINDANGAN</t>
        </r>
      </text>
    </comment>
    <comment ref="AA1115" authorId="0" shapeId="0" xr:uid="{F80ABD4A-050F-4C82-ABC2-785F6F6B61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16" authorId="0" shapeId="0" xr:uid="{323940DB-C4C2-4466-9A63-DE0FB2EB05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LORENA DEGUIÑON
POB, SIAYAN</t>
        </r>
      </text>
    </comment>
    <comment ref="O1116" authorId="0" shapeId="0" xr:uid="{91EAC5D9-FA66-47EB-AB19-6802918991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116" authorId="0" shapeId="0" xr:uid="{4FF4F9FB-CAD9-4D68-B379-9FD950888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BAYBAY, LILOY</t>
        </r>
      </text>
    </comment>
    <comment ref="C1117" authorId="0" shapeId="0" xr:uid="{D5206C39-2B1B-470E-A586-9DC851A8C9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DENOYAN, SIAYAN</t>
        </r>
      </text>
    </comment>
    <comment ref="O1117" authorId="0" shapeId="0" xr:uid="{9EC24845-3E64-4A79-8AC0-A931E3627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117" authorId="0" shapeId="0" xr:uid="{C7BBFE8A-3156-4CC9-9183-891461FE4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GAMALE
BAYBAY, LILOY</t>
        </r>
      </text>
    </comment>
    <comment ref="C1118" authorId="0" shapeId="0" xr:uid="{510962D2-87CB-4929-BDBB-1111F15C9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O1118" authorId="0" shapeId="0" xr:uid="{A6F8D624-A7F8-4D99-A100-32700D529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118" authorId="0" shapeId="0" xr:uid="{E201B775-268E-4CD0-9319-3FA229090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MGP STORE
KAYOK, LILOY</t>
        </r>
      </text>
    </comment>
    <comment ref="C1119" authorId="0" shapeId="0" xr:uid="{32ABC3D5-C92B-422F-A16A-7105A256C6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MARCILITA
DENOYAN, SIAYAN</t>
        </r>
      </text>
    </comment>
    <comment ref="AA1119" authorId="0" shapeId="0" xr:uid="{897C6369-6572-4EA8-8972-6E04D7C0ED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120" authorId="0" shapeId="0" xr:uid="{81EF4F30-1598-4C8E-B653-AEAFB8A17A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CARPE
DENOYAN, SIAYAN</t>
        </r>
      </text>
    </comment>
    <comment ref="AA1120" authorId="0" shapeId="0" xr:uid="{36D37704-378F-4072-B947-B3980D5BA7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121" authorId="0" shapeId="0" xr:uid="{E57980AC-E37C-4C45-A1BD-1DAE58DD0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FELLY BANO
DENOYAN, SIAYAN</t>
        </r>
      </text>
    </comment>
    <comment ref="AA1121" authorId="0" shapeId="0" xr:uid="{399FF0C7-17C5-4EDF-A4C3-1EF2541010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122" authorId="0" shapeId="0" xr:uid="{9D33C09A-BFA7-4005-8730-97CF6CB60D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AA1122" authorId="0" shapeId="0" xr:uid="{7F18EB8C-92A8-46C2-8A58-74CFEB2C0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123" authorId="0" shapeId="0" xr:uid="{82274D6B-AB29-4997-8FDE-F0EC7AF97F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
DICOYONG, SINDANGAN</t>
        </r>
      </text>
    </comment>
    <comment ref="C1167" authorId="0" shapeId="0" xr:uid="{7C9DCE8F-3242-44EB-A0B5-9D7F281303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167" authorId="0" shapeId="0" xr:uid="{4FF74E5A-7AE0-43F2-BB31-906207C3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168" authorId="0" shapeId="0" xr:uid="{9B9199C3-B264-4F19-988C-280906B683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AA1168" authorId="0" shapeId="0" xr:uid="{A3BB3B91-D712-4811-B4D2-380CF43B8E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POB. BACUNGAN</t>
        </r>
      </text>
    </comment>
    <comment ref="C1169" authorId="0" shapeId="0" xr:uid="{A4DADFEA-E3A3-4E9C-848C-F082B6A221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AA1169" authorId="0" shapeId="0" xr:uid="{8C08BFB1-FE6D-41CB-8CEA-888C0F67C6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1170" authorId="0" shapeId="0" xr:uid="{B2C8D2AD-036C-49C2-BF28-6F90EF72D3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AA1170" authorId="0" shapeId="0" xr:uid="{1C771C0F-4926-4BD0-954B-908E87818E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171" authorId="0" shapeId="0" xr:uid="{41E2C784-B2E4-4134-A1DA-2A854AFEC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AA1171" authorId="0" shapeId="0" xr:uid="{9CC10A3C-A22F-4DB6-AE46-786FC76BB7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PHARMACY
POB EAST, SALUG</t>
        </r>
      </text>
    </comment>
    <comment ref="C1172" authorId="0" shapeId="0" xr:uid="{DC636559-5E97-48AA-BF22-F713590EF6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172" authorId="0" shapeId="0" xr:uid="{6694F116-FB87-44A4-8A26-BE65C7641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1173" authorId="0" shapeId="0" xr:uid="{4083258F-B3BB-4E01-B654-EAD9B8F57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AA1174" authorId="0" shapeId="0" xr:uid="{F13A3E9A-8E5D-46DF-A87C-915956D0C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</commentList>
</comments>
</file>

<file path=xl/sharedStrings.xml><?xml version="1.0" encoding="utf-8"?>
<sst xmlns="http://schemas.openxmlformats.org/spreadsheetml/2006/main" count="1506" uniqueCount="102">
  <si>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</si>
  <si>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</si>
  <si>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</si>
  <si>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</si>
  <si>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</si>
  <si>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</si>
  <si>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</si>
  <si>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</si>
  <si>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</si>
  <si>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</si>
  <si>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</si>
  <si>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</si>
  <si>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</si>
  <si>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</si>
  <si>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</si>
  <si>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</si>
  <si>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</si>
  <si>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</si>
  <si>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</si>
  <si>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</si>
  <si>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</si>
  <si>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</si>
  <si>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</si>
  <si>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</si>
  <si>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</si>
  <si>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</si>
  <si>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</si>
  <si>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</si>
  <si>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</si>
  <si>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</si>
  <si>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</si>
  <si>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</si>
  <si>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</si>
  <si>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</si>
  <si>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</si>
  <si>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</si>
  <si>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</si>
  <si>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</si>
  <si>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</si>
  <si>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</si>
  <si>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</si>
  <si>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</si>
  <si>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</si>
  <si>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</si>
  <si>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</si>
  <si>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</si>
  <si>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</si>
  <si>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</si>
  <si>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</si>
  <si>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</si>
  <si>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</si>
  <si>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</si>
  <si>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</si>
  <si>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</si>
  <si>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</si>
  <si>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</si>
  <si>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</si>
  <si>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</si>
  <si>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</si>
  <si>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</si>
  <si>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</si>
  <si>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</si>
  <si>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</si>
  <si>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</si>
  <si>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</si>
  <si>
    <t>MARCH 14, 2026</t>
  </si>
  <si>
    <t>03/14/2026</t>
  </si>
  <si>
    <t>MARCH 16, 2026</t>
  </si>
  <si>
    <t>03/16/2026</t>
  </si>
  <si>
    <t>/9701-9708/9576-9580</t>
  </si>
  <si>
    <t>9568-9574/9636-9650,9575,9708/9545-9550,9653-9657</t>
  </si>
  <si>
    <t>MARCH 17, 2026</t>
  </si>
  <si>
    <t>03/17/2026</t>
  </si>
  <si>
    <t>9581-9584/9709-9712/9659-9661</t>
  </si>
  <si>
    <t>MARCH 18, 2026</t>
  </si>
  <si>
    <t>03/18/2026</t>
  </si>
  <si>
    <t>9585-9587/9713-9717/9662-9677,9751</t>
  </si>
  <si>
    <t>MARCH 19, 2026</t>
  </si>
  <si>
    <t>03/19/2026</t>
  </si>
  <si>
    <t>MARCH 20, 2026</t>
  </si>
  <si>
    <t>03/20/2026</t>
  </si>
  <si>
    <t>9588-9597/9718-9727/9678-9683</t>
  </si>
  <si>
    <t>9598-9600,9801-9804/9728-9737/9685-9690</t>
  </si>
  <si>
    <t>MARCH 23, 2026</t>
  </si>
  <si>
    <t>03/23/2026</t>
  </si>
  <si>
    <t>9805-9816/9738-9741/9691-9698</t>
  </si>
  <si>
    <t>MARCH 24, 2026</t>
  </si>
  <si>
    <t>03/24/2026</t>
  </si>
  <si>
    <t>LOPEZ, GINA GRACE</t>
  </si>
  <si>
    <t>9817-9820/9742-9748/9752-9757</t>
  </si>
  <si>
    <t>MARCH 25, 2026</t>
  </si>
  <si>
    <t>03/25/2026</t>
  </si>
  <si>
    <t>/9749-9750,9851-9853/9699-9700,9758-9761</t>
  </si>
  <si>
    <t>MARCH 26, 2026</t>
  </si>
  <si>
    <t>03/26/2026</t>
  </si>
  <si>
    <t>9822-9827/9854-9866</t>
  </si>
  <si>
    <t>MARCH 27, 2026</t>
  </si>
  <si>
    <t>03/27/2026</t>
  </si>
  <si>
    <t>9828-9839/9867-9873/9762-9772</t>
  </si>
  <si>
    <t>MARCH 30, 2026</t>
  </si>
  <si>
    <t>03/30/2026</t>
  </si>
  <si>
    <t>9840-9845//9773-9780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</si>
</sst>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40" sqref="F4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38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942834.5</v>
      </c>
      <c r="F23" s="14">
        <v>477012</v>
      </c>
      <c r="G23" s="14">
        <v>238612.5</v>
      </c>
      <c r="H23" s="14">
        <v>227210</v>
      </c>
      <c r="I23" s="14"/>
      <c r="J23" s="17">
        <f t="shared" si="1"/>
        <v>942834.5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69</v>
      </c>
      <c r="D25" s="16">
        <f t="shared" si="0"/>
        <v>735472</v>
      </c>
      <c r="F25" s="14"/>
      <c r="G25" s="14">
        <v>382343</v>
      </c>
      <c r="H25" s="14">
        <v>353129</v>
      </c>
      <c r="I25" s="14"/>
      <c r="J25" s="17">
        <f t="shared" si="1"/>
        <v>735472</v>
      </c>
    </row>
    <row r="26" spans="1:10" x14ac:dyDescent="0.25">
      <c r="A26" s="10">
        <f t="shared" si="2"/>
        <v>17</v>
      </c>
      <c r="B26" s="43" t="s">
        <v>8</v>
      </c>
      <c r="C26" s="12" t="s">
        <v>73</v>
      </c>
      <c r="D26" s="16">
        <f t="shared" ref="D26:D29" si="3">J26</f>
        <v>1400157</v>
      </c>
      <c r="F26" s="14">
        <v>672621</v>
      </c>
      <c r="G26" s="14">
        <v>275739</v>
      </c>
      <c r="H26" s="14">
        <v>451797</v>
      </c>
      <c r="I26" s="14"/>
      <c r="J26" s="17">
        <f t="shared" si="1"/>
        <v>1400157</v>
      </c>
    </row>
    <row r="27" spans="1:10" x14ac:dyDescent="0.25">
      <c r="A27" s="10">
        <f t="shared" si="2"/>
        <v>18</v>
      </c>
      <c r="B27" s="56" t="s">
        <v>9</v>
      </c>
      <c r="C27" s="12" t="s">
        <v>76</v>
      </c>
      <c r="D27" s="16">
        <f t="shared" si="3"/>
        <v>876415.52</v>
      </c>
      <c r="F27" s="14">
        <v>347972</v>
      </c>
      <c r="G27" s="14">
        <v>261968.5</v>
      </c>
      <c r="H27" s="14">
        <v>266475.02</v>
      </c>
      <c r="I27" s="14"/>
      <c r="J27" s="17">
        <f t="shared" si="1"/>
        <v>876415.52</v>
      </c>
    </row>
    <row r="28" spans="1:10" x14ac:dyDescent="0.25">
      <c r="A28" s="10">
        <f t="shared" si="2"/>
        <v>19</v>
      </c>
      <c r="B28" s="11" t="s">
        <v>30</v>
      </c>
      <c r="C28" s="12" t="s">
        <v>81</v>
      </c>
      <c r="D28" s="16">
        <f t="shared" si="3"/>
        <v>976940.5</v>
      </c>
      <c r="F28" s="14">
        <v>383624</v>
      </c>
      <c r="G28" s="14">
        <v>227782.5</v>
      </c>
      <c r="H28" s="14">
        <v>365534</v>
      </c>
      <c r="I28" s="14"/>
      <c r="J28" s="17">
        <f t="shared" si="1"/>
        <v>976940.5</v>
      </c>
    </row>
    <row r="29" spans="1:10" x14ac:dyDescent="0.25">
      <c r="A29" s="10">
        <f t="shared" si="2"/>
        <v>20</v>
      </c>
      <c r="B29" s="43" t="s">
        <v>4</v>
      </c>
      <c r="C29" s="12" t="s">
        <v>82</v>
      </c>
      <c r="D29" s="16">
        <f t="shared" si="3"/>
        <v>851652</v>
      </c>
      <c r="F29" s="14">
        <v>293210.5</v>
      </c>
      <c r="G29" s="14">
        <v>293089.5</v>
      </c>
      <c r="H29" s="14">
        <v>265352</v>
      </c>
      <c r="I29" s="14"/>
      <c r="J29" s="17">
        <f t="shared" si="1"/>
        <v>851652</v>
      </c>
    </row>
    <row r="30" spans="1:10" x14ac:dyDescent="0.25">
      <c r="A30" s="10">
        <f t="shared" si="2"/>
        <v>21</v>
      </c>
      <c r="B30" s="56" t="s">
        <v>5</v>
      </c>
      <c r="C30" s="44" t="s">
        <v>64</v>
      </c>
      <c r="D30" s="55" t="s">
        <v>64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 t="s">
        <v>85</v>
      </c>
      <c r="D32" s="16">
        <f t="shared" ref="D32:D39" si="4">J32</f>
        <v>997685.5</v>
      </c>
      <c r="E32" s="15"/>
      <c r="F32" s="15">
        <v>377761</v>
      </c>
      <c r="G32" s="14">
        <v>301093.5</v>
      </c>
      <c r="H32" s="14">
        <v>318831</v>
      </c>
      <c r="I32" s="54"/>
      <c r="J32" s="17">
        <f t="shared" si="1"/>
        <v>997685.5</v>
      </c>
    </row>
    <row r="33" spans="1:10" x14ac:dyDescent="0.25">
      <c r="A33" s="10">
        <f t="shared" si="2"/>
        <v>24</v>
      </c>
      <c r="B33" s="43" t="s">
        <v>8</v>
      </c>
      <c r="C33" s="12" t="s">
        <v>89</v>
      </c>
      <c r="D33" s="16">
        <f t="shared" si="4"/>
        <v>856084.5</v>
      </c>
      <c r="E33" s="15"/>
      <c r="F33" s="15">
        <v>300133</v>
      </c>
      <c r="G33" s="14">
        <v>246541.5</v>
      </c>
      <c r="H33" s="14">
        <v>309410</v>
      </c>
      <c r="I33" s="14"/>
      <c r="J33" s="17">
        <f t="shared" si="1"/>
        <v>856084.5</v>
      </c>
    </row>
    <row r="34" spans="1:10" x14ac:dyDescent="0.25">
      <c r="A34" s="10">
        <f>A33+1</f>
        <v>25</v>
      </c>
      <c r="B34" s="56" t="s">
        <v>9</v>
      </c>
      <c r="C34" s="12" t="s">
        <v>92</v>
      </c>
      <c r="D34" s="16">
        <f t="shared" si="4"/>
        <v>561524</v>
      </c>
      <c r="E34" s="14"/>
      <c r="F34" s="15"/>
      <c r="G34" s="14">
        <v>196855</v>
      </c>
      <c r="H34" s="14">
        <v>364669</v>
      </c>
      <c r="I34" s="14"/>
      <c r="J34" s="17">
        <f t="shared" si="1"/>
        <v>561524</v>
      </c>
    </row>
    <row r="35" spans="1:10" x14ac:dyDescent="0.25">
      <c r="A35" s="10">
        <f t="shared" si="2"/>
        <v>26</v>
      </c>
      <c r="B35" s="11" t="s">
        <v>30</v>
      </c>
      <c r="C35" s="12" t="s">
        <v>95</v>
      </c>
      <c r="D35" s="16">
        <f t="shared" si="4"/>
        <v>590217</v>
      </c>
      <c r="E35" s="14"/>
      <c r="F35" s="14">
        <v>374471</v>
      </c>
      <c r="G35" s="14">
        <v>215746</v>
      </c>
      <c r="H35" s="14"/>
      <c r="I35" s="14"/>
      <c r="J35" s="17">
        <f t="shared" si="1"/>
        <v>590217</v>
      </c>
    </row>
    <row r="36" spans="1:10" x14ac:dyDescent="0.25">
      <c r="A36" s="10">
        <f t="shared" si="2"/>
        <v>27</v>
      </c>
      <c r="B36" s="43" t="s">
        <v>4</v>
      </c>
      <c r="C36" s="12" t="s">
        <v>98</v>
      </c>
      <c r="D36" s="16">
        <f t="shared" si="4"/>
        <v>938712</v>
      </c>
      <c r="E36" s="14"/>
      <c r="F36" s="14">
        <v>200588.5</v>
      </c>
      <c r="G36" s="14">
        <v>324215</v>
      </c>
      <c r="H36" s="14">
        <v>413908.5</v>
      </c>
      <c r="I36" s="14"/>
      <c r="J36" s="17">
        <f t="shared" si="1"/>
        <v>938712</v>
      </c>
    </row>
    <row r="37" spans="1:10" x14ac:dyDescent="0.25">
      <c r="A37" s="10">
        <f t="shared" si="2"/>
        <v>28</v>
      </c>
      <c r="B37" s="56" t="s">
        <v>5</v>
      </c>
      <c r="C37" s="44" t="s">
        <v>64</v>
      </c>
      <c r="D37" s="55" t="s">
        <v>64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 t="s">
        <v>101</v>
      </c>
      <c r="D39" s="16">
        <f t="shared" si="4"/>
        <v>929928.5</v>
      </c>
      <c r="E39" s="14"/>
      <c r="F39" s="14">
        <v>602166</v>
      </c>
      <c r="G39" s="14"/>
      <c r="H39" s="14">
        <v>327762.5</v>
      </c>
      <c r="I39" s="14"/>
      <c r="J39" s="17">
        <f t="shared" si="1"/>
        <v>929928.5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SUM(D2:D41)</f>
        <v>18076801.57</v>
      </c>
      <c r="J42" s="49">
        <f>SUM(J10:J41)</f>
        <v>18076801.57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1181" zoomScaleNormal="100" workbookViewId="0">
      <selection activeCell="A1211" sqref="A121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0" t="s">
        <v>17</v>
      </c>
      <c r="E10" s="120"/>
      <c r="F10" s="75"/>
      <c r="G10" s="27"/>
      <c r="I10" s="118" t="s">
        <v>18</v>
      </c>
      <c r="J10" s="119"/>
      <c r="K10" s="116" t="s">
        <v>19</v>
      </c>
      <c r="N10" s="25"/>
      <c r="O10" s="26"/>
      <c r="P10" s="120" t="s">
        <v>17</v>
      </c>
      <c r="Q10" s="120"/>
      <c r="R10" s="75"/>
      <c r="S10" s="27"/>
      <c r="U10" s="118" t="s">
        <v>18</v>
      </c>
      <c r="V10" s="119"/>
      <c r="W10" s="116" t="s">
        <v>19</v>
      </c>
      <c r="Z10" s="25"/>
      <c r="AA10" s="26"/>
      <c r="AB10" s="120" t="s">
        <v>17</v>
      </c>
      <c r="AC10" s="120"/>
      <c r="AD10" s="75"/>
      <c r="AE10" s="27"/>
      <c r="AG10" s="118" t="s">
        <v>18</v>
      </c>
      <c r="AH10" s="119"/>
      <c r="AI10" s="11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7"/>
    </row>
    <row r="12" spans="1:35" x14ac:dyDescent="0.25">
      <c r="A12" s="10">
        <v>1</v>
      </c>
      <c r="B12" s="30">
        <v>46056</v>
      </c>
      <c r="C12" s="82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2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2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2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2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2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2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2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2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2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2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2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0" t="s">
        <v>17</v>
      </c>
      <c r="E65" s="120"/>
      <c r="F65" s="89"/>
      <c r="G65" s="27"/>
      <c r="I65" s="118" t="s">
        <v>18</v>
      </c>
      <c r="J65" s="119"/>
      <c r="K65" s="116" t="s">
        <v>19</v>
      </c>
      <c r="N65" s="25"/>
      <c r="O65" s="26"/>
      <c r="P65" s="120" t="s">
        <v>17</v>
      </c>
      <c r="Q65" s="120"/>
      <c r="R65" s="89"/>
      <c r="S65" s="27"/>
      <c r="U65" s="118" t="s">
        <v>18</v>
      </c>
      <c r="V65" s="119"/>
      <c r="W65" s="116" t="s">
        <v>19</v>
      </c>
      <c r="Z65" s="25"/>
      <c r="AA65" s="26"/>
      <c r="AB65" s="120" t="s">
        <v>17</v>
      </c>
      <c r="AC65" s="120"/>
      <c r="AD65" s="89"/>
      <c r="AE65" s="27"/>
      <c r="AG65" s="118" t="s">
        <v>18</v>
      </c>
      <c r="AH65" s="119"/>
      <c r="AI65" s="116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7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7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2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5"/>
      <c r="AN67" s="122"/>
      <c r="AO67" s="122"/>
      <c r="AP67" s="85"/>
      <c r="AQ67" s="62"/>
      <c r="AR67" s="122"/>
      <c r="AS67" s="122"/>
      <c r="AT67" s="12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2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2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2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2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2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2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2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2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2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2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2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2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2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2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2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2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2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2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2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2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2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2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2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2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2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2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2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2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2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2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2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2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2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0" t="s">
        <v>17</v>
      </c>
      <c r="E120" s="120"/>
      <c r="F120" s="90"/>
      <c r="G120" s="27"/>
      <c r="I120" s="118" t="s">
        <v>18</v>
      </c>
      <c r="J120" s="119"/>
      <c r="K120" s="116" t="s">
        <v>19</v>
      </c>
      <c r="N120" s="25"/>
      <c r="O120" s="26"/>
      <c r="P120" s="120" t="s">
        <v>17</v>
      </c>
      <c r="Q120" s="120"/>
      <c r="R120" s="90"/>
      <c r="S120" s="27"/>
      <c r="U120" s="118" t="s">
        <v>18</v>
      </c>
      <c r="V120" s="119"/>
      <c r="W120" s="116" t="s">
        <v>19</v>
      </c>
      <c r="Z120" s="25"/>
      <c r="AA120" s="26"/>
      <c r="AB120" s="120" t="s">
        <v>17</v>
      </c>
      <c r="AC120" s="120"/>
      <c r="AD120" s="90"/>
      <c r="AE120" s="27"/>
      <c r="AG120" s="118" t="s">
        <v>18</v>
      </c>
      <c r="AH120" s="119"/>
      <c r="AI120" s="11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7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7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2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2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2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2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2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2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2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2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2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2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2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2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2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2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2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2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7"/>
      <c r="AA167" s="87"/>
      <c r="AB167" s="87"/>
      <c r="AC167" s="87"/>
      <c r="AD167" s="87"/>
      <c r="AE167" s="87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7"/>
      <c r="AA168" s="87"/>
      <c r="AB168" s="87"/>
      <c r="AC168" s="87"/>
      <c r="AD168" s="87"/>
      <c r="AE168" s="87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7"/>
      <c r="AA169" s="87"/>
      <c r="AB169" s="87"/>
      <c r="AC169" s="87"/>
      <c r="AD169" s="87"/>
      <c r="AE169" s="87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7"/>
      <c r="AA170" s="87"/>
      <c r="AB170" s="87"/>
      <c r="AC170" s="87"/>
      <c r="AD170" s="87"/>
      <c r="AE170" s="87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7"/>
      <c r="AA171" s="87"/>
      <c r="AB171" s="87"/>
      <c r="AC171" s="87"/>
      <c r="AD171" s="87"/>
      <c r="AE171" s="87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7"/>
      <c r="AA172" s="87"/>
      <c r="AB172" s="87"/>
      <c r="AC172" s="87"/>
      <c r="AD172" s="87"/>
      <c r="AE172" s="87"/>
      <c r="AF172" s="62"/>
      <c r="AG172" s="87"/>
      <c r="AH172" s="87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7"/>
      <c r="AA173" s="87"/>
      <c r="AB173" s="87"/>
      <c r="AC173" s="87"/>
      <c r="AD173" s="87"/>
      <c r="AE173" s="87"/>
      <c r="AF173" s="62"/>
      <c r="AG173" s="65"/>
      <c r="AH173" s="65"/>
      <c r="AI173" s="62"/>
      <c r="AJ173" s="62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7"/>
      <c r="AA174" s="87"/>
      <c r="AB174" s="87"/>
      <c r="AC174" s="87"/>
      <c r="AD174" s="87"/>
      <c r="AE174" s="87"/>
      <c r="AF174" s="62"/>
      <c r="AG174" s="62"/>
      <c r="AH174" s="62"/>
      <c r="AI174" s="62"/>
      <c r="AJ174" s="62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0" t="s">
        <v>17</v>
      </c>
      <c r="E175" s="120"/>
      <c r="F175" s="91"/>
      <c r="G175" s="27"/>
      <c r="I175" s="118" t="s">
        <v>18</v>
      </c>
      <c r="J175" s="119"/>
      <c r="K175" s="116" t="s">
        <v>19</v>
      </c>
      <c r="N175" s="25"/>
      <c r="O175" s="26"/>
      <c r="P175" s="120" t="s">
        <v>17</v>
      </c>
      <c r="Q175" s="120"/>
      <c r="R175" s="91"/>
      <c r="S175" s="27"/>
      <c r="U175" s="118" t="s">
        <v>18</v>
      </c>
      <c r="V175" s="119"/>
      <c r="W175" s="116" t="s">
        <v>19</v>
      </c>
      <c r="Y175" s="62"/>
      <c r="Z175" s="65"/>
      <c r="AA175" s="87"/>
      <c r="AB175" s="122"/>
      <c r="AC175" s="122"/>
      <c r="AD175" s="87"/>
      <c r="AE175" s="87"/>
      <c r="AF175" s="62"/>
      <c r="AG175" s="122"/>
      <c r="AH175" s="122"/>
      <c r="AI175" s="121"/>
      <c r="AJ175" s="62"/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7"/>
      <c r="Y176" s="62"/>
      <c r="Z176" s="87"/>
      <c r="AA176" s="87"/>
      <c r="AB176" s="79"/>
      <c r="AC176" s="81"/>
      <c r="AD176" s="81"/>
      <c r="AE176" s="81"/>
      <c r="AF176" s="62"/>
      <c r="AG176" s="86"/>
      <c r="AH176" s="86"/>
      <c r="AI176" s="121"/>
      <c r="AJ176" s="62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2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7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2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7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2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7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2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7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7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5"/>
      <c r="AN181" s="122"/>
      <c r="AO181" s="122"/>
      <c r="AP181" s="85"/>
      <c r="AQ181" s="62"/>
      <c r="AR181" s="122"/>
      <c r="AS181" s="122"/>
      <c r="AT181" s="12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2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5"/>
      <c r="AM182" s="85"/>
      <c r="AN182" s="85"/>
      <c r="AO182" s="84"/>
      <c r="AP182" s="84"/>
      <c r="AQ182" s="62"/>
      <c r="AR182" s="84"/>
      <c r="AS182" s="84"/>
      <c r="AT182" s="12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2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7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2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7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2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7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2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7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7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7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7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2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7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7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2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2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7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2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7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7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2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7"/>
      <c r="AB197" s="67"/>
      <c r="AC197" s="87"/>
      <c r="AD197" s="87"/>
      <c r="AE197" s="60"/>
      <c r="AF197" s="62"/>
      <c r="AG197" s="62"/>
      <c r="AH197" s="62"/>
      <c r="AI197" s="61"/>
      <c r="AJ197" s="62"/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7"/>
      <c r="AB198" s="68"/>
      <c r="AC198" s="87"/>
      <c r="AD198" s="87"/>
      <c r="AE198" s="60"/>
      <c r="AF198" s="62"/>
      <c r="AG198" s="62"/>
      <c r="AH198" s="62"/>
      <c r="AI198" s="61"/>
      <c r="AJ198" s="62"/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7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7"/>
      <c r="AB200" s="69"/>
      <c r="AC200" s="87"/>
      <c r="AD200" s="87"/>
      <c r="AE200" s="60"/>
      <c r="AF200" s="62"/>
      <c r="AG200" s="62"/>
      <c r="AH200" s="62"/>
      <c r="AI200" s="61"/>
      <c r="AJ200" s="62"/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7"/>
      <c r="AB201" s="69"/>
      <c r="AC201" s="87"/>
      <c r="AD201" s="87"/>
      <c r="AE201" s="60"/>
      <c r="AF201" s="62"/>
      <c r="AG201" s="62"/>
      <c r="AH201" s="62"/>
      <c r="AI201" s="61"/>
      <c r="AJ201" s="62"/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7"/>
      <c r="AB202" s="69"/>
      <c r="AC202" s="87"/>
      <c r="AD202" s="87"/>
      <c r="AE202" s="60"/>
      <c r="AF202" s="62"/>
      <c r="AG202" s="62"/>
      <c r="AH202" s="62"/>
      <c r="AI202" s="61"/>
      <c r="AJ202" s="62"/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7"/>
      <c r="AB203" s="69"/>
      <c r="AC203" s="87"/>
      <c r="AD203" s="87"/>
      <c r="AE203" s="60"/>
      <c r="AF203" s="62"/>
      <c r="AG203" s="62"/>
      <c r="AH203" s="62"/>
      <c r="AI203" s="61"/>
      <c r="AJ203" s="62"/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7"/>
      <c r="AB204" s="69"/>
      <c r="AC204" s="87"/>
      <c r="AD204" s="87"/>
      <c r="AE204" s="60"/>
      <c r="AF204" s="62"/>
      <c r="AG204" s="62"/>
      <c r="AH204" s="62"/>
      <c r="AI204" s="61"/>
      <c r="AJ204" s="62"/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2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7"/>
      <c r="AB205" s="69"/>
      <c r="AC205" s="87"/>
      <c r="AD205" s="87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7"/>
      <c r="AB206" s="69"/>
      <c r="AC206" s="87"/>
      <c r="AD206" s="87"/>
      <c r="AE206" s="60"/>
      <c r="AF206" s="62"/>
      <c r="AG206" s="62"/>
      <c r="AH206" s="62"/>
      <c r="AI206" s="61"/>
      <c r="AJ206" s="62"/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7"/>
      <c r="AB207" s="69"/>
      <c r="AC207" s="87"/>
      <c r="AD207" s="87"/>
      <c r="AE207" s="60"/>
      <c r="AF207" s="62"/>
      <c r="AG207" s="62"/>
      <c r="AH207" s="62"/>
      <c r="AI207" s="61"/>
      <c r="AJ207" s="62"/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7"/>
      <c r="AB208" s="69"/>
      <c r="AC208" s="87"/>
      <c r="AD208" s="87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7"/>
      <c r="AB209" s="69"/>
      <c r="AC209" s="87"/>
      <c r="AD209" s="87"/>
      <c r="AE209" s="60"/>
      <c r="AF209" s="62"/>
      <c r="AG209" s="62"/>
      <c r="AH209" s="62"/>
      <c r="AI209" s="61"/>
      <c r="AJ209" s="62"/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7"/>
      <c r="AB210" s="69"/>
      <c r="AC210" s="87"/>
      <c r="AD210" s="87"/>
      <c r="AE210" s="60"/>
      <c r="AF210" s="62"/>
      <c r="AG210" s="62"/>
      <c r="AH210" s="62"/>
      <c r="AI210" s="61"/>
      <c r="AJ210" s="62"/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7"/>
      <c r="AB211" s="69"/>
      <c r="AC211" s="87"/>
      <c r="AD211" s="87"/>
      <c r="AE211" s="60"/>
      <c r="AF211" s="62"/>
      <c r="AG211" s="62"/>
      <c r="AH211" s="62"/>
      <c r="AI211" s="61"/>
      <c r="AJ211" s="62"/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7"/>
      <c r="AB212" s="69"/>
      <c r="AC212" s="87"/>
      <c r="AD212" s="87"/>
      <c r="AE212" s="60"/>
      <c r="AF212" s="62"/>
      <c r="AG212" s="62"/>
      <c r="AH212" s="62"/>
      <c r="AI212" s="61"/>
      <c r="AJ212" s="62"/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7"/>
      <c r="AB213" s="69"/>
      <c r="AC213" s="87"/>
      <c r="AD213" s="87"/>
      <c r="AE213" s="60"/>
      <c r="AF213" s="62"/>
      <c r="AG213" s="62"/>
      <c r="AH213" s="62"/>
      <c r="AI213" s="61"/>
      <c r="AJ213" s="62"/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7"/>
      <c r="AB214" s="69"/>
      <c r="AC214" s="87"/>
      <c r="AD214" s="87"/>
      <c r="AE214" s="60"/>
      <c r="AF214" s="62"/>
      <c r="AG214" s="62"/>
      <c r="AH214" s="62"/>
      <c r="AI214" s="61"/>
      <c r="AJ214" s="62"/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7"/>
      <c r="AB215" s="69"/>
      <c r="AC215" s="87"/>
      <c r="AD215" s="87"/>
      <c r="AE215" s="60"/>
      <c r="AF215" s="62"/>
      <c r="AG215" s="62"/>
      <c r="AH215" s="62"/>
      <c r="AI215" s="61"/>
      <c r="AJ215" s="62"/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7"/>
      <c r="AD216" s="87"/>
      <c r="AE216" s="60"/>
      <c r="AF216" s="62"/>
      <c r="AG216" s="62"/>
      <c r="AH216" s="62"/>
      <c r="AI216" s="61"/>
      <c r="AJ216" s="62"/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7"/>
      <c r="AB217" s="69"/>
      <c r="AC217" s="87"/>
      <c r="AD217" s="87"/>
      <c r="AE217" s="60"/>
      <c r="AF217" s="62"/>
      <c r="AG217" s="62"/>
      <c r="AH217" s="62"/>
      <c r="AI217" s="61"/>
      <c r="AJ217" s="62"/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7"/>
      <c r="AA218" s="87"/>
      <c r="AB218" s="87"/>
      <c r="AC218" s="87"/>
      <c r="AD218" s="87"/>
      <c r="AE218" s="87"/>
      <c r="AF218" s="62"/>
      <c r="AG218" s="62"/>
      <c r="AH218" s="62"/>
      <c r="AI218" s="61"/>
      <c r="AJ218" s="62"/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7"/>
      <c r="AA219" s="87"/>
      <c r="AB219" s="87"/>
      <c r="AC219" s="87"/>
      <c r="AD219" s="87"/>
      <c r="AE219" s="87"/>
      <c r="AF219" s="62"/>
      <c r="AG219" s="62"/>
      <c r="AH219" s="62"/>
      <c r="AI219" s="62"/>
      <c r="AJ219" s="62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7"/>
      <c r="AA220" s="87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7"/>
      <c r="C222" s="87"/>
      <c r="D222" s="87"/>
      <c r="E222" s="87"/>
      <c r="F222" s="87"/>
      <c r="G222" s="87"/>
      <c r="H222" s="62"/>
      <c r="I222" s="62"/>
      <c r="J222" s="62"/>
      <c r="K222" s="62"/>
      <c r="L222" s="62"/>
      <c r="M222" s="62"/>
      <c r="N222" s="87"/>
      <c r="O222" s="87"/>
      <c r="P222" s="87"/>
      <c r="Q222" s="87"/>
      <c r="R222" s="87"/>
      <c r="S222" s="87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7"/>
      <c r="C223" s="87"/>
      <c r="D223" s="87"/>
      <c r="E223" s="87"/>
      <c r="F223" s="87"/>
      <c r="G223" s="87"/>
      <c r="H223" s="62"/>
      <c r="I223" s="62"/>
      <c r="J223" s="62"/>
      <c r="K223" s="62"/>
      <c r="L223" s="62"/>
      <c r="M223" s="62"/>
      <c r="N223" s="87"/>
      <c r="O223" s="87"/>
      <c r="P223" s="87"/>
      <c r="Q223" s="87"/>
      <c r="R223" s="87"/>
      <c r="S223" s="87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7"/>
      <c r="C224" s="87"/>
      <c r="D224" s="87"/>
      <c r="E224" s="87"/>
      <c r="F224" s="87"/>
      <c r="G224" s="87"/>
      <c r="H224" s="62"/>
      <c r="I224" s="62"/>
      <c r="J224" s="62"/>
      <c r="K224" s="62"/>
      <c r="L224" s="62"/>
      <c r="M224" s="62"/>
      <c r="N224" s="87"/>
      <c r="O224" s="87"/>
      <c r="P224" s="87"/>
      <c r="Q224" s="87"/>
      <c r="R224" s="87"/>
      <c r="S224" s="87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7"/>
      <c r="C225" s="87"/>
      <c r="D225" s="87"/>
      <c r="E225" s="87"/>
      <c r="F225" s="87"/>
      <c r="G225" s="87"/>
      <c r="H225" s="62"/>
      <c r="I225" s="62"/>
      <c r="J225" s="62"/>
      <c r="K225" s="62"/>
      <c r="L225" s="62"/>
      <c r="M225" s="63"/>
      <c r="N225" s="87"/>
      <c r="O225" s="87"/>
      <c r="P225" s="87"/>
      <c r="Q225" s="87"/>
      <c r="R225" s="87"/>
      <c r="S225" s="87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7"/>
      <c r="C226" s="87"/>
      <c r="D226" s="87"/>
      <c r="E226" s="87"/>
      <c r="F226" s="87"/>
      <c r="G226" s="87"/>
      <c r="H226" s="62"/>
      <c r="I226" s="62"/>
      <c r="J226" s="62"/>
      <c r="K226" s="62"/>
      <c r="L226" s="62"/>
      <c r="M226" s="62"/>
      <c r="N226" s="87"/>
      <c r="O226" s="87"/>
      <c r="P226" s="87"/>
      <c r="Q226" s="87"/>
      <c r="R226" s="87"/>
      <c r="S226" s="87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7"/>
      <c r="C227" s="87"/>
      <c r="D227" s="87"/>
      <c r="E227" s="87"/>
      <c r="F227" s="87"/>
      <c r="G227" s="87"/>
      <c r="H227" s="62"/>
      <c r="I227" s="87"/>
      <c r="J227" s="73"/>
      <c r="K227" s="62"/>
      <c r="L227" s="62"/>
      <c r="M227" s="62"/>
      <c r="N227" s="87"/>
      <c r="O227" s="87"/>
      <c r="P227" s="87"/>
      <c r="Q227" s="87"/>
      <c r="R227" s="87"/>
      <c r="S227" s="87"/>
      <c r="T227" s="62"/>
      <c r="U227" s="87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7"/>
      <c r="C228" s="87"/>
      <c r="D228" s="87"/>
      <c r="E228" s="87"/>
      <c r="F228" s="87"/>
      <c r="G228" s="87"/>
      <c r="H228" s="62"/>
      <c r="I228" s="65"/>
      <c r="J228" s="65"/>
      <c r="K228" s="62"/>
      <c r="L228" s="62"/>
      <c r="M228" s="64"/>
      <c r="N228" s="87"/>
      <c r="O228" s="87"/>
      <c r="P228" s="87"/>
      <c r="Q228" s="87"/>
      <c r="R228" s="87"/>
      <c r="S228" s="87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7"/>
      <c r="C229" s="87"/>
      <c r="D229" s="87"/>
      <c r="E229" s="87"/>
      <c r="F229" s="87"/>
      <c r="G229" s="87"/>
      <c r="H229" s="62"/>
      <c r="I229" s="62"/>
      <c r="J229" s="62"/>
      <c r="K229" s="62"/>
      <c r="L229" s="62"/>
      <c r="M229" s="62"/>
      <c r="N229" s="87"/>
      <c r="O229" s="87"/>
      <c r="P229" s="87"/>
      <c r="Q229" s="87"/>
      <c r="R229" s="87"/>
      <c r="S229" s="87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7"/>
      <c r="D230" s="122"/>
      <c r="E230" s="122"/>
      <c r="F230" s="87"/>
      <c r="G230" s="87"/>
      <c r="H230" s="62"/>
      <c r="I230" s="122"/>
      <c r="J230" s="122"/>
      <c r="K230" s="121"/>
      <c r="L230" s="62"/>
      <c r="M230" s="62"/>
      <c r="N230" s="65"/>
      <c r="O230" s="87"/>
      <c r="P230" s="122"/>
      <c r="Q230" s="122"/>
      <c r="R230" s="87"/>
      <c r="S230" s="87"/>
      <c r="T230" s="62"/>
      <c r="U230" s="122"/>
      <c r="V230" s="122"/>
      <c r="W230" s="121"/>
      <c r="Z230" s="25"/>
      <c r="AA230" s="26"/>
      <c r="AB230" s="120" t="s">
        <v>17</v>
      </c>
      <c r="AC230" s="120"/>
      <c r="AD230" s="92"/>
      <c r="AE230" s="27"/>
      <c r="AG230" s="118" t="s">
        <v>18</v>
      </c>
      <c r="AH230" s="119"/>
      <c r="AI230" s="11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7"/>
      <c r="C231" s="87"/>
      <c r="D231" s="79"/>
      <c r="E231" s="80"/>
      <c r="F231" s="81"/>
      <c r="G231" s="81"/>
      <c r="H231" s="62"/>
      <c r="I231" s="86"/>
      <c r="J231" s="86"/>
      <c r="K231" s="121"/>
      <c r="L231" s="62"/>
      <c r="M231" s="62"/>
      <c r="N231" s="87"/>
      <c r="O231" s="87"/>
      <c r="P231" s="79"/>
      <c r="Q231" s="81"/>
      <c r="R231" s="81"/>
      <c r="S231" s="81"/>
      <c r="T231" s="62"/>
      <c r="U231" s="86"/>
      <c r="V231" s="86"/>
      <c r="W231" s="121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3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7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3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7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3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7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3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7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3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7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3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7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3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7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3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7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3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7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3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7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7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7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7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3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7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3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7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3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7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7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7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3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7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3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7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3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7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3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7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7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7"/>
      <c r="P252" s="88"/>
      <c r="Q252" s="87"/>
      <c r="R252" s="87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3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7"/>
      <c r="P253" s="88"/>
      <c r="Q253" s="87"/>
      <c r="R253" s="87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3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7"/>
      <c r="P254" s="69"/>
      <c r="Q254" s="87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3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7"/>
      <c r="R255" s="87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3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7"/>
      <c r="P256" s="69"/>
      <c r="Q256" s="87"/>
      <c r="R256" s="87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3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7"/>
      <c r="R257" s="87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3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7"/>
      <c r="P258" s="69"/>
      <c r="Q258" s="87"/>
      <c r="R258" s="87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3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7"/>
      <c r="P259" s="69"/>
      <c r="Q259" s="87"/>
      <c r="R259" s="87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7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7"/>
      <c r="P260" s="69"/>
      <c r="Q260" s="87"/>
      <c r="R260" s="87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3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7"/>
      <c r="R261" s="87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3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7"/>
      <c r="P262" s="69"/>
      <c r="Q262" s="87"/>
      <c r="R262" s="87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3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7"/>
      <c r="P263" s="69"/>
      <c r="Q263" s="87"/>
      <c r="R263" s="87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3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7"/>
      <c r="P264" s="69"/>
      <c r="Q264" s="87"/>
      <c r="R264" s="87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3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7"/>
      <c r="P265" s="69"/>
      <c r="Q265" s="87"/>
      <c r="R265" s="87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3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7"/>
      <c r="P266" s="69"/>
      <c r="Q266" s="87"/>
      <c r="R266" s="87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3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7"/>
      <c r="P267" s="69"/>
      <c r="Q267" s="87"/>
      <c r="R267" s="87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7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7"/>
      <c r="R268" s="87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7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7"/>
      <c r="P269" s="69"/>
      <c r="Q269" s="87"/>
      <c r="R269" s="87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7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7"/>
      <c r="P270" s="69"/>
      <c r="Q270" s="87"/>
      <c r="R270" s="87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7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7"/>
      <c r="R271" s="87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7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7"/>
      <c r="P272" s="69"/>
      <c r="Q272" s="87"/>
      <c r="R272" s="87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7"/>
      <c r="O273" s="87"/>
      <c r="P273" s="87"/>
      <c r="Q273" s="87"/>
      <c r="R273" s="87"/>
      <c r="S273" s="87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7"/>
      <c r="C274" s="87"/>
      <c r="D274" s="87"/>
      <c r="E274" s="87"/>
      <c r="F274" s="87"/>
      <c r="G274" s="87"/>
      <c r="H274" s="62"/>
      <c r="I274" s="62"/>
      <c r="J274" s="62"/>
      <c r="K274" s="62"/>
      <c r="L274" s="62"/>
      <c r="M274" s="62"/>
      <c r="N274" s="87"/>
      <c r="O274" s="87"/>
      <c r="P274" s="87"/>
      <c r="Q274" s="87"/>
      <c r="R274" s="87"/>
      <c r="S274" s="87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7"/>
      <c r="C275" s="87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7"/>
      <c r="O275" s="87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0" t="s">
        <v>17</v>
      </c>
      <c r="E285" s="120"/>
      <c r="F285" s="93"/>
      <c r="G285" s="27"/>
      <c r="I285" s="118" t="s">
        <v>18</v>
      </c>
      <c r="J285" s="119"/>
      <c r="K285" s="116" t="s">
        <v>19</v>
      </c>
      <c r="N285" s="25"/>
      <c r="O285" s="26"/>
      <c r="P285" s="120" t="s">
        <v>17</v>
      </c>
      <c r="Q285" s="120"/>
      <c r="R285" s="93"/>
      <c r="S285" s="27"/>
      <c r="U285" s="118" t="s">
        <v>18</v>
      </c>
      <c r="V285" s="119"/>
      <c r="W285" s="116" t="s">
        <v>19</v>
      </c>
      <c r="Z285" s="25"/>
      <c r="AA285" s="26"/>
      <c r="AB285" s="120" t="s">
        <v>17</v>
      </c>
      <c r="AC285" s="120"/>
      <c r="AD285" s="93"/>
      <c r="AE285" s="27"/>
      <c r="AG285" s="118" t="s">
        <v>18</v>
      </c>
      <c r="AH285" s="119"/>
      <c r="AI285" s="11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7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7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2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2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2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2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2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2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2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2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2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2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2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2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2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2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2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2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2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2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2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2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2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2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2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2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2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2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2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2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2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2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2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2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2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2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0" t="s">
        <v>17</v>
      </c>
      <c r="E340" s="120"/>
      <c r="F340" s="94"/>
      <c r="G340" s="27"/>
      <c r="I340" s="118" t="s">
        <v>18</v>
      </c>
      <c r="J340" s="119"/>
      <c r="K340" s="116" t="s">
        <v>19</v>
      </c>
      <c r="N340" s="25"/>
      <c r="O340" s="26"/>
      <c r="P340" s="120" t="s">
        <v>17</v>
      </c>
      <c r="Q340" s="120"/>
      <c r="R340" s="95"/>
      <c r="S340" s="27"/>
      <c r="U340" s="118" t="s">
        <v>18</v>
      </c>
      <c r="V340" s="119"/>
      <c r="W340" s="116" t="s">
        <v>19</v>
      </c>
      <c r="Z340" s="25"/>
      <c r="AA340" s="26"/>
      <c r="AB340" s="120" t="s">
        <v>17</v>
      </c>
      <c r="AC340" s="120"/>
      <c r="AD340" s="95"/>
      <c r="AE340" s="27"/>
      <c r="AG340" s="118" t="s">
        <v>18</v>
      </c>
      <c r="AH340" s="119"/>
      <c r="AI340" s="116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7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7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7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2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2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2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2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2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2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2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2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2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2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2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2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2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2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2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2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2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2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2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2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2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2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2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2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2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2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2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2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2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2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2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2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2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2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0" t="s">
        <v>17</v>
      </c>
      <c r="E395" s="120"/>
      <c r="F395" s="96"/>
      <c r="G395" s="27"/>
      <c r="I395" s="118" t="s">
        <v>18</v>
      </c>
      <c r="J395" s="119"/>
      <c r="K395" s="116" t="s">
        <v>19</v>
      </c>
      <c r="N395" s="25"/>
      <c r="O395" s="26"/>
      <c r="P395" s="120" t="s">
        <v>17</v>
      </c>
      <c r="Q395" s="120"/>
      <c r="R395" s="96"/>
      <c r="S395" s="27"/>
      <c r="U395" s="118" t="s">
        <v>18</v>
      </c>
      <c r="V395" s="119"/>
      <c r="W395" s="116" t="s">
        <v>19</v>
      </c>
      <c r="Z395" s="25"/>
      <c r="AA395" s="26"/>
      <c r="AB395" s="120" t="s">
        <v>17</v>
      </c>
      <c r="AC395" s="120"/>
      <c r="AD395" s="96"/>
      <c r="AE395" s="27"/>
      <c r="AG395" s="118" t="s">
        <v>18</v>
      </c>
      <c r="AH395" s="119"/>
      <c r="AI395" s="116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7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7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2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2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2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2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2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2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2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2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2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2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2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2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2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2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2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2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0" t="s">
        <v>17</v>
      </c>
      <c r="E450" s="120"/>
      <c r="F450" s="97"/>
      <c r="G450" s="27"/>
      <c r="I450" s="118" t="s">
        <v>18</v>
      </c>
      <c r="J450" s="119"/>
      <c r="K450" s="116" t="s">
        <v>19</v>
      </c>
      <c r="N450" s="25"/>
      <c r="O450" s="26"/>
      <c r="P450" s="120" t="s">
        <v>17</v>
      </c>
      <c r="Q450" s="120"/>
      <c r="R450" s="97"/>
      <c r="S450" s="27"/>
      <c r="U450" s="118" t="s">
        <v>18</v>
      </c>
      <c r="V450" s="119"/>
      <c r="W450" s="116" t="s">
        <v>19</v>
      </c>
      <c r="Z450" s="25"/>
      <c r="AA450" s="26"/>
      <c r="AB450" s="120" t="s">
        <v>17</v>
      </c>
      <c r="AC450" s="120"/>
      <c r="AD450" s="97"/>
      <c r="AE450" s="27"/>
      <c r="AG450" s="118" t="s">
        <v>18</v>
      </c>
      <c r="AH450" s="119"/>
      <c r="AI450" s="116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7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7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2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2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2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2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2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2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2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2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2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2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2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2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2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2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2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2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2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2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2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2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2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2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2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2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2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2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2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2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2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2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2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2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2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0" t="s">
        <v>17</v>
      </c>
      <c r="E505" s="120"/>
      <c r="F505" s="98"/>
      <c r="G505" s="27"/>
      <c r="I505" s="118" t="s">
        <v>18</v>
      </c>
      <c r="J505" s="119"/>
      <c r="K505" s="116" t="s">
        <v>19</v>
      </c>
      <c r="N505" s="25"/>
      <c r="O505" s="26"/>
      <c r="P505" s="120" t="s">
        <v>17</v>
      </c>
      <c r="Q505" s="120"/>
      <c r="R505" s="98"/>
      <c r="S505" s="27"/>
      <c r="U505" s="118" t="s">
        <v>18</v>
      </c>
      <c r="V505" s="119"/>
      <c r="W505" s="116" t="s">
        <v>19</v>
      </c>
      <c r="Z505" s="25"/>
      <c r="AA505" s="26"/>
      <c r="AB505" s="120" t="s">
        <v>17</v>
      </c>
      <c r="AC505" s="120"/>
      <c r="AD505" s="98"/>
      <c r="AE505" s="27"/>
      <c r="AG505" s="118" t="s">
        <v>18</v>
      </c>
      <c r="AH505" s="119"/>
      <c r="AI505" s="116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7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7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7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2">
        <v>9559</v>
      </c>
      <c r="D507" s="32">
        <f>650*8</f>
        <v>5200</v>
      </c>
      <c r="E507" s="32"/>
      <c r="F507" s="32"/>
      <c r="G507" s="32">
        <f t="shared" ref="G507:G540" si="141">SUM(D507:E507)</f>
        <v>5200</v>
      </c>
      <c r="H507" s="12"/>
      <c r="I507" s="12"/>
      <c r="J507" s="12"/>
      <c r="K507" s="12">
        <f t="shared" ref="K507:K540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2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39" si="143">SUM(P508:Q508)</f>
        <v>3845</v>
      </c>
      <c r="T508" s="12"/>
      <c r="U508" s="12"/>
      <c r="V508" s="12"/>
      <c r="W508" s="12">
        <f t="shared" ref="W508:W548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16" si="145">SUM(AB508:AC508)</f>
        <v>103706</v>
      </c>
      <c r="AF508" s="12"/>
      <c r="AG508" s="12"/>
      <c r="AH508" s="12"/>
      <c r="AI508" s="12">
        <f t="shared" ref="AI508:AI548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2">
        <f t="shared" ref="C509:C515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18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13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2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2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2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2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2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2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2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39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2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2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2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2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2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2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2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2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2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2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2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F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53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53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53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0" t="s">
        <v>17</v>
      </c>
      <c r="E560" s="120"/>
      <c r="F560" s="99"/>
      <c r="G560" s="27"/>
      <c r="I560" s="118" t="s">
        <v>18</v>
      </c>
      <c r="J560" s="119"/>
      <c r="K560" s="116" t="s">
        <v>19</v>
      </c>
      <c r="N560" s="25"/>
      <c r="O560" s="26"/>
      <c r="P560" s="120" t="s">
        <v>17</v>
      </c>
      <c r="Q560" s="120"/>
      <c r="R560" s="99"/>
      <c r="S560" s="27"/>
      <c r="U560" s="118" t="s">
        <v>18</v>
      </c>
      <c r="V560" s="119"/>
      <c r="W560" s="116" t="s">
        <v>19</v>
      </c>
      <c r="Z560" s="25"/>
      <c r="AA560" s="26"/>
      <c r="AB560" s="120" t="s">
        <v>17</v>
      </c>
      <c r="AC560" s="120"/>
      <c r="AD560" s="99"/>
      <c r="AE560" s="27"/>
      <c r="AG560" s="118" t="s">
        <v>18</v>
      </c>
      <c r="AH560" s="119"/>
      <c r="AI560" s="116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7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7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7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2">
        <v>9568</v>
      </c>
      <c r="D562" s="32">
        <f>650*21</f>
        <v>13650</v>
      </c>
      <c r="E562" s="32"/>
      <c r="F562" s="32"/>
      <c r="G562" s="32">
        <f t="shared" ref="G562:G595" si="158">SUM(D562:E562)</f>
        <v>13650</v>
      </c>
      <c r="H562" s="12"/>
      <c r="I562" s="12"/>
      <c r="J562" s="12"/>
      <c r="K562" s="12">
        <f t="shared" ref="K562:K595" si="159">SUM(G562:J562)</f>
        <v>13650</v>
      </c>
      <c r="M562" s="10">
        <v>1</v>
      </c>
      <c r="N562" s="30" t="s">
        <v>66</v>
      </c>
      <c r="O562" s="31">
        <v>9636</v>
      </c>
      <c r="P562" s="32">
        <f>650*7+622*3</f>
        <v>6416</v>
      </c>
      <c r="Q562" s="32"/>
      <c r="R562" s="32"/>
      <c r="S562" s="32">
        <f>SUM(P562:Q562)</f>
        <v>6416</v>
      </c>
      <c r="T562" s="12"/>
      <c r="U562" s="12"/>
      <c r="V562" s="12">
        <v>-666</v>
      </c>
      <c r="W562" s="12">
        <f>SUM(S562:V562)</f>
        <v>5750</v>
      </c>
      <c r="Y562" s="10">
        <v>1</v>
      </c>
      <c r="Z562" s="30" t="s">
        <v>66</v>
      </c>
      <c r="AA562" s="31">
        <v>9545</v>
      </c>
      <c r="AB562" s="32">
        <f>25*650+622*5</f>
        <v>19360</v>
      </c>
      <c r="AC562" s="32"/>
      <c r="AD562" s="32"/>
      <c r="AE562" s="32">
        <f>SUM(AB562:AC562)</f>
        <v>19360</v>
      </c>
      <c r="AF562" s="12"/>
      <c r="AG562" s="12">
        <v>198</v>
      </c>
      <c r="AH562" s="12"/>
      <c r="AI562" s="12">
        <f>SUM(AE562:AH562)</f>
        <v>19558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2">
        <f>C562+1</f>
        <v>9569</v>
      </c>
      <c r="D563" s="32">
        <f>650*9</f>
        <v>5850</v>
      </c>
      <c r="E563" s="32">
        <f>-9*6</f>
        <v>-54</v>
      </c>
      <c r="F563" s="32"/>
      <c r="G563" s="32">
        <f t="shared" si="158"/>
        <v>5796</v>
      </c>
      <c r="H563" s="12"/>
      <c r="I563" s="12"/>
      <c r="J563" s="12"/>
      <c r="K563" s="12">
        <f t="shared" si="159"/>
        <v>5796</v>
      </c>
      <c r="M563" s="10">
        <v>2</v>
      </c>
      <c r="N563" s="30" t="s">
        <v>66</v>
      </c>
      <c r="O563" s="31">
        <f>O562+1</f>
        <v>9637</v>
      </c>
      <c r="P563" s="32">
        <f>650*100+670*5+622*20+229*3</f>
        <v>81477</v>
      </c>
      <c r="Q563" s="32"/>
      <c r="R563" s="32"/>
      <c r="S563" s="32">
        <f t="shared" ref="S563:S594" si="160">SUM(P563:Q563)</f>
        <v>81477</v>
      </c>
      <c r="T563" s="12"/>
      <c r="U563" s="12"/>
      <c r="V563" s="12">
        <f>-111*10</f>
        <v>-1110</v>
      </c>
      <c r="W563" s="12">
        <f t="shared" ref="W563:W603" si="161">SUM(S563:V563)</f>
        <v>80367</v>
      </c>
      <c r="Y563" s="10">
        <v>2</v>
      </c>
      <c r="Z563" s="30" t="s">
        <v>66</v>
      </c>
      <c r="AA563" s="31">
        <f>AA562+1</f>
        <v>9546</v>
      </c>
      <c r="AB563" s="32">
        <f>650*50+229*2</f>
        <v>32958</v>
      </c>
      <c r="AC563" s="32">
        <f>-50*6</f>
        <v>-300</v>
      </c>
      <c r="AD563" s="32"/>
      <c r="AE563" s="32">
        <f t="shared" ref="AE563:AE571" si="162">SUM(AB563:AC563)</f>
        <v>32658</v>
      </c>
      <c r="AF563" s="12"/>
      <c r="AG563" s="12"/>
      <c r="AH563" s="12"/>
      <c r="AI563" s="12">
        <f t="shared" ref="AI563:AI603" si="163">SUM(AE563:AH563)</f>
        <v>32658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82">
        <f t="shared" ref="C564:C568" si="164">C563+1</f>
        <v>9570</v>
      </c>
      <c r="D564" s="33">
        <f>650*116+622*10+229</f>
        <v>81849</v>
      </c>
      <c r="E564" s="33"/>
      <c r="F564" s="33"/>
      <c r="G564" s="33">
        <f t="shared" si="158"/>
        <v>81849</v>
      </c>
      <c r="H564" s="34"/>
      <c r="I564" s="34"/>
      <c r="J564" s="34"/>
      <c r="K564" s="34">
        <f t="shared" si="159"/>
        <v>81849</v>
      </c>
      <c r="M564" s="10">
        <v>3</v>
      </c>
      <c r="N564" s="30" t="s">
        <v>66</v>
      </c>
      <c r="O564" s="31">
        <f t="shared" ref="O564:O576" si="165">O563+1</f>
        <v>9638</v>
      </c>
      <c r="P564" s="32">
        <f>650*4+9.5*4</f>
        <v>2638</v>
      </c>
      <c r="Q564" s="32"/>
      <c r="R564" s="32"/>
      <c r="S564" s="32">
        <f t="shared" si="160"/>
        <v>2638</v>
      </c>
      <c r="T564" s="12"/>
      <c r="U564" s="12"/>
      <c r="V564" s="12"/>
      <c r="W564" s="12">
        <f t="shared" si="161"/>
        <v>2638</v>
      </c>
      <c r="Y564" s="10">
        <v>3</v>
      </c>
      <c r="Z564" s="30" t="s">
        <v>66</v>
      </c>
      <c r="AA564" s="31">
        <f t="shared" ref="AA564:AA572" si="166">AA563+1</f>
        <v>9547</v>
      </c>
      <c r="AB564" s="33">
        <f>650*108+229*4</f>
        <v>71116</v>
      </c>
      <c r="AC564" s="33">
        <f>-108*6</f>
        <v>-648</v>
      </c>
      <c r="AD564" s="32"/>
      <c r="AE564" s="32">
        <f t="shared" si="162"/>
        <v>70468</v>
      </c>
      <c r="AF564" s="12"/>
      <c r="AG564" s="12">
        <v>63</v>
      </c>
      <c r="AH564" s="12"/>
      <c r="AI564" s="12">
        <f t="shared" si="163"/>
        <v>70531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82">
        <f t="shared" si="164"/>
        <v>9571</v>
      </c>
      <c r="D565" s="32">
        <f>650*324+229*13</f>
        <v>213577</v>
      </c>
      <c r="E565" s="32">
        <f>-324*6</f>
        <v>-1944</v>
      </c>
      <c r="F565" s="32"/>
      <c r="G565" s="32">
        <f t="shared" si="158"/>
        <v>211633</v>
      </c>
      <c r="H565" s="12"/>
      <c r="I565" s="12">
        <v>432</v>
      </c>
      <c r="J565" s="12">
        <f>-158*111</f>
        <v>-17538</v>
      </c>
      <c r="K565" s="12">
        <f t="shared" si="159"/>
        <v>194527</v>
      </c>
      <c r="M565" s="10">
        <v>4</v>
      </c>
      <c r="N565" s="30" t="s">
        <v>66</v>
      </c>
      <c r="O565" s="31">
        <f t="shared" si="165"/>
        <v>9639</v>
      </c>
      <c r="P565" s="32">
        <f>650*3+670*3+9.5*3</f>
        <v>3988.5</v>
      </c>
      <c r="Q565" s="32"/>
      <c r="R565" s="32"/>
      <c r="S565" s="32">
        <f t="shared" si="160"/>
        <v>3988.5</v>
      </c>
      <c r="T565" s="12"/>
      <c r="U565" s="12"/>
      <c r="V565" s="12"/>
      <c r="W565" s="12">
        <f t="shared" si="161"/>
        <v>3988.5</v>
      </c>
      <c r="Y565" s="10">
        <v>4</v>
      </c>
      <c r="Z565" s="30" t="s">
        <v>66</v>
      </c>
      <c r="AA565" s="31">
        <f t="shared" si="166"/>
        <v>9548</v>
      </c>
      <c r="AB565" s="32">
        <f>650*12+622</f>
        <v>8422</v>
      </c>
      <c r="AC565" s="32"/>
      <c r="AD565" s="32"/>
      <c r="AE565" s="32">
        <f t="shared" si="162"/>
        <v>8422</v>
      </c>
      <c r="AF565" s="12"/>
      <c r="AG565" s="58"/>
      <c r="AH565" s="12">
        <f>-111*12</f>
        <v>-1332</v>
      </c>
      <c r="AI565" s="12">
        <f t="shared" si="163"/>
        <v>7090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82">
        <f t="shared" si="164"/>
        <v>9572</v>
      </c>
      <c r="D566" s="32">
        <f>650*50+622*10</f>
        <v>38720</v>
      </c>
      <c r="E566" s="32"/>
      <c r="F566" s="32"/>
      <c r="G566" s="32">
        <f t="shared" si="158"/>
        <v>38720</v>
      </c>
      <c r="H566" s="12"/>
      <c r="I566" s="12"/>
      <c r="J566" s="12"/>
      <c r="K566" s="12">
        <f t="shared" si="159"/>
        <v>38720</v>
      </c>
      <c r="M566" s="10">
        <v>5</v>
      </c>
      <c r="N566" s="30" t="s">
        <v>66</v>
      </c>
      <c r="O566" s="31">
        <f t="shared" si="165"/>
        <v>9640</v>
      </c>
      <c r="P566" s="32">
        <f>650*35+9.5*5+650*2</f>
        <v>24097.5</v>
      </c>
      <c r="Q566" s="32"/>
      <c r="R566" s="32"/>
      <c r="S566" s="32">
        <f t="shared" si="160"/>
        <v>24097.5</v>
      </c>
      <c r="T566" s="12"/>
      <c r="U566" s="12">
        <f>4.5*15</f>
        <v>67.5</v>
      </c>
      <c r="V566" s="12"/>
      <c r="W566" s="12">
        <f t="shared" si="161"/>
        <v>24165</v>
      </c>
      <c r="Y566" s="10">
        <v>5</v>
      </c>
      <c r="Z566" s="30" t="s">
        <v>66</v>
      </c>
      <c r="AA566" s="31">
        <f t="shared" si="166"/>
        <v>9549</v>
      </c>
      <c r="AB566" s="32">
        <f>650*12+622*2+9.5*12</f>
        <v>9158</v>
      </c>
      <c r="AC566" s="32"/>
      <c r="AD566" s="32"/>
      <c r="AE566" s="32">
        <f t="shared" si="162"/>
        <v>9158</v>
      </c>
      <c r="AF566" s="12"/>
      <c r="AG566" s="12">
        <f>1.5*12</f>
        <v>18</v>
      </c>
      <c r="AH566" s="12"/>
      <c r="AI566" s="12">
        <f t="shared" si="163"/>
        <v>9176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82">
        <f t="shared" si="164"/>
        <v>9573</v>
      </c>
      <c r="D567" s="32">
        <f>650*125+700*5+670*4+622*10+912*3+1050+872+229*6+650*2+500</f>
        <v>101482</v>
      </c>
      <c r="E567" s="32"/>
      <c r="F567" s="32"/>
      <c r="G567" s="32">
        <f t="shared" si="158"/>
        <v>101482</v>
      </c>
      <c r="H567" s="12"/>
      <c r="I567" s="12">
        <f>78*6+4.5*48</f>
        <v>684</v>
      </c>
      <c r="J567" s="12"/>
      <c r="K567" s="12">
        <f t="shared" si="159"/>
        <v>102166</v>
      </c>
      <c r="M567" s="10">
        <v>6</v>
      </c>
      <c r="N567" s="30" t="s">
        <v>66</v>
      </c>
      <c r="O567" s="31">
        <f t="shared" si="165"/>
        <v>9641</v>
      </c>
      <c r="P567" s="32">
        <f>650*3+9.5*3</f>
        <v>1978.5</v>
      </c>
      <c r="Q567" s="32"/>
      <c r="R567" s="32"/>
      <c r="S567" s="32">
        <f t="shared" si="160"/>
        <v>1978.5</v>
      </c>
      <c r="T567" s="12"/>
      <c r="U567" s="12"/>
      <c r="V567" s="10"/>
      <c r="W567" s="12">
        <f t="shared" si="161"/>
        <v>1978.5</v>
      </c>
      <c r="Y567" s="10">
        <v>6</v>
      </c>
      <c r="Z567" s="30" t="s">
        <v>66</v>
      </c>
      <c r="AA567" s="31">
        <f t="shared" si="166"/>
        <v>9550</v>
      </c>
      <c r="AB567" s="32">
        <f>650*20+229*2</f>
        <v>13458</v>
      </c>
      <c r="AC567" s="32"/>
      <c r="AD567" s="32"/>
      <c r="AE567" s="32">
        <f t="shared" si="162"/>
        <v>13458</v>
      </c>
      <c r="AF567" s="12"/>
      <c r="AG567" s="12"/>
      <c r="AH567" s="10"/>
      <c r="AI567" s="12">
        <f t="shared" si="163"/>
        <v>13458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82">
        <f t="shared" si="164"/>
        <v>9574</v>
      </c>
      <c r="D568" s="32">
        <f>650*31+622*6</f>
        <v>23882</v>
      </c>
      <c r="E568" s="32"/>
      <c r="F568" s="32"/>
      <c r="G568" s="32">
        <f t="shared" si="158"/>
        <v>23882</v>
      </c>
      <c r="H568" s="12"/>
      <c r="I568" s="12"/>
      <c r="J568" s="12">
        <f>-111*22</f>
        <v>-2442</v>
      </c>
      <c r="K568" s="12">
        <f t="shared" si="159"/>
        <v>21440</v>
      </c>
      <c r="M568" s="10">
        <v>7</v>
      </c>
      <c r="N568" s="30" t="s">
        <v>66</v>
      </c>
      <c r="O568" s="31">
        <f t="shared" si="165"/>
        <v>9642</v>
      </c>
      <c r="P568" s="32">
        <f>650*52+622*7+229+650</f>
        <v>39033</v>
      </c>
      <c r="Q568" s="32"/>
      <c r="R568" s="32"/>
      <c r="S568" s="32">
        <f t="shared" si="160"/>
        <v>39033</v>
      </c>
      <c r="T568" s="12"/>
      <c r="U568" s="12">
        <v>189</v>
      </c>
      <c r="V568" s="12"/>
      <c r="W568" s="12">
        <f t="shared" si="161"/>
        <v>39222</v>
      </c>
      <c r="Y568" s="10">
        <v>7</v>
      </c>
      <c r="Z568" s="30" t="s">
        <v>66</v>
      </c>
      <c r="AA568" s="31">
        <v>9653</v>
      </c>
      <c r="AB568" s="32">
        <f>650*50+622*3+229*2</f>
        <v>34824</v>
      </c>
      <c r="AC568" s="32">
        <f>-53*6</f>
        <v>-318</v>
      </c>
      <c r="AD568" s="32"/>
      <c r="AE568" s="32">
        <f t="shared" si="162"/>
        <v>34506</v>
      </c>
      <c r="AF568" s="12"/>
      <c r="AG568" s="58"/>
      <c r="AH568" s="12"/>
      <c r="AI568" s="12">
        <f t="shared" si="163"/>
        <v>34506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11" t="s">
        <v>27</v>
      </c>
      <c r="D569" s="32"/>
      <c r="E569" s="32"/>
      <c r="F569" s="32"/>
      <c r="G569" s="32">
        <f t="shared" si="158"/>
        <v>0</v>
      </c>
      <c r="H569" s="12"/>
      <c r="I569" s="12"/>
      <c r="J569" s="12"/>
      <c r="K569" s="12">
        <f t="shared" si="159"/>
        <v>0</v>
      </c>
      <c r="M569" s="10">
        <v>8</v>
      </c>
      <c r="N569" s="30" t="s">
        <v>66</v>
      </c>
      <c r="O569" s="31">
        <f t="shared" si="165"/>
        <v>9643</v>
      </c>
      <c r="P569" s="32">
        <f>650*3+9.5*3</f>
        <v>1978.5</v>
      </c>
      <c r="Q569" s="32"/>
      <c r="R569" s="32"/>
      <c r="S569" s="32">
        <f t="shared" si="160"/>
        <v>1978.5</v>
      </c>
      <c r="T569" s="12"/>
      <c r="U569" s="12">
        <v>81</v>
      </c>
      <c r="V569" s="12"/>
      <c r="W569" s="12">
        <f t="shared" si="161"/>
        <v>2059.5</v>
      </c>
      <c r="Y569" s="10">
        <v>8</v>
      </c>
      <c r="Z569" s="30" t="s">
        <v>66</v>
      </c>
      <c r="AA569" s="31">
        <f>AA568+1</f>
        <v>9654</v>
      </c>
      <c r="AB569" s="32">
        <f>650*4+670*6</f>
        <v>6620</v>
      </c>
      <c r="AC569" s="32"/>
      <c r="AE569" s="32">
        <f t="shared" si="162"/>
        <v>6620</v>
      </c>
      <c r="AF569" s="12"/>
      <c r="AG569" s="12"/>
      <c r="AH569" s="12"/>
      <c r="AI569" s="12">
        <f t="shared" si="163"/>
        <v>6620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2"/>
      <c r="D570" s="32"/>
      <c r="E570" s="32"/>
      <c r="F570" s="32"/>
      <c r="G570" s="32">
        <f t="shared" si="158"/>
        <v>0</v>
      </c>
      <c r="H570" s="12"/>
      <c r="I570" s="12"/>
      <c r="J570" s="12"/>
      <c r="K570" s="12">
        <f t="shared" si="159"/>
        <v>0</v>
      </c>
      <c r="M570" s="10">
        <v>9</v>
      </c>
      <c r="N570" s="30" t="s">
        <v>66</v>
      </c>
      <c r="O570" s="31">
        <f t="shared" si="165"/>
        <v>9644</v>
      </c>
      <c r="P570" s="32">
        <f>650*10+9.5*10</f>
        <v>6595</v>
      </c>
      <c r="Q570" s="32"/>
      <c r="R570" s="32"/>
      <c r="S570" s="32">
        <f t="shared" si="160"/>
        <v>6595</v>
      </c>
      <c r="T570" s="12"/>
      <c r="U570" s="12"/>
      <c r="V570" s="12">
        <v>-666</v>
      </c>
      <c r="W570" s="12">
        <f t="shared" si="161"/>
        <v>5929</v>
      </c>
      <c r="Y570" s="10">
        <v>9</v>
      </c>
      <c r="Z570" s="30" t="s">
        <v>66</v>
      </c>
      <c r="AA570" s="31">
        <f t="shared" si="166"/>
        <v>9655</v>
      </c>
      <c r="AB570" s="32">
        <f>670*10</f>
        <v>6700</v>
      </c>
      <c r="AC570" s="32"/>
      <c r="AD570" s="32"/>
      <c r="AE570" s="32">
        <f t="shared" si="162"/>
        <v>6700</v>
      </c>
      <c r="AF570" s="12"/>
      <c r="AH570" s="12"/>
      <c r="AI570" s="12">
        <f t="shared" si="163"/>
        <v>6700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D571" s="32"/>
      <c r="E571" s="32"/>
      <c r="F571" s="32"/>
      <c r="G571" s="32">
        <f t="shared" si="158"/>
        <v>0</v>
      </c>
      <c r="H571" s="12"/>
      <c r="I571" s="12"/>
      <c r="J571" s="12"/>
      <c r="K571" s="12">
        <f t="shared" si="159"/>
        <v>0</v>
      </c>
      <c r="M571" s="10">
        <v>10</v>
      </c>
      <c r="N571" s="30" t="s">
        <v>66</v>
      </c>
      <c r="O571" s="31">
        <f t="shared" si="165"/>
        <v>9645</v>
      </c>
      <c r="P571" s="32">
        <f>650*6+9.5*6</f>
        <v>3957</v>
      </c>
      <c r="Q571" s="32"/>
      <c r="R571" s="32"/>
      <c r="S571" s="32">
        <f t="shared" si="160"/>
        <v>3957</v>
      </c>
      <c r="T571" s="12"/>
      <c r="U571" s="12">
        <f>111+1.5*6</f>
        <v>120</v>
      </c>
      <c r="V571" s="12"/>
      <c r="W571" s="12">
        <f t="shared" si="161"/>
        <v>4077</v>
      </c>
      <c r="Y571" s="10">
        <v>10</v>
      </c>
      <c r="Z571" s="30" t="s">
        <v>66</v>
      </c>
      <c r="AA571" s="31">
        <f t="shared" si="166"/>
        <v>9656</v>
      </c>
      <c r="AB571" s="32">
        <f>650*20</f>
        <v>13000</v>
      </c>
      <c r="AC571" s="32"/>
      <c r="AD571" s="32"/>
      <c r="AE571" s="32">
        <f t="shared" si="162"/>
        <v>13000</v>
      </c>
      <c r="AF571" s="12"/>
      <c r="AG571" s="12"/>
      <c r="AH571" s="12"/>
      <c r="AI571" s="12">
        <f t="shared" si="163"/>
        <v>13000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2"/>
      <c r="D572" s="32"/>
      <c r="E572" s="32"/>
      <c r="F572" s="32"/>
      <c r="G572" s="32">
        <f t="shared" si="158"/>
        <v>0</v>
      </c>
      <c r="H572" s="12"/>
      <c r="I572" s="12"/>
      <c r="J572" s="12"/>
      <c r="K572" s="12">
        <f t="shared" si="159"/>
        <v>0</v>
      </c>
      <c r="M572" s="10">
        <v>11</v>
      </c>
      <c r="N572" s="30" t="s">
        <v>66</v>
      </c>
      <c r="O572" s="31">
        <f t="shared" si="165"/>
        <v>9646</v>
      </c>
      <c r="P572" s="32">
        <f>650*5+47.5</f>
        <v>3297.5</v>
      </c>
      <c r="Q572" s="32"/>
      <c r="R572" s="32"/>
      <c r="S572" s="32">
        <f t="shared" si="160"/>
        <v>3297.5</v>
      </c>
      <c r="T572" s="12"/>
      <c r="U572" s="12"/>
      <c r="V572" s="12">
        <f>-444+-252</f>
        <v>-696</v>
      </c>
      <c r="W572" s="12">
        <f t="shared" si="161"/>
        <v>2601.5</v>
      </c>
      <c r="Y572" s="10">
        <v>11</v>
      </c>
      <c r="Z572" s="30" t="s">
        <v>66</v>
      </c>
      <c r="AA572" s="31">
        <f t="shared" si="166"/>
        <v>9657</v>
      </c>
      <c r="AB572" s="32">
        <f>650*15+622*5</f>
        <v>12860</v>
      </c>
      <c r="AC572" s="32"/>
      <c r="AD572" s="32"/>
      <c r="AE572" s="32">
        <f t="shared" ref="AE572:AE594" si="167">SUM(AB572:AC572)</f>
        <v>12860</v>
      </c>
      <c r="AF572" s="12"/>
      <c r="AG572" s="12"/>
      <c r="AH572" s="12"/>
      <c r="AI572" s="12">
        <f t="shared" si="163"/>
        <v>12860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2"/>
      <c r="D573" s="32"/>
      <c r="E573" s="32"/>
      <c r="F573" s="32"/>
      <c r="G573" s="32">
        <f t="shared" si="158"/>
        <v>0</v>
      </c>
      <c r="H573" s="12"/>
      <c r="I573" s="12"/>
      <c r="J573" s="10"/>
      <c r="K573" s="12">
        <f t="shared" si="159"/>
        <v>0</v>
      </c>
      <c r="M573" s="10">
        <v>12</v>
      </c>
      <c r="N573" s="30" t="s">
        <v>66</v>
      </c>
      <c r="O573" s="31">
        <f t="shared" si="165"/>
        <v>9647</v>
      </c>
      <c r="P573" s="32">
        <f>650*13+872+9.5*13</f>
        <v>9445.5</v>
      </c>
      <c r="Q573" s="32"/>
      <c r="R573" s="32"/>
      <c r="S573" s="32">
        <f t="shared" si="160"/>
        <v>9445.5</v>
      </c>
      <c r="T573" s="12"/>
      <c r="U573" s="12">
        <v>13.5</v>
      </c>
      <c r="V573" s="12"/>
      <c r="W573" s="12">
        <f t="shared" si="161"/>
        <v>9459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67"/>
        <v>0</v>
      </c>
      <c r="AF573" s="12"/>
      <c r="AG573" s="12"/>
      <c r="AH573" s="12"/>
      <c r="AI573" s="12">
        <f t="shared" si="16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2"/>
      <c r="D574" s="32"/>
      <c r="E574" s="32"/>
      <c r="F574" s="32"/>
      <c r="G574" s="32">
        <f t="shared" si="158"/>
        <v>0</v>
      </c>
      <c r="H574" s="12"/>
      <c r="I574" s="12"/>
      <c r="J574" s="12"/>
      <c r="K574" s="12">
        <f t="shared" si="159"/>
        <v>0</v>
      </c>
      <c r="M574" s="10">
        <v>13</v>
      </c>
      <c r="N574" s="30" t="s">
        <v>66</v>
      </c>
      <c r="O574" s="31">
        <f t="shared" si="165"/>
        <v>9648</v>
      </c>
      <c r="P574" s="32">
        <f>650*9+9.5*9</f>
        <v>5935.5</v>
      </c>
      <c r="Q574" s="32"/>
      <c r="R574" s="32"/>
      <c r="S574" s="32">
        <f t="shared" si="160"/>
        <v>5935.5</v>
      </c>
      <c r="T574" s="12"/>
      <c r="U574" s="12">
        <v>67.5</v>
      </c>
      <c r="V574" s="12"/>
      <c r="W574" s="12">
        <f t="shared" si="161"/>
        <v>6003</v>
      </c>
      <c r="Y574" s="10">
        <v>13</v>
      </c>
      <c r="Z574" s="30"/>
      <c r="AA574" s="31"/>
      <c r="AB574" s="32"/>
      <c r="AC574" s="32"/>
      <c r="AD574" s="32"/>
      <c r="AE574" s="32">
        <f t="shared" si="167"/>
        <v>0</v>
      </c>
      <c r="AF574" s="12"/>
      <c r="AG574" s="12"/>
      <c r="AH574" s="12"/>
      <c r="AI574" s="12">
        <f t="shared" si="16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2"/>
      <c r="D575" s="32"/>
      <c r="E575" s="32"/>
      <c r="F575" s="32"/>
      <c r="G575" s="32">
        <f t="shared" si="158"/>
        <v>0</v>
      </c>
      <c r="H575" s="12"/>
      <c r="I575" s="12"/>
      <c r="J575" s="12"/>
      <c r="K575" s="12">
        <f t="shared" si="159"/>
        <v>0</v>
      </c>
      <c r="M575" s="10">
        <v>14</v>
      </c>
      <c r="N575" s="30" t="s">
        <v>66</v>
      </c>
      <c r="O575" s="31">
        <f t="shared" si="165"/>
        <v>9649</v>
      </c>
      <c r="P575" s="32">
        <f>650*8+700*2+622</f>
        <v>7222</v>
      </c>
      <c r="Q575" s="32"/>
      <c r="R575" s="32"/>
      <c r="S575" s="32">
        <f t="shared" si="160"/>
        <v>7222</v>
      </c>
      <c r="T575" s="12"/>
      <c r="U575" s="12"/>
      <c r="V575" s="12">
        <v>-120</v>
      </c>
      <c r="W575" s="12">
        <f t="shared" si="161"/>
        <v>7102</v>
      </c>
      <c r="Y575" s="10">
        <v>14</v>
      </c>
      <c r="Z575" s="30"/>
      <c r="AA575" s="31"/>
      <c r="AB575" s="32"/>
      <c r="AC575" s="32"/>
      <c r="AD575" s="32"/>
      <c r="AE575" s="32">
        <f t="shared" si="167"/>
        <v>0</v>
      </c>
      <c r="AF575" s="12"/>
      <c r="AG575" s="12"/>
      <c r="AH575" s="12"/>
      <c r="AI575" s="12">
        <f t="shared" si="16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2"/>
      <c r="D576" s="32"/>
      <c r="E576" s="32"/>
      <c r="F576" s="32"/>
      <c r="G576" s="32">
        <f t="shared" si="158"/>
        <v>0</v>
      </c>
      <c r="H576" s="12"/>
      <c r="I576" s="12"/>
      <c r="J576" s="12"/>
      <c r="K576" s="12">
        <f t="shared" si="159"/>
        <v>0</v>
      </c>
      <c r="M576" s="10">
        <v>15</v>
      </c>
      <c r="N576" s="30" t="s">
        <v>66</v>
      </c>
      <c r="O576" s="31">
        <f t="shared" si="165"/>
        <v>9650</v>
      </c>
      <c r="P576" s="32">
        <f>650*35+670*4+622+229</f>
        <v>26281</v>
      </c>
      <c r="Q576" s="32"/>
      <c r="R576" s="32"/>
      <c r="S576" s="32">
        <f t="shared" si="160"/>
        <v>26281</v>
      </c>
      <c r="T576" s="12"/>
      <c r="U576" s="12"/>
      <c r="V576" s="12"/>
      <c r="W576" s="12">
        <f t="shared" si="161"/>
        <v>26281</v>
      </c>
      <c r="Y576" s="10">
        <v>15</v>
      </c>
      <c r="Z576" s="30"/>
      <c r="AB576" s="32"/>
      <c r="AC576" s="32"/>
      <c r="AD576" s="32"/>
      <c r="AE576" s="32">
        <f t="shared" si="167"/>
        <v>0</v>
      </c>
      <c r="AF576" s="12"/>
      <c r="AG576" s="12"/>
      <c r="AH576" s="12"/>
      <c r="AI576" s="12">
        <f t="shared" si="16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2"/>
      <c r="D577" s="32"/>
      <c r="E577" s="32"/>
      <c r="F577" s="32"/>
      <c r="G577" s="32">
        <f t="shared" si="158"/>
        <v>0</v>
      </c>
      <c r="H577" s="12"/>
      <c r="I577" s="12"/>
      <c r="J577" s="12"/>
      <c r="K577" s="12">
        <f t="shared" si="159"/>
        <v>0</v>
      </c>
      <c r="M577" s="10">
        <v>16</v>
      </c>
      <c r="N577" s="30" t="s">
        <v>66</v>
      </c>
      <c r="O577" s="31">
        <v>9575</v>
      </c>
      <c r="P577" s="32">
        <f>650*5</f>
        <v>3250</v>
      </c>
      <c r="Q577" s="32"/>
      <c r="R577" s="32"/>
      <c r="S577" s="32">
        <f t="shared" si="160"/>
        <v>3250</v>
      </c>
      <c r="T577" s="12"/>
      <c r="U577" s="12"/>
      <c r="V577" s="12"/>
      <c r="W577" s="12">
        <f t="shared" si="161"/>
        <v>3250</v>
      </c>
      <c r="Y577" s="10">
        <v>16</v>
      </c>
      <c r="Z577" s="30"/>
      <c r="AB577" s="32"/>
      <c r="AC577" s="32"/>
      <c r="AD577" s="32"/>
      <c r="AE577" s="32">
        <f t="shared" si="167"/>
        <v>0</v>
      </c>
      <c r="AF577" s="12"/>
      <c r="AG577" s="12"/>
      <c r="AH577" s="12"/>
      <c r="AI577" s="12">
        <f t="shared" si="16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2"/>
      <c r="D578" s="32"/>
      <c r="E578" s="32"/>
      <c r="F578" s="32"/>
      <c r="G578" s="32">
        <f t="shared" si="158"/>
        <v>0</v>
      </c>
      <c r="H578" s="12"/>
      <c r="I578" s="12"/>
      <c r="J578" s="12"/>
      <c r="K578" s="12">
        <f t="shared" si="159"/>
        <v>0</v>
      </c>
      <c r="M578" s="10">
        <v>17</v>
      </c>
      <c r="N578" s="30" t="s">
        <v>66</v>
      </c>
      <c r="O578" s="31">
        <v>9708</v>
      </c>
      <c r="P578" s="35">
        <v>11022</v>
      </c>
      <c r="Q578" s="32"/>
      <c r="R578" s="32"/>
      <c r="S578" s="32">
        <f t="shared" si="160"/>
        <v>11022</v>
      </c>
      <c r="T578" s="12"/>
      <c r="U578" s="12"/>
      <c r="V578" s="12"/>
      <c r="W578" s="12">
        <f t="shared" si="161"/>
        <v>11022</v>
      </c>
      <c r="Y578" s="10">
        <v>17</v>
      </c>
      <c r="Z578" s="30"/>
      <c r="AA578" s="31"/>
      <c r="AB578" s="35"/>
      <c r="AC578" s="32"/>
      <c r="AD578" s="32"/>
      <c r="AE578" s="32">
        <f t="shared" si="167"/>
        <v>0</v>
      </c>
      <c r="AF578" s="12"/>
      <c r="AG578" s="12"/>
      <c r="AH578" s="12"/>
      <c r="AI578" s="12">
        <f t="shared" si="16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2"/>
      <c r="D579" s="32"/>
      <c r="E579" s="32"/>
      <c r="F579" s="32"/>
      <c r="G579" s="32">
        <f t="shared" si="158"/>
        <v>0</v>
      </c>
      <c r="H579" s="12"/>
      <c r="I579" s="12"/>
      <c r="J579" s="12"/>
      <c r="K579" s="12">
        <f t="shared" si="159"/>
        <v>0</v>
      </c>
      <c r="M579" s="10">
        <v>18</v>
      </c>
      <c r="N579" s="30"/>
      <c r="O579" s="11" t="s">
        <v>27</v>
      </c>
      <c r="P579" s="32"/>
      <c r="Q579" s="32"/>
      <c r="R579" s="32"/>
      <c r="S579" s="32">
        <f t="shared" si="160"/>
        <v>0</v>
      </c>
      <c r="T579" s="12"/>
      <c r="U579" s="12"/>
      <c r="V579" s="12"/>
      <c r="W579" s="12">
        <f t="shared" si="161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67"/>
        <v>0</v>
      </c>
      <c r="AF579" s="12"/>
      <c r="AG579" s="12"/>
      <c r="AH579" s="12"/>
      <c r="AI579" s="12">
        <f t="shared" si="16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2"/>
      <c r="D580" s="32"/>
      <c r="E580" s="32"/>
      <c r="F580" s="32"/>
      <c r="G580" s="32">
        <f t="shared" si="158"/>
        <v>0</v>
      </c>
      <c r="H580" s="12"/>
      <c r="I580" s="12"/>
      <c r="J580" s="12"/>
      <c r="K580" s="12">
        <f t="shared" si="159"/>
        <v>0</v>
      </c>
      <c r="M580" s="10">
        <v>19</v>
      </c>
      <c r="N580" s="30"/>
      <c r="O580" s="31"/>
      <c r="P580" s="32"/>
      <c r="Q580" s="32"/>
      <c r="R580" s="32"/>
      <c r="S580" s="32">
        <f t="shared" si="160"/>
        <v>0</v>
      </c>
      <c r="T580" s="12"/>
      <c r="U580" s="12"/>
      <c r="V580" s="12"/>
      <c r="W580" s="12">
        <f t="shared" si="161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67"/>
        <v>0</v>
      </c>
      <c r="AF580" s="12"/>
      <c r="AG580" s="12"/>
      <c r="AH580" s="12"/>
      <c r="AI580" s="12">
        <f t="shared" si="16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2"/>
      <c r="D581" s="32"/>
      <c r="E581" s="32"/>
      <c r="F581" s="32"/>
      <c r="G581" s="32">
        <f t="shared" si="158"/>
        <v>0</v>
      </c>
      <c r="H581" s="12"/>
      <c r="I581" s="12"/>
      <c r="J581" s="12"/>
      <c r="K581" s="12">
        <f t="shared" si="159"/>
        <v>0</v>
      </c>
      <c r="M581" s="10">
        <v>20</v>
      </c>
      <c r="N581" s="30"/>
      <c r="O581" s="31"/>
      <c r="P581" s="32"/>
      <c r="Q581" s="32"/>
      <c r="R581" s="32"/>
      <c r="S581" s="32">
        <f t="shared" si="160"/>
        <v>0</v>
      </c>
      <c r="T581" s="12"/>
      <c r="U581" s="12"/>
      <c r="V581" s="12"/>
      <c r="W581" s="12">
        <f t="shared" si="161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67"/>
        <v>0</v>
      </c>
      <c r="AF581" s="12"/>
      <c r="AG581" s="12"/>
      <c r="AH581" s="12"/>
      <c r="AI581" s="12">
        <f t="shared" si="16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11"/>
      <c r="D582" s="32"/>
      <c r="E582" s="32"/>
      <c r="F582" s="32"/>
      <c r="G582" s="32">
        <f t="shared" si="158"/>
        <v>0</v>
      </c>
      <c r="H582" s="10"/>
      <c r="I582" s="10"/>
      <c r="J582" s="10"/>
      <c r="K582" s="12">
        <f t="shared" si="159"/>
        <v>0</v>
      </c>
      <c r="M582" s="10">
        <v>21</v>
      </c>
      <c r="N582" s="30"/>
      <c r="P582" s="46"/>
      <c r="Q582" s="31"/>
      <c r="R582" s="31"/>
      <c r="S582" s="32">
        <f t="shared" si="160"/>
        <v>0</v>
      </c>
      <c r="T582" s="10"/>
      <c r="U582" s="10"/>
      <c r="V582" s="10"/>
      <c r="W582" s="12">
        <f t="shared" si="161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67"/>
        <v>0</v>
      </c>
      <c r="AF582" s="10"/>
      <c r="AG582" s="10"/>
      <c r="AH582" s="10"/>
      <c r="AI582" s="12">
        <f t="shared" si="16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58"/>
        <v>0</v>
      </c>
      <c r="H583" s="10"/>
      <c r="I583" s="10"/>
      <c r="J583" s="10"/>
      <c r="K583" s="12">
        <f t="shared" si="159"/>
        <v>0</v>
      </c>
      <c r="M583" s="10">
        <v>22</v>
      </c>
      <c r="N583" s="30"/>
      <c r="O583" s="31"/>
      <c r="P583" s="45"/>
      <c r="Q583" s="31"/>
      <c r="R583" s="31"/>
      <c r="S583" s="32">
        <f t="shared" si="160"/>
        <v>0</v>
      </c>
      <c r="T583" s="10"/>
      <c r="U583" s="10"/>
      <c r="V583" s="10"/>
      <c r="W583" s="12">
        <f t="shared" si="161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7"/>
        <v>0</v>
      </c>
      <c r="AF583" s="10"/>
      <c r="AG583" s="10"/>
      <c r="AH583" s="10"/>
      <c r="AI583" s="12">
        <f t="shared" si="16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2"/>
      <c r="D584" s="32"/>
      <c r="E584" s="32"/>
      <c r="F584" s="32"/>
      <c r="G584" s="32">
        <f t="shared" si="158"/>
        <v>0</v>
      </c>
      <c r="H584" s="10"/>
      <c r="I584" s="10"/>
      <c r="J584" s="12"/>
      <c r="K584" s="12">
        <f t="shared" si="159"/>
        <v>0</v>
      </c>
      <c r="M584" s="10">
        <v>23</v>
      </c>
      <c r="N584" s="30"/>
      <c r="O584" s="31"/>
      <c r="P584" s="47"/>
      <c r="Q584" s="31"/>
      <c r="S584" s="32">
        <f t="shared" si="160"/>
        <v>0</v>
      </c>
      <c r="T584" s="10"/>
      <c r="U584" s="10"/>
      <c r="V584" s="10"/>
      <c r="W584" s="12">
        <f t="shared" si="161"/>
        <v>0</v>
      </c>
      <c r="Y584" s="10">
        <v>23</v>
      </c>
      <c r="Z584" s="30"/>
      <c r="AA584" s="31"/>
      <c r="AB584" s="47"/>
      <c r="AE584" s="32">
        <f t="shared" si="167"/>
        <v>0</v>
      </c>
      <c r="AF584" s="10"/>
      <c r="AG584" s="10"/>
      <c r="AH584" s="10"/>
      <c r="AI584" s="12">
        <f t="shared" si="16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2"/>
      <c r="D585" s="32"/>
      <c r="E585" s="32"/>
      <c r="F585" s="32"/>
      <c r="G585" s="32">
        <f t="shared" si="158"/>
        <v>0</v>
      </c>
      <c r="H585" s="10"/>
      <c r="I585" s="10"/>
      <c r="J585" s="10"/>
      <c r="K585" s="12">
        <f t="shared" si="159"/>
        <v>0</v>
      </c>
      <c r="M585" s="10">
        <v>24</v>
      </c>
      <c r="N585" s="30"/>
      <c r="O585" s="31"/>
      <c r="P585" s="47"/>
      <c r="Q585" s="31"/>
      <c r="R585" s="31"/>
      <c r="S585" s="32">
        <f t="shared" si="160"/>
        <v>0</v>
      </c>
      <c r="T585" s="10"/>
      <c r="U585" s="10"/>
      <c r="V585" s="10"/>
      <c r="W585" s="12">
        <f t="shared" si="161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7"/>
        <v>0</v>
      </c>
      <c r="AF585" s="10"/>
      <c r="AG585" s="10"/>
      <c r="AH585" s="10"/>
      <c r="AI585" s="12">
        <f t="shared" si="16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2"/>
      <c r="D586" s="32"/>
      <c r="E586" s="32"/>
      <c r="F586" s="32"/>
      <c r="G586" s="32">
        <f t="shared" si="158"/>
        <v>0</v>
      </c>
      <c r="H586" s="10"/>
      <c r="I586" s="10"/>
      <c r="J586" s="10"/>
      <c r="K586" s="12">
        <f t="shared" si="159"/>
        <v>0</v>
      </c>
      <c r="M586" s="10">
        <v>25</v>
      </c>
      <c r="N586" s="30"/>
      <c r="O586" s="31"/>
      <c r="P586" s="47"/>
      <c r="Q586" s="31"/>
      <c r="R586" s="31"/>
      <c r="S586" s="32">
        <f t="shared" si="160"/>
        <v>0</v>
      </c>
      <c r="T586" s="10"/>
      <c r="U586" s="10"/>
      <c r="V586" s="10"/>
      <c r="W586" s="12">
        <f t="shared" si="161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67"/>
        <v>0</v>
      </c>
      <c r="AF586" s="10"/>
      <c r="AG586" s="10"/>
      <c r="AH586" s="10"/>
      <c r="AI586" s="12">
        <f t="shared" si="16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2"/>
      <c r="D587" s="32"/>
      <c r="E587" s="32"/>
      <c r="F587" s="32"/>
      <c r="G587" s="32">
        <f t="shared" si="158"/>
        <v>0</v>
      </c>
      <c r="H587" s="10"/>
      <c r="I587" s="10"/>
      <c r="J587" s="10"/>
      <c r="K587" s="12">
        <f t="shared" si="159"/>
        <v>0</v>
      </c>
      <c r="M587" s="10">
        <v>26</v>
      </c>
      <c r="N587" s="30"/>
      <c r="O587" s="31"/>
      <c r="P587" s="47"/>
      <c r="Q587" s="31"/>
      <c r="R587" s="31"/>
      <c r="S587" s="32">
        <f t="shared" si="160"/>
        <v>0</v>
      </c>
      <c r="T587" s="10"/>
      <c r="U587" s="10"/>
      <c r="V587" s="10"/>
      <c r="W587" s="12">
        <f t="shared" si="161"/>
        <v>0</v>
      </c>
      <c r="Y587" s="10">
        <v>26</v>
      </c>
      <c r="Z587" s="30"/>
      <c r="AB587" s="47"/>
      <c r="AC587" s="31"/>
      <c r="AD587" s="31"/>
      <c r="AE587" s="32">
        <f t="shared" si="167"/>
        <v>0</v>
      </c>
      <c r="AF587" s="10"/>
      <c r="AG587" s="10"/>
      <c r="AH587" s="10"/>
      <c r="AI587" s="12">
        <f t="shared" si="16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2"/>
      <c r="D588" s="32"/>
      <c r="E588" s="32"/>
      <c r="F588" s="32"/>
      <c r="G588" s="32">
        <f t="shared" si="158"/>
        <v>0</v>
      </c>
      <c r="H588" s="10"/>
      <c r="I588" s="10"/>
      <c r="J588" s="10"/>
      <c r="K588" s="12">
        <f t="shared" si="159"/>
        <v>0</v>
      </c>
      <c r="M588" s="10">
        <v>27</v>
      </c>
      <c r="N588" s="30"/>
      <c r="O588" s="31"/>
      <c r="P588" s="47"/>
      <c r="Q588" s="31"/>
      <c r="R588" s="31"/>
      <c r="S588" s="32">
        <f t="shared" si="160"/>
        <v>0</v>
      </c>
      <c r="T588" s="10"/>
      <c r="U588" s="10"/>
      <c r="V588" s="10"/>
      <c r="W588" s="12">
        <f t="shared" si="161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7"/>
        <v>0</v>
      </c>
      <c r="AF588" s="10"/>
      <c r="AG588" s="10"/>
      <c r="AH588" s="10"/>
      <c r="AI588" s="12">
        <f t="shared" si="16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2"/>
      <c r="D589" s="32"/>
      <c r="E589" s="32"/>
      <c r="F589" s="32"/>
      <c r="G589" s="32">
        <f t="shared" si="158"/>
        <v>0</v>
      </c>
      <c r="H589" s="10"/>
      <c r="I589" s="10"/>
      <c r="J589" s="10"/>
      <c r="K589" s="12">
        <f t="shared" si="159"/>
        <v>0</v>
      </c>
      <c r="M589" s="10">
        <v>28</v>
      </c>
      <c r="N589" s="30"/>
      <c r="O589" s="31"/>
      <c r="P589" s="47"/>
      <c r="Q589" s="31"/>
      <c r="R589" s="31"/>
      <c r="S589" s="32">
        <f t="shared" si="160"/>
        <v>0</v>
      </c>
      <c r="T589" s="10"/>
      <c r="U589" s="10"/>
      <c r="V589" s="10"/>
      <c r="W589" s="12">
        <f t="shared" si="161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7"/>
        <v>0</v>
      </c>
      <c r="AF589" s="10"/>
      <c r="AG589" s="10"/>
      <c r="AH589" s="10"/>
      <c r="AI589" s="12">
        <f t="shared" si="16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2"/>
      <c r="D590" s="32"/>
      <c r="E590" s="32"/>
      <c r="F590" s="32"/>
      <c r="G590" s="32">
        <f t="shared" si="158"/>
        <v>0</v>
      </c>
      <c r="H590" s="10"/>
      <c r="I590" s="10"/>
      <c r="J590" s="10"/>
      <c r="K590" s="12">
        <f t="shared" si="159"/>
        <v>0</v>
      </c>
      <c r="M590" s="10">
        <v>29</v>
      </c>
      <c r="N590" s="30"/>
      <c r="O590" s="31"/>
      <c r="P590" s="47"/>
      <c r="Q590" s="31"/>
      <c r="R590" s="31"/>
      <c r="S590" s="32">
        <f t="shared" si="160"/>
        <v>0</v>
      </c>
      <c r="T590" s="10"/>
      <c r="U590" s="10"/>
      <c r="V590" s="10"/>
      <c r="W590" s="12">
        <f t="shared" si="161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7"/>
        <v>0</v>
      </c>
      <c r="AF590" s="10"/>
      <c r="AG590" s="10"/>
      <c r="AH590" s="10"/>
      <c r="AI590" s="12">
        <f t="shared" si="16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2"/>
      <c r="D591" s="32"/>
      <c r="E591" s="32"/>
      <c r="F591" s="32"/>
      <c r="G591" s="32">
        <f t="shared" si="158"/>
        <v>0</v>
      </c>
      <c r="H591" s="10"/>
      <c r="I591" s="10"/>
      <c r="J591" s="10"/>
      <c r="K591" s="12">
        <f t="shared" si="159"/>
        <v>0</v>
      </c>
      <c r="M591" s="10">
        <v>30</v>
      </c>
      <c r="N591" s="30"/>
      <c r="O591" s="31"/>
      <c r="P591" s="47"/>
      <c r="Q591" s="31"/>
      <c r="R591" s="31"/>
      <c r="S591" s="32">
        <f t="shared" si="160"/>
        <v>0</v>
      </c>
      <c r="T591" s="10"/>
      <c r="U591" s="10"/>
      <c r="V591" s="10"/>
      <c r="W591" s="12">
        <f t="shared" si="161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7"/>
        <v>0</v>
      </c>
      <c r="AF591" s="10"/>
      <c r="AG591" s="10"/>
      <c r="AH591" s="10"/>
      <c r="AI591" s="12">
        <f t="shared" si="16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2"/>
      <c r="D592" s="32"/>
      <c r="E592" s="32"/>
      <c r="F592" s="32"/>
      <c r="G592" s="32">
        <f t="shared" si="158"/>
        <v>0</v>
      </c>
      <c r="H592" s="10"/>
      <c r="I592" s="10"/>
      <c r="J592" s="10"/>
      <c r="K592" s="12">
        <f t="shared" si="159"/>
        <v>0</v>
      </c>
      <c r="M592" s="10">
        <v>31</v>
      </c>
      <c r="N592" s="30"/>
      <c r="O592" s="31"/>
      <c r="P592" s="47"/>
      <c r="Q592" s="31"/>
      <c r="R592" s="31"/>
      <c r="S592" s="32">
        <f t="shared" si="160"/>
        <v>0</v>
      </c>
      <c r="T592" s="10"/>
      <c r="U592" s="10"/>
      <c r="V592" s="10"/>
      <c r="W592" s="12">
        <f t="shared" si="161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7"/>
        <v>0</v>
      </c>
      <c r="AF592" s="10"/>
      <c r="AG592" s="10"/>
      <c r="AH592" s="10"/>
      <c r="AI592" s="12">
        <f t="shared" si="16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2"/>
      <c r="D593" s="32"/>
      <c r="E593" s="32"/>
      <c r="F593" s="32"/>
      <c r="G593" s="32">
        <f t="shared" si="158"/>
        <v>0</v>
      </c>
      <c r="H593" s="10"/>
      <c r="I593" s="10"/>
      <c r="J593" s="10"/>
      <c r="K593" s="12">
        <f t="shared" si="159"/>
        <v>0</v>
      </c>
      <c r="M593" s="10">
        <v>32</v>
      </c>
      <c r="N593" s="30"/>
      <c r="O593" s="31"/>
      <c r="P593" s="47"/>
      <c r="Q593" s="31"/>
      <c r="R593" s="31"/>
      <c r="S593" s="32">
        <f t="shared" si="160"/>
        <v>0</v>
      </c>
      <c r="T593" s="10"/>
      <c r="U593" s="10"/>
      <c r="V593" s="10"/>
      <c r="W593" s="12">
        <f t="shared" si="161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7"/>
        <v>0</v>
      </c>
      <c r="AF593" s="10"/>
      <c r="AG593" s="10"/>
      <c r="AH593" s="10"/>
      <c r="AI593" s="12">
        <f t="shared" si="16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2"/>
      <c r="D594" s="32"/>
      <c r="E594" s="32"/>
      <c r="F594" s="32"/>
      <c r="G594" s="32">
        <f t="shared" si="158"/>
        <v>0</v>
      </c>
      <c r="H594" s="10"/>
      <c r="I594" s="10"/>
      <c r="J594" s="10"/>
      <c r="K594" s="12">
        <f t="shared" si="159"/>
        <v>0</v>
      </c>
      <c r="M594" s="10">
        <v>33</v>
      </c>
      <c r="N594" s="30"/>
      <c r="O594" s="31"/>
      <c r="P594" s="47"/>
      <c r="Q594" s="31"/>
      <c r="R594" s="31"/>
      <c r="S594" s="32">
        <f t="shared" si="160"/>
        <v>0</v>
      </c>
      <c r="T594" s="10"/>
      <c r="U594" s="10"/>
      <c r="V594" s="10"/>
      <c r="W594" s="12">
        <f t="shared" si="161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7"/>
        <v>0</v>
      </c>
      <c r="AF594" s="10"/>
      <c r="AG594" s="10"/>
      <c r="AH594" s="10"/>
      <c r="AI594" s="12">
        <f t="shared" si="16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2"/>
      <c r="D595" s="32"/>
      <c r="E595" s="32"/>
      <c r="F595" s="32"/>
      <c r="G595" s="32">
        <f t="shared" si="158"/>
        <v>0</v>
      </c>
      <c r="H595" s="10"/>
      <c r="I595" s="10"/>
      <c r="J595" s="10"/>
      <c r="K595" s="12">
        <f t="shared" si="159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8">SUM(P595:Q595)</f>
        <v>0</v>
      </c>
      <c r="T595" s="10"/>
      <c r="U595" s="10"/>
      <c r="V595" s="10"/>
      <c r="W595" s="12">
        <f t="shared" si="161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69">SUM(AB595:AC595)</f>
        <v>0</v>
      </c>
      <c r="AF595" s="10"/>
      <c r="AG595" s="10"/>
      <c r="AH595" s="10"/>
      <c r="AI595" s="12">
        <f t="shared" si="16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2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P596" s="47"/>
      <c r="Q596" s="31"/>
      <c r="R596" s="31"/>
      <c r="S596" s="32">
        <f t="shared" si="168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9"/>
        <v>0</v>
      </c>
      <c r="AF596" s="10"/>
      <c r="AG596" s="10"/>
      <c r="AH596" s="10"/>
      <c r="AI596" s="12">
        <f t="shared" si="16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2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8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9"/>
        <v>0</v>
      </c>
      <c r="AF597" s="10"/>
      <c r="AG597" s="10"/>
      <c r="AH597" s="10"/>
      <c r="AI597" s="12">
        <f t="shared" si="16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O598" s="31"/>
      <c r="P598" s="47"/>
      <c r="Q598" s="31"/>
      <c r="R598" s="31"/>
      <c r="S598" s="32">
        <f t="shared" si="168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9"/>
        <v>0</v>
      </c>
      <c r="AF598" s="10"/>
      <c r="AG598" s="10"/>
      <c r="AH598" s="10"/>
      <c r="AI598" s="12">
        <f t="shared" si="16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8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9"/>
        <v>0</v>
      </c>
      <c r="AF599" s="10"/>
      <c r="AG599" s="10"/>
      <c r="AH599" s="10"/>
      <c r="AI599" s="12">
        <f t="shared" si="16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8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9"/>
        <v>0</v>
      </c>
      <c r="AF600" s="10"/>
      <c r="AG600" s="10"/>
      <c r="AH600" s="10"/>
      <c r="AI600" s="12">
        <f t="shared" si="16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479010</v>
      </c>
      <c r="E605" s="38">
        <f t="shared" ref="E605:F605" si="174">SUM(E562:E602)</f>
        <v>-1998</v>
      </c>
      <c r="F605" s="38">
        <f t="shared" si="174"/>
        <v>0</v>
      </c>
      <c r="G605" s="38">
        <f>SUM(G562:G604)</f>
        <v>477012</v>
      </c>
      <c r="H605" s="4"/>
      <c r="I605" s="39">
        <f>SUM(I562:I604)</f>
        <v>1116</v>
      </c>
      <c r="J605" s="39">
        <f>SUM(J562:J604)</f>
        <v>-19980</v>
      </c>
      <c r="K605" s="40">
        <f>SUM(K562:K604)</f>
        <v>458148</v>
      </c>
      <c r="N605" s="57"/>
      <c r="O605" s="57"/>
      <c r="P605" s="38">
        <f>SUM(P562:P604)</f>
        <v>238612.5</v>
      </c>
      <c r="Q605" s="38">
        <f>SUM(Q562:Q586)</f>
        <v>0</v>
      </c>
      <c r="R605" s="38">
        <f>SUM(R562:R586)</f>
        <v>0</v>
      </c>
      <c r="S605" s="38">
        <f>SUM(S562:S604)</f>
        <v>238612.5</v>
      </c>
      <c r="T605" s="4"/>
      <c r="U605" s="41">
        <f>SUM(U562:U604)</f>
        <v>538.5</v>
      </c>
      <c r="V605" s="41">
        <f>SUM(V562:V586)</f>
        <v>-3258</v>
      </c>
      <c r="W605" s="42">
        <f>SUM(W562:W604)</f>
        <v>235893</v>
      </c>
      <c r="Z605" s="57"/>
      <c r="AA605" s="57"/>
      <c r="AB605" s="38">
        <f>SUM(AB562:AB604)</f>
        <v>228476</v>
      </c>
      <c r="AC605" s="38">
        <f>SUM(AC562:AC586)</f>
        <v>-1266</v>
      </c>
      <c r="AD605" s="38">
        <f>SUM(AD562:AD586)</f>
        <v>0</v>
      </c>
      <c r="AE605" s="38">
        <f>SUM(AE562:AE604)</f>
        <v>227210</v>
      </c>
      <c r="AF605" s="4"/>
      <c r="AG605" s="41">
        <f>SUM(AG562:AG604)</f>
        <v>279</v>
      </c>
      <c r="AH605" s="41">
        <f>SUM(AH562:AH586)</f>
        <v>-1332</v>
      </c>
      <c r="AI605" s="42">
        <f>SUM(AI562:AI604)</f>
        <v>226157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102"/>
      <c r="C607" s="102"/>
      <c r="D607" s="102"/>
      <c r="E607" s="102"/>
      <c r="F607" s="102"/>
      <c r="G607" s="102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102"/>
      <c r="C608" s="102"/>
      <c r="D608" s="102"/>
      <c r="E608" s="102"/>
      <c r="F608" s="102"/>
      <c r="G608" s="102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102"/>
      <c r="C609" s="102"/>
      <c r="D609" s="102"/>
      <c r="E609" s="102"/>
      <c r="F609" s="102"/>
      <c r="G609" s="102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102"/>
      <c r="C610" s="102"/>
      <c r="D610" s="102"/>
      <c r="E610" s="102"/>
      <c r="F610" s="102"/>
      <c r="G610" s="102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102"/>
      <c r="C611" s="102"/>
      <c r="D611" s="102"/>
      <c r="E611" s="102"/>
      <c r="F611" s="102"/>
      <c r="G611" s="102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102"/>
      <c r="C612" s="102"/>
      <c r="D612" s="102"/>
      <c r="E612" s="102"/>
      <c r="F612" s="102"/>
      <c r="G612" s="102"/>
      <c r="H612" s="62"/>
      <c r="I612" s="102"/>
      <c r="J612" s="73"/>
      <c r="K612" s="62"/>
      <c r="M612" t="s">
        <v>34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102"/>
      <c r="C613" s="102"/>
      <c r="D613" s="102"/>
      <c r="E613" s="102"/>
      <c r="F613" s="102"/>
      <c r="G613" s="102"/>
      <c r="H613" s="62"/>
      <c r="I613" s="65"/>
      <c r="J613" s="65"/>
      <c r="K613" s="62"/>
      <c r="M613" s="21" t="s">
        <v>67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67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102"/>
      <c r="C614" s="102"/>
      <c r="D614" s="102"/>
      <c r="E614" s="102"/>
      <c r="F614" s="102"/>
      <c r="G614" s="102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102"/>
      <c r="D615" s="122"/>
      <c r="E615" s="122"/>
      <c r="F615" s="102"/>
      <c r="G615" s="102"/>
      <c r="H615" s="62"/>
      <c r="I615" s="122"/>
      <c r="J615" s="122"/>
      <c r="K615" s="121"/>
      <c r="N615" s="25"/>
      <c r="O615" s="26"/>
      <c r="P615" s="120" t="s">
        <v>17</v>
      </c>
      <c r="Q615" s="120"/>
      <c r="R615" s="100"/>
      <c r="S615" s="27"/>
      <c r="U615" s="118" t="s">
        <v>18</v>
      </c>
      <c r="V615" s="119"/>
      <c r="W615" s="116" t="s">
        <v>19</v>
      </c>
      <c r="Z615" s="25"/>
      <c r="AA615" s="26"/>
      <c r="AB615" s="120" t="s">
        <v>17</v>
      </c>
      <c r="AC615" s="120"/>
      <c r="AD615" s="100"/>
      <c r="AE615" s="27"/>
      <c r="AG615" s="118" t="s">
        <v>18</v>
      </c>
      <c r="AH615" s="119"/>
      <c r="AI615" s="116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102"/>
      <c r="C616" s="102"/>
      <c r="D616" s="79"/>
      <c r="E616" s="80"/>
      <c r="F616" s="81"/>
      <c r="G616" s="81"/>
      <c r="H616" s="62"/>
      <c r="I616" s="101"/>
      <c r="J616" s="101"/>
      <c r="K616" s="121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7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7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3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68</v>
      </c>
      <c r="O617" s="31">
        <v>9701</v>
      </c>
      <c r="P617" s="32">
        <v>13538</v>
      </c>
      <c r="Q617" s="32"/>
      <c r="R617" s="32"/>
      <c r="S617" s="32">
        <f>SUM(P617:Q617)</f>
        <v>13538</v>
      </c>
      <c r="T617" s="12"/>
      <c r="U617" s="12"/>
      <c r="V617" s="12"/>
      <c r="W617" s="12">
        <f>SUM(S617:V617)</f>
        <v>13538</v>
      </c>
      <c r="Y617" s="10">
        <v>1</v>
      </c>
      <c r="Z617" s="30" t="s">
        <v>68</v>
      </c>
      <c r="AA617" s="31">
        <v>9576</v>
      </c>
      <c r="AB617" s="32">
        <f>670*2</f>
        <v>1340</v>
      </c>
      <c r="AC617" s="32"/>
      <c r="AD617" s="32"/>
      <c r="AE617" s="32">
        <f>SUM(AB617:AC617)</f>
        <v>1340</v>
      </c>
      <c r="AF617" s="12"/>
      <c r="AG617" s="12"/>
      <c r="AH617" s="12"/>
      <c r="AI617" s="12">
        <f>SUM(AE617:AH617)</f>
        <v>1340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3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68</v>
      </c>
      <c r="O618" s="31">
        <f>O617+1</f>
        <v>9702</v>
      </c>
      <c r="P618" s="32">
        <v>6595</v>
      </c>
      <c r="Q618" s="32"/>
      <c r="R618" s="32"/>
      <c r="S618" s="32">
        <f t="shared" ref="S618:S655" si="175">SUM(P618:Q618)</f>
        <v>6595</v>
      </c>
      <c r="T618" s="12"/>
      <c r="U618" s="12"/>
      <c r="V618" s="12">
        <v>-222</v>
      </c>
      <c r="W618" s="12">
        <f t="shared" ref="W618:W658" si="176">SUM(S618:V618)</f>
        <v>6373</v>
      </c>
      <c r="Y618" s="10">
        <v>2</v>
      </c>
      <c r="Z618" s="30" t="s">
        <v>68</v>
      </c>
      <c r="AA618" s="31">
        <f>AA617+1</f>
        <v>9577</v>
      </c>
      <c r="AB618" s="32">
        <f>650*216</f>
        <v>140400</v>
      </c>
      <c r="AC618" s="32">
        <f>-216*6</f>
        <v>-1296</v>
      </c>
      <c r="AD618" s="32"/>
      <c r="AE618" s="32">
        <f t="shared" ref="AE618:AE626" si="177">SUM(AB618:AC618)</f>
        <v>139104</v>
      </c>
      <c r="AF618" s="12"/>
      <c r="AG618" s="12">
        <f>666+54</f>
        <v>720</v>
      </c>
      <c r="AH618" s="12"/>
      <c r="AI618" s="12">
        <f t="shared" ref="AI618:AI658" si="178">SUM(AE618:AH618)</f>
        <v>139824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3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68</v>
      </c>
      <c r="O619" s="31">
        <f t="shared" ref="O619:O623" si="179">O618+1</f>
        <v>9703</v>
      </c>
      <c r="P619" s="32">
        <v>97398</v>
      </c>
      <c r="Q619" s="32">
        <v>-900</v>
      </c>
      <c r="R619" s="32"/>
      <c r="S619" s="32">
        <f t="shared" si="175"/>
        <v>96498</v>
      </c>
      <c r="T619" s="12"/>
      <c r="U619" s="12">
        <v>72</v>
      </c>
      <c r="V619" s="12"/>
      <c r="W619" s="12">
        <f t="shared" si="176"/>
        <v>96570</v>
      </c>
      <c r="Y619" s="10">
        <v>3</v>
      </c>
      <c r="Z619" s="30" t="s">
        <v>68</v>
      </c>
      <c r="AA619" s="31">
        <f t="shared" ref="AA619:AA621" si="180">AA618+1</f>
        <v>9578</v>
      </c>
      <c r="AB619" s="33">
        <f>650*35+622*5</f>
        <v>25860</v>
      </c>
      <c r="AC619" s="33"/>
      <c r="AD619" s="32"/>
      <c r="AE619" s="32">
        <f t="shared" si="177"/>
        <v>25860</v>
      </c>
      <c r="AF619" s="12"/>
      <c r="AG619" s="12">
        <f>30*4.5</f>
        <v>135</v>
      </c>
      <c r="AH619" s="12"/>
      <c r="AI619" s="12">
        <f t="shared" si="178"/>
        <v>25995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3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68</v>
      </c>
      <c r="O620" s="31">
        <f t="shared" si="179"/>
        <v>9704</v>
      </c>
      <c r="P620" s="32"/>
      <c r="Q620" s="32"/>
      <c r="R620" s="32"/>
      <c r="S620" s="32">
        <f t="shared" si="175"/>
        <v>0</v>
      </c>
      <c r="T620" s="12"/>
      <c r="U620" s="12"/>
      <c r="V620" s="12"/>
      <c r="W620" s="12">
        <f t="shared" si="176"/>
        <v>0</v>
      </c>
      <c r="Y620" s="10">
        <v>4</v>
      </c>
      <c r="Z620" s="30" t="s">
        <v>68</v>
      </c>
      <c r="AA620" s="31">
        <f t="shared" si="180"/>
        <v>9579</v>
      </c>
      <c r="AB620" s="32">
        <f>650*226+229*5</f>
        <v>148045</v>
      </c>
      <c r="AC620" s="32"/>
      <c r="AD620" s="32"/>
      <c r="AE620" s="32">
        <f t="shared" si="177"/>
        <v>148045</v>
      </c>
      <c r="AF620" s="12"/>
      <c r="AG620" s="58">
        <f>226*111+78*5</f>
        <v>25476</v>
      </c>
      <c r="AH620" s="12"/>
      <c r="AI620" s="12">
        <f t="shared" si="178"/>
        <v>173521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3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68</v>
      </c>
      <c r="O621" s="31">
        <f t="shared" si="179"/>
        <v>9705</v>
      </c>
      <c r="P621" s="32">
        <v>230152</v>
      </c>
      <c r="Q621" s="32">
        <v>-2082</v>
      </c>
      <c r="R621" s="32"/>
      <c r="S621" s="32">
        <f t="shared" si="175"/>
        <v>228070</v>
      </c>
      <c r="T621" s="12"/>
      <c r="U621" s="12">
        <v>936</v>
      </c>
      <c r="V621" s="12">
        <v>-588</v>
      </c>
      <c r="W621" s="12">
        <f t="shared" si="176"/>
        <v>228418</v>
      </c>
      <c r="Y621" s="10">
        <v>5</v>
      </c>
      <c r="Z621" s="30" t="s">
        <v>68</v>
      </c>
      <c r="AA621" s="31">
        <f t="shared" si="180"/>
        <v>9580</v>
      </c>
      <c r="AB621" s="32">
        <f>650*43+622*18</f>
        <v>39146</v>
      </c>
      <c r="AC621" s="32">
        <f>-61*6</f>
        <v>-366</v>
      </c>
      <c r="AD621" s="32"/>
      <c r="AE621" s="32">
        <f t="shared" si="177"/>
        <v>38780</v>
      </c>
      <c r="AF621" s="12"/>
      <c r="AG621" s="12"/>
      <c r="AH621" s="12">
        <v>-3441</v>
      </c>
      <c r="AI621" s="12">
        <f t="shared" si="178"/>
        <v>35339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3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68</v>
      </c>
      <c r="O622" s="31">
        <f t="shared" si="179"/>
        <v>9706</v>
      </c>
      <c r="P622" s="32">
        <v>13000</v>
      </c>
      <c r="Q622" s="32"/>
      <c r="R622" s="32"/>
      <c r="S622" s="32">
        <f t="shared" si="175"/>
        <v>13000</v>
      </c>
      <c r="T622" s="12"/>
      <c r="U622" s="12"/>
      <c r="V622" s="10"/>
      <c r="W622" s="12">
        <f t="shared" si="176"/>
        <v>13000</v>
      </c>
      <c r="Y622" s="10">
        <v>6</v>
      </c>
      <c r="Z622" s="30"/>
      <c r="AA622" s="11" t="s">
        <v>27</v>
      </c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3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68</v>
      </c>
      <c r="O623" s="31">
        <f t="shared" si="179"/>
        <v>9707</v>
      </c>
      <c r="P623" s="32">
        <v>24642</v>
      </c>
      <c r="Q623" s="32"/>
      <c r="R623" s="32"/>
      <c r="S623" s="32">
        <f t="shared" si="175"/>
        <v>24642</v>
      </c>
      <c r="T623" s="12"/>
      <c r="U623" s="12">
        <v>108</v>
      </c>
      <c r="V623" s="12"/>
      <c r="W623" s="12">
        <f t="shared" si="176"/>
        <v>24750</v>
      </c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3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/>
      <c r="O624" s="11" t="s">
        <v>27</v>
      </c>
      <c r="P624" s="32"/>
      <c r="Q624" s="32"/>
      <c r="R624" s="32"/>
      <c r="S624" s="32">
        <f t="shared" si="175"/>
        <v>0</v>
      </c>
      <c r="T624" s="12"/>
      <c r="U624" s="12"/>
      <c r="V624" s="12"/>
      <c r="W624" s="12">
        <f t="shared" si="176"/>
        <v>0</v>
      </c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/>
      <c r="P625" s="32"/>
      <c r="Q625" s="32"/>
      <c r="R625" s="32"/>
      <c r="S625" s="32">
        <f t="shared" si="175"/>
        <v>0</v>
      </c>
      <c r="T625" s="12"/>
      <c r="U625" s="12"/>
      <c r="V625" s="12"/>
      <c r="W625" s="12">
        <f t="shared" si="176"/>
        <v>0</v>
      </c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3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/>
      <c r="O626" s="31"/>
      <c r="P626" s="32"/>
      <c r="Q626" s="32"/>
      <c r="R626" s="32"/>
      <c r="S626" s="32">
        <f t="shared" si="175"/>
        <v>0</v>
      </c>
      <c r="T626" s="12"/>
      <c r="U626" s="12"/>
      <c r="V626" s="12"/>
      <c r="W626" s="12">
        <f t="shared" si="17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3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/>
      <c r="O627" s="31"/>
      <c r="P627" s="32"/>
      <c r="Q627" s="32"/>
      <c r="R627" s="32"/>
      <c r="S627" s="32">
        <f t="shared" si="175"/>
        <v>0</v>
      </c>
      <c r="T627" s="12"/>
      <c r="U627" s="12"/>
      <c r="V627" s="12"/>
      <c r="W627" s="12">
        <f t="shared" si="176"/>
        <v>0</v>
      </c>
      <c r="Y627" s="10">
        <v>11</v>
      </c>
      <c r="Z627" s="30"/>
      <c r="AA627" s="31"/>
      <c r="AB627" s="32"/>
      <c r="AC627" s="32"/>
      <c r="AD627" s="32"/>
      <c r="AE627" s="32">
        <f t="shared" ref="AE627:AE649" si="181">SUM(AB627:AC627)</f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102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/>
      <c r="O628" s="31"/>
      <c r="P628" s="32"/>
      <c r="Q628" s="32"/>
      <c r="R628" s="32"/>
      <c r="S628" s="32">
        <f t="shared" si="175"/>
        <v>0</v>
      </c>
      <c r="T628" s="12"/>
      <c r="U628" s="12"/>
      <c r="V628" s="12"/>
      <c r="W628" s="12">
        <f t="shared" si="176"/>
        <v>0</v>
      </c>
      <c r="Y628" s="10">
        <v>12</v>
      </c>
      <c r="Z628" s="30"/>
      <c r="AB628" s="32"/>
      <c r="AC628" s="32"/>
      <c r="AD628" s="32"/>
      <c r="AE628" s="32">
        <f t="shared" si="181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3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/>
      <c r="O629" s="31"/>
      <c r="P629" s="32"/>
      <c r="Q629" s="32"/>
      <c r="R629" s="32"/>
      <c r="S629" s="32">
        <f t="shared" si="175"/>
        <v>0</v>
      </c>
      <c r="T629" s="12"/>
      <c r="U629" s="12"/>
      <c r="V629" s="12"/>
      <c r="W629" s="12">
        <f t="shared" si="17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1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3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/>
      <c r="O630" s="31"/>
      <c r="P630" s="32"/>
      <c r="Q630" s="32"/>
      <c r="R630" s="32"/>
      <c r="S630" s="32">
        <f t="shared" si="175"/>
        <v>0</v>
      </c>
      <c r="T630" s="12"/>
      <c r="U630" s="12"/>
      <c r="V630" s="12"/>
      <c r="W630" s="12">
        <f t="shared" si="17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1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3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/>
      <c r="O631" s="31"/>
      <c r="P631" s="32"/>
      <c r="Q631" s="32"/>
      <c r="R631" s="32"/>
      <c r="S631" s="32">
        <f t="shared" si="175"/>
        <v>0</v>
      </c>
      <c r="T631" s="12"/>
      <c r="U631" s="12"/>
      <c r="V631" s="12"/>
      <c r="W631" s="12">
        <f t="shared" si="176"/>
        <v>0</v>
      </c>
      <c r="Y631" s="10">
        <v>15</v>
      </c>
      <c r="Z631" s="30"/>
      <c r="AB631" s="32"/>
      <c r="AC631" s="32"/>
      <c r="AD631" s="32"/>
      <c r="AE631" s="32">
        <f t="shared" si="181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3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/>
      <c r="O632" s="31"/>
      <c r="P632" s="32"/>
      <c r="Q632" s="32"/>
      <c r="R632" s="32"/>
      <c r="S632" s="32">
        <f t="shared" si="175"/>
        <v>0</v>
      </c>
      <c r="T632" s="12"/>
      <c r="U632" s="12"/>
      <c r="V632" s="12"/>
      <c r="W632" s="12">
        <f t="shared" si="176"/>
        <v>0</v>
      </c>
      <c r="Y632" s="10">
        <v>16</v>
      </c>
      <c r="Z632" s="30"/>
      <c r="AB632" s="32"/>
      <c r="AC632" s="32"/>
      <c r="AD632" s="32"/>
      <c r="AE632" s="32">
        <f t="shared" si="181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3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/>
      <c r="O633" s="31"/>
      <c r="P633" s="35"/>
      <c r="Q633" s="32"/>
      <c r="R633" s="32"/>
      <c r="S633" s="32">
        <f t="shared" si="175"/>
        <v>0</v>
      </c>
      <c r="T633" s="12"/>
      <c r="U633" s="12"/>
      <c r="V633" s="12"/>
      <c r="W633" s="12">
        <f t="shared" si="17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1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3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31"/>
      <c r="P634" s="32"/>
      <c r="Q634" s="32"/>
      <c r="R634" s="32"/>
      <c r="S634" s="32">
        <f t="shared" si="175"/>
        <v>0</v>
      </c>
      <c r="T634" s="12"/>
      <c r="U634" s="12"/>
      <c r="V634" s="12"/>
      <c r="W634" s="12">
        <f t="shared" si="17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1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3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75"/>
        <v>0</v>
      </c>
      <c r="T635" s="12"/>
      <c r="U635" s="12"/>
      <c r="V635" s="12"/>
      <c r="W635" s="12">
        <f t="shared" si="17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1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3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75"/>
        <v>0</v>
      </c>
      <c r="T636" s="12"/>
      <c r="U636" s="12"/>
      <c r="V636" s="12"/>
      <c r="W636" s="12">
        <f t="shared" si="176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81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75"/>
        <v>0</v>
      </c>
      <c r="T637" s="10"/>
      <c r="U637" s="10"/>
      <c r="V637" s="10"/>
      <c r="W637" s="12">
        <f t="shared" si="17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81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102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75"/>
        <v>0</v>
      </c>
      <c r="T638" s="10"/>
      <c r="U638" s="10"/>
      <c r="V638" s="10"/>
      <c r="W638" s="12">
        <f t="shared" si="17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1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3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Q639" s="31"/>
      <c r="S639" s="32">
        <f t="shared" si="175"/>
        <v>0</v>
      </c>
      <c r="T639" s="10"/>
      <c r="U639" s="10"/>
      <c r="V639" s="10"/>
      <c r="W639" s="12">
        <f t="shared" si="176"/>
        <v>0</v>
      </c>
      <c r="Y639" s="10">
        <v>23</v>
      </c>
      <c r="Z639" s="30"/>
      <c r="AA639" s="31"/>
      <c r="AB639" s="47"/>
      <c r="AE639" s="32">
        <f t="shared" si="181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3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75"/>
        <v>0</v>
      </c>
      <c r="T640" s="10"/>
      <c r="U640" s="10"/>
      <c r="V640" s="10"/>
      <c r="W640" s="12">
        <f t="shared" si="17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1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3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75"/>
        <v>0</v>
      </c>
      <c r="T641" s="10"/>
      <c r="U641" s="10"/>
      <c r="V641" s="10"/>
      <c r="W641" s="12">
        <f t="shared" si="17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1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3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31"/>
      <c r="P642" s="47"/>
      <c r="Q642" s="31"/>
      <c r="R642" s="31"/>
      <c r="S642" s="32">
        <f t="shared" si="175"/>
        <v>0</v>
      </c>
      <c r="T642" s="10"/>
      <c r="U642" s="10"/>
      <c r="V642" s="10"/>
      <c r="W642" s="12">
        <f t="shared" si="176"/>
        <v>0</v>
      </c>
      <c r="Y642" s="10">
        <v>26</v>
      </c>
      <c r="Z642" s="30"/>
      <c r="AB642" s="47"/>
      <c r="AC642" s="31"/>
      <c r="AD642" s="31"/>
      <c r="AE642" s="32">
        <f t="shared" si="181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3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75"/>
        <v>0</v>
      </c>
      <c r="T643" s="10"/>
      <c r="U643" s="10"/>
      <c r="V643" s="10"/>
      <c r="W643" s="12">
        <f t="shared" si="17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1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3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75"/>
        <v>0</v>
      </c>
      <c r="T644" s="10"/>
      <c r="U644" s="10"/>
      <c r="V644" s="10"/>
      <c r="W644" s="12">
        <f t="shared" si="17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1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3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75"/>
        <v>0</v>
      </c>
      <c r="T645" s="10"/>
      <c r="U645" s="10"/>
      <c r="V645" s="10"/>
      <c r="W645" s="12">
        <f t="shared" si="17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1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3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75"/>
        <v>0</v>
      </c>
      <c r="T646" s="10"/>
      <c r="U646" s="10"/>
      <c r="V646" s="10"/>
      <c r="W646" s="12">
        <f t="shared" si="17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1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3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75"/>
        <v>0</v>
      </c>
      <c r="T647" s="10"/>
      <c r="U647" s="10"/>
      <c r="V647" s="10"/>
      <c r="W647" s="12">
        <f t="shared" si="17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1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3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75"/>
        <v>0</v>
      </c>
      <c r="T648" s="10"/>
      <c r="U648" s="10"/>
      <c r="V648" s="10"/>
      <c r="W648" s="12">
        <f t="shared" si="17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1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3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75"/>
        <v>0</v>
      </c>
      <c r="T649" s="10"/>
      <c r="U649" s="10"/>
      <c r="V649" s="10"/>
      <c r="W649" s="12">
        <f t="shared" si="17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1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3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75"/>
        <v>0</v>
      </c>
      <c r="T650" s="10"/>
      <c r="U650" s="10"/>
      <c r="V650" s="10"/>
      <c r="W650" s="12">
        <f t="shared" si="176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82">SUM(AB650:AC650)</f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3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P651" s="47"/>
      <c r="Q651" s="31"/>
      <c r="R651" s="31"/>
      <c r="S651" s="32">
        <f t="shared" si="175"/>
        <v>0</v>
      </c>
      <c r="T651" s="10"/>
      <c r="U651" s="10"/>
      <c r="V651" s="10"/>
      <c r="W651" s="12">
        <f t="shared" si="17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2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3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75"/>
        <v>0</v>
      </c>
      <c r="T652" s="10"/>
      <c r="U652" s="10"/>
      <c r="V652" s="10"/>
      <c r="W652" s="12">
        <f t="shared" si="17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2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102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O653" s="31"/>
      <c r="P653" s="47"/>
      <c r="Q653" s="31"/>
      <c r="R653" s="31"/>
      <c r="S653" s="32">
        <f t="shared" si="175"/>
        <v>0</v>
      </c>
      <c r="T653" s="10"/>
      <c r="U653" s="10"/>
      <c r="V653" s="10"/>
      <c r="W653" s="12">
        <f t="shared" si="17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2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102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75"/>
        <v>0</v>
      </c>
      <c r="T654" s="10"/>
      <c r="U654" s="10"/>
      <c r="V654" s="10"/>
      <c r="W654" s="12">
        <f t="shared" si="17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2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102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75"/>
        <v>0</v>
      </c>
      <c r="T655" s="10"/>
      <c r="U655" s="10"/>
      <c r="V655" s="10"/>
      <c r="W655" s="12">
        <f t="shared" si="17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2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102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102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83">SUM(P657:Q657)</f>
        <v>0</v>
      </c>
      <c r="T657" s="10"/>
      <c r="U657" s="10"/>
      <c r="V657" s="10"/>
      <c r="W657" s="12">
        <f t="shared" si="176"/>
        <v>0</v>
      </c>
      <c r="Y657" s="10"/>
      <c r="Z657" s="30"/>
      <c r="AA657" s="31"/>
      <c r="AB657" s="47"/>
      <c r="AC657" s="31"/>
      <c r="AD657" s="31"/>
      <c r="AE657" s="32">
        <f t="shared" ref="AE657" si="184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102"/>
      <c r="C659" s="102"/>
      <c r="D659" s="102"/>
      <c r="E659" s="102"/>
      <c r="F659" s="102"/>
      <c r="G659" s="102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102"/>
      <c r="C660" s="102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385325</v>
      </c>
      <c r="Q660" s="38">
        <f>SUM(Q617:Q641)</f>
        <v>-2982</v>
      </c>
      <c r="R660" s="38">
        <f>SUM(R617:R641)</f>
        <v>0</v>
      </c>
      <c r="S660" s="38">
        <f>SUM(S617:S659)</f>
        <v>382343</v>
      </c>
      <c r="T660" s="4"/>
      <c r="U660" s="41">
        <f>SUM(U617:U659)</f>
        <v>1116</v>
      </c>
      <c r="V660" s="41">
        <f>SUM(V617:V641)</f>
        <v>-810</v>
      </c>
      <c r="W660" s="42">
        <f>SUM(W617:W659)</f>
        <v>382649</v>
      </c>
      <c r="Z660" s="57"/>
      <c r="AA660" s="57"/>
      <c r="AB660" s="38">
        <f>SUM(AB617:AB659)</f>
        <v>354791</v>
      </c>
      <c r="AC660" s="38">
        <f>SUM(AC617:AC641)</f>
        <v>-1662</v>
      </c>
      <c r="AD660" s="38">
        <f>SUM(AD617:AD641)</f>
        <v>0</v>
      </c>
      <c r="AE660" s="38">
        <f>SUM(AE617:AE659)</f>
        <v>353129</v>
      </c>
      <c r="AF660" s="4"/>
      <c r="AG660" s="41">
        <f>SUM(AG617:AG659)</f>
        <v>26331</v>
      </c>
      <c r="AH660" s="41">
        <f>SUM(AH617:AH641)</f>
        <v>-3441</v>
      </c>
      <c r="AI660" s="42">
        <f>SUM(AI617:AI659)</f>
        <v>376019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42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42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0" t="s">
        <v>17</v>
      </c>
      <c r="E670" s="120"/>
      <c r="F670" s="103"/>
      <c r="G670" s="27"/>
      <c r="I670" s="118" t="s">
        <v>18</v>
      </c>
      <c r="J670" s="119"/>
      <c r="K670" s="116" t="s">
        <v>19</v>
      </c>
      <c r="N670" s="25"/>
      <c r="O670" s="26"/>
      <c r="P670" s="120" t="s">
        <v>17</v>
      </c>
      <c r="Q670" s="120"/>
      <c r="R670" s="103"/>
      <c r="S670" s="27"/>
      <c r="U670" s="118" t="s">
        <v>18</v>
      </c>
      <c r="V670" s="119"/>
      <c r="W670" s="116" t="s">
        <v>19</v>
      </c>
      <c r="Z670" s="25"/>
      <c r="AA670" s="26"/>
      <c r="AB670" s="120" t="s">
        <v>17</v>
      </c>
      <c r="AC670" s="120"/>
      <c r="AD670" s="103"/>
      <c r="AE670" s="27"/>
      <c r="AG670" s="118" t="s">
        <v>18</v>
      </c>
      <c r="AH670" s="119"/>
      <c r="AI670" s="116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7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7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7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2">
        <v>9581</v>
      </c>
      <c r="D672" s="32">
        <f>650*57+670*3+622*10</f>
        <v>45280</v>
      </c>
      <c r="E672" s="32"/>
      <c r="F672" s="32"/>
      <c r="G672" s="32">
        <f t="shared" ref="G672:G705" si="185">SUM(D672:E672)</f>
        <v>45280</v>
      </c>
      <c r="H672" s="12"/>
      <c r="I672" s="12"/>
      <c r="J672" s="12"/>
      <c r="K672" s="12">
        <f t="shared" ref="K672:K705" si="186">SUM(G672:J672)</f>
        <v>45280</v>
      </c>
      <c r="M672" s="10">
        <v>1</v>
      </c>
      <c r="N672" s="30" t="s">
        <v>72</v>
      </c>
      <c r="O672" s="31">
        <v>9709</v>
      </c>
      <c r="P672" s="32">
        <f>650*216+229*6</f>
        <v>141774</v>
      </c>
      <c r="Q672" s="32">
        <f>-216*6</f>
        <v>-1296</v>
      </c>
      <c r="R672" s="32"/>
      <c r="S672" s="32">
        <f>SUM(P672:Q672)</f>
        <v>140478</v>
      </c>
      <c r="T672" s="12"/>
      <c r="U672" s="12">
        <v>5439</v>
      </c>
      <c r="V672" s="12">
        <f>-672+-210</f>
        <v>-882</v>
      </c>
      <c r="W672" s="12">
        <f>SUM(S672:V672)</f>
        <v>145035</v>
      </c>
      <c r="Y672" s="10">
        <v>1</v>
      </c>
      <c r="Z672" s="30" t="s">
        <v>72</v>
      </c>
      <c r="AA672" s="31">
        <v>9659</v>
      </c>
      <c r="AB672" s="32">
        <f>414166</f>
        <v>414166</v>
      </c>
      <c r="AC672" s="32"/>
      <c r="AD672" s="32"/>
      <c r="AE672" s="32">
        <f>SUM(AB672:AC672)</f>
        <v>414166</v>
      </c>
      <c r="AF672" s="12"/>
      <c r="AG672" s="12"/>
      <c r="AH672" s="12">
        <f>-120+-7548+-3948+-28980</f>
        <v>-40596</v>
      </c>
      <c r="AI672" s="12">
        <f>SUM(AE672:AH672)</f>
        <v>373570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2">
        <f>C672+1</f>
        <v>9582</v>
      </c>
      <c r="D673" s="32">
        <f>650*27</f>
        <v>17550</v>
      </c>
      <c r="E673" s="32"/>
      <c r="F673" s="32"/>
      <c r="G673" s="32">
        <f t="shared" si="185"/>
        <v>17550</v>
      </c>
      <c r="H673" s="12"/>
      <c r="I673" s="12"/>
      <c r="J673" s="12">
        <f>-26*111</f>
        <v>-2886</v>
      </c>
      <c r="K673" s="12">
        <f t="shared" si="186"/>
        <v>14664</v>
      </c>
      <c r="M673" s="10">
        <v>2</v>
      </c>
      <c r="N673" s="30" t="s">
        <v>72</v>
      </c>
      <c r="O673" s="31">
        <f>O672+1</f>
        <v>9710</v>
      </c>
      <c r="P673" s="32">
        <f>650*7+670+9.5*5</f>
        <v>5267.5</v>
      </c>
      <c r="Q673" s="32"/>
      <c r="R673" s="32"/>
      <c r="S673" s="32">
        <f t="shared" ref="S673:S710" si="187">SUM(P673:Q673)</f>
        <v>5267.5</v>
      </c>
      <c r="T673" s="12"/>
      <c r="U673" s="12"/>
      <c r="V673" s="12">
        <v>-555</v>
      </c>
      <c r="W673" s="12">
        <f t="shared" ref="W673:W713" si="188">SUM(S673:V673)</f>
        <v>4712.5</v>
      </c>
      <c r="Y673" s="10">
        <v>2</v>
      </c>
      <c r="Z673" s="30" t="s">
        <v>72</v>
      </c>
      <c r="AA673" s="31">
        <f>AA672+1</f>
        <v>9660</v>
      </c>
      <c r="AB673" s="32">
        <f>21521</f>
        <v>21521</v>
      </c>
      <c r="AC673" s="32"/>
      <c r="AD673" s="32"/>
      <c r="AE673" s="32">
        <f t="shared" ref="AE673:AE710" si="189">SUM(AB673:AC673)</f>
        <v>21521</v>
      </c>
      <c r="AF673" s="12"/>
      <c r="AG673" s="12"/>
      <c r="AH673" s="12"/>
      <c r="AI673" s="12">
        <f t="shared" ref="AI673:AI713" si="190">SUM(AE673:AH673)</f>
        <v>21521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2">
        <f t="shared" ref="C674:C675" si="191">C673+1</f>
        <v>9583</v>
      </c>
      <c r="D674" s="33">
        <f>650*540+622*108+912*10+1050*10+872*10+229*27</f>
        <v>452699</v>
      </c>
      <c r="E674" s="33">
        <f>-678*6</f>
        <v>-4068</v>
      </c>
      <c r="F674" s="33"/>
      <c r="G674" s="33">
        <f t="shared" si="185"/>
        <v>448631</v>
      </c>
      <c r="H674" s="34"/>
      <c r="I674" s="34">
        <f>120*9+200*111+19*78</f>
        <v>24762</v>
      </c>
      <c r="J674" s="34"/>
      <c r="K674" s="34">
        <f t="shared" si="186"/>
        <v>473393</v>
      </c>
      <c r="M674" s="10">
        <v>3</v>
      </c>
      <c r="N674" s="30" t="s">
        <v>72</v>
      </c>
      <c r="O674" s="31">
        <f t="shared" ref="O674:O675" si="192">O673+1</f>
        <v>9711</v>
      </c>
      <c r="P674" s="32">
        <f>650*170+622*30+229*6</f>
        <v>130534</v>
      </c>
      <c r="Q674" s="32">
        <f>-200*6</f>
        <v>-1200</v>
      </c>
      <c r="R674" s="32"/>
      <c r="S674" s="32">
        <f t="shared" si="187"/>
        <v>129334</v>
      </c>
      <c r="T674" s="12"/>
      <c r="U674" s="12">
        <v>312</v>
      </c>
      <c r="V674" s="12">
        <f>-480+-14208+-420+-546</f>
        <v>-15654</v>
      </c>
      <c r="W674" s="12">
        <f t="shared" si="188"/>
        <v>113992</v>
      </c>
      <c r="Y674" s="10">
        <v>3</v>
      </c>
      <c r="Z674" s="30" t="s">
        <v>72</v>
      </c>
      <c r="AA674" s="31">
        <f t="shared" ref="AA674" si="193">AA673+1</f>
        <v>9661</v>
      </c>
      <c r="AB674" s="33">
        <f>650*20+622*5</f>
        <v>16110</v>
      </c>
      <c r="AC674" s="33"/>
      <c r="AD674" s="32"/>
      <c r="AE674" s="32">
        <f t="shared" si="189"/>
        <v>16110</v>
      </c>
      <c r="AF674" s="12"/>
      <c r="AG674" s="12"/>
      <c r="AH674" s="12">
        <f>-240+-333+-84*2</f>
        <v>-741</v>
      </c>
      <c r="AI674" s="12">
        <f t="shared" si="190"/>
        <v>15369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2">
        <f t="shared" si="191"/>
        <v>9584</v>
      </c>
      <c r="D675" s="32">
        <f>650*216+1102+1175+9120+5250+1950+2061+1500</f>
        <v>162558</v>
      </c>
      <c r="E675" s="32">
        <f>-233*6</f>
        <v>-1398</v>
      </c>
      <c r="F675" s="32"/>
      <c r="G675" s="32">
        <f t="shared" si="185"/>
        <v>161160</v>
      </c>
      <c r="H675" s="12"/>
      <c r="I675" s="12">
        <f>360+624</f>
        <v>984</v>
      </c>
      <c r="J675" s="12">
        <f>-13875+-84+-15</f>
        <v>-13974</v>
      </c>
      <c r="K675" s="12">
        <f t="shared" si="186"/>
        <v>148170</v>
      </c>
      <c r="M675" s="10">
        <v>4</v>
      </c>
      <c r="N675" s="30" t="s">
        <v>72</v>
      </c>
      <c r="O675" s="31">
        <f t="shared" si="192"/>
        <v>9712</v>
      </c>
      <c r="P675" s="32">
        <f>650+9.5</f>
        <v>659.5</v>
      </c>
      <c r="Q675" s="32"/>
      <c r="R675" s="32"/>
      <c r="S675" s="32">
        <f t="shared" si="187"/>
        <v>659.5</v>
      </c>
      <c r="T675" s="12"/>
      <c r="U675" s="12"/>
      <c r="V675" s="12"/>
      <c r="W675" s="12">
        <f t="shared" si="188"/>
        <v>659.5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189"/>
        <v>0</v>
      </c>
      <c r="AF675" s="12"/>
      <c r="AG675" s="58"/>
      <c r="AH675" s="12"/>
      <c r="AI675" s="12">
        <f t="shared" si="190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85"/>
        <v>0</v>
      </c>
      <c r="H676" s="12"/>
      <c r="I676" s="12"/>
      <c r="J676" s="12"/>
      <c r="K676" s="12">
        <f t="shared" si="186"/>
        <v>0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187"/>
        <v>0</v>
      </c>
      <c r="T676" s="12"/>
      <c r="U676" s="12"/>
      <c r="V676" s="12"/>
      <c r="W676" s="12">
        <f t="shared" si="188"/>
        <v>0</v>
      </c>
      <c r="Y676" s="10">
        <v>5</v>
      </c>
      <c r="Z676" s="30"/>
      <c r="AA676" s="31"/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2"/>
      <c r="D677" s="32"/>
      <c r="E677" s="32"/>
      <c r="F677" s="32"/>
      <c r="G677" s="32">
        <f t="shared" si="185"/>
        <v>0</v>
      </c>
      <c r="H677" s="12"/>
      <c r="I677" s="12"/>
      <c r="J677" s="12"/>
      <c r="K677" s="12">
        <f t="shared" si="186"/>
        <v>0</v>
      </c>
      <c r="M677" s="10">
        <v>6</v>
      </c>
      <c r="N677" s="30"/>
      <c r="O677" s="31"/>
      <c r="P677" s="32"/>
      <c r="Q677" s="32"/>
      <c r="R677" s="32"/>
      <c r="S677" s="32">
        <f t="shared" si="187"/>
        <v>0</v>
      </c>
      <c r="T677" s="12"/>
      <c r="U677" s="12"/>
      <c r="V677" s="10"/>
      <c r="W677" s="12">
        <f t="shared" si="188"/>
        <v>0</v>
      </c>
      <c r="Y677" s="10">
        <v>6</v>
      </c>
      <c r="Z677" s="30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2"/>
      <c r="D678" s="32"/>
      <c r="E678" s="32"/>
      <c r="F678" s="32"/>
      <c r="G678" s="32">
        <f t="shared" si="185"/>
        <v>0</v>
      </c>
      <c r="H678" s="12"/>
      <c r="I678" s="12"/>
      <c r="J678" s="12"/>
      <c r="K678" s="12">
        <f t="shared" si="186"/>
        <v>0</v>
      </c>
      <c r="M678" s="10">
        <v>7</v>
      </c>
      <c r="N678" s="30"/>
      <c r="O678" s="31"/>
      <c r="P678" s="32"/>
      <c r="Q678" s="32"/>
      <c r="R678" s="32"/>
      <c r="S678" s="32">
        <f t="shared" si="187"/>
        <v>0</v>
      </c>
      <c r="T678" s="12"/>
      <c r="U678" s="12"/>
      <c r="V678" s="12"/>
      <c r="W678" s="12">
        <f t="shared" si="188"/>
        <v>0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D679" s="32"/>
      <c r="E679" s="32"/>
      <c r="F679" s="32"/>
      <c r="G679" s="32">
        <f t="shared" si="185"/>
        <v>0</v>
      </c>
      <c r="H679" s="12"/>
      <c r="I679" s="12"/>
      <c r="J679" s="12"/>
      <c r="K679" s="12">
        <f t="shared" si="186"/>
        <v>0</v>
      </c>
      <c r="M679" s="10">
        <v>8</v>
      </c>
      <c r="N679" s="30"/>
      <c r="O679" s="11"/>
      <c r="P679" s="32"/>
      <c r="Q679" s="32"/>
      <c r="R679" s="32"/>
      <c r="S679" s="32">
        <f t="shared" si="187"/>
        <v>0</v>
      </c>
      <c r="T679" s="12"/>
      <c r="U679" s="12"/>
      <c r="V679" s="12"/>
      <c r="W679" s="12">
        <f t="shared" si="188"/>
        <v>0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2"/>
      <c r="D680" s="32"/>
      <c r="E680" s="32"/>
      <c r="F680" s="32"/>
      <c r="G680" s="32">
        <f t="shared" si="185"/>
        <v>0</v>
      </c>
      <c r="H680" s="12"/>
      <c r="I680" s="12"/>
      <c r="J680" s="12"/>
      <c r="K680" s="12">
        <f t="shared" si="186"/>
        <v>0</v>
      </c>
      <c r="M680" s="10">
        <v>9</v>
      </c>
      <c r="N680" s="30"/>
      <c r="P680" s="32"/>
      <c r="Q680" s="32"/>
      <c r="R680" s="32"/>
      <c r="S680" s="32">
        <f t="shared" si="187"/>
        <v>0</v>
      </c>
      <c r="T680" s="12"/>
      <c r="U680" s="12"/>
      <c r="V680" s="12"/>
      <c r="W680" s="12">
        <f t="shared" si="188"/>
        <v>0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57"/>
      <c r="D681" s="32"/>
      <c r="E681" s="32"/>
      <c r="F681" s="32"/>
      <c r="G681" s="32">
        <f t="shared" si="185"/>
        <v>0</v>
      </c>
      <c r="H681" s="12"/>
      <c r="I681" s="12"/>
      <c r="J681" s="12"/>
      <c r="K681" s="12">
        <f t="shared" si="186"/>
        <v>0</v>
      </c>
      <c r="M681" s="10">
        <v>10</v>
      </c>
      <c r="N681" s="30"/>
      <c r="O681" s="31"/>
      <c r="P681" s="32"/>
      <c r="Q681" s="32"/>
      <c r="R681" s="32"/>
      <c r="S681" s="32">
        <f t="shared" si="187"/>
        <v>0</v>
      </c>
      <c r="T681" s="12"/>
      <c r="U681" s="12"/>
      <c r="V681" s="12"/>
      <c r="W681" s="12">
        <f t="shared" si="188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2"/>
      <c r="D682" s="32"/>
      <c r="E682" s="32"/>
      <c r="F682" s="32"/>
      <c r="G682" s="32">
        <f t="shared" si="185"/>
        <v>0</v>
      </c>
      <c r="H682" s="12"/>
      <c r="I682" s="12"/>
      <c r="J682" s="12"/>
      <c r="K682" s="12">
        <f t="shared" si="186"/>
        <v>0</v>
      </c>
      <c r="M682" s="10">
        <v>11</v>
      </c>
      <c r="N682" s="30"/>
      <c r="O682" s="31"/>
      <c r="P682" s="32"/>
      <c r="Q682" s="32"/>
      <c r="R682" s="32"/>
      <c r="S682" s="32">
        <f t="shared" si="187"/>
        <v>0</v>
      </c>
      <c r="T682" s="12"/>
      <c r="U682" s="12"/>
      <c r="V682" s="12"/>
      <c r="W682" s="12">
        <f t="shared" si="188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2"/>
      <c r="D683" s="32"/>
      <c r="E683" s="32"/>
      <c r="F683" s="32"/>
      <c r="G683" s="32">
        <f t="shared" si="185"/>
        <v>0</v>
      </c>
      <c r="H683" s="12"/>
      <c r="I683" s="12"/>
      <c r="J683" s="10"/>
      <c r="K683" s="12">
        <f t="shared" si="186"/>
        <v>0</v>
      </c>
      <c r="M683" s="10">
        <v>12</v>
      </c>
      <c r="N683" s="30"/>
      <c r="O683" s="31"/>
      <c r="P683" s="32"/>
      <c r="Q683" s="32"/>
      <c r="R683" s="32"/>
      <c r="S683" s="32">
        <f t="shared" si="187"/>
        <v>0</v>
      </c>
      <c r="T683" s="12"/>
      <c r="U683" s="12"/>
      <c r="V683" s="12"/>
      <c r="W683" s="12">
        <f t="shared" si="188"/>
        <v>0</v>
      </c>
      <c r="Y683" s="10">
        <v>12</v>
      </c>
      <c r="Z683" s="30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2"/>
      <c r="D684" s="32"/>
      <c r="E684" s="32"/>
      <c r="F684" s="32"/>
      <c r="G684" s="32">
        <f t="shared" si="185"/>
        <v>0</v>
      </c>
      <c r="H684" s="12"/>
      <c r="I684" s="12"/>
      <c r="J684" s="12"/>
      <c r="K684" s="12">
        <f t="shared" si="186"/>
        <v>0</v>
      </c>
      <c r="M684" s="10">
        <v>13</v>
      </c>
      <c r="N684" s="30"/>
      <c r="O684" s="31"/>
      <c r="P684" s="32"/>
      <c r="Q684" s="32"/>
      <c r="R684" s="32"/>
      <c r="S684" s="32">
        <f t="shared" si="187"/>
        <v>0</v>
      </c>
      <c r="T684" s="12"/>
      <c r="U684" s="12"/>
      <c r="V684" s="12"/>
      <c r="W684" s="12">
        <f t="shared" si="188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2"/>
      <c r="D685" s="32"/>
      <c r="E685" s="32"/>
      <c r="F685" s="32"/>
      <c r="G685" s="32">
        <f t="shared" si="185"/>
        <v>0</v>
      </c>
      <c r="H685" s="12"/>
      <c r="I685" s="12"/>
      <c r="J685" s="12"/>
      <c r="K685" s="12">
        <f t="shared" si="186"/>
        <v>0</v>
      </c>
      <c r="M685" s="10">
        <v>14</v>
      </c>
      <c r="N685" s="30"/>
      <c r="O685" s="31"/>
      <c r="P685" s="32"/>
      <c r="Q685" s="32"/>
      <c r="R685" s="32"/>
      <c r="S685" s="32">
        <f t="shared" si="187"/>
        <v>0</v>
      </c>
      <c r="T685" s="12"/>
      <c r="U685" s="12"/>
      <c r="V685" s="12"/>
      <c r="W685" s="12">
        <f t="shared" si="188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2"/>
      <c r="D686" s="32"/>
      <c r="E686" s="32"/>
      <c r="F686" s="32"/>
      <c r="G686" s="32">
        <f t="shared" si="185"/>
        <v>0</v>
      </c>
      <c r="H686" s="12"/>
      <c r="I686" s="12"/>
      <c r="J686" s="12"/>
      <c r="K686" s="12">
        <f t="shared" si="186"/>
        <v>0</v>
      </c>
      <c r="M686" s="10">
        <v>15</v>
      </c>
      <c r="N686" s="30"/>
      <c r="O686" s="31"/>
      <c r="P686" s="32"/>
      <c r="Q686" s="32"/>
      <c r="R686" s="32"/>
      <c r="S686" s="32">
        <f t="shared" si="187"/>
        <v>0</v>
      </c>
      <c r="T686" s="12"/>
      <c r="U686" s="12"/>
      <c r="V686" s="12"/>
      <c r="W686" s="12">
        <f t="shared" si="188"/>
        <v>0</v>
      </c>
      <c r="Y686" s="10">
        <v>15</v>
      </c>
      <c r="Z686" s="30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82"/>
      <c r="D687" s="32"/>
      <c r="E687" s="32"/>
      <c r="F687" s="32"/>
      <c r="G687" s="32">
        <f t="shared" si="185"/>
        <v>0</v>
      </c>
      <c r="H687" s="12"/>
      <c r="I687" s="12"/>
      <c r="J687" s="12"/>
      <c r="K687" s="12">
        <f t="shared" si="186"/>
        <v>0</v>
      </c>
      <c r="M687" s="10">
        <v>16</v>
      </c>
      <c r="N687" s="30"/>
      <c r="O687" s="31"/>
      <c r="P687" s="32"/>
      <c r="Q687" s="32"/>
      <c r="R687" s="32"/>
      <c r="S687" s="32">
        <f t="shared" si="187"/>
        <v>0</v>
      </c>
      <c r="T687" s="12"/>
      <c r="U687" s="12"/>
      <c r="V687" s="12"/>
      <c r="W687" s="12">
        <f t="shared" si="188"/>
        <v>0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2"/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/>
      <c r="O688" s="31"/>
      <c r="P688" s="35"/>
      <c r="Q688" s="32"/>
      <c r="R688" s="32"/>
      <c r="S688" s="32">
        <f t="shared" si="187"/>
        <v>0</v>
      </c>
      <c r="T688" s="12"/>
      <c r="U688" s="12"/>
      <c r="V688" s="12"/>
      <c r="W688" s="12">
        <f t="shared" si="188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2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/>
      <c r="O689" s="31"/>
      <c r="P689" s="32"/>
      <c r="Q689" s="32"/>
      <c r="R689" s="32"/>
      <c r="S689" s="32">
        <f t="shared" si="187"/>
        <v>0</v>
      </c>
      <c r="T689" s="12"/>
      <c r="U689" s="12"/>
      <c r="V689" s="12"/>
      <c r="W689" s="12">
        <f t="shared" si="188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2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/>
      <c r="O690" s="31"/>
      <c r="P690" s="32"/>
      <c r="Q690" s="32"/>
      <c r="R690" s="32"/>
      <c r="S690" s="32">
        <f t="shared" si="187"/>
        <v>0</v>
      </c>
      <c r="T690" s="12"/>
      <c r="U690" s="12"/>
      <c r="V690" s="12"/>
      <c r="W690" s="12">
        <f t="shared" si="188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2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/>
      <c r="O691" s="31"/>
      <c r="P691" s="32"/>
      <c r="Q691" s="32"/>
      <c r="R691" s="32"/>
      <c r="S691" s="32">
        <f t="shared" si="187"/>
        <v>0</v>
      </c>
      <c r="T691" s="12"/>
      <c r="U691" s="12"/>
      <c r="V691" s="12"/>
      <c r="W691" s="12">
        <f t="shared" si="188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/>
      <c r="O692" s="31"/>
      <c r="P692" s="46"/>
      <c r="Q692" s="31"/>
      <c r="R692" s="31"/>
      <c r="S692" s="32">
        <f t="shared" si="187"/>
        <v>0</v>
      </c>
      <c r="T692" s="10"/>
      <c r="U692" s="10"/>
      <c r="V692" s="10"/>
      <c r="W692" s="12">
        <f t="shared" si="188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31"/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2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2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2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2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2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2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2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2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O701" s="31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2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2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2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2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O705" s="31"/>
      <c r="P705" s="47"/>
      <c r="Q705" s="31"/>
      <c r="R705" s="31"/>
      <c r="S705" s="32">
        <f t="shared" si="187"/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2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P706" s="47"/>
      <c r="Q706" s="31"/>
      <c r="R706" s="31"/>
      <c r="S706" s="32">
        <f t="shared" si="187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2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7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O708" s="31"/>
      <c r="P708" s="47"/>
      <c r="Q708" s="31"/>
      <c r="R708" s="31"/>
      <c r="S708" s="32">
        <f t="shared" si="187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7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7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678087</v>
      </c>
      <c r="E715" s="38">
        <f t="shared" ref="E715:F715" si="198">SUM(E672:E712)</f>
        <v>-5466</v>
      </c>
      <c r="F715" s="38">
        <f t="shared" si="198"/>
        <v>0</v>
      </c>
      <c r="G715" s="38">
        <f>SUM(G672:G714)</f>
        <v>672621</v>
      </c>
      <c r="H715" s="4"/>
      <c r="I715" s="39">
        <f>SUM(I672:I714)</f>
        <v>25746</v>
      </c>
      <c r="J715" s="39">
        <f>SUM(J672:J714)</f>
        <v>-16860</v>
      </c>
      <c r="K715" s="40">
        <f>SUM(K672:K714)</f>
        <v>681507</v>
      </c>
      <c r="N715" s="57"/>
      <c r="O715" s="57"/>
      <c r="P715" s="38">
        <f>SUM(P672:P714)</f>
        <v>278235</v>
      </c>
      <c r="Q715" s="38">
        <f>SUM(Q672:Q696)</f>
        <v>-2496</v>
      </c>
      <c r="R715" s="38">
        <f>SUM(R672:R696)</f>
        <v>0</v>
      </c>
      <c r="S715" s="38">
        <f>SUM(S672:S714)</f>
        <v>275739</v>
      </c>
      <c r="T715" s="4"/>
      <c r="U715" s="41">
        <f>SUM(U672:U714)</f>
        <v>5751</v>
      </c>
      <c r="V715" s="41">
        <f>SUM(V672:V696)</f>
        <v>-17091</v>
      </c>
      <c r="W715" s="42">
        <f>SUM(W672:W714)</f>
        <v>264399</v>
      </c>
      <c r="Z715" s="57"/>
      <c r="AA715" s="57"/>
      <c r="AB715" s="38">
        <f>SUM(AB672:AB714)</f>
        <v>451797</v>
      </c>
      <c r="AC715" s="38">
        <f>SUM(AC672:AC696)</f>
        <v>0</v>
      </c>
      <c r="AD715" s="38">
        <f>SUM(AD672:AD696)</f>
        <v>0</v>
      </c>
      <c r="AE715" s="38">
        <f>SUM(AE672:AE714)</f>
        <v>451797</v>
      </c>
      <c r="AF715" s="4"/>
      <c r="AG715" s="41">
        <f>SUM(AG672:AG714)</f>
        <v>0</v>
      </c>
      <c r="AH715" s="41">
        <f>SUM(AH672:AH696)</f>
        <v>-41337</v>
      </c>
      <c r="AI715" s="42">
        <f>SUM(AI672:AI714)</f>
        <v>410460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44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44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44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0" t="s">
        <v>17</v>
      </c>
      <c r="E725" s="120"/>
      <c r="F725" s="104"/>
      <c r="G725" s="27"/>
      <c r="I725" s="118" t="s">
        <v>18</v>
      </c>
      <c r="J725" s="119"/>
      <c r="K725" s="116" t="s">
        <v>19</v>
      </c>
      <c r="N725" s="25"/>
      <c r="O725" s="26"/>
      <c r="P725" s="120" t="s">
        <v>17</v>
      </c>
      <c r="Q725" s="120"/>
      <c r="R725" s="104"/>
      <c r="S725" s="27"/>
      <c r="U725" s="118" t="s">
        <v>18</v>
      </c>
      <c r="V725" s="119"/>
      <c r="W725" s="116" t="s">
        <v>19</v>
      </c>
      <c r="Z725" s="25"/>
      <c r="AA725" s="26"/>
      <c r="AB725" s="120" t="s">
        <v>17</v>
      </c>
      <c r="AC725" s="120"/>
      <c r="AD725" s="104"/>
      <c r="AE725" s="27"/>
      <c r="AG725" s="118" t="s">
        <v>18</v>
      </c>
      <c r="AH725" s="119"/>
      <c r="AI725" s="116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7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7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7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2">
        <v>9585</v>
      </c>
      <c r="D727" s="32">
        <f>650*300+20*670+973*10+700*10+912*10+1050*40+872*25+500*5+500*10</f>
        <v>305550</v>
      </c>
      <c r="E727" s="32"/>
      <c r="F727" s="32"/>
      <c r="G727" s="32">
        <f t="shared" ref="G727:G760" si="199">SUM(D727:E727)</f>
        <v>305550</v>
      </c>
      <c r="H727" s="12"/>
      <c r="I727" s="12">
        <f>13440+36630</f>
        <v>50070</v>
      </c>
      <c r="J727" s="12">
        <f>-120+-2886+-27048</f>
        <v>-30054</v>
      </c>
      <c r="K727" s="12">
        <f t="shared" ref="K727:K760" si="200">SUM(G727:J727)</f>
        <v>325566</v>
      </c>
      <c r="M727" s="10">
        <v>1</v>
      </c>
      <c r="N727" s="30" t="s">
        <v>75</v>
      </c>
      <c r="O727" s="31">
        <v>9713</v>
      </c>
      <c r="P727" s="32">
        <f>650*324+229*13</f>
        <v>213577</v>
      </c>
      <c r="Q727" s="32">
        <f>-324*6</f>
        <v>-1944</v>
      </c>
      <c r="R727" s="32"/>
      <c r="S727" s="32">
        <f>SUM(P727:Q727)</f>
        <v>211633</v>
      </c>
      <c r="T727" s="12"/>
      <c r="U727" s="12">
        <v>780</v>
      </c>
      <c r="V727" s="12">
        <v>-420</v>
      </c>
      <c r="W727" s="12">
        <f>SUM(S727:V727)</f>
        <v>211993</v>
      </c>
      <c r="Y727" s="10">
        <v>1</v>
      </c>
      <c r="Z727" s="30" t="s">
        <v>75</v>
      </c>
      <c r="AA727" s="31">
        <v>9662</v>
      </c>
      <c r="AB727" s="32">
        <f>650*2</f>
        <v>1300</v>
      </c>
      <c r="AC727" s="32"/>
      <c r="AD727" s="32"/>
      <c r="AE727" s="32">
        <f>SUM(AB727:AC727)</f>
        <v>1300</v>
      </c>
      <c r="AF727" s="12"/>
      <c r="AG727" s="12"/>
      <c r="AH727" s="12"/>
      <c r="AI727" s="12">
        <f>SUM(AE727:AH727)</f>
        <v>1300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2">
        <f>C727+1</f>
        <v>9586</v>
      </c>
      <c r="D728" s="32">
        <f>1582+1582+1582+1950+1175*5+872*10+1582+650*5</f>
        <v>26123</v>
      </c>
      <c r="E728" s="32"/>
      <c r="F728" s="32"/>
      <c r="G728" s="32">
        <f t="shared" si="199"/>
        <v>26123</v>
      </c>
      <c r="H728" s="12"/>
      <c r="I728" s="12"/>
      <c r="J728" s="12"/>
      <c r="K728" s="12">
        <f t="shared" si="200"/>
        <v>26123</v>
      </c>
      <c r="M728" s="10">
        <v>2</v>
      </c>
      <c r="N728" s="30" t="s">
        <v>75</v>
      </c>
      <c r="O728" s="31">
        <f>O727+1</f>
        <v>9714</v>
      </c>
      <c r="P728" s="32">
        <f>650*44+622*5+229</f>
        <v>31939</v>
      </c>
      <c r="Q728" s="32"/>
      <c r="R728" s="32"/>
      <c r="S728" s="32">
        <f t="shared" ref="S728:S765" si="201">SUM(P728:Q728)</f>
        <v>31939</v>
      </c>
      <c r="T728" s="12"/>
      <c r="U728" s="12">
        <f>36+81</f>
        <v>117</v>
      </c>
      <c r="V728" s="12"/>
      <c r="W728" s="12">
        <f t="shared" ref="W728:W768" si="202">SUM(S728:V728)</f>
        <v>32056</v>
      </c>
      <c r="Y728" s="10">
        <v>2</v>
      </c>
      <c r="Z728" s="30" t="s">
        <v>75</v>
      </c>
      <c r="AA728" s="31">
        <f>AA727+1</f>
        <v>9663</v>
      </c>
      <c r="AB728" s="32">
        <f>650*3+9.5*3</f>
        <v>1978.5</v>
      </c>
      <c r="AC728" s="32"/>
      <c r="AD728" s="32"/>
      <c r="AE728" s="32">
        <f t="shared" ref="AE728:AE765" si="203">SUM(AB728:AC728)</f>
        <v>1978.5</v>
      </c>
      <c r="AF728" s="12"/>
      <c r="AG728" s="12"/>
      <c r="AH728" s="12"/>
      <c r="AI728" s="12">
        <f t="shared" ref="AI728:AI768" si="204">SUM(AE728:AH728)</f>
        <v>1978.5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2">
        <f t="shared" ref="C729" si="205">C728+1</f>
        <v>9587</v>
      </c>
      <c r="D729" s="33">
        <f>650*14+670+973*2+622*7+229</f>
        <v>16299</v>
      </c>
      <c r="E729" s="33"/>
      <c r="F729" s="33"/>
      <c r="G729" s="33">
        <f t="shared" si="199"/>
        <v>16299</v>
      </c>
      <c r="H729" s="34"/>
      <c r="I729" s="34"/>
      <c r="J729" s="34">
        <f>-1887+-11844</f>
        <v>-13731</v>
      </c>
      <c r="K729" s="34">
        <f t="shared" si="200"/>
        <v>2568</v>
      </c>
      <c r="M729" s="10">
        <v>3</v>
      </c>
      <c r="N729" s="30" t="s">
        <v>75</v>
      </c>
      <c r="O729" s="31">
        <f t="shared" ref="O729:O731" si="206">O728+1</f>
        <v>9715</v>
      </c>
      <c r="P729" s="32">
        <f>650*17+622*2+9.5*5</f>
        <v>12341.5</v>
      </c>
      <c r="Q729" s="32"/>
      <c r="R729" s="32"/>
      <c r="S729" s="32">
        <f t="shared" si="201"/>
        <v>12341.5</v>
      </c>
      <c r="T729" s="12"/>
      <c r="U729" s="12"/>
      <c r="V729" s="12"/>
      <c r="W729" s="12">
        <f t="shared" si="202"/>
        <v>12341.5</v>
      </c>
      <c r="Y729" s="10">
        <v>3</v>
      </c>
      <c r="Z729" s="30" t="s">
        <v>75</v>
      </c>
      <c r="AA729" s="31">
        <f t="shared" ref="AA729:AA742" si="207">AA728+1</f>
        <v>9664</v>
      </c>
      <c r="AB729" s="33">
        <f>650*8+622*7+229</f>
        <v>9783</v>
      </c>
      <c r="AC729" s="33"/>
      <c r="AD729" s="32"/>
      <c r="AE729" s="32">
        <f t="shared" si="203"/>
        <v>9783</v>
      </c>
      <c r="AF729" s="12"/>
      <c r="AG729" s="12"/>
      <c r="AH729" s="12"/>
      <c r="AI729" s="12">
        <f t="shared" si="204"/>
        <v>9783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/>
      <c r="C730" s="11" t="s">
        <v>27</v>
      </c>
      <c r="D730" s="32"/>
      <c r="E730" s="32"/>
      <c r="F730" s="32"/>
      <c r="G730" s="32">
        <f t="shared" si="199"/>
        <v>0</v>
      </c>
      <c r="H730" s="12"/>
      <c r="I730" s="12"/>
      <c r="J730" s="12"/>
      <c r="K730" s="12">
        <f t="shared" si="200"/>
        <v>0</v>
      </c>
      <c r="M730" s="10">
        <v>4</v>
      </c>
      <c r="N730" s="30" t="s">
        <v>75</v>
      </c>
      <c r="O730" s="31">
        <f t="shared" si="206"/>
        <v>9716</v>
      </c>
      <c r="P730" s="32">
        <f>670+973+500</f>
        <v>2143</v>
      </c>
      <c r="Q730" s="32"/>
      <c r="R730" s="32"/>
      <c r="S730" s="32">
        <f t="shared" si="201"/>
        <v>2143</v>
      </c>
      <c r="T730" s="12"/>
      <c r="U730" s="12"/>
      <c r="V730" s="12"/>
      <c r="W730" s="12">
        <f t="shared" si="202"/>
        <v>2143</v>
      </c>
      <c r="Y730" s="10">
        <v>4</v>
      </c>
      <c r="Z730" s="30" t="s">
        <v>75</v>
      </c>
      <c r="AA730" s="31">
        <f t="shared" si="207"/>
        <v>9665</v>
      </c>
      <c r="AB730" s="32">
        <f>650*15+622*5+229</f>
        <v>13089</v>
      </c>
      <c r="AC730" s="32"/>
      <c r="AD730" s="32"/>
      <c r="AE730" s="32">
        <f t="shared" si="203"/>
        <v>13089</v>
      </c>
      <c r="AF730" s="12"/>
      <c r="AG730" s="58">
        <v>20.25</v>
      </c>
      <c r="AH730" s="12"/>
      <c r="AI730" s="12">
        <f t="shared" si="204"/>
        <v>13109.25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82"/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75</v>
      </c>
      <c r="O731" s="31">
        <f t="shared" si="206"/>
        <v>9717</v>
      </c>
      <c r="P731" s="32">
        <f>650*3+912+1050</f>
        <v>3912</v>
      </c>
      <c r="Q731" s="32"/>
      <c r="R731" s="32"/>
      <c r="S731" s="32">
        <f t="shared" si="201"/>
        <v>3912</v>
      </c>
      <c r="T731" s="12"/>
      <c r="U731" s="12"/>
      <c r="V731" s="12"/>
      <c r="W731" s="12">
        <f t="shared" si="202"/>
        <v>3912</v>
      </c>
      <c r="Y731" s="10">
        <v>5</v>
      </c>
      <c r="Z731" s="30" t="s">
        <v>75</v>
      </c>
      <c r="AA731" s="31">
        <f t="shared" si="207"/>
        <v>9666</v>
      </c>
      <c r="AB731" s="32">
        <f>650*9+622*2+9.5*11</f>
        <v>7198.5</v>
      </c>
      <c r="AC731" s="32"/>
      <c r="AD731" s="32"/>
      <c r="AE731" s="32">
        <f t="shared" si="203"/>
        <v>7198.5</v>
      </c>
      <c r="AF731" s="12"/>
      <c r="AG731" s="12">
        <v>4.5</v>
      </c>
      <c r="AH731" s="12"/>
      <c r="AI731" s="12">
        <f t="shared" si="204"/>
        <v>7203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2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/>
      <c r="O732" s="11" t="s">
        <v>27</v>
      </c>
      <c r="P732" s="32"/>
      <c r="Q732" s="32"/>
      <c r="R732" s="32"/>
      <c r="S732" s="32">
        <f t="shared" si="201"/>
        <v>0</v>
      </c>
      <c r="T732" s="12"/>
      <c r="U732" s="12"/>
      <c r="V732" s="10"/>
      <c r="W732" s="12">
        <f t="shared" si="202"/>
        <v>0</v>
      </c>
      <c r="Y732" s="10">
        <v>6</v>
      </c>
      <c r="Z732" s="30" t="s">
        <v>75</v>
      </c>
      <c r="AA732" s="31">
        <f t="shared" si="207"/>
        <v>9667</v>
      </c>
      <c r="AB732" s="32">
        <f>650*25+622*10+229</f>
        <v>22699</v>
      </c>
      <c r="AC732" s="32"/>
      <c r="AD732" s="32"/>
      <c r="AE732" s="32">
        <f t="shared" si="203"/>
        <v>22699</v>
      </c>
      <c r="AF732" s="12"/>
      <c r="AG732" s="12"/>
      <c r="AH732" s="10">
        <v>-163.5</v>
      </c>
      <c r="AI732" s="12">
        <f t="shared" si="204"/>
        <v>22535.5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2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/>
      <c r="O733" s="31"/>
      <c r="P733" s="32"/>
      <c r="Q733" s="32"/>
      <c r="R733" s="32"/>
      <c r="S733" s="32">
        <f t="shared" si="201"/>
        <v>0</v>
      </c>
      <c r="T733" s="12"/>
      <c r="U733" s="12"/>
      <c r="V733" s="12"/>
      <c r="W733" s="12">
        <f t="shared" si="202"/>
        <v>0</v>
      </c>
      <c r="Y733" s="10">
        <v>7</v>
      </c>
      <c r="Z733" s="30" t="s">
        <v>75</v>
      </c>
      <c r="AA733" s="31">
        <f t="shared" si="207"/>
        <v>9668</v>
      </c>
      <c r="AB733" s="32">
        <f>650*2+9.5*2</f>
        <v>1319</v>
      </c>
      <c r="AC733" s="32"/>
      <c r="AD733" s="32"/>
      <c r="AE733" s="32">
        <f t="shared" si="203"/>
        <v>1319</v>
      </c>
      <c r="AF733" s="12"/>
      <c r="AG733" s="58"/>
      <c r="AH733" s="12"/>
      <c r="AI733" s="12">
        <f t="shared" si="204"/>
        <v>1319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2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/>
      <c r="O734" s="31"/>
      <c r="P734" s="32"/>
      <c r="Q734" s="32"/>
      <c r="R734" s="32"/>
      <c r="S734" s="32">
        <f t="shared" si="201"/>
        <v>0</v>
      </c>
      <c r="T734" s="12"/>
      <c r="U734" s="12"/>
      <c r="V734" s="12"/>
      <c r="W734" s="12">
        <f t="shared" si="202"/>
        <v>0</v>
      </c>
      <c r="Y734" s="10">
        <v>8</v>
      </c>
      <c r="Z734" s="30" t="s">
        <v>75</v>
      </c>
      <c r="AA734" s="31">
        <f t="shared" si="207"/>
        <v>9669</v>
      </c>
      <c r="AB734" s="32">
        <f>650*10+9.5*10</f>
        <v>6595</v>
      </c>
      <c r="AC734" s="32"/>
      <c r="AE734" s="32">
        <f t="shared" si="203"/>
        <v>6595</v>
      </c>
      <c r="AF734" s="12"/>
      <c r="AG734" s="12"/>
      <c r="AH734" s="12"/>
      <c r="AI734" s="12">
        <f t="shared" si="204"/>
        <v>6595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2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31"/>
      <c r="P735" s="32"/>
      <c r="Q735" s="32"/>
      <c r="R735" s="32"/>
      <c r="S735" s="32">
        <f t="shared" si="201"/>
        <v>0</v>
      </c>
      <c r="T735" s="12"/>
      <c r="U735" s="12"/>
      <c r="V735" s="12"/>
      <c r="W735" s="12">
        <f t="shared" si="202"/>
        <v>0</v>
      </c>
      <c r="Y735" s="10">
        <v>9</v>
      </c>
      <c r="Z735" s="30" t="s">
        <v>75</v>
      </c>
      <c r="AA735" s="31">
        <f t="shared" si="207"/>
        <v>9670</v>
      </c>
      <c r="AB735" s="32">
        <f>75*650+622*25+229</f>
        <v>64529</v>
      </c>
      <c r="AC735" s="32">
        <f>-100*6</f>
        <v>-600</v>
      </c>
      <c r="AD735" s="32"/>
      <c r="AE735" s="32">
        <f t="shared" si="203"/>
        <v>63929</v>
      </c>
      <c r="AF735" s="12"/>
      <c r="AG735">
        <f>111*30+78</f>
        <v>3408</v>
      </c>
      <c r="AH735" s="12"/>
      <c r="AI735" s="12">
        <f t="shared" si="204"/>
        <v>67337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2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O736" s="31"/>
      <c r="P736" s="32"/>
      <c r="Q736" s="32"/>
      <c r="R736" s="32"/>
      <c r="S736" s="32">
        <f t="shared" si="201"/>
        <v>0</v>
      </c>
      <c r="T736" s="12"/>
      <c r="U736" s="12"/>
      <c r="V736" s="12"/>
      <c r="W736" s="12">
        <f t="shared" si="202"/>
        <v>0</v>
      </c>
      <c r="Y736" s="10">
        <v>10</v>
      </c>
      <c r="Z736" s="30" t="s">
        <v>75</v>
      </c>
      <c r="AA736" s="31">
        <f t="shared" si="207"/>
        <v>9671</v>
      </c>
      <c r="AB736" s="32">
        <f>650*7+9.5*12</f>
        <v>4664</v>
      </c>
      <c r="AC736" s="32"/>
      <c r="AD736" s="32"/>
      <c r="AE736" s="32">
        <f t="shared" si="203"/>
        <v>4664</v>
      </c>
      <c r="AF736" s="12"/>
      <c r="AG736" s="12"/>
      <c r="AH736" s="12"/>
      <c r="AI736" s="12">
        <f t="shared" si="204"/>
        <v>4664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2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P737" s="32"/>
      <c r="Q737" s="32"/>
      <c r="R737" s="32"/>
      <c r="S737" s="32">
        <f t="shared" si="201"/>
        <v>0</v>
      </c>
      <c r="T737" s="12"/>
      <c r="U737" s="12"/>
      <c r="V737" s="12"/>
      <c r="W737" s="12">
        <f t="shared" si="202"/>
        <v>0</v>
      </c>
      <c r="Y737" s="10">
        <v>11</v>
      </c>
      <c r="Z737" s="30" t="s">
        <v>75</v>
      </c>
      <c r="AA737" s="31">
        <f t="shared" si="207"/>
        <v>9672</v>
      </c>
      <c r="AB737" s="32">
        <f>650*80+622*20+872+229*4</f>
        <v>66228</v>
      </c>
      <c r="AC737" s="32">
        <f>-101*6</f>
        <v>-606</v>
      </c>
      <c r="AD737" s="32"/>
      <c r="AE737" s="32">
        <f t="shared" si="203"/>
        <v>65622</v>
      </c>
      <c r="AF737" s="12"/>
      <c r="AG737" s="12"/>
      <c r="AH737" s="12"/>
      <c r="AI737" s="12">
        <f t="shared" si="204"/>
        <v>65622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2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31"/>
      <c r="P738" s="32"/>
      <c r="Q738" s="32"/>
      <c r="R738" s="32"/>
      <c r="S738" s="32">
        <f t="shared" si="201"/>
        <v>0</v>
      </c>
      <c r="T738" s="12"/>
      <c r="U738" s="12"/>
      <c r="V738" s="12"/>
      <c r="W738" s="12">
        <f t="shared" si="202"/>
        <v>0</v>
      </c>
      <c r="Y738" s="10">
        <v>12</v>
      </c>
      <c r="Z738" s="30" t="s">
        <v>75</v>
      </c>
      <c r="AA738" s="31">
        <f t="shared" si="207"/>
        <v>9673</v>
      </c>
      <c r="AB738" s="32">
        <f>650*55+622*4+229*2</f>
        <v>38696</v>
      </c>
      <c r="AC738" s="32"/>
      <c r="AD738" s="32"/>
      <c r="AE738" s="32">
        <f t="shared" si="203"/>
        <v>38696</v>
      </c>
      <c r="AF738" s="12"/>
      <c r="AG738" s="12">
        <v>49.5</v>
      </c>
      <c r="AH738" s="12"/>
      <c r="AI738" s="12">
        <f t="shared" si="204"/>
        <v>38745.5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2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31"/>
      <c r="P739" s="32"/>
      <c r="Q739" s="32"/>
      <c r="R739" s="32"/>
      <c r="S739" s="32">
        <f t="shared" si="201"/>
        <v>0</v>
      </c>
      <c r="T739" s="12"/>
      <c r="U739" s="12"/>
      <c r="V739" s="12"/>
      <c r="W739" s="12">
        <f t="shared" si="202"/>
        <v>0</v>
      </c>
      <c r="Y739" s="10">
        <v>13</v>
      </c>
      <c r="Z739" s="30" t="s">
        <v>75</v>
      </c>
      <c r="AA739" s="31">
        <f t="shared" si="207"/>
        <v>9674</v>
      </c>
      <c r="AB739" s="32">
        <f>650*2</f>
        <v>1300</v>
      </c>
      <c r="AC739" s="32"/>
      <c r="AD739" s="32"/>
      <c r="AE739" s="32">
        <f t="shared" si="203"/>
        <v>1300</v>
      </c>
      <c r="AF739" s="12"/>
      <c r="AG739" s="12"/>
      <c r="AH739" s="12"/>
      <c r="AI739" s="12">
        <f t="shared" si="204"/>
        <v>1300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2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31"/>
      <c r="P740" s="32"/>
      <c r="Q740" s="32"/>
      <c r="R740" s="32"/>
      <c r="S740" s="32">
        <f t="shared" si="201"/>
        <v>0</v>
      </c>
      <c r="T740" s="12"/>
      <c r="U740" s="12"/>
      <c r="V740" s="12"/>
      <c r="W740" s="12">
        <f t="shared" si="202"/>
        <v>0</v>
      </c>
      <c r="Y740" s="10">
        <v>14</v>
      </c>
      <c r="Z740" s="30" t="s">
        <v>75</v>
      </c>
      <c r="AA740" s="31">
        <f t="shared" si="207"/>
        <v>9675</v>
      </c>
      <c r="AB740" s="32">
        <f>650*4+670+9.5*4</f>
        <v>3308</v>
      </c>
      <c r="AC740" s="32"/>
      <c r="AD740" s="32"/>
      <c r="AE740" s="32">
        <f t="shared" si="203"/>
        <v>3308</v>
      </c>
      <c r="AF740" s="12"/>
      <c r="AG740" s="12"/>
      <c r="AH740" s="12"/>
      <c r="AI740" s="12">
        <f t="shared" si="204"/>
        <v>3308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2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31"/>
      <c r="P741" s="32"/>
      <c r="Q741" s="32"/>
      <c r="R741" s="32"/>
      <c r="S741" s="32">
        <f t="shared" si="201"/>
        <v>0</v>
      </c>
      <c r="T741" s="12"/>
      <c r="U741" s="12"/>
      <c r="V741" s="12"/>
      <c r="W741" s="12">
        <f t="shared" si="202"/>
        <v>0</v>
      </c>
      <c r="Y741" s="10">
        <v>15</v>
      </c>
      <c r="Z741" s="30" t="s">
        <v>75</v>
      </c>
      <c r="AA741" s="31">
        <f t="shared" si="207"/>
        <v>9676</v>
      </c>
      <c r="AB741" s="32">
        <f>650*16</f>
        <v>10400</v>
      </c>
      <c r="AC741" s="32"/>
      <c r="AD741" s="32"/>
      <c r="AE741" s="32">
        <f t="shared" si="203"/>
        <v>10400</v>
      </c>
      <c r="AF741" s="12"/>
      <c r="AG741" s="12"/>
      <c r="AH741" s="12">
        <v>-666</v>
      </c>
      <c r="AI741" s="12">
        <f t="shared" si="204"/>
        <v>9734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31"/>
      <c r="P742" s="32"/>
      <c r="Q742" s="32"/>
      <c r="R742" s="32"/>
      <c r="S742" s="32">
        <f t="shared" si="201"/>
        <v>0</v>
      </c>
      <c r="T742" s="12"/>
      <c r="U742" s="12"/>
      <c r="V742" s="12"/>
      <c r="W742" s="12">
        <f t="shared" si="202"/>
        <v>0</v>
      </c>
      <c r="Y742" s="10">
        <v>16</v>
      </c>
      <c r="Z742" s="30" t="s">
        <v>75</v>
      </c>
      <c r="AA742" s="31">
        <f t="shared" si="207"/>
        <v>9677</v>
      </c>
      <c r="AB742" s="32">
        <f>18*9.5+650*18</f>
        <v>11871</v>
      </c>
      <c r="AC742" s="32"/>
      <c r="AD742" s="32"/>
      <c r="AE742" s="32">
        <f t="shared" si="203"/>
        <v>11871</v>
      </c>
      <c r="AF742" s="12"/>
      <c r="AG742" s="12"/>
      <c r="AH742" s="12"/>
      <c r="AI742" s="12">
        <f t="shared" si="204"/>
        <v>11871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2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1"/>
        <v>0</v>
      </c>
      <c r="T743" s="12"/>
      <c r="U743" s="12"/>
      <c r="V743" s="12"/>
      <c r="W743" s="12">
        <f t="shared" si="202"/>
        <v>0</v>
      </c>
      <c r="Y743" s="10">
        <v>17</v>
      </c>
      <c r="Z743" s="30" t="s">
        <v>75</v>
      </c>
      <c r="AA743" s="31">
        <v>9751</v>
      </c>
      <c r="AB743" s="35">
        <f>2723.02</f>
        <v>2723.02</v>
      </c>
      <c r="AC743" s="32"/>
      <c r="AD743" s="32"/>
      <c r="AE743" s="32">
        <f t="shared" si="203"/>
        <v>2723.02</v>
      </c>
      <c r="AF743" s="12"/>
      <c r="AG743" s="12"/>
      <c r="AH743" s="12"/>
      <c r="AI743" s="12">
        <f t="shared" si="204"/>
        <v>2723.02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2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1"/>
        <v>0</v>
      </c>
      <c r="T744" s="12"/>
      <c r="U744" s="12"/>
      <c r="V744" s="12"/>
      <c r="W744" s="12">
        <f t="shared" si="202"/>
        <v>0</v>
      </c>
      <c r="Y744" s="10">
        <v>18</v>
      </c>
      <c r="Z744" s="30"/>
      <c r="AA744" s="11" t="s">
        <v>27</v>
      </c>
      <c r="AB744" s="32"/>
      <c r="AC744" s="32"/>
      <c r="AD744" s="32"/>
      <c r="AE744" s="32">
        <f t="shared" si="203"/>
        <v>0</v>
      </c>
      <c r="AF744" s="12"/>
      <c r="AG744" s="12"/>
      <c r="AH744" s="12"/>
      <c r="AI744" s="12">
        <f t="shared" si="204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2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1"/>
        <v>0</v>
      </c>
      <c r="T745" s="12"/>
      <c r="U745" s="12"/>
      <c r="V745" s="12"/>
      <c r="W745" s="12">
        <f t="shared" si="202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3"/>
        <v>0</v>
      </c>
      <c r="AF745" s="12"/>
      <c r="AG745" s="12"/>
      <c r="AH745" s="12"/>
      <c r="AI745" s="12">
        <f t="shared" si="204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2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1"/>
        <v>0</v>
      </c>
      <c r="T746" s="12"/>
      <c r="U746" s="12"/>
      <c r="V746" s="12"/>
      <c r="W746" s="12">
        <f t="shared" si="202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3"/>
        <v>0</v>
      </c>
      <c r="AF746" s="12"/>
      <c r="AG746" s="12"/>
      <c r="AH746" s="12"/>
      <c r="AI746" s="12">
        <f t="shared" si="204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1"/>
        <v>0</v>
      </c>
      <c r="T747" s="10"/>
      <c r="U747" s="10"/>
      <c r="V747" s="10"/>
      <c r="W747" s="12">
        <f t="shared" si="202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03"/>
        <v>0</v>
      </c>
      <c r="AF747" s="10"/>
      <c r="AG747" s="10"/>
      <c r="AH747" s="10"/>
      <c r="AI747" s="12">
        <f t="shared" si="204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1"/>
        <v>0</v>
      </c>
      <c r="T748" s="10"/>
      <c r="U748" s="10"/>
      <c r="V748" s="10"/>
      <c r="W748" s="12">
        <f t="shared" si="202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3"/>
        <v>0</v>
      </c>
      <c r="AF748" s="10"/>
      <c r="AG748" s="10"/>
      <c r="AH748" s="10"/>
      <c r="AI748" s="12">
        <f t="shared" si="204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2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Q749" s="31"/>
      <c r="S749" s="32">
        <f t="shared" si="201"/>
        <v>0</v>
      </c>
      <c r="T749" s="10"/>
      <c r="U749" s="10"/>
      <c r="V749" s="10"/>
      <c r="W749" s="12">
        <f t="shared" si="202"/>
        <v>0</v>
      </c>
      <c r="Y749" s="10">
        <v>23</v>
      </c>
      <c r="Z749" s="30"/>
      <c r="AA749" s="31"/>
      <c r="AB749" s="47"/>
      <c r="AE749" s="32">
        <f t="shared" si="203"/>
        <v>0</v>
      </c>
      <c r="AF749" s="10"/>
      <c r="AG749" s="10"/>
      <c r="AH749" s="10"/>
      <c r="AI749" s="12">
        <f t="shared" si="204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2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1"/>
        <v>0</v>
      </c>
      <c r="T750" s="10"/>
      <c r="U750" s="10"/>
      <c r="V750" s="10"/>
      <c r="W750" s="12">
        <f t="shared" si="202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3"/>
        <v>0</v>
      </c>
      <c r="AF750" s="10"/>
      <c r="AG750" s="10"/>
      <c r="AH750" s="10"/>
      <c r="AI750" s="12">
        <f t="shared" si="204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2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1"/>
        <v>0</v>
      </c>
      <c r="T751" s="10"/>
      <c r="U751" s="10"/>
      <c r="V751" s="10"/>
      <c r="W751" s="12">
        <f t="shared" si="202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3"/>
        <v>0</v>
      </c>
      <c r="AF751" s="10"/>
      <c r="AG751" s="10"/>
      <c r="AH751" s="10"/>
      <c r="AI751" s="12">
        <f t="shared" si="204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2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1"/>
        <v>0</v>
      </c>
      <c r="T752" s="10"/>
      <c r="U752" s="10"/>
      <c r="V752" s="10"/>
      <c r="W752" s="12">
        <f t="shared" si="202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3"/>
        <v>0</v>
      </c>
      <c r="AF752" s="10"/>
      <c r="AG752" s="10"/>
      <c r="AH752" s="10"/>
      <c r="AI752" s="12">
        <f t="shared" si="204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2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1"/>
        <v>0</v>
      </c>
      <c r="T753" s="10"/>
      <c r="U753" s="10"/>
      <c r="V753" s="10"/>
      <c r="W753" s="12">
        <f t="shared" si="202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3"/>
        <v>0</v>
      </c>
      <c r="AF753" s="10"/>
      <c r="AG753" s="10"/>
      <c r="AH753" s="10"/>
      <c r="AI753" s="12">
        <f t="shared" si="204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2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1"/>
        <v>0</v>
      </c>
      <c r="T754" s="10"/>
      <c r="U754" s="10"/>
      <c r="V754" s="10"/>
      <c r="W754" s="12">
        <f t="shared" si="202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3"/>
        <v>0</v>
      </c>
      <c r="AF754" s="10"/>
      <c r="AG754" s="10"/>
      <c r="AH754" s="10"/>
      <c r="AI754" s="12">
        <f t="shared" si="204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2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1"/>
        <v>0</v>
      </c>
      <c r="T755" s="10"/>
      <c r="U755" s="10"/>
      <c r="V755" s="10"/>
      <c r="W755" s="12">
        <f t="shared" si="202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3"/>
        <v>0</v>
      </c>
      <c r="AF755" s="10"/>
      <c r="AG755" s="10"/>
      <c r="AH755" s="10"/>
      <c r="AI755" s="12">
        <f t="shared" si="204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2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1"/>
        <v>0</v>
      </c>
      <c r="T756" s="10"/>
      <c r="U756" s="10"/>
      <c r="V756" s="10"/>
      <c r="W756" s="12">
        <f t="shared" si="202"/>
        <v>0</v>
      </c>
      <c r="Y756" s="10">
        <v>30</v>
      </c>
      <c r="Z756" s="30"/>
      <c r="AB756" s="47"/>
      <c r="AC756" s="31"/>
      <c r="AD756" s="31"/>
      <c r="AE756" s="32">
        <f t="shared" si="203"/>
        <v>0</v>
      </c>
      <c r="AF756" s="10"/>
      <c r="AG756" s="10"/>
      <c r="AH756" s="10"/>
      <c r="AI756" s="12">
        <f t="shared" si="204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2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1"/>
        <v>0</v>
      </c>
      <c r="T757" s="10"/>
      <c r="U757" s="10"/>
      <c r="V757" s="10"/>
      <c r="W757" s="12">
        <f t="shared" si="202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3"/>
        <v>0</v>
      </c>
      <c r="AF757" s="10"/>
      <c r="AG757" s="10"/>
      <c r="AH757" s="10"/>
      <c r="AI757" s="12">
        <f t="shared" si="204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2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1"/>
        <v>0</v>
      </c>
      <c r="T758" s="10"/>
      <c r="U758" s="10"/>
      <c r="V758" s="10"/>
      <c r="W758" s="12">
        <f t="shared" si="202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3"/>
        <v>0</v>
      </c>
      <c r="AF758" s="10"/>
      <c r="AG758" s="10"/>
      <c r="AH758" s="10"/>
      <c r="AI758" s="12">
        <f t="shared" si="204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2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1"/>
        <v>0</v>
      </c>
      <c r="T759" s="10"/>
      <c r="U759" s="10"/>
      <c r="V759" s="10"/>
      <c r="W759" s="12">
        <f t="shared" si="202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3"/>
        <v>0</v>
      </c>
      <c r="AF759" s="10"/>
      <c r="AG759" s="10"/>
      <c r="AH759" s="10"/>
      <c r="AI759" s="12">
        <f t="shared" si="204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2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1"/>
        <v>0</v>
      </c>
      <c r="T760" s="10"/>
      <c r="U760" s="10"/>
      <c r="V760" s="10"/>
      <c r="W760" s="12">
        <f t="shared" si="202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3"/>
        <v>0</v>
      </c>
      <c r="AF760" s="10"/>
      <c r="AG760" s="10"/>
      <c r="AH760" s="10"/>
      <c r="AI760" s="12">
        <f t="shared" si="204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2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P761" s="47"/>
      <c r="Q761" s="31"/>
      <c r="R761" s="31"/>
      <c r="S761" s="32">
        <f t="shared" si="201"/>
        <v>0</v>
      </c>
      <c r="T761" s="10"/>
      <c r="U761" s="10"/>
      <c r="V761" s="10"/>
      <c r="W761" s="12">
        <f t="shared" si="202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3"/>
        <v>0</v>
      </c>
      <c r="AF761" s="10"/>
      <c r="AG761" s="10"/>
      <c r="AH761" s="10"/>
      <c r="AI761" s="12">
        <f t="shared" si="204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2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1"/>
        <v>0</v>
      </c>
      <c r="T762" s="10"/>
      <c r="U762" s="10"/>
      <c r="V762" s="10"/>
      <c r="W762" s="12">
        <f t="shared" si="202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3"/>
        <v>0</v>
      </c>
      <c r="AF762" s="10"/>
      <c r="AG762" s="10"/>
      <c r="AH762" s="10"/>
      <c r="AI762" s="12">
        <f t="shared" si="204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O763" s="31"/>
      <c r="P763" s="47"/>
      <c r="Q763" s="31"/>
      <c r="R763" s="31"/>
      <c r="S763" s="32">
        <f t="shared" si="201"/>
        <v>0</v>
      </c>
      <c r="T763" s="10"/>
      <c r="U763" s="10"/>
      <c r="V763" s="10"/>
      <c r="W763" s="12">
        <f t="shared" si="202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3"/>
        <v>0</v>
      </c>
      <c r="AF763" s="10"/>
      <c r="AG763" s="10"/>
      <c r="AH763" s="10"/>
      <c r="AI763" s="12">
        <f t="shared" si="204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1"/>
        <v>0</v>
      </c>
      <c r="T764" s="10"/>
      <c r="U764" s="10"/>
      <c r="V764" s="10"/>
      <c r="W764" s="12">
        <f t="shared" si="202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3"/>
        <v>0</v>
      </c>
      <c r="AF764" s="10"/>
      <c r="AG764" s="10"/>
      <c r="AH764" s="10"/>
      <c r="AI764" s="12">
        <f t="shared" si="204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1"/>
        <v>0</v>
      </c>
      <c r="T765" s="10"/>
      <c r="U765" s="10"/>
      <c r="V765" s="10"/>
      <c r="W765" s="12">
        <f t="shared" si="202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3"/>
        <v>0</v>
      </c>
      <c r="AF765" s="10"/>
      <c r="AG765" s="10"/>
      <c r="AH765" s="10"/>
      <c r="AI765" s="12">
        <f t="shared" si="204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2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4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8">SUM(D767:E767)</f>
        <v>0</v>
      </c>
      <c r="H767" s="10"/>
      <c r="I767" s="10"/>
      <c r="J767" s="10"/>
      <c r="K767" s="12">
        <f t="shared" ref="K767" si="209">SUM(G767:J767)</f>
        <v>0</v>
      </c>
      <c r="M767" s="10"/>
      <c r="N767" s="30"/>
      <c r="O767" s="31"/>
      <c r="P767" s="47"/>
      <c r="Q767" s="31"/>
      <c r="R767" s="31"/>
      <c r="S767" s="32">
        <f t="shared" ref="S767" si="210">SUM(P767:Q767)</f>
        <v>0</v>
      </c>
      <c r="T767" s="10"/>
      <c r="U767" s="10"/>
      <c r="V767" s="10"/>
      <c r="W767" s="12">
        <f t="shared" si="202"/>
        <v>0</v>
      </c>
      <c r="Y767" s="10"/>
      <c r="Z767" s="30"/>
      <c r="AA767" s="31"/>
      <c r="AB767" s="47"/>
      <c r="AC767" s="31"/>
      <c r="AD767" s="31"/>
      <c r="AE767" s="32">
        <f t="shared" ref="AE767" si="211">SUM(AB767:AC767)</f>
        <v>0</v>
      </c>
      <c r="AF767" s="10"/>
      <c r="AG767" s="10"/>
      <c r="AH767" s="10"/>
      <c r="AI767" s="12">
        <f t="shared" si="204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2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4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347972</v>
      </c>
      <c r="E770" s="38">
        <f t="shared" ref="E770:F770" si="212">SUM(E727:E767)</f>
        <v>0</v>
      </c>
      <c r="F770" s="38">
        <f t="shared" si="212"/>
        <v>0</v>
      </c>
      <c r="G770" s="38">
        <f>SUM(G727:G769)</f>
        <v>347972</v>
      </c>
      <c r="H770" s="4"/>
      <c r="I770" s="39">
        <f>SUM(I727:I769)</f>
        <v>50070</v>
      </c>
      <c r="J770" s="39">
        <f>SUM(J727:J769)</f>
        <v>-43785</v>
      </c>
      <c r="K770" s="40">
        <f>SUM(K727:K769)</f>
        <v>354257</v>
      </c>
      <c r="N770" s="57"/>
      <c r="O770" s="57"/>
      <c r="P770" s="38">
        <f>SUM(P727:P769)</f>
        <v>263912.5</v>
      </c>
      <c r="Q770" s="38">
        <f>SUM(Q727:Q751)</f>
        <v>-1944</v>
      </c>
      <c r="R770" s="38">
        <f>SUM(R727:R751)</f>
        <v>0</v>
      </c>
      <c r="S770" s="38">
        <f>SUM(S727:S769)</f>
        <v>261968.5</v>
      </c>
      <c r="T770" s="4"/>
      <c r="U770" s="41">
        <f>SUM(U727:U769)</f>
        <v>897</v>
      </c>
      <c r="V770" s="41">
        <f>SUM(V727:V751)</f>
        <v>-420</v>
      </c>
      <c r="W770" s="42">
        <f>SUM(W727:W769)</f>
        <v>262445.5</v>
      </c>
      <c r="Z770" s="57"/>
      <c r="AA770" s="57"/>
      <c r="AB770" s="38">
        <f>SUM(AB727:AB769)</f>
        <v>267681.02</v>
      </c>
      <c r="AC770" s="38">
        <f>SUM(AC727:AC751)</f>
        <v>-1206</v>
      </c>
      <c r="AD770" s="38">
        <f>SUM(AD727:AD751)</f>
        <v>0</v>
      </c>
      <c r="AE770" s="38">
        <f>SUM(AE727:AE769)</f>
        <v>266475.02</v>
      </c>
      <c r="AF770" s="4"/>
      <c r="AG770" s="41">
        <f>SUM(AG727:AG769)</f>
        <v>3482.25</v>
      </c>
      <c r="AH770" s="41">
        <f>SUM(AH727:AH751)</f>
        <v>-829.5</v>
      </c>
      <c r="AI770" s="42">
        <f>SUM(AI727:AI769)</f>
        <v>269127.77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77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0" t="s">
        <v>17</v>
      </c>
      <c r="E780" s="120"/>
      <c r="F780" s="105"/>
      <c r="G780" s="27"/>
      <c r="I780" s="118" t="s">
        <v>18</v>
      </c>
      <c r="J780" s="119"/>
      <c r="K780" s="116" t="s">
        <v>19</v>
      </c>
      <c r="N780" s="25"/>
      <c r="O780" s="26"/>
      <c r="P780" s="120" t="s">
        <v>17</v>
      </c>
      <c r="Q780" s="120"/>
      <c r="R780" s="105"/>
      <c r="S780" s="27"/>
      <c r="U780" s="118" t="s">
        <v>18</v>
      </c>
      <c r="V780" s="119"/>
      <c r="W780" s="116" t="s">
        <v>19</v>
      </c>
      <c r="Z780" s="25"/>
      <c r="AA780" s="26"/>
      <c r="AB780" s="120" t="s">
        <v>17</v>
      </c>
      <c r="AC780" s="120"/>
      <c r="AD780" s="105"/>
      <c r="AE780" s="27"/>
      <c r="AG780" s="118" t="s">
        <v>18</v>
      </c>
      <c r="AH780" s="119"/>
      <c r="AI780" s="116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7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7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7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78</v>
      </c>
      <c r="C782" s="82">
        <v>9588</v>
      </c>
      <c r="D782" s="32">
        <f>650*3+670+9.5*8</f>
        <v>2696</v>
      </c>
      <c r="E782" s="32"/>
      <c r="F782" s="32"/>
      <c r="G782" s="32">
        <f t="shared" ref="G782:G815" si="213">SUM(D782:E782)</f>
        <v>2696</v>
      </c>
      <c r="H782" s="12"/>
      <c r="I782" s="12"/>
      <c r="J782" s="12"/>
      <c r="K782" s="12">
        <f t="shared" ref="K782:K815" si="214">SUM(G782:J782)</f>
        <v>2696</v>
      </c>
      <c r="M782" s="10">
        <v>1</v>
      </c>
      <c r="N782" s="30" t="s">
        <v>78</v>
      </c>
      <c r="O782" s="31">
        <v>9718</v>
      </c>
      <c r="P782" s="32">
        <f>650*58+229*2</f>
        <v>38158</v>
      </c>
      <c r="Q782" s="32"/>
      <c r="R782" s="32"/>
      <c r="S782" s="32">
        <f>SUM(P782:Q782)</f>
        <v>38158</v>
      </c>
      <c r="T782" s="12"/>
      <c r="U782" s="12"/>
      <c r="V782" s="12"/>
      <c r="W782" s="12">
        <f>SUM(S782:V782)</f>
        <v>38158</v>
      </c>
      <c r="Y782" s="10">
        <v>1</v>
      </c>
      <c r="Z782" s="30" t="s">
        <v>78</v>
      </c>
      <c r="AA782" s="31">
        <v>9678</v>
      </c>
      <c r="AB782" s="32">
        <f>650*58+622*50+229*6</f>
        <v>70174</v>
      </c>
      <c r="AC782" s="32">
        <f>-108*6</f>
        <v>-648</v>
      </c>
      <c r="AD782" s="32"/>
      <c r="AE782" s="32">
        <f>SUM(AB782:AC782)</f>
        <v>69526</v>
      </c>
      <c r="AF782" s="12"/>
      <c r="AG782" s="12"/>
      <c r="AH782" s="12">
        <f>-111*214+-78*10</f>
        <v>-24534</v>
      </c>
      <c r="AI782" s="12">
        <f>SUM(AE782:AH782)</f>
        <v>44992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78</v>
      </c>
      <c r="C783" s="82">
        <f>C782+1</f>
        <v>9589</v>
      </c>
      <c r="D783" s="32">
        <f>650*3+670*2+622+9.5*4</f>
        <v>3950</v>
      </c>
      <c r="E783" s="32"/>
      <c r="F783" s="32"/>
      <c r="G783" s="32">
        <f t="shared" si="213"/>
        <v>3950</v>
      </c>
      <c r="H783" s="12"/>
      <c r="I783" s="12">
        <v>18</v>
      </c>
      <c r="J783" s="12"/>
      <c r="K783" s="12">
        <f t="shared" si="214"/>
        <v>3968</v>
      </c>
      <c r="M783" s="10">
        <v>2</v>
      </c>
      <c r="N783" s="30" t="s">
        <v>78</v>
      </c>
      <c r="O783" s="31">
        <f>O782+1</f>
        <v>9719</v>
      </c>
      <c r="P783" s="32">
        <f>650*83+670*4+622*17+229*2</f>
        <v>67662</v>
      </c>
      <c r="Q783" s="32">
        <f>-104*6</f>
        <v>-624</v>
      </c>
      <c r="R783" s="32"/>
      <c r="S783" s="32">
        <f t="shared" ref="S783:S820" si="215">SUM(P783:Q783)</f>
        <v>67038</v>
      </c>
      <c r="T783" s="12"/>
      <c r="U783" s="12">
        <v>72</v>
      </c>
      <c r="V783" s="12"/>
      <c r="W783" s="12">
        <f t="shared" ref="W783:W823" si="216">SUM(S783:V783)</f>
        <v>67110</v>
      </c>
      <c r="Y783" s="10">
        <v>2</v>
      </c>
      <c r="Z783" s="30" t="s">
        <v>78</v>
      </c>
      <c r="AA783" s="31">
        <f>AA782+1</f>
        <v>9679</v>
      </c>
      <c r="AB783" s="32">
        <f>650*75+229*3</f>
        <v>49437</v>
      </c>
      <c r="AC783" s="32">
        <f>-75*6</f>
        <v>-450</v>
      </c>
      <c r="AD783" s="32"/>
      <c r="AE783" s="32">
        <f t="shared" ref="AE783:AE820" si="217">SUM(AB783:AC783)</f>
        <v>48987</v>
      </c>
      <c r="AF783" s="12"/>
      <c r="AG783" s="12"/>
      <c r="AH783" s="12"/>
      <c r="AI783" s="12">
        <f t="shared" ref="AI783:AI823" si="218">SUM(AE783:AH783)</f>
        <v>48987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78</v>
      </c>
      <c r="C784" s="82">
        <f t="shared" ref="C784:C790" si="219">C783+1</f>
        <v>9590</v>
      </c>
      <c r="D784" s="33">
        <f>650*100+670*2+622*14</f>
        <v>75048</v>
      </c>
      <c r="E784" s="33"/>
      <c r="F784" s="33"/>
      <c r="G784" s="33">
        <f t="shared" si="213"/>
        <v>75048</v>
      </c>
      <c r="H784" s="34"/>
      <c r="I784" s="34"/>
      <c r="J784" s="34"/>
      <c r="K784" s="34">
        <f t="shared" si="214"/>
        <v>75048</v>
      </c>
      <c r="M784" s="10">
        <v>3</v>
      </c>
      <c r="N784" s="30" t="s">
        <v>78</v>
      </c>
      <c r="O784" s="31">
        <f t="shared" ref="O784:O791" si="220">O783+1</f>
        <v>9720</v>
      </c>
      <c r="P784" s="32">
        <f>650*25+229</f>
        <v>16479</v>
      </c>
      <c r="Q784" s="32"/>
      <c r="R784" s="32"/>
      <c r="S784" s="32">
        <f t="shared" si="215"/>
        <v>16479</v>
      </c>
      <c r="T784" s="12"/>
      <c r="U784" s="12"/>
      <c r="V784" s="12">
        <v>-777</v>
      </c>
      <c r="W784" s="12">
        <f t="shared" si="216"/>
        <v>15702</v>
      </c>
      <c r="Y784" s="10">
        <v>3</v>
      </c>
      <c r="Z784" s="30" t="s">
        <v>78</v>
      </c>
      <c r="AA784" s="31">
        <v>9681</v>
      </c>
      <c r="AB784" s="33">
        <f>650*280+670*5+622*60+1050*10+229*10</f>
        <v>235460</v>
      </c>
      <c r="AC784" s="33">
        <f>-355*6</f>
        <v>-2130</v>
      </c>
      <c r="AD784" s="32"/>
      <c r="AE784" s="32">
        <f t="shared" si="217"/>
        <v>233330</v>
      </c>
      <c r="AF784" s="12"/>
      <c r="AG784" s="12"/>
      <c r="AH784" s="12"/>
      <c r="AI784" s="12">
        <f t="shared" si="218"/>
        <v>233330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78</v>
      </c>
      <c r="C785" s="82">
        <f t="shared" si="219"/>
        <v>9591</v>
      </c>
      <c r="D785" s="32">
        <f>650*8+622*2+9.5*10</f>
        <v>6539</v>
      </c>
      <c r="E785" s="32"/>
      <c r="F785" s="32"/>
      <c r="G785" s="32">
        <f t="shared" si="213"/>
        <v>6539</v>
      </c>
      <c r="H785" s="12"/>
      <c r="I785" s="12"/>
      <c r="J785" s="12"/>
      <c r="K785" s="12">
        <f t="shared" si="214"/>
        <v>6539</v>
      </c>
      <c r="M785" s="10">
        <v>4</v>
      </c>
      <c r="N785" s="30" t="s">
        <v>78</v>
      </c>
      <c r="O785" s="31">
        <f t="shared" si="220"/>
        <v>9721</v>
      </c>
      <c r="P785" s="32">
        <f>650*3+9.5*3</f>
        <v>1978.5</v>
      </c>
      <c r="Q785" s="32"/>
      <c r="R785" s="32"/>
      <c r="S785" s="32">
        <f t="shared" si="215"/>
        <v>1978.5</v>
      </c>
      <c r="T785" s="12"/>
      <c r="U785" s="12"/>
      <c r="V785" s="12">
        <v>-240</v>
      </c>
      <c r="W785" s="12">
        <f t="shared" si="216"/>
        <v>1738.5</v>
      </c>
      <c r="Y785" s="10">
        <v>4</v>
      </c>
      <c r="Z785" s="30" t="s">
        <v>78</v>
      </c>
      <c r="AA785" s="31">
        <f t="shared" ref="AA785:AA786" si="221">AA784+1</f>
        <v>9682</v>
      </c>
      <c r="AB785" s="32">
        <f>650*13+670*2</f>
        <v>9790</v>
      </c>
      <c r="AC785" s="32"/>
      <c r="AD785" s="32"/>
      <c r="AE785" s="32">
        <f t="shared" si="217"/>
        <v>9790</v>
      </c>
      <c r="AF785" s="12"/>
      <c r="AG785" s="58"/>
      <c r="AH785" s="12"/>
      <c r="AI785" s="12">
        <f t="shared" si="218"/>
        <v>9790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78</v>
      </c>
      <c r="C786" s="82">
        <f t="shared" si="219"/>
        <v>9592</v>
      </c>
      <c r="D786" s="32">
        <f>650*324+229*13</f>
        <v>213577</v>
      </c>
      <c r="E786" s="32">
        <f>-324*6</f>
        <v>-1944</v>
      </c>
      <c r="F786" s="32"/>
      <c r="G786" s="32">
        <f t="shared" si="213"/>
        <v>211633</v>
      </c>
      <c r="H786" s="12"/>
      <c r="I786" s="12">
        <f>156+1.5*216</f>
        <v>480</v>
      </c>
      <c r="J786" s="12">
        <f>-120+-12210+-7140</f>
        <v>-19470</v>
      </c>
      <c r="K786" s="12">
        <f t="shared" si="214"/>
        <v>192643</v>
      </c>
      <c r="M786" s="10">
        <v>5</v>
      </c>
      <c r="N786" s="30" t="s">
        <v>78</v>
      </c>
      <c r="O786" s="31">
        <f t="shared" si="220"/>
        <v>9722</v>
      </c>
      <c r="P786" s="32">
        <f>650*93+229*3</f>
        <v>61137</v>
      </c>
      <c r="Q786" s="32"/>
      <c r="R786" s="32"/>
      <c r="S786" s="32">
        <f t="shared" si="215"/>
        <v>61137</v>
      </c>
      <c r="T786" s="12"/>
      <c r="U786" s="12">
        <f>108+162</f>
        <v>270</v>
      </c>
      <c r="V786" s="12"/>
      <c r="W786" s="12">
        <f t="shared" si="216"/>
        <v>61407</v>
      </c>
      <c r="Y786" s="10">
        <v>5</v>
      </c>
      <c r="Z786" s="30" t="s">
        <v>78</v>
      </c>
      <c r="AA786" s="31">
        <f t="shared" si="221"/>
        <v>9683</v>
      </c>
      <c r="AB786" s="32">
        <f>650*4+622*2+9.5*6</f>
        <v>3901</v>
      </c>
      <c r="AC786" s="32"/>
      <c r="AD786" s="32"/>
      <c r="AE786" s="32">
        <f t="shared" si="217"/>
        <v>3901</v>
      </c>
      <c r="AF786" s="12"/>
      <c r="AG786" s="12"/>
      <c r="AH786" s="12"/>
      <c r="AI786" s="12">
        <f t="shared" si="218"/>
        <v>3901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78</v>
      </c>
      <c r="C787" s="82">
        <f t="shared" si="219"/>
        <v>9593</v>
      </c>
      <c r="D787" s="32">
        <f>622*2+9.5*2</f>
        <v>1263</v>
      </c>
      <c r="E787" s="32"/>
      <c r="F787" s="32"/>
      <c r="G787" s="32">
        <f t="shared" si="213"/>
        <v>1263</v>
      </c>
      <c r="H787" s="12"/>
      <c r="I787" s="12"/>
      <c r="J787" s="12"/>
      <c r="K787" s="12">
        <f t="shared" si="214"/>
        <v>1263</v>
      </c>
      <c r="M787" s="10">
        <v>6</v>
      </c>
      <c r="N787" s="30" t="s">
        <v>78</v>
      </c>
      <c r="O787" s="31">
        <f t="shared" si="220"/>
        <v>9723</v>
      </c>
      <c r="P787" s="32">
        <f>650*20+9.5*20</f>
        <v>13190</v>
      </c>
      <c r="Q787" s="32"/>
      <c r="R787" s="32"/>
      <c r="S787" s="32">
        <f t="shared" si="215"/>
        <v>13190</v>
      </c>
      <c r="T787" s="12"/>
      <c r="U787" s="12">
        <v>189</v>
      </c>
      <c r="V787" s="10"/>
      <c r="W787" s="12">
        <f t="shared" si="216"/>
        <v>13379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17"/>
        <v>0</v>
      </c>
      <c r="AF787" s="12"/>
      <c r="AG787" s="12"/>
      <c r="AH787" s="10"/>
      <c r="AI787" s="12">
        <f t="shared" si="21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78</v>
      </c>
      <c r="C788" s="82">
        <f t="shared" si="219"/>
        <v>9594</v>
      </c>
      <c r="D788" s="32">
        <f>650*18</f>
        <v>11700</v>
      </c>
      <c r="E788" s="32"/>
      <c r="F788" s="32"/>
      <c r="G788" s="32">
        <f t="shared" si="213"/>
        <v>11700</v>
      </c>
      <c r="H788" s="12"/>
      <c r="I788" s="12"/>
      <c r="J788" s="12"/>
      <c r="K788" s="12">
        <f t="shared" si="214"/>
        <v>11700</v>
      </c>
      <c r="M788" s="10">
        <v>7</v>
      </c>
      <c r="N788" s="30" t="s">
        <v>78</v>
      </c>
      <c r="O788" s="31">
        <f t="shared" si="220"/>
        <v>9724</v>
      </c>
      <c r="P788" s="32">
        <f>650*18</f>
        <v>11700</v>
      </c>
      <c r="Q788" s="32"/>
      <c r="R788" s="32"/>
      <c r="S788" s="32">
        <f t="shared" si="215"/>
        <v>11700</v>
      </c>
      <c r="T788" s="12"/>
      <c r="U788" s="12">
        <v>18</v>
      </c>
      <c r="V788" s="12"/>
      <c r="W788" s="12">
        <f t="shared" si="216"/>
        <v>11718</v>
      </c>
      <c r="Y788" s="10">
        <v>7</v>
      </c>
      <c r="Z788" s="30"/>
      <c r="AA788" s="31"/>
      <c r="AB788" s="32"/>
      <c r="AC788" s="32"/>
      <c r="AD788" s="32"/>
      <c r="AE788" s="32">
        <f t="shared" si="217"/>
        <v>0</v>
      </c>
      <c r="AF788" s="12"/>
      <c r="AG788" s="58"/>
      <c r="AH788" s="12"/>
      <c r="AI788" s="12">
        <f t="shared" si="21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78</v>
      </c>
      <c r="C789" s="82">
        <v>9596</v>
      </c>
      <c r="D789" s="32">
        <f>973*65+912*2+872*2+500</f>
        <v>67313</v>
      </c>
      <c r="E789" s="32"/>
      <c r="F789" s="32"/>
      <c r="G789" s="32">
        <f t="shared" si="213"/>
        <v>67313</v>
      </c>
      <c r="H789" s="12"/>
      <c r="I789" s="12"/>
      <c r="J789" s="12"/>
      <c r="K789" s="12">
        <f t="shared" si="214"/>
        <v>67313</v>
      </c>
      <c r="M789" s="10">
        <v>8</v>
      </c>
      <c r="N789" s="30" t="s">
        <v>78</v>
      </c>
      <c r="O789" s="31">
        <f t="shared" si="220"/>
        <v>9725</v>
      </c>
      <c r="P789" s="32">
        <f>650*9+973</f>
        <v>6823</v>
      </c>
      <c r="Q789" s="32"/>
      <c r="R789" s="32"/>
      <c r="S789" s="32">
        <f t="shared" si="215"/>
        <v>6823</v>
      </c>
      <c r="T789" s="12"/>
      <c r="U789" s="12"/>
      <c r="V789" s="12"/>
      <c r="W789" s="12">
        <f t="shared" si="216"/>
        <v>6823</v>
      </c>
      <c r="Y789" s="10">
        <v>8</v>
      </c>
      <c r="Z789" s="30"/>
      <c r="AA789" s="31"/>
      <c r="AB789" s="32"/>
      <c r="AC789" s="32"/>
      <c r="AE789" s="32">
        <f t="shared" si="217"/>
        <v>0</v>
      </c>
      <c r="AF789" s="12"/>
      <c r="AG789" s="12"/>
      <c r="AH789" s="12"/>
      <c r="AI789" s="12">
        <f t="shared" si="21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78</v>
      </c>
      <c r="C790" s="82">
        <f t="shared" si="219"/>
        <v>9597</v>
      </c>
      <c r="D790" s="32">
        <f>700*2+1582+500</f>
        <v>3482</v>
      </c>
      <c r="E790" s="32"/>
      <c r="F790" s="32"/>
      <c r="G790" s="32">
        <f t="shared" si="213"/>
        <v>3482</v>
      </c>
      <c r="H790" s="12"/>
      <c r="I790" s="12">
        <f>240+222</f>
        <v>462</v>
      </c>
      <c r="J790" s="12"/>
      <c r="K790" s="12">
        <f t="shared" si="214"/>
        <v>3944</v>
      </c>
      <c r="M790" s="10">
        <v>9</v>
      </c>
      <c r="N790" s="30" t="s">
        <v>78</v>
      </c>
      <c r="O790" s="31">
        <f t="shared" si="220"/>
        <v>9726</v>
      </c>
      <c r="P790" s="32">
        <f>650*14+229</f>
        <v>9329</v>
      </c>
      <c r="Q790" s="32"/>
      <c r="R790" s="32"/>
      <c r="S790" s="32">
        <f t="shared" si="215"/>
        <v>9329</v>
      </c>
      <c r="T790" s="12"/>
      <c r="U790" s="12"/>
      <c r="V790" s="12"/>
      <c r="W790" s="12">
        <f t="shared" si="216"/>
        <v>9329</v>
      </c>
      <c r="Y790" s="10">
        <v>9</v>
      </c>
      <c r="Z790" s="30"/>
      <c r="AA790" s="31"/>
      <c r="AB790" s="32"/>
      <c r="AC790" s="32"/>
      <c r="AD790" s="32"/>
      <c r="AE790" s="32">
        <f t="shared" si="217"/>
        <v>0</v>
      </c>
      <c r="AF790" s="12"/>
      <c r="AH790" s="12"/>
      <c r="AI790" s="12">
        <f t="shared" si="21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11" t="s">
        <v>27</v>
      </c>
      <c r="D791" s="32"/>
      <c r="E791" s="32"/>
      <c r="F791" s="32"/>
      <c r="G791" s="32">
        <f t="shared" si="213"/>
        <v>0</v>
      </c>
      <c r="H791" s="12"/>
      <c r="I791" s="12"/>
      <c r="J791" s="12"/>
      <c r="K791" s="12">
        <f t="shared" si="214"/>
        <v>0</v>
      </c>
      <c r="M791" s="10">
        <v>10</v>
      </c>
      <c r="N791" s="30" t="s">
        <v>78</v>
      </c>
      <c r="O791" s="31">
        <f t="shared" si="220"/>
        <v>9727</v>
      </c>
      <c r="P791" s="32">
        <f>650*3</f>
        <v>1950</v>
      </c>
      <c r="Q791" s="32"/>
      <c r="R791" s="32"/>
      <c r="S791" s="32">
        <f t="shared" si="215"/>
        <v>1950</v>
      </c>
      <c r="T791" s="12"/>
      <c r="U791" s="12"/>
      <c r="V791" s="12"/>
      <c r="W791" s="12">
        <f t="shared" si="216"/>
        <v>1950</v>
      </c>
      <c r="Y791" s="10">
        <v>10</v>
      </c>
      <c r="Z791" s="30"/>
      <c r="AA791" s="31"/>
      <c r="AB791" s="32"/>
      <c r="AC791" s="32"/>
      <c r="AD791" s="32"/>
      <c r="AE791" s="32">
        <f t="shared" si="217"/>
        <v>0</v>
      </c>
      <c r="AF791" s="12"/>
      <c r="AG791" s="12"/>
      <c r="AH791" s="12"/>
      <c r="AI791" s="12">
        <f t="shared" si="21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82"/>
      <c r="D792" s="32"/>
      <c r="E792" s="32"/>
      <c r="F792" s="32"/>
      <c r="G792" s="32">
        <f t="shared" si="213"/>
        <v>0</v>
      </c>
      <c r="H792" s="12"/>
      <c r="I792" s="12"/>
      <c r="J792" s="12"/>
      <c r="K792" s="12">
        <f t="shared" si="214"/>
        <v>0</v>
      </c>
      <c r="M792" s="10">
        <v>11</v>
      </c>
      <c r="N792" s="30"/>
      <c r="O792" s="11" t="s">
        <v>27</v>
      </c>
      <c r="P792" s="32"/>
      <c r="Q792" s="32"/>
      <c r="R792" s="32"/>
      <c r="S792" s="32">
        <f t="shared" si="215"/>
        <v>0</v>
      </c>
      <c r="T792" s="12"/>
      <c r="U792" s="12"/>
      <c r="V792" s="12"/>
      <c r="W792" s="12">
        <f t="shared" si="216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17"/>
        <v>0</v>
      </c>
      <c r="AF792" s="12"/>
      <c r="AG792" s="12"/>
      <c r="AH792" s="12"/>
      <c r="AI792" s="12">
        <f t="shared" si="21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82"/>
      <c r="D793" s="32"/>
      <c r="E793" s="32"/>
      <c r="F793" s="32"/>
      <c r="G793" s="32">
        <f t="shared" si="213"/>
        <v>0</v>
      </c>
      <c r="H793" s="12"/>
      <c r="I793" s="12"/>
      <c r="J793" s="10"/>
      <c r="K793" s="12">
        <f t="shared" si="214"/>
        <v>0</v>
      </c>
      <c r="M793" s="10">
        <v>12</v>
      </c>
      <c r="N793" s="30"/>
      <c r="O793" s="31"/>
      <c r="P793" s="32"/>
      <c r="Q793" s="32"/>
      <c r="R793" s="32"/>
      <c r="S793" s="32">
        <f t="shared" si="215"/>
        <v>0</v>
      </c>
      <c r="T793" s="12"/>
      <c r="U793" s="12"/>
      <c r="V793" s="12"/>
      <c r="W793" s="12">
        <f t="shared" si="216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7"/>
        <v>0</v>
      </c>
      <c r="AF793" s="12"/>
      <c r="AG793" s="12"/>
      <c r="AH793" s="12"/>
      <c r="AI793" s="12">
        <f t="shared" si="21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2"/>
      <c r="D794" s="32"/>
      <c r="E794" s="32"/>
      <c r="F794" s="32"/>
      <c r="G794" s="32">
        <f t="shared" si="213"/>
        <v>0</v>
      </c>
      <c r="H794" s="12"/>
      <c r="I794" s="12"/>
      <c r="J794" s="12"/>
      <c r="K794" s="12">
        <f t="shared" si="214"/>
        <v>0</v>
      </c>
      <c r="M794" s="10">
        <v>13</v>
      </c>
      <c r="N794" s="30"/>
      <c r="O794" s="31"/>
      <c r="P794" s="32"/>
      <c r="Q794" s="32"/>
      <c r="R794" s="32"/>
      <c r="S794" s="32">
        <f t="shared" si="215"/>
        <v>0</v>
      </c>
      <c r="T794" s="12"/>
      <c r="U794" s="12"/>
      <c r="V794" s="12"/>
      <c r="W794" s="12">
        <f t="shared" si="216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7"/>
        <v>0</v>
      </c>
      <c r="AF794" s="12"/>
      <c r="AG794" s="12"/>
      <c r="AH794" s="12"/>
      <c r="AI794" s="12">
        <f t="shared" si="21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2"/>
      <c r="D795" s="32"/>
      <c r="E795" s="32"/>
      <c r="F795" s="32"/>
      <c r="G795" s="32">
        <f t="shared" si="213"/>
        <v>0</v>
      </c>
      <c r="H795" s="12"/>
      <c r="I795" s="12"/>
      <c r="J795" s="12"/>
      <c r="K795" s="12">
        <f t="shared" si="214"/>
        <v>0</v>
      </c>
      <c r="M795" s="10">
        <v>14</v>
      </c>
      <c r="N795" s="30"/>
      <c r="O795" s="31"/>
      <c r="P795" s="32"/>
      <c r="Q795" s="32"/>
      <c r="R795" s="32"/>
      <c r="S795" s="32">
        <f t="shared" si="215"/>
        <v>0</v>
      </c>
      <c r="T795" s="12"/>
      <c r="U795" s="12"/>
      <c r="V795" s="12"/>
      <c r="W795" s="12">
        <f t="shared" si="216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7"/>
        <v>0</v>
      </c>
      <c r="AF795" s="12"/>
      <c r="AG795" s="12"/>
      <c r="AH795" s="12"/>
      <c r="AI795" s="12">
        <f t="shared" si="21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2"/>
      <c r="D796" s="32"/>
      <c r="E796" s="32"/>
      <c r="F796" s="32"/>
      <c r="G796" s="32">
        <f t="shared" si="213"/>
        <v>0</v>
      </c>
      <c r="H796" s="12"/>
      <c r="I796" s="12"/>
      <c r="J796" s="12"/>
      <c r="K796" s="12">
        <f t="shared" si="214"/>
        <v>0</v>
      </c>
      <c r="M796" s="10">
        <v>15</v>
      </c>
      <c r="N796" s="30"/>
      <c r="O796" s="31"/>
      <c r="P796" s="32"/>
      <c r="Q796" s="32"/>
      <c r="R796" s="32"/>
      <c r="S796" s="32">
        <f t="shared" si="215"/>
        <v>0</v>
      </c>
      <c r="T796" s="12"/>
      <c r="U796" s="12"/>
      <c r="V796" s="12"/>
      <c r="W796" s="12">
        <f t="shared" si="216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7"/>
        <v>0</v>
      </c>
      <c r="AF796" s="12"/>
      <c r="AG796" s="12"/>
      <c r="AH796" s="12"/>
      <c r="AI796" s="12">
        <f t="shared" si="21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82"/>
      <c r="D797" s="32"/>
      <c r="E797" s="32"/>
      <c r="F797" s="32"/>
      <c r="G797" s="32">
        <f t="shared" si="213"/>
        <v>0</v>
      </c>
      <c r="H797" s="12"/>
      <c r="I797" s="12"/>
      <c r="J797" s="12"/>
      <c r="K797" s="12">
        <f t="shared" si="214"/>
        <v>0</v>
      </c>
      <c r="M797" s="10">
        <v>16</v>
      </c>
      <c r="N797" s="30"/>
      <c r="O797" s="11"/>
      <c r="P797" s="32"/>
      <c r="Q797" s="32"/>
      <c r="R797" s="32"/>
      <c r="S797" s="32">
        <f t="shared" si="215"/>
        <v>0</v>
      </c>
      <c r="T797" s="12"/>
      <c r="U797" s="12"/>
      <c r="V797" s="12"/>
      <c r="W797" s="12">
        <f t="shared" si="216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17"/>
        <v>0</v>
      </c>
      <c r="AF797" s="12"/>
      <c r="AG797" s="12"/>
      <c r="AH797" s="12"/>
      <c r="AI797" s="12">
        <f t="shared" si="21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2"/>
      <c r="D798" s="32"/>
      <c r="E798" s="32"/>
      <c r="F798" s="32"/>
      <c r="G798" s="32">
        <f t="shared" si="213"/>
        <v>0</v>
      </c>
      <c r="H798" s="12"/>
      <c r="I798" s="12"/>
      <c r="J798" s="12"/>
      <c r="K798" s="12">
        <f t="shared" si="214"/>
        <v>0</v>
      </c>
      <c r="M798" s="10">
        <v>17</v>
      </c>
      <c r="N798" s="30"/>
      <c r="O798" s="31"/>
      <c r="P798" s="35"/>
      <c r="Q798" s="32"/>
      <c r="R798" s="32"/>
      <c r="S798" s="32">
        <f t="shared" si="215"/>
        <v>0</v>
      </c>
      <c r="T798" s="12"/>
      <c r="U798" s="12"/>
      <c r="V798" s="12"/>
      <c r="W798" s="12">
        <f t="shared" si="216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7"/>
        <v>0</v>
      </c>
      <c r="AF798" s="12"/>
      <c r="AG798" s="12"/>
      <c r="AH798" s="12"/>
      <c r="AI798" s="12">
        <f t="shared" si="21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2"/>
      <c r="D799" s="32"/>
      <c r="E799" s="32"/>
      <c r="F799" s="32"/>
      <c r="G799" s="32">
        <f t="shared" si="213"/>
        <v>0</v>
      </c>
      <c r="H799" s="12"/>
      <c r="I799" s="12"/>
      <c r="J799" s="12"/>
      <c r="K799" s="12">
        <f t="shared" si="214"/>
        <v>0</v>
      </c>
      <c r="M799" s="10">
        <v>18</v>
      </c>
      <c r="N799" s="30"/>
      <c r="O799" s="31"/>
      <c r="P799" s="32"/>
      <c r="Q799" s="32"/>
      <c r="R799" s="32"/>
      <c r="S799" s="32">
        <f t="shared" si="215"/>
        <v>0</v>
      </c>
      <c r="T799" s="12"/>
      <c r="U799" s="12"/>
      <c r="V799" s="12"/>
      <c r="W799" s="12">
        <f t="shared" si="216"/>
        <v>0</v>
      </c>
      <c r="Y799" s="10">
        <v>18</v>
      </c>
      <c r="Z799" s="30"/>
      <c r="AB799" s="32"/>
      <c r="AC799" s="32"/>
      <c r="AD799" s="32"/>
      <c r="AE799" s="32">
        <f t="shared" si="217"/>
        <v>0</v>
      </c>
      <c r="AF799" s="12"/>
      <c r="AG799" s="12"/>
      <c r="AH799" s="12"/>
      <c r="AI799" s="12">
        <f t="shared" si="21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2"/>
      <c r="D800" s="32"/>
      <c r="E800" s="32"/>
      <c r="F800" s="32"/>
      <c r="G800" s="32">
        <f t="shared" si="213"/>
        <v>0</v>
      </c>
      <c r="H800" s="12"/>
      <c r="I800" s="12"/>
      <c r="J800" s="12"/>
      <c r="K800" s="12">
        <f t="shared" si="214"/>
        <v>0</v>
      </c>
      <c r="M800" s="10">
        <v>19</v>
      </c>
      <c r="N800" s="30"/>
      <c r="O800" s="31"/>
      <c r="P800" s="32"/>
      <c r="Q800" s="32"/>
      <c r="R800" s="32"/>
      <c r="S800" s="32">
        <f t="shared" si="215"/>
        <v>0</v>
      </c>
      <c r="T800" s="12"/>
      <c r="U800" s="12"/>
      <c r="V800" s="12"/>
      <c r="W800" s="12">
        <f t="shared" si="216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7"/>
        <v>0</v>
      </c>
      <c r="AF800" s="12"/>
      <c r="AG800" s="12"/>
      <c r="AH800" s="12"/>
      <c r="AI800" s="12">
        <f t="shared" si="21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2"/>
      <c r="D801" s="32"/>
      <c r="E801" s="32"/>
      <c r="F801" s="32"/>
      <c r="G801" s="32">
        <f t="shared" si="213"/>
        <v>0</v>
      </c>
      <c r="H801" s="12"/>
      <c r="I801" s="12"/>
      <c r="J801" s="12"/>
      <c r="K801" s="12">
        <f t="shared" si="214"/>
        <v>0</v>
      </c>
      <c r="M801" s="10">
        <v>20</v>
      </c>
      <c r="N801" s="30"/>
      <c r="O801" s="31"/>
      <c r="P801" s="32"/>
      <c r="Q801" s="32"/>
      <c r="R801" s="32"/>
      <c r="S801" s="32">
        <f t="shared" si="215"/>
        <v>0</v>
      </c>
      <c r="T801" s="12"/>
      <c r="U801" s="12"/>
      <c r="V801" s="12"/>
      <c r="W801" s="12">
        <f t="shared" si="216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7"/>
        <v>0</v>
      </c>
      <c r="AF801" s="12"/>
      <c r="AG801" s="12"/>
      <c r="AH801" s="12"/>
      <c r="AI801" s="12">
        <f t="shared" si="21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D802" s="32"/>
      <c r="E802" s="32"/>
      <c r="F802" s="32"/>
      <c r="G802" s="32">
        <f t="shared" si="213"/>
        <v>0</v>
      </c>
      <c r="H802" s="10"/>
      <c r="I802" s="10"/>
      <c r="J802" s="10"/>
      <c r="K802" s="12">
        <f t="shared" si="214"/>
        <v>0</v>
      </c>
      <c r="M802" s="10">
        <v>21</v>
      </c>
      <c r="N802" s="30"/>
      <c r="O802" s="31"/>
      <c r="P802" s="46"/>
      <c r="Q802" s="31"/>
      <c r="R802" s="31"/>
      <c r="S802" s="32">
        <f t="shared" si="215"/>
        <v>0</v>
      </c>
      <c r="T802" s="10"/>
      <c r="U802" s="10"/>
      <c r="V802" s="10"/>
      <c r="W802" s="12">
        <f t="shared" si="216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17"/>
        <v>0</v>
      </c>
      <c r="AF802" s="10"/>
      <c r="AG802" s="10"/>
      <c r="AH802" s="10"/>
      <c r="AI802" s="12">
        <f t="shared" si="21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13"/>
        <v>0</v>
      </c>
      <c r="H803" s="10"/>
      <c r="I803" s="10"/>
      <c r="J803" s="10"/>
      <c r="K803" s="12">
        <f t="shared" si="214"/>
        <v>0</v>
      </c>
      <c r="M803" s="10">
        <v>22</v>
      </c>
      <c r="N803" s="30"/>
      <c r="O803" s="31"/>
      <c r="P803" s="45"/>
      <c r="Q803" s="31"/>
      <c r="R803" s="31"/>
      <c r="S803" s="32">
        <f t="shared" si="215"/>
        <v>0</v>
      </c>
      <c r="T803" s="10"/>
      <c r="U803" s="10"/>
      <c r="V803" s="10"/>
      <c r="W803" s="12">
        <f t="shared" si="216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7"/>
        <v>0</v>
      </c>
      <c r="AF803" s="10"/>
      <c r="AG803" s="10"/>
      <c r="AH803" s="10"/>
      <c r="AI803" s="12">
        <f t="shared" si="21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2"/>
      <c r="D804" s="32"/>
      <c r="E804" s="32"/>
      <c r="F804" s="32"/>
      <c r="G804" s="32">
        <f t="shared" si="213"/>
        <v>0</v>
      </c>
      <c r="H804" s="10"/>
      <c r="I804" s="10"/>
      <c r="J804" s="12"/>
      <c r="K804" s="12">
        <f t="shared" si="214"/>
        <v>0</v>
      </c>
      <c r="M804" s="10">
        <v>23</v>
      </c>
      <c r="N804" s="30"/>
      <c r="O804" s="31"/>
      <c r="P804" s="47"/>
      <c r="Q804" s="31"/>
      <c r="S804" s="32">
        <f t="shared" si="215"/>
        <v>0</v>
      </c>
      <c r="T804" s="10"/>
      <c r="U804" s="10"/>
      <c r="V804" s="10"/>
      <c r="W804" s="12">
        <f t="shared" si="216"/>
        <v>0</v>
      </c>
      <c r="Y804" s="10">
        <v>23</v>
      </c>
      <c r="Z804" s="30"/>
      <c r="AA804" s="31"/>
      <c r="AB804" s="47"/>
      <c r="AE804" s="32">
        <f t="shared" si="217"/>
        <v>0</v>
      </c>
      <c r="AF804" s="10"/>
      <c r="AG804" s="10"/>
      <c r="AH804" s="10"/>
      <c r="AI804" s="12">
        <f t="shared" si="21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2"/>
      <c r="D805" s="32"/>
      <c r="E805" s="32"/>
      <c r="F805" s="32"/>
      <c r="G805" s="32">
        <f t="shared" si="213"/>
        <v>0</v>
      </c>
      <c r="H805" s="10"/>
      <c r="I805" s="10"/>
      <c r="J805" s="10"/>
      <c r="K805" s="12">
        <f t="shared" si="214"/>
        <v>0</v>
      </c>
      <c r="M805" s="10">
        <v>24</v>
      </c>
      <c r="N805" s="30"/>
      <c r="O805" s="31"/>
      <c r="P805" s="47"/>
      <c r="Q805" s="31"/>
      <c r="R805" s="31"/>
      <c r="S805" s="32">
        <f t="shared" si="215"/>
        <v>0</v>
      </c>
      <c r="T805" s="10"/>
      <c r="U805" s="10"/>
      <c r="V805" s="10"/>
      <c r="W805" s="12">
        <f t="shared" si="216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7"/>
        <v>0</v>
      </c>
      <c r="AF805" s="10"/>
      <c r="AG805" s="10"/>
      <c r="AH805" s="10"/>
      <c r="AI805" s="12">
        <f t="shared" si="21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2"/>
      <c r="D806" s="32"/>
      <c r="E806" s="32"/>
      <c r="F806" s="32"/>
      <c r="G806" s="32">
        <f t="shared" si="213"/>
        <v>0</v>
      </c>
      <c r="H806" s="10"/>
      <c r="I806" s="10"/>
      <c r="J806" s="10"/>
      <c r="K806" s="12">
        <f t="shared" si="214"/>
        <v>0</v>
      </c>
      <c r="M806" s="10">
        <v>25</v>
      </c>
      <c r="N806" s="30"/>
      <c r="O806" s="31"/>
      <c r="P806" s="47"/>
      <c r="Q806" s="31"/>
      <c r="R806" s="31"/>
      <c r="S806" s="32">
        <f t="shared" si="215"/>
        <v>0</v>
      </c>
      <c r="T806" s="10"/>
      <c r="U806" s="10"/>
      <c r="V806" s="10"/>
      <c r="W806" s="12">
        <f t="shared" si="216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17"/>
        <v>0</v>
      </c>
      <c r="AF806" s="10"/>
      <c r="AG806" s="10"/>
      <c r="AH806" s="10"/>
      <c r="AI806" s="12">
        <f t="shared" si="21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2"/>
      <c r="D807" s="32"/>
      <c r="E807" s="32"/>
      <c r="F807" s="32"/>
      <c r="G807" s="32">
        <f t="shared" si="213"/>
        <v>0</v>
      </c>
      <c r="H807" s="10"/>
      <c r="I807" s="10"/>
      <c r="J807" s="10"/>
      <c r="K807" s="12">
        <f t="shared" si="214"/>
        <v>0</v>
      </c>
      <c r="M807" s="10">
        <v>26</v>
      </c>
      <c r="N807" s="30"/>
      <c r="O807" s="31"/>
      <c r="P807" s="47"/>
      <c r="Q807" s="31"/>
      <c r="R807" s="31"/>
      <c r="S807" s="32">
        <f t="shared" si="215"/>
        <v>0</v>
      </c>
      <c r="T807" s="10"/>
      <c r="U807" s="10"/>
      <c r="V807" s="10"/>
      <c r="W807" s="12">
        <f t="shared" si="216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17"/>
        <v>0</v>
      </c>
      <c r="AF807" s="10"/>
      <c r="AG807" s="10"/>
      <c r="AH807" s="10"/>
      <c r="AI807" s="12">
        <f t="shared" si="21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2"/>
      <c r="D808" s="32"/>
      <c r="E808" s="32"/>
      <c r="F808" s="32"/>
      <c r="G808" s="32">
        <f t="shared" si="213"/>
        <v>0</v>
      </c>
      <c r="H808" s="10"/>
      <c r="I808" s="10"/>
      <c r="J808" s="10"/>
      <c r="K808" s="12">
        <f t="shared" si="214"/>
        <v>0</v>
      </c>
      <c r="M808" s="10">
        <v>27</v>
      </c>
      <c r="N808" s="30"/>
      <c r="O808" s="31"/>
      <c r="P808" s="47"/>
      <c r="Q808" s="31"/>
      <c r="R808" s="31"/>
      <c r="S808" s="32">
        <f t="shared" si="215"/>
        <v>0</v>
      </c>
      <c r="T808" s="10"/>
      <c r="U808" s="10"/>
      <c r="V808" s="10"/>
      <c r="W808" s="12">
        <f t="shared" si="216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7"/>
        <v>0</v>
      </c>
      <c r="AF808" s="10"/>
      <c r="AG808" s="10"/>
      <c r="AH808" s="10"/>
      <c r="AI808" s="12">
        <f t="shared" si="21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2"/>
      <c r="D809" s="32"/>
      <c r="E809" s="32"/>
      <c r="F809" s="32"/>
      <c r="G809" s="32">
        <f t="shared" si="213"/>
        <v>0</v>
      </c>
      <c r="H809" s="10"/>
      <c r="I809" s="10"/>
      <c r="J809" s="10"/>
      <c r="K809" s="12">
        <f t="shared" si="214"/>
        <v>0</v>
      </c>
      <c r="M809" s="10">
        <v>28</v>
      </c>
      <c r="N809" s="30"/>
      <c r="O809" s="31"/>
      <c r="P809" s="47"/>
      <c r="Q809" s="31"/>
      <c r="R809" s="31"/>
      <c r="S809" s="32">
        <f t="shared" si="215"/>
        <v>0</v>
      </c>
      <c r="T809" s="10"/>
      <c r="U809" s="10"/>
      <c r="V809" s="10"/>
      <c r="W809" s="12">
        <f t="shared" si="216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7"/>
        <v>0</v>
      </c>
      <c r="AF809" s="10"/>
      <c r="AG809" s="10"/>
      <c r="AH809" s="10"/>
      <c r="AI809" s="12">
        <f t="shared" si="21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2"/>
      <c r="D810" s="32"/>
      <c r="E810" s="32"/>
      <c r="F810" s="32"/>
      <c r="G810" s="32">
        <f t="shared" si="213"/>
        <v>0</v>
      </c>
      <c r="H810" s="10"/>
      <c r="I810" s="10"/>
      <c r="J810" s="10"/>
      <c r="K810" s="12">
        <f t="shared" si="214"/>
        <v>0</v>
      </c>
      <c r="M810" s="10">
        <v>29</v>
      </c>
      <c r="N810" s="30"/>
      <c r="O810" s="31"/>
      <c r="P810" s="47"/>
      <c r="Q810" s="31"/>
      <c r="R810" s="31"/>
      <c r="S810" s="32">
        <f t="shared" si="215"/>
        <v>0</v>
      </c>
      <c r="T810" s="10"/>
      <c r="U810" s="10"/>
      <c r="V810" s="10"/>
      <c r="W810" s="12">
        <f t="shared" si="216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7"/>
        <v>0</v>
      </c>
      <c r="AF810" s="10"/>
      <c r="AG810" s="10"/>
      <c r="AH810" s="10"/>
      <c r="AI810" s="12">
        <f t="shared" si="21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2"/>
      <c r="D811" s="32"/>
      <c r="E811" s="32"/>
      <c r="F811" s="32"/>
      <c r="G811" s="32">
        <f t="shared" si="213"/>
        <v>0</v>
      </c>
      <c r="H811" s="10"/>
      <c r="I811" s="10"/>
      <c r="J811" s="10"/>
      <c r="K811" s="12">
        <f t="shared" si="214"/>
        <v>0</v>
      </c>
      <c r="M811" s="10">
        <v>30</v>
      </c>
      <c r="N811" s="30"/>
      <c r="O811" s="31"/>
      <c r="P811" s="47"/>
      <c r="Q811" s="31"/>
      <c r="R811" s="31"/>
      <c r="S811" s="32">
        <f t="shared" si="215"/>
        <v>0</v>
      </c>
      <c r="T811" s="10"/>
      <c r="U811" s="10"/>
      <c r="V811" s="10"/>
      <c r="W811" s="12">
        <f t="shared" si="216"/>
        <v>0</v>
      </c>
      <c r="Y811" s="10">
        <v>30</v>
      </c>
      <c r="Z811" s="30"/>
      <c r="AB811" s="47"/>
      <c r="AC811" s="31"/>
      <c r="AD811" s="31"/>
      <c r="AE811" s="32">
        <f t="shared" si="217"/>
        <v>0</v>
      </c>
      <c r="AF811" s="10"/>
      <c r="AG811" s="10"/>
      <c r="AH811" s="10"/>
      <c r="AI811" s="12">
        <f t="shared" si="21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2"/>
      <c r="D812" s="32"/>
      <c r="E812" s="32"/>
      <c r="F812" s="32"/>
      <c r="G812" s="32">
        <f t="shared" si="213"/>
        <v>0</v>
      </c>
      <c r="H812" s="10"/>
      <c r="I812" s="10"/>
      <c r="J812" s="10"/>
      <c r="K812" s="12">
        <f t="shared" si="214"/>
        <v>0</v>
      </c>
      <c r="M812" s="10">
        <v>31</v>
      </c>
      <c r="N812" s="30"/>
      <c r="O812" s="31"/>
      <c r="P812" s="47"/>
      <c r="Q812" s="31"/>
      <c r="R812" s="31"/>
      <c r="S812" s="32">
        <f t="shared" si="215"/>
        <v>0</v>
      </c>
      <c r="T812" s="10"/>
      <c r="U812" s="10"/>
      <c r="V812" s="10"/>
      <c r="W812" s="12">
        <f t="shared" si="216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7"/>
        <v>0</v>
      </c>
      <c r="AF812" s="10"/>
      <c r="AG812" s="10"/>
      <c r="AH812" s="10"/>
      <c r="AI812" s="12">
        <f t="shared" si="21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2"/>
      <c r="D813" s="32"/>
      <c r="E813" s="32"/>
      <c r="F813" s="32"/>
      <c r="G813" s="32">
        <f t="shared" si="213"/>
        <v>0</v>
      </c>
      <c r="H813" s="10"/>
      <c r="I813" s="10"/>
      <c r="J813" s="10"/>
      <c r="K813" s="12">
        <f t="shared" si="214"/>
        <v>0</v>
      </c>
      <c r="M813" s="10">
        <v>32</v>
      </c>
      <c r="N813" s="30"/>
      <c r="O813" s="31"/>
      <c r="P813" s="47"/>
      <c r="Q813" s="31"/>
      <c r="R813" s="31"/>
      <c r="S813" s="32">
        <f t="shared" si="215"/>
        <v>0</v>
      </c>
      <c r="T813" s="10"/>
      <c r="U813" s="10"/>
      <c r="V813" s="10"/>
      <c r="W813" s="12">
        <f t="shared" si="216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7"/>
        <v>0</v>
      </c>
      <c r="AF813" s="10"/>
      <c r="AG813" s="10"/>
      <c r="AH813" s="10"/>
      <c r="AI813" s="12">
        <f t="shared" si="21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2"/>
      <c r="D814" s="32"/>
      <c r="E814" s="32"/>
      <c r="F814" s="32"/>
      <c r="G814" s="32">
        <f t="shared" si="213"/>
        <v>0</v>
      </c>
      <c r="H814" s="10"/>
      <c r="I814" s="10"/>
      <c r="J814" s="10"/>
      <c r="K814" s="12">
        <f t="shared" si="214"/>
        <v>0</v>
      </c>
      <c r="M814" s="10">
        <v>33</v>
      </c>
      <c r="N814" s="30"/>
      <c r="O814" s="31"/>
      <c r="P814" s="47"/>
      <c r="Q814" s="31"/>
      <c r="R814" s="31"/>
      <c r="S814" s="32">
        <f t="shared" si="215"/>
        <v>0</v>
      </c>
      <c r="T814" s="10"/>
      <c r="U814" s="10"/>
      <c r="V814" s="10"/>
      <c r="W814" s="12">
        <f t="shared" si="216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7"/>
        <v>0</v>
      </c>
      <c r="AF814" s="10"/>
      <c r="AG814" s="10"/>
      <c r="AH814" s="10"/>
      <c r="AI814" s="12">
        <f t="shared" si="21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2"/>
      <c r="D815" s="32"/>
      <c r="E815" s="32"/>
      <c r="F815" s="32"/>
      <c r="G815" s="32">
        <f t="shared" si="213"/>
        <v>0</v>
      </c>
      <c r="H815" s="10"/>
      <c r="I815" s="10"/>
      <c r="J815" s="10"/>
      <c r="K815" s="12">
        <f t="shared" si="214"/>
        <v>0</v>
      </c>
      <c r="M815" s="10">
        <v>34</v>
      </c>
      <c r="N815" s="30"/>
      <c r="O815" s="31"/>
      <c r="P815" s="47"/>
      <c r="Q815" s="31"/>
      <c r="R815" s="31"/>
      <c r="S815" s="32">
        <f t="shared" si="215"/>
        <v>0</v>
      </c>
      <c r="T815" s="10"/>
      <c r="U815" s="10"/>
      <c r="V815" s="10"/>
      <c r="W815" s="12">
        <f t="shared" si="216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17"/>
        <v>0</v>
      </c>
      <c r="AF815" s="10"/>
      <c r="AG815" s="10"/>
      <c r="AH815" s="10"/>
      <c r="AI815" s="12">
        <f t="shared" si="21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2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P816" s="47"/>
      <c r="Q816" s="31"/>
      <c r="R816" s="31"/>
      <c r="S816" s="32">
        <f t="shared" si="215"/>
        <v>0</v>
      </c>
      <c r="T816" s="10"/>
      <c r="U816" s="10"/>
      <c r="V816" s="10"/>
      <c r="W816" s="12">
        <f t="shared" si="216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7"/>
        <v>0</v>
      </c>
      <c r="AF816" s="10"/>
      <c r="AG816" s="10"/>
      <c r="AH816" s="10"/>
      <c r="AI816" s="12">
        <f t="shared" si="21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2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5"/>
        <v>0</v>
      </c>
      <c r="T817" s="10"/>
      <c r="U817" s="10"/>
      <c r="V817" s="10"/>
      <c r="W817" s="12">
        <f t="shared" si="216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7"/>
        <v>0</v>
      </c>
      <c r="AF817" s="10"/>
      <c r="AG817" s="10"/>
      <c r="AH817" s="10"/>
      <c r="AI817" s="12">
        <f t="shared" si="21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O818" s="31"/>
      <c r="P818" s="47"/>
      <c r="Q818" s="31"/>
      <c r="R818" s="31"/>
      <c r="S818" s="32">
        <f t="shared" si="215"/>
        <v>0</v>
      </c>
      <c r="T818" s="10"/>
      <c r="U818" s="10"/>
      <c r="V818" s="10"/>
      <c r="W818" s="12">
        <f t="shared" si="216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7"/>
        <v>0</v>
      </c>
      <c r="AF818" s="10"/>
      <c r="AG818" s="10"/>
      <c r="AH818" s="10"/>
      <c r="AI818" s="12">
        <f t="shared" si="21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5"/>
        <v>0</v>
      </c>
      <c r="T819" s="10"/>
      <c r="U819" s="10"/>
      <c r="V819" s="10"/>
      <c r="W819" s="12">
        <f t="shared" si="216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7"/>
        <v>0</v>
      </c>
      <c r="AF819" s="10"/>
      <c r="AG819" s="10"/>
      <c r="AH819" s="10"/>
      <c r="AI819" s="12">
        <f t="shared" si="21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5"/>
        <v>0</v>
      </c>
      <c r="T820" s="10"/>
      <c r="U820" s="10"/>
      <c r="V820" s="10"/>
      <c r="W820" s="12">
        <f t="shared" si="216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7"/>
        <v>0</v>
      </c>
      <c r="AF820" s="10"/>
      <c r="AG820" s="10"/>
      <c r="AH820" s="10"/>
      <c r="AI820" s="12">
        <f t="shared" si="21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6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2">SUM(D822:E822)</f>
        <v>0</v>
      </c>
      <c r="H822" s="10"/>
      <c r="I822" s="10"/>
      <c r="J822" s="10"/>
      <c r="K822" s="12">
        <f t="shared" ref="K822" si="223">SUM(G822:J822)</f>
        <v>0</v>
      </c>
      <c r="M822" s="10"/>
      <c r="N822" s="30"/>
      <c r="O822" s="31"/>
      <c r="P822" s="47"/>
      <c r="Q822" s="31"/>
      <c r="R822" s="31"/>
      <c r="S822" s="32">
        <f t="shared" ref="S822" si="224">SUM(P822:Q822)</f>
        <v>0</v>
      </c>
      <c r="T822" s="10"/>
      <c r="U822" s="10"/>
      <c r="V822" s="10"/>
      <c r="W822" s="12">
        <f t="shared" si="216"/>
        <v>0</v>
      </c>
      <c r="Y822" s="10"/>
      <c r="Z822" s="30"/>
      <c r="AA822" s="31"/>
      <c r="AB822" s="47"/>
      <c r="AC822" s="31"/>
      <c r="AD822" s="31"/>
      <c r="AE822" s="32">
        <f t="shared" ref="AE822" si="225">SUM(AB822:AC822)</f>
        <v>0</v>
      </c>
      <c r="AF822" s="10"/>
      <c r="AG822" s="10"/>
      <c r="AH822" s="10"/>
      <c r="AI822" s="12">
        <f t="shared" si="21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6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385568</v>
      </c>
      <c r="E825" s="38">
        <f t="shared" ref="E825:F825" si="226">SUM(E782:E822)</f>
        <v>-1944</v>
      </c>
      <c r="F825" s="38">
        <f t="shared" si="226"/>
        <v>0</v>
      </c>
      <c r="G825" s="38">
        <f>SUM(G782:G824)</f>
        <v>383624</v>
      </c>
      <c r="H825" s="4"/>
      <c r="I825" s="39">
        <f>SUM(I782:I824)</f>
        <v>960</v>
      </c>
      <c r="J825" s="39">
        <f>SUM(J782:J824)</f>
        <v>-19470</v>
      </c>
      <c r="K825" s="40">
        <f>SUM(K782:K824)</f>
        <v>365114</v>
      </c>
      <c r="N825" s="57"/>
      <c r="O825" s="57"/>
      <c r="P825" s="38">
        <f>SUM(P782:P824)</f>
        <v>228406.5</v>
      </c>
      <c r="Q825" s="38">
        <f>SUM(Q782:Q806)</f>
        <v>-624</v>
      </c>
      <c r="R825" s="38">
        <f>SUM(R782:R806)</f>
        <v>0</v>
      </c>
      <c r="S825" s="38">
        <f>SUM(S782:S824)</f>
        <v>227782.5</v>
      </c>
      <c r="T825" s="4"/>
      <c r="U825" s="41">
        <f>SUM(U782:U824)</f>
        <v>549</v>
      </c>
      <c r="V825" s="41">
        <f>SUM(V782:V806)</f>
        <v>-1017</v>
      </c>
      <c r="W825" s="42">
        <f>SUM(W782:W824)</f>
        <v>227314.5</v>
      </c>
      <c r="Z825" s="57"/>
      <c r="AA825" s="57"/>
      <c r="AB825" s="38">
        <f>SUM(AB782:AB824)</f>
        <v>368762</v>
      </c>
      <c r="AC825" s="38">
        <f>SUM(AC782:AC806)</f>
        <v>-3228</v>
      </c>
      <c r="AD825" s="38">
        <f>SUM(AD782:AD806)</f>
        <v>0</v>
      </c>
      <c r="AE825" s="38">
        <f>SUM(AE782:AE824)</f>
        <v>365534</v>
      </c>
      <c r="AF825" s="4"/>
      <c r="AG825" s="41">
        <f>SUM(AG782:AG824)</f>
        <v>0</v>
      </c>
      <c r="AH825" s="41">
        <f>SUM(AH782:AH806)</f>
        <v>-24534</v>
      </c>
      <c r="AI825" s="42">
        <f>SUM(AI782:AI824)</f>
        <v>341000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50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79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79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79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0" t="s">
        <v>17</v>
      </c>
      <c r="E835" s="120"/>
      <c r="F835" s="105"/>
      <c r="G835" s="27"/>
      <c r="I835" s="118" t="s">
        <v>18</v>
      </c>
      <c r="J835" s="119"/>
      <c r="K835" s="116" t="s">
        <v>19</v>
      </c>
      <c r="N835" s="25"/>
      <c r="O835" s="26"/>
      <c r="P835" s="120" t="s">
        <v>17</v>
      </c>
      <c r="Q835" s="120"/>
      <c r="R835" s="105"/>
      <c r="S835" s="27"/>
      <c r="U835" s="118" t="s">
        <v>18</v>
      </c>
      <c r="V835" s="119"/>
      <c r="W835" s="116" t="s">
        <v>19</v>
      </c>
      <c r="Z835" s="25"/>
      <c r="AA835" s="26"/>
      <c r="AB835" s="120" t="s">
        <v>17</v>
      </c>
      <c r="AC835" s="120"/>
      <c r="AD835" s="105"/>
      <c r="AE835" s="27"/>
      <c r="AG835" s="118" t="s">
        <v>18</v>
      </c>
      <c r="AH835" s="119"/>
      <c r="AI835" s="116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7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7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7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80</v>
      </c>
      <c r="C837" s="82">
        <v>9598</v>
      </c>
      <c r="D837" s="32">
        <f>650*20+229</f>
        <v>13229</v>
      </c>
      <c r="E837" s="32"/>
      <c r="F837" s="32"/>
      <c r="G837" s="32">
        <f t="shared" ref="G837:G870" si="227">SUM(D837:E837)</f>
        <v>13229</v>
      </c>
      <c r="H837" s="12"/>
      <c r="I837" s="12"/>
      <c r="J837" s="12"/>
      <c r="K837" s="12">
        <f t="shared" ref="K837:K870" si="228">SUM(G837:J837)</f>
        <v>13229</v>
      </c>
      <c r="M837" s="10">
        <v>1</v>
      </c>
      <c r="N837" s="30" t="s">
        <v>80</v>
      </c>
      <c r="O837" s="31">
        <v>9728</v>
      </c>
      <c r="P837" s="32">
        <f>650*103+670*4+622*20+229*3</f>
        <v>82757</v>
      </c>
      <c r="Q837" s="32"/>
      <c r="R837" s="32"/>
      <c r="S837" s="32">
        <f>SUM(P837:Q837)</f>
        <v>82757</v>
      </c>
      <c r="T837" s="12"/>
      <c r="U837" s="12">
        <v>405</v>
      </c>
      <c r="V837" s="12"/>
      <c r="W837" s="12">
        <f>SUM(S837:V837)</f>
        <v>83162</v>
      </c>
      <c r="Y837" s="10">
        <v>1</v>
      </c>
      <c r="Z837" s="30" t="s">
        <v>80</v>
      </c>
      <c r="AA837" s="31">
        <v>9685</v>
      </c>
      <c r="AB837" s="32">
        <f>650*50</f>
        <v>32500</v>
      </c>
      <c r="AC837" s="32">
        <f>-50*6</f>
        <v>-300</v>
      </c>
      <c r="AD837" s="32"/>
      <c r="AE837" s="32">
        <f>SUM(AB837:AC837)</f>
        <v>32200</v>
      </c>
      <c r="AF837" s="12"/>
      <c r="AG837" s="12"/>
      <c r="AH837" s="12"/>
      <c r="AI837" s="12">
        <f>SUM(AE837:AH837)</f>
        <v>32200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80</v>
      </c>
      <c r="C838" s="82">
        <f>C837+1</f>
        <v>9599</v>
      </c>
      <c r="D838" s="32">
        <f>650*2</f>
        <v>1300</v>
      </c>
      <c r="E838" s="32"/>
      <c r="F838" s="32"/>
      <c r="G838" s="32">
        <f t="shared" si="227"/>
        <v>1300</v>
      </c>
      <c r="H838" s="12"/>
      <c r="I838" s="12"/>
      <c r="J838" s="12"/>
      <c r="K838" s="12">
        <f t="shared" si="228"/>
        <v>1300</v>
      </c>
      <c r="M838" s="10">
        <v>2</v>
      </c>
      <c r="N838" s="30" t="s">
        <v>80</v>
      </c>
      <c r="O838" s="31">
        <f>O837+1</f>
        <v>9729</v>
      </c>
      <c r="P838" s="32">
        <f>108*650+229*3</f>
        <v>70887</v>
      </c>
      <c r="Q838" s="32">
        <f>-108*6</f>
        <v>-648</v>
      </c>
      <c r="R838" s="32"/>
      <c r="S838" s="32">
        <f t="shared" ref="S838:S875" si="229">SUM(P838:Q838)</f>
        <v>70239</v>
      </c>
      <c r="T838" s="12"/>
      <c r="U838" s="12">
        <v>108</v>
      </c>
      <c r="V838" s="12"/>
      <c r="W838" s="12">
        <f t="shared" ref="W838:W878" si="230">SUM(S838:V838)</f>
        <v>70347</v>
      </c>
      <c r="Y838" s="10">
        <v>2</v>
      </c>
      <c r="Z838" s="30" t="s">
        <v>80</v>
      </c>
      <c r="AA838" s="31">
        <f>AA837+1</f>
        <v>9686</v>
      </c>
      <c r="AB838" s="32">
        <f>650*53+872+229</f>
        <v>35551</v>
      </c>
      <c r="AC838" s="32"/>
      <c r="AD838" s="32"/>
      <c r="AE838" s="32">
        <f t="shared" ref="AE838:AE875" si="231">SUM(AB838:AC838)</f>
        <v>35551</v>
      </c>
      <c r="AF838" s="12"/>
      <c r="AG838" s="12">
        <v>12</v>
      </c>
      <c r="AH838" s="12"/>
      <c r="AI838" s="12">
        <f t="shared" ref="AI838:AI878" si="232">SUM(AE838:AH838)</f>
        <v>35563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80</v>
      </c>
      <c r="C839" s="82">
        <f t="shared" ref="C839:C843" si="233">C838+1</f>
        <v>9600</v>
      </c>
      <c r="D839" s="33">
        <f>650*40+229</f>
        <v>26229</v>
      </c>
      <c r="E839" s="33"/>
      <c r="F839" s="33"/>
      <c r="G839" s="33">
        <f t="shared" si="227"/>
        <v>26229</v>
      </c>
      <c r="H839" s="34"/>
      <c r="I839" s="34"/>
      <c r="J839" s="34"/>
      <c r="K839" s="34">
        <f t="shared" si="228"/>
        <v>26229</v>
      </c>
      <c r="M839" s="10">
        <v>3</v>
      </c>
      <c r="N839" s="30" t="s">
        <v>80</v>
      </c>
      <c r="O839" s="31">
        <f t="shared" ref="O839:O846" si="234">O838+1</f>
        <v>9730</v>
      </c>
      <c r="P839" s="32">
        <f>650*22+622*10</f>
        <v>20520</v>
      </c>
      <c r="Q839" s="32"/>
      <c r="R839" s="32"/>
      <c r="S839" s="32">
        <f t="shared" si="229"/>
        <v>20520</v>
      </c>
      <c r="T839" s="12"/>
      <c r="U839" s="12">
        <v>27</v>
      </c>
      <c r="V839" s="12"/>
      <c r="W839" s="12">
        <f t="shared" si="230"/>
        <v>20547</v>
      </c>
      <c r="Y839" s="10">
        <v>3</v>
      </c>
      <c r="Z839" s="30" t="s">
        <v>80</v>
      </c>
      <c r="AA839" s="31">
        <f t="shared" ref="AA839:AA842" si="235">AA838+1</f>
        <v>9687</v>
      </c>
      <c r="AB839" s="33">
        <f>650*108+670*7+229*4</f>
        <v>75806</v>
      </c>
      <c r="AC839" s="33">
        <f>-115*6</f>
        <v>-690</v>
      </c>
      <c r="AD839" s="32"/>
      <c r="AE839" s="32">
        <f t="shared" si="231"/>
        <v>75116</v>
      </c>
      <c r="AF839" s="12"/>
      <c r="AG839" s="12"/>
      <c r="AH839" s="12"/>
      <c r="AI839" s="12">
        <f t="shared" si="232"/>
        <v>75116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80</v>
      </c>
      <c r="C840" s="82">
        <v>9801</v>
      </c>
      <c r="D840" s="32">
        <f>650*16+9.5*16</f>
        <v>10552</v>
      </c>
      <c r="E840" s="32"/>
      <c r="F840" s="32"/>
      <c r="G840" s="32">
        <f t="shared" si="227"/>
        <v>10552</v>
      </c>
      <c r="H840" s="12"/>
      <c r="I840" s="12"/>
      <c r="J840" s="12">
        <v>-2442</v>
      </c>
      <c r="K840" s="12">
        <f t="shared" si="228"/>
        <v>8110</v>
      </c>
      <c r="M840" s="10">
        <v>4</v>
      </c>
      <c r="N840" s="30" t="s">
        <v>80</v>
      </c>
      <c r="O840" s="31">
        <f t="shared" si="234"/>
        <v>9731</v>
      </c>
      <c r="P840" s="32">
        <f>650*4+622*2+9.5*6</f>
        <v>3901</v>
      </c>
      <c r="Q840" s="32"/>
      <c r="R840" s="32"/>
      <c r="S840" s="32">
        <f t="shared" si="229"/>
        <v>3901</v>
      </c>
      <c r="T840" s="12"/>
      <c r="U840" s="12"/>
      <c r="V840" s="12">
        <f>-555+-78</f>
        <v>-633</v>
      </c>
      <c r="W840" s="12">
        <f t="shared" si="230"/>
        <v>3268</v>
      </c>
      <c r="Y840" s="10">
        <v>4</v>
      </c>
      <c r="Z840" s="30" t="s">
        <v>80</v>
      </c>
      <c r="AA840" s="31">
        <f t="shared" si="235"/>
        <v>9688</v>
      </c>
      <c r="AB840" s="32">
        <f>650*150+622*20+872*2+229*7</f>
        <v>113287</v>
      </c>
      <c r="AC840" s="32">
        <f>-172*6</f>
        <v>-1032</v>
      </c>
      <c r="AD840" s="32"/>
      <c r="AE840" s="32">
        <f t="shared" si="231"/>
        <v>112255</v>
      </c>
      <c r="AF840" s="12"/>
      <c r="AG840" s="58"/>
      <c r="AH840" s="12"/>
      <c r="AI840" s="12">
        <f t="shared" si="232"/>
        <v>112255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80</v>
      </c>
      <c r="C841" s="82">
        <f t="shared" si="233"/>
        <v>9802</v>
      </c>
      <c r="D841" s="32">
        <f>650*127+622*10+229*4</f>
        <v>89686</v>
      </c>
      <c r="E841" s="32"/>
      <c r="F841" s="32"/>
      <c r="G841" s="32">
        <f t="shared" si="227"/>
        <v>89686</v>
      </c>
      <c r="H841" s="12"/>
      <c r="I841" s="12"/>
      <c r="J841" s="12"/>
      <c r="K841" s="12">
        <f t="shared" si="228"/>
        <v>89686</v>
      </c>
      <c r="M841" s="10">
        <v>5</v>
      </c>
      <c r="N841" s="30" t="s">
        <v>80</v>
      </c>
      <c r="O841" s="31">
        <f t="shared" si="234"/>
        <v>9732</v>
      </c>
      <c r="P841" s="32">
        <f>650*2+9.5*2</f>
        <v>1319</v>
      </c>
      <c r="Q841" s="32"/>
      <c r="R841" s="32"/>
      <c r="S841" s="32">
        <f t="shared" si="229"/>
        <v>1319</v>
      </c>
      <c r="T841" s="12"/>
      <c r="U841" s="12"/>
      <c r="V841" s="12"/>
      <c r="W841" s="12">
        <f t="shared" si="230"/>
        <v>1319</v>
      </c>
      <c r="Y841" s="10">
        <v>5</v>
      </c>
      <c r="Z841" s="30" t="s">
        <v>80</v>
      </c>
      <c r="AA841" s="31">
        <f t="shared" si="235"/>
        <v>9689</v>
      </c>
      <c r="AB841" s="32">
        <f>650*6+622*5</f>
        <v>7010</v>
      </c>
      <c r="AC841" s="32"/>
      <c r="AD841" s="32"/>
      <c r="AE841" s="32">
        <f t="shared" si="231"/>
        <v>7010</v>
      </c>
      <c r="AF841" s="12"/>
      <c r="AG841" s="12"/>
      <c r="AH841" s="12">
        <v>-1776</v>
      </c>
      <c r="AI841" s="12">
        <f t="shared" si="232"/>
        <v>5234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80</v>
      </c>
      <c r="C842" s="82">
        <f t="shared" si="233"/>
        <v>9803</v>
      </c>
      <c r="D842" s="32">
        <f>650*216+1050+872</f>
        <v>142322</v>
      </c>
      <c r="E842" s="32"/>
      <c r="F842" s="32"/>
      <c r="G842" s="32">
        <f t="shared" si="227"/>
        <v>142322</v>
      </c>
      <c r="H842" s="12"/>
      <c r="I842" s="12"/>
      <c r="J842" s="12">
        <v>-468</v>
      </c>
      <c r="K842" s="12">
        <f t="shared" si="228"/>
        <v>141854</v>
      </c>
      <c r="M842" s="10">
        <v>6</v>
      </c>
      <c r="N842" s="30" t="s">
        <v>80</v>
      </c>
      <c r="O842" s="31">
        <f t="shared" si="234"/>
        <v>9733</v>
      </c>
      <c r="P842" s="32">
        <f>650+622+9.5*2</f>
        <v>1291</v>
      </c>
      <c r="Q842" s="32"/>
      <c r="R842" s="32"/>
      <c r="S842" s="32">
        <f t="shared" si="229"/>
        <v>1291</v>
      </c>
      <c r="T842" s="12"/>
      <c r="U842" s="12"/>
      <c r="V842" s="10"/>
      <c r="W842" s="12">
        <f t="shared" si="230"/>
        <v>1291</v>
      </c>
      <c r="Y842" s="10">
        <v>6</v>
      </c>
      <c r="Z842" s="30" t="s">
        <v>80</v>
      </c>
      <c r="AA842" s="31">
        <f t="shared" si="235"/>
        <v>9690</v>
      </c>
      <c r="AB842" s="32">
        <f>650*5</f>
        <v>3250</v>
      </c>
      <c r="AC842" s="32">
        <f>-5*6</f>
        <v>-30</v>
      </c>
      <c r="AD842" s="32"/>
      <c r="AE842" s="32">
        <f t="shared" si="231"/>
        <v>3220</v>
      </c>
      <c r="AF842" s="12"/>
      <c r="AG842" s="12"/>
      <c r="AH842" s="10"/>
      <c r="AI842" s="12">
        <f t="shared" si="232"/>
        <v>3220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80</v>
      </c>
      <c r="C843" s="82">
        <f t="shared" si="233"/>
        <v>9804</v>
      </c>
      <c r="D843" s="32">
        <f>650*15+9.5*15</f>
        <v>9892.5</v>
      </c>
      <c r="E843" s="32"/>
      <c r="F843" s="32"/>
      <c r="G843" s="32">
        <f t="shared" si="227"/>
        <v>9892.5</v>
      </c>
      <c r="H843" s="12"/>
      <c r="I843" s="12"/>
      <c r="J843" s="12"/>
      <c r="K843" s="12">
        <f t="shared" si="228"/>
        <v>9892.5</v>
      </c>
      <c r="M843" s="10">
        <v>7</v>
      </c>
      <c r="N843" s="30" t="s">
        <v>80</v>
      </c>
      <c r="O843" s="31">
        <f t="shared" si="234"/>
        <v>9734</v>
      </c>
      <c r="P843" s="32">
        <f>650*2+9.5*2</f>
        <v>1319</v>
      </c>
      <c r="Q843" s="32"/>
      <c r="R843" s="32"/>
      <c r="S843" s="32">
        <f t="shared" si="229"/>
        <v>1319</v>
      </c>
      <c r="T843" s="12"/>
      <c r="U843" s="12"/>
      <c r="V843" s="12"/>
      <c r="W843" s="12">
        <f t="shared" si="230"/>
        <v>1319</v>
      </c>
      <c r="Y843" s="10">
        <v>7</v>
      </c>
      <c r="Z843" s="30"/>
      <c r="AA843" s="11" t="s">
        <v>27</v>
      </c>
      <c r="AB843" s="32"/>
      <c r="AC843" s="32"/>
      <c r="AD843" s="32"/>
      <c r="AE843" s="32">
        <f t="shared" si="231"/>
        <v>0</v>
      </c>
      <c r="AF843" s="12"/>
      <c r="AG843" s="58"/>
      <c r="AH843" s="12"/>
      <c r="AI843" s="12">
        <f t="shared" si="232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27"/>
        <v>0</v>
      </c>
      <c r="H844" s="12"/>
      <c r="I844" s="12"/>
      <c r="J844" s="12"/>
      <c r="K844" s="12">
        <f t="shared" si="228"/>
        <v>0</v>
      </c>
      <c r="M844" s="10">
        <v>8</v>
      </c>
      <c r="N844" s="30" t="s">
        <v>80</v>
      </c>
      <c r="O844" s="31">
        <f t="shared" si="234"/>
        <v>9735</v>
      </c>
      <c r="P844" s="32">
        <f>650*6+622+9.5*7</f>
        <v>4588.5</v>
      </c>
      <c r="Q844" s="32"/>
      <c r="R844" s="32"/>
      <c r="S844" s="32">
        <f t="shared" si="229"/>
        <v>4588.5</v>
      </c>
      <c r="T844" s="12"/>
      <c r="U844" s="12"/>
      <c r="V844" s="12">
        <v>-1260</v>
      </c>
      <c r="W844" s="12">
        <f t="shared" si="230"/>
        <v>3328.5</v>
      </c>
      <c r="Y844" s="10">
        <v>8</v>
      </c>
      <c r="Z844" s="30"/>
      <c r="AA844" s="31"/>
      <c r="AB844" s="32"/>
      <c r="AC844" s="32"/>
      <c r="AE844" s="32">
        <f t="shared" si="231"/>
        <v>0</v>
      </c>
      <c r="AF844" s="12"/>
      <c r="AG844" s="12"/>
      <c r="AH844" s="12"/>
      <c r="AI844" s="12">
        <f t="shared" si="232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2"/>
      <c r="D845" s="32"/>
      <c r="E845" s="32"/>
      <c r="F845" s="32"/>
      <c r="G845" s="32">
        <f t="shared" si="227"/>
        <v>0</v>
      </c>
      <c r="H845" s="12"/>
      <c r="I845" s="12"/>
      <c r="J845" s="12"/>
      <c r="K845" s="12">
        <f t="shared" si="228"/>
        <v>0</v>
      </c>
      <c r="M845" s="10">
        <v>9</v>
      </c>
      <c r="N845" s="30" t="s">
        <v>80</v>
      </c>
      <c r="O845" s="31">
        <f t="shared" si="234"/>
        <v>9736</v>
      </c>
      <c r="P845" s="32">
        <f>650*124+670*5+700*5+622*2+1050+872*3+229*5</f>
        <v>93505</v>
      </c>
      <c r="Q845" s="32"/>
      <c r="R845" s="32"/>
      <c r="S845" s="32">
        <f t="shared" si="229"/>
        <v>93505</v>
      </c>
      <c r="T845" s="12"/>
      <c r="U845" s="12">
        <v>1053</v>
      </c>
      <c r="V845" s="12"/>
      <c r="W845" s="12">
        <f t="shared" si="230"/>
        <v>94558</v>
      </c>
      <c r="Y845" s="10">
        <v>9</v>
      </c>
      <c r="Z845" s="30"/>
      <c r="AA845" s="31"/>
      <c r="AB845" s="32"/>
      <c r="AC845" s="32"/>
      <c r="AD845" s="32"/>
      <c r="AE845" s="32">
        <f t="shared" si="231"/>
        <v>0</v>
      </c>
      <c r="AF845" s="12"/>
      <c r="AH845" s="12"/>
      <c r="AI845" s="12">
        <f t="shared" si="232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2"/>
      <c r="D846" s="32"/>
      <c r="E846" s="32"/>
      <c r="F846" s="32"/>
      <c r="G846" s="32">
        <f t="shared" si="227"/>
        <v>0</v>
      </c>
      <c r="H846" s="12"/>
      <c r="I846" s="12"/>
      <c r="J846" s="12"/>
      <c r="K846" s="12">
        <f t="shared" si="228"/>
        <v>0</v>
      </c>
      <c r="M846" s="10">
        <v>10</v>
      </c>
      <c r="N846" s="30" t="s">
        <v>80</v>
      </c>
      <c r="O846" s="31">
        <f t="shared" si="234"/>
        <v>9737</v>
      </c>
      <c r="P846" s="32">
        <f>650*21</f>
        <v>13650</v>
      </c>
      <c r="Q846" s="32"/>
      <c r="R846" s="32"/>
      <c r="S846" s="32">
        <f t="shared" si="229"/>
        <v>13650</v>
      </c>
      <c r="T846" s="12"/>
      <c r="U846" s="12"/>
      <c r="V846" s="12"/>
      <c r="W846" s="12">
        <f t="shared" si="230"/>
        <v>13650</v>
      </c>
      <c r="Y846" s="10">
        <v>10</v>
      </c>
      <c r="Z846" s="30"/>
      <c r="AA846" s="31"/>
      <c r="AB846" s="32"/>
      <c r="AC846" s="32"/>
      <c r="AD846" s="32"/>
      <c r="AE846" s="32">
        <f t="shared" si="231"/>
        <v>0</v>
      </c>
      <c r="AF846" s="12"/>
      <c r="AG846" s="12"/>
      <c r="AH846" s="12"/>
      <c r="AI846" s="12">
        <f t="shared" si="23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2"/>
      <c r="D847" s="32"/>
      <c r="E847" s="32"/>
      <c r="F847" s="32"/>
      <c r="G847" s="32">
        <f t="shared" si="227"/>
        <v>0</v>
      </c>
      <c r="H847" s="12"/>
      <c r="I847" s="12"/>
      <c r="J847" s="12"/>
      <c r="K847" s="12">
        <f t="shared" si="228"/>
        <v>0</v>
      </c>
      <c r="M847" s="10">
        <v>11</v>
      </c>
      <c r="N847" s="30"/>
      <c r="O847" s="11" t="s">
        <v>27</v>
      </c>
      <c r="P847" s="32"/>
      <c r="Q847" s="32"/>
      <c r="R847" s="32"/>
      <c r="S847" s="32">
        <f t="shared" si="229"/>
        <v>0</v>
      </c>
      <c r="T847" s="12"/>
      <c r="U847" s="12"/>
      <c r="V847" s="12"/>
      <c r="W847" s="12">
        <f t="shared" si="230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31"/>
        <v>0</v>
      </c>
      <c r="AF847" s="12"/>
      <c r="AG847" s="12"/>
      <c r="AH847" s="12"/>
      <c r="AI847" s="12">
        <f t="shared" si="23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2"/>
      <c r="D848" s="32"/>
      <c r="E848" s="32"/>
      <c r="F848" s="32"/>
      <c r="G848" s="32">
        <f t="shared" si="227"/>
        <v>0</v>
      </c>
      <c r="H848" s="12"/>
      <c r="I848" s="12"/>
      <c r="J848" s="10"/>
      <c r="K848" s="12">
        <f t="shared" si="228"/>
        <v>0</v>
      </c>
      <c r="M848" s="10">
        <v>12</v>
      </c>
      <c r="N848" s="30"/>
      <c r="O848" s="31"/>
      <c r="P848" s="32"/>
      <c r="Q848" s="32"/>
      <c r="R848" s="32"/>
      <c r="S848" s="32">
        <f t="shared" si="229"/>
        <v>0</v>
      </c>
      <c r="T848" s="12"/>
      <c r="U848" s="12"/>
      <c r="V848" s="12"/>
      <c r="W848" s="12">
        <f t="shared" si="23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31"/>
        <v>0</v>
      </c>
      <c r="AF848" s="12"/>
      <c r="AG848" s="12"/>
      <c r="AH848" s="12"/>
      <c r="AI848" s="12">
        <f t="shared" si="23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2"/>
      <c r="D849" s="32"/>
      <c r="E849" s="32"/>
      <c r="F849" s="32"/>
      <c r="G849" s="32">
        <f t="shared" si="227"/>
        <v>0</v>
      </c>
      <c r="H849" s="12"/>
      <c r="I849" s="12"/>
      <c r="J849" s="12"/>
      <c r="K849" s="12">
        <f t="shared" si="228"/>
        <v>0</v>
      </c>
      <c r="M849" s="10">
        <v>13</v>
      </c>
      <c r="N849" s="30"/>
      <c r="O849" s="31"/>
      <c r="P849" s="32"/>
      <c r="Q849" s="32"/>
      <c r="R849" s="32"/>
      <c r="S849" s="32">
        <f t="shared" si="229"/>
        <v>0</v>
      </c>
      <c r="T849" s="12"/>
      <c r="U849" s="12"/>
      <c r="V849" s="12"/>
      <c r="W849" s="12">
        <f t="shared" si="23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31"/>
        <v>0</v>
      </c>
      <c r="AF849" s="12"/>
      <c r="AG849" s="12"/>
      <c r="AH849" s="12"/>
      <c r="AI849" s="12">
        <f t="shared" si="23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2"/>
      <c r="D850" s="32"/>
      <c r="E850" s="32"/>
      <c r="F850" s="32"/>
      <c r="G850" s="32">
        <f t="shared" si="227"/>
        <v>0</v>
      </c>
      <c r="H850" s="12"/>
      <c r="I850" s="12"/>
      <c r="J850" s="12"/>
      <c r="K850" s="12">
        <f t="shared" si="228"/>
        <v>0</v>
      </c>
      <c r="M850" s="10">
        <v>14</v>
      </c>
      <c r="N850" s="30"/>
      <c r="O850" s="31"/>
      <c r="P850" s="32"/>
      <c r="Q850" s="32"/>
      <c r="R850" s="32"/>
      <c r="S850" s="32">
        <f t="shared" si="229"/>
        <v>0</v>
      </c>
      <c r="T850" s="12"/>
      <c r="U850" s="12"/>
      <c r="V850" s="12"/>
      <c r="W850" s="12">
        <f t="shared" si="23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31"/>
        <v>0</v>
      </c>
      <c r="AF850" s="12"/>
      <c r="AG850" s="12"/>
      <c r="AH850" s="12"/>
      <c r="AI850" s="12">
        <f t="shared" si="23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2"/>
      <c r="D851" s="32"/>
      <c r="E851" s="32"/>
      <c r="F851" s="32"/>
      <c r="G851" s="32">
        <f t="shared" si="227"/>
        <v>0</v>
      </c>
      <c r="H851" s="12"/>
      <c r="I851" s="12"/>
      <c r="J851" s="12"/>
      <c r="K851" s="12">
        <f t="shared" si="228"/>
        <v>0</v>
      </c>
      <c r="M851" s="10">
        <v>15</v>
      </c>
      <c r="N851" s="30"/>
      <c r="O851" s="31"/>
      <c r="P851" s="32"/>
      <c r="Q851" s="32"/>
      <c r="R851" s="32"/>
      <c r="S851" s="32">
        <f t="shared" si="229"/>
        <v>0</v>
      </c>
      <c r="T851" s="12"/>
      <c r="U851" s="12"/>
      <c r="V851" s="12"/>
      <c r="W851" s="12">
        <f t="shared" si="23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31"/>
        <v>0</v>
      </c>
      <c r="AF851" s="12"/>
      <c r="AG851" s="12"/>
      <c r="AH851" s="12"/>
      <c r="AI851" s="12">
        <f t="shared" si="23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27"/>
        <v>0</v>
      </c>
      <c r="H852" s="12"/>
      <c r="I852" s="12"/>
      <c r="J852" s="12"/>
      <c r="K852" s="12">
        <f t="shared" si="228"/>
        <v>0</v>
      </c>
      <c r="M852" s="10">
        <v>16</v>
      </c>
      <c r="N852" s="30"/>
      <c r="O852" s="11"/>
      <c r="P852" s="32"/>
      <c r="Q852" s="32"/>
      <c r="R852" s="32"/>
      <c r="S852" s="32">
        <f t="shared" si="229"/>
        <v>0</v>
      </c>
      <c r="T852" s="12"/>
      <c r="U852" s="12"/>
      <c r="V852" s="12"/>
      <c r="W852" s="12">
        <f t="shared" si="23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31"/>
        <v>0</v>
      </c>
      <c r="AF852" s="12"/>
      <c r="AG852" s="12"/>
      <c r="AH852" s="12"/>
      <c r="AI852" s="12">
        <f t="shared" si="23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2"/>
      <c r="D853" s="32"/>
      <c r="E853" s="32"/>
      <c r="F853" s="32"/>
      <c r="G853" s="32">
        <f t="shared" si="227"/>
        <v>0</v>
      </c>
      <c r="H853" s="12"/>
      <c r="I853" s="12"/>
      <c r="J853" s="12"/>
      <c r="K853" s="12">
        <f t="shared" si="228"/>
        <v>0</v>
      </c>
      <c r="M853" s="10">
        <v>17</v>
      </c>
      <c r="N853" s="30"/>
      <c r="O853" s="31"/>
      <c r="P853" s="35"/>
      <c r="Q853" s="32"/>
      <c r="R853" s="32"/>
      <c r="S853" s="32">
        <f t="shared" si="229"/>
        <v>0</v>
      </c>
      <c r="T853" s="12"/>
      <c r="U853" s="12"/>
      <c r="V853" s="12"/>
      <c r="W853" s="12">
        <f t="shared" si="23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31"/>
        <v>0</v>
      </c>
      <c r="AF853" s="12"/>
      <c r="AG853" s="12"/>
      <c r="AH853" s="12"/>
      <c r="AI853" s="12">
        <f t="shared" si="23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2"/>
      <c r="D854" s="32"/>
      <c r="E854" s="32"/>
      <c r="F854" s="32"/>
      <c r="G854" s="32">
        <f t="shared" si="227"/>
        <v>0</v>
      </c>
      <c r="H854" s="12"/>
      <c r="I854" s="12"/>
      <c r="J854" s="12"/>
      <c r="K854" s="12">
        <f t="shared" si="228"/>
        <v>0</v>
      </c>
      <c r="M854" s="10">
        <v>18</v>
      </c>
      <c r="N854" s="30"/>
      <c r="O854" s="31"/>
      <c r="P854" s="32"/>
      <c r="Q854" s="32"/>
      <c r="R854" s="32"/>
      <c r="S854" s="32">
        <f t="shared" si="229"/>
        <v>0</v>
      </c>
      <c r="T854" s="12"/>
      <c r="U854" s="12"/>
      <c r="V854" s="12"/>
      <c r="W854" s="12">
        <f t="shared" si="230"/>
        <v>0</v>
      </c>
      <c r="Y854" s="10">
        <v>18</v>
      </c>
      <c r="Z854" s="30"/>
      <c r="AB854" s="32"/>
      <c r="AC854" s="32"/>
      <c r="AD854" s="32"/>
      <c r="AE854" s="32">
        <f t="shared" si="231"/>
        <v>0</v>
      </c>
      <c r="AF854" s="12"/>
      <c r="AG854" s="12"/>
      <c r="AH854" s="12"/>
      <c r="AI854" s="12">
        <f t="shared" si="23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2"/>
      <c r="D855" s="32"/>
      <c r="E855" s="32"/>
      <c r="F855" s="32"/>
      <c r="G855" s="32">
        <f t="shared" si="227"/>
        <v>0</v>
      </c>
      <c r="H855" s="12"/>
      <c r="I855" s="12"/>
      <c r="J855" s="12"/>
      <c r="K855" s="12">
        <f t="shared" si="228"/>
        <v>0</v>
      </c>
      <c r="M855" s="10">
        <v>19</v>
      </c>
      <c r="N855" s="30"/>
      <c r="O855" s="31"/>
      <c r="P855" s="32"/>
      <c r="Q855" s="32"/>
      <c r="R855" s="32"/>
      <c r="S855" s="32">
        <f t="shared" si="229"/>
        <v>0</v>
      </c>
      <c r="T855" s="12"/>
      <c r="U855" s="12"/>
      <c r="V855" s="12"/>
      <c r="W855" s="12">
        <f t="shared" si="23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31"/>
        <v>0</v>
      </c>
      <c r="AF855" s="12"/>
      <c r="AG855" s="12"/>
      <c r="AH855" s="12"/>
      <c r="AI855" s="12">
        <f t="shared" si="23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2"/>
      <c r="D856" s="32"/>
      <c r="E856" s="32"/>
      <c r="F856" s="32"/>
      <c r="G856" s="32">
        <f t="shared" si="227"/>
        <v>0</v>
      </c>
      <c r="H856" s="12"/>
      <c r="I856" s="12"/>
      <c r="J856" s="12"/>
      <c r="K856" s="12">
        <f t="shared" si="228"/>
        <v>0</v>
      </c>
      <c r="M856" s="10">
        <v>20</v>
      </c>
      <c r="N856" s="30"/>
      <c r="O856" s="31"/>
      <c r="P856" s="32"/>
      <c r="Q856" s="32"/>
      <c r="R856" s="32"/>
      <c r="S856" s="32">
        <f t="shared" si="229"/>
        <v>0</v>
      </c>
      <c r="T856" s="12"/>
      <c r="U856" s="12"/>
      <c r="V856" s="12"/>
      <c r="W856" s="12">
        <f t="shared" si="230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31"/>
        <v>0</v>
      </c>
      <c r="AF856" s="12"/>
      <c r="AG856" s="12"/>
      <c r="AH856" s="12"/>
      <c r="AI856" s="12">
        <f t="shared" si="23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57"/>
      <c r="D857" s="32"/>
      <c r="E857" s="32"/>
      <c r="F857" s="32"/>
      <c r="G857" s="32">
        <f t="shared" si="227"/>
        <v>0</v>
      </c>
      <c r="H857" s="10"/>
      <c r="I857" s="10"/>
      <c r="J857" s="10"/>
      <c r="K857" s="12">
        <f t="shared" si="228"/>
        <v>0</v>
      </c>
      <c r="M857" s="10">
        <v>21</v>
      </c>
      <c r="N857" s="30"/>
      <c r="O857" s="31"/>
      <c r="P857" s="46"/>
      <c r="Q857" s="31"/>
      <c r="R857" s="31"/>
      <c r="S857" s="32">
        <f t="shared" si="229"/>
        <v>0</v>
      </c>
      <c r="T857" s="10"/>
      <c r="U857" s="10"/>
      <c r="V857" s="10"/>
      <c r="W857" s="12">
        <f t="shared" si="23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31"/>
        <v>0</v>
      </c>
      <c r="AF857" s="10"/>
      <c r="AG857" s="10"/>
      <c r="AH857" s="10"/>
      <c r="AI857" s="12">
        <f t="shared" si="23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27"/>
        <v>0</v>
      </c>
      <c r="H858" s="10"/>
      <c r="I858" s="10"/>
      <c r="J858" s="10"/>
      <c r="K858" s="12">
        <f t="shared" si="228"/>
        <v>0</v>
      </c>
      <c r="M858" s="10">
        <v>22</v>
      </c>
      <c r="N858" s="30"/>
      <c r="O858" s="31"/>
      <c r="P858" s="45"/>
      <c r="Q858" s="31"/>
      <c r="R858" s="31"/>
      <c r="S858" s="32">
        <f t="shared" si="229"/>
        <v>0</v>
      </c>
      <c r="T858" s="10"/>
      <c r="U858" s="10"/>
      <c r="V858" s="10"/>
      <c r="W858" s="12">
        <f t="shared" si="23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31"/>
        <v>0</v>
      </c>
      <c r="AF858" s="10"/>
      <c r="AG858" s="10"/>
      <c r="AH858" s="10"/>
      <c r="AI858" s="12">
        <f t="shared" si="23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2"/>
      <c r="D859" s="32"/>
      <c r="E859" s="32"/>
      <c r="F859" s="32"/>
      <c r="G859" s="32">
        <f t="shared" si="227"/>
        <v>0</v>
      </c>
      <c r="H859" s="10"/>
      <c r="I859" s="10"/>
      <c r="J859" s="12"/>
      <c r="K859" s="12">
        <f t="shared" si="228"/>
        <v>0</v>
      </c>
      <c r="M859" s="10">
        <v>23</v>
      </c>
      <c r="N859" s="30"/>
      <c r="O859" s="31"/>
      <c r="P859" s="47"/>
      <c r="Q859" s="31"/>
      <c r="S859" s="32">
        <f t="shared" si="229"/>
        <v>0</v>
      </c>
      <c r="T859" s="10"/>
      <c r="U859" s="10"/>
      <c r="V859" s="10"/>
      <c r="W859" s="12">
        <f t="shared" si="230"/>
        <v>0</v>
      </c>
      <c r="Y859" s="10">
        <v>23</v>
      </c>
      <c r="Z859" s="30"/>
      <c r="AA859" s="31"/>
      <c r="AB859" s="47"/>
      <c r="AE859" s="32">
        <f t="shared" si="231"/>
        <v>0</v>
      </c>
      <c r="AF859" s="10"/>
      <c r="AG859" s="10"/>
      <c r="AH859" s="10"/>
      <c r="AI859" s="12">
        <f t="shared" si="23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2"/>
      <c r="D860" s="32"/>
      <c r="E860" s="32"/>
      <c r="F860" s="32"/>
      <c r="G860" s="32">
        <f t="shared" si="227"/>
        <v>0</v>
      </c>
      <c r="H860" s="10"/>
      <c r="I860" s="10"/>
      <c r="J860" s="10"/>
      <c r="K860" s="12">
        <f t="shared" si="228"/>
        <v>0</v>
      </c>
      <c r="M860" s="10">
        <v>24</v>
      </c>
      <c r="N860" s="30"/>
      <c r="O860" s="31"/>
      <c r="P860" s="47"/>
      <c r="Q860" s="31"/>
      <c r="R860" s="31"/>
      <c r="S860" s="32">
        <f t="shared" si="229"/>
        <v>0</v>
      </c>
      <c r="T860" s="10"/>
      <c r="U860" s="10"/>
      <c r="V860" s="10"/>
      <c r="W860" s="12">
        <f t="shared" si="23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31"/>
        <v>0</v>
      </c>
      <c r="AF860" s="10"/>
      <c r="AG860" s="10"/>
      <c r="AH860" s="10"/>
      <c r="AI860" s="12">
        <f t="shared" si="23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2"/>
      <c r="D861" s="32"/>
      <c r="E861" s="32"/>
      <c r="F861" s="32"/>
      <c r="G861" s="32">
        <f t="shared" si="227"/>
        <v>0</v>
      </c>
      <c r="H861" s="10"/>
      <c r="I861" s="10"/>
      <c r="J861" s="10"/>
      <c r="K861" s="12">
        <f t="shared" si="228"/>
        <v>0</v>
      </c>
      <c r="M861" s="10">
        <v>25</v>
      </c>
      <c r="N861" s="30"/>
      <c r="O861" s="31"/>
      <c r="P861" s="47"/>
      <c r="Q861" s="31"/>
      <c r="R861" s="31"/>
      <c r="S861" s="32">
        <f t="shared" si="229"/>
        <v>0</v>
      </c>
      <c r="T861" s="10"/>
      <c r="U861" s="10"/>
      <c r="V861" s="10"/>
      <c r="W861" s="12">
        <f t="shared" si="23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31"/>
        <v>0</v>
      </c>
      <c r="AF861" s="10"/>
      <c r="AG861" s="10"/>
      <c r="AH861" s="10"/>
      <c r="AI861" s="12">
        <f t="shared" si="23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2"/>
      <c r="D862" s="32"/>
      <c r="E862" s="32"/>
      <c r="F862" s="32"/>
      <c r="G862" s="32">
        <f t="shared" si="227"/>
        <v>0</v>
      </c>
      <c r="H862" s="10"/>
      <c r="I862" s="10"/>
      <c r="J862" s="10"/>
      <c r="K862" s="12">
        <f t="shared" si="228"/>
        <v>0</v>
      </c>
      <c r="M862" s="10">
        <v>26</v>
      </c>
      <c r="N862" s="30"/>
      <c r="O862" s="31"/>
      <c r="P862" s="47"/>
      <c r="Q862" s="31"/>
      <c r="R862" s="31"/>
      <c r="S862" s="32">
        <f t="shared" si="229"/>
        <v>0</v>
      </c>
      <c r="T862" s="10"/>
      <c r="U862" s="10"/>
      <c r="V862" s="10"/>
      <c r="W862" s="12">
        <f t="shared" si="23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31"/>
        <v>0</v>
      </c>
      <c r="AF862" s="10"/>
      <c r="AG862" s="10"/>
      <c r="AH862" s="10"/>
      <c r="AI862" s="12">
        <f t="shared" si="23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2"/>
      <c r="D863" s="32"/>
      <c r="E863" s="32"/>
      <c r="F863" s="32"/>
      <c r="G863" s="32">
        <f t="shared" si="227"/>
        <v>0</v>
      </c>
      <c r="H863" s="10"/>
      <c r="I863" s="10"/>
      <c r="J863" s="10"/>
      <c r="K863" s="12">
        <f t="shared" si="228"/>
        <v>0</v>
      </c>
      <c r="M863" s="10">
        <v>27</v>
      </c>
      <c r="N863" s="30"/>
      <c r="O863" s="31"/>
      <c r="P863" s="47"/>
      <c r="Q863" s="31"/>
      <c r="R863" s="31"/>
      <c r="S863" s="32">
        <f t="shared" si="229"/>
        <v>0</v>
      </c>
      <c r="T863" s="10"/>
      <c r="U863" s="10"/>
      <c r="V863" s="10"/>
      <c r="W863" s="12">
        <f t="shared" si="23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31"/>
        <v>0</v>
      </c>
      <c r="AF863" s="10"/>
      <c r="AG863" s="10"/>
      <c r="AH863" s="10"/>
      <c r="AI863" s="12">
        <f t="shared" si="23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2"/>
      <c r="D864" s="32"/>
      <c r="E864" s="32"/>
      <c r="F864" s="32"/>
      <c r="G864" s="32">
        <f t="shared" si="227"/>
        <v>0</v>
      </c>
      <c r="H864" s="10"/>
      <c r="I864" s="10"/>
      <c r="J864" s="10"/>
      <c r="K864" s="12">
        <f t="shared" si="228"/>
        <v>0</v>
      </c>
      <c r="M864" s="10">
        <v>28</v>
      </c>
      <c r="N864" s="30"/>
      <c r="O864" s="31"/>
      <c r="P864" s="47"/>
      <c r="Q864" s="31"/>
      <c r="R864" s="31"/>
      <c r="S864" s="32">
        <f t="shared" si="229"/>
        <v>0</v>
      </c>
      <c r="T864" s="10"/>
      <c r="U864" s="10"/>
      <c r="V864" s="10"/>
      <c r="W864" s="12">
        <f t="shared" si="23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31"/>
        <v>0</v>
      </c>
      <c r="AF864" s="10"/>
      <c r="AG864" s="10"/>
      <c r="AH864" s="10"/>
      <c r="AI864" s="12">
        <f t="shared" si="23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2"/>
      <c r="D865" s="32"/>
      <c r="E865" s="32"/>
      <c r="F865" s="32"/>
      <c r="G865" s="32">
        <f t="shared" si="227"/>
        <v>0</v>
      </c>
      <c r="H865" s="10"/>
      <c r="I865" s="10"/>
      <c r="J865" s="10"/>
      <c r="K865" s="12">
        <f t="shared" si="228"/>
        <v>0</v>
      </c>
      <c r="M865" s="10">
        <v>29</v>
      </c>
      <c r="N865" s="30"/>
      <c r="O865" s="31"/>
      <c r="P865" s="47"/>
      <c r="Q865" s="31"/>
      <c r="R865" s="31"/>
      <c r="S865" s="32">
        <f t="shared" si="229"/>
        <v>0</v>
      </c>
      <c r="T865" s="10"/>
      <c r="U865" s="10"/>
      <c r="V865" s="10"/>
      <c r="W865" s="12">
        <f t="shared" si="23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31"/>
        <v>0</v>
      </c>
      <c r="AF865" s="10"/>
      <c r="AG865" s="10"/>
      <c r="AH865" s="10"/>
      <c r="AI865" s="12">
        <f t="shared" si="23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2"/>
      <c r="D866" s="32"/>
      <c r="E866" s="32"/>
      <c r="F866" s="32"/>
      <c r="G866" s="32">
        <f t="shared" si="227"/>
        <v>0</v>
      </c>
      <c r="H866" s="10"/>
      <c r="I866" s="10"/>
      <c r="J866" s="10"/>
      <c r="K866" s="12">
        <f t="shared" si="228"/>
        <v>0</v>
      </c>
      <c r="M866" s="10">
        <v>30</v>
      </c>
      <c r="N866" s="30"/>
      <c r="O866" s="31"/>
      <c r="P866" s="47"/>
      <c r="Q866" s="31"/>
      <c r="R866" s="31"/>
      <c r="S866" s="32">
        <f t="shared" si="229"/>
        <v>0</v>
      </c>
      <c r="T866" s="10"/>
      <c r="U866" s="10"/>
      <c r="V866" s="10"/>
      <c r="W866" s="12">
        <f t="shared" si="230"/>
        <v>0</v>
      </c>
      <c r="Y866" s="10">
        <v>30</v>
      </c>
      <c r="Z866" s="30"/>
      <c r="AB866" s="47"/>
      <c r="AC866" s="31"/>
      <c r="AD866" s="31"/>
      <c r="AE866" s="32">
        <f t="shared" si="231"/>
        <v>0</v>
      </c>
      <c r="AF866" s="10"/>
      <c r="AG866" s="10"/>
      <c r="AH866" s="10"/>
      <c r="AI866" s="12">
        <f t="shared" si="23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2"/>
      <c r="D867" s="32"/>
      <c r="E867" s="32"/>
      <c r="F867" s="32"/>
      <c r="G867" s="32">
        <f t="shared" si="227"/>
        <v>0</v>
      </c>
      <c r="H867" s="10"/>
      <c r="I867" s="10"/>
      <c r="J867" s="10"/>
      <c r="K867" s="12">
        <f t="shared" si="228"/>
        <v>0</v>
      </c>
      <c r="M867" s="10">
        <v>31</v>
      </c>
      <c r="N867" s="30"/>
      <c r="O867" s="31"/>
      <c r="P867" s="47"/>
      <c r="Q867" s="31"/>
      <c r="R867" s="31"/>
      <c r="S867" s="32">
        <f t="shared" si="229"/>
        <v>0</v>
      </c>
      <c r="T867" s="10"/>
      <c r="U867" s="10"/>
      <c r="V867" s="10"/>
      <c r="W867" s="12">
        <f t="shared" si="23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31"/>
        <v>0</v>
      </c>
      <c r="AF867" s="10"/>
      <c r="AG867" s="10"/>
      <c r="AH867" s="10"/>
      <c r="AI867" s="12">
        <f t="shared" si="23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2"/>
      <c r="D868" s="32"/>
      <c r="E868" s="32"/>
      <c r="F868" s="32"/>
      <c r="G868" s="32">
        <f t="shared" si="227"/>
        <v>0</v>
      </c>
      <c r="H868" s="10"/>
      <c r="I868" s="10"/>
      <c r="J868" s="10"/>
      <c r="K868" s="12">
        <f t="shared" si="228"/>
        <v>0</v>
      </c>
      <c r="M868" s="10">
        <v>32</v>
      </c>
      <c r="N868" s="30"/>
      <c r="O868" s="31"/>
      <c r="P868" s="47"/>
      <c r="Q868" s="31"/>
      <c r="R868" s="31"/>
      <c r="S868" s="32">
        <f t="shared" si="229"/>
        <v>0</v>
      </c>
      <c r="T868" s="10"/>
      <c r="U868" s="10"/>
      <c r="V868" s="10"/>
      <c r="W868" s="12">
        <f t="shared" si="23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31"/>
        <v>0</v>
      </c>
      <c r="AF868" s="10"/>
      <c r="AG868" s="10"/>
      <c r="AH868" s="10"/>
      <c r="AI868" s="12">
        <f t="shared" si="23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2"/>
      <c r="D869" s="32"/>
      <c r="E869" s="32"/>
      <c r="F869" s="32"/>
      <c r="G869" s="32">
        <f t="shared" si="227"/>
        <v>0</v>
      </c>
      <c r="H869" s="10"/>
      <c r="I869" s="10"/>
      <c r="J869" s="10"/>
      <c r="K869" s="12">
        <f t="shared" si="228"/>
        <v>0</v>
      </c>
      <c r="M869" s="10">
        <v>33</v>
      </c>
      <c r="N869" s="30"/>
      <c r="O869" s="31"/>
      <c r="P869" s="47"/>
      <c r="Q869" s="31"/>
      <c r="R869" s="31"/>
      <c r="S869" s="32">
        <f t="shared" si="229"/>
        <v>0</v>
      </c>
      <c r="T869" s="10"/>
      <c r="U869" s="10"/>
      <c r="V869" s="10"/>
      <c r="W869" s="12">
        <f t="shared" si="23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31"/>
        <v>0</v>
      </c>
      <c r="AF869" s="10"/>
      <c r="AG869" s="10"/>
      <c r="AH869" s="10"/>
      <c r="AI869" s="12">
        <f t="shared" si="23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2"/>
      <c r="D870" s="32"/>
      <c r="E870" s="32"/>
      <c r="F870" s="32"/>
      <c r="G870" s="32">
        <f t="shared" si="227"/>
        <v>0</v>
      </c>
      <c r="H870" s="10"/>
      <c r="I870" s="10"/>
      <c r="J870" s="10"/>
      <c r="K870" s="12">
        <f t="shared" si="228"/>
        <v>0</v>
      </c>
      <c r="M870" s="10">
        <v>34</v>
      </c>
      <c r="N870" s="30"/>
      <c r="O870" s="31"/>
      <c r="P870" s="47"/>
      <c r="Q870" s="31"/>
      <c r="R870" s="31"/>
      <c r="S870" s="32">
        <f t="shared" si="229"/>
        <v>0</v>
      </c>
      <c r="T870" s="10"/>
      <c r="U870" s="10"/>
      <c r="V870" s="10"/>
      <c r="W870" s="12">
        <f t="shared" si="230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31"/>
        <v>0</v>
      </c>
      <c r="AF870" s="10"/>
      <c r="AG870" s="10"/>
      <c r="AH870" s="10"/>
      <c r="AI870" s="12">
        <f t="shared" si="23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2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P871" s="47"/>
      <c r="Q871" s="31"/>
      <c r="R871" s="31"/>
      <c r="S871" s="32">
        <f t="shared" si="229"/>
        <v>0</v>
      </c>
      <c r="T871" s="10"/>
      <c r="U871" s="10"/>
      <c r="V871" s="10"/>
      <c r="W871" s="12">
        <f t="shared" si="23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31"/>
        <v>0</v>
      </c>
      <c r="AF871" s="10"/>
      <c r="AG871" s="10"/>
      <c r="AH871" s="10"/>
      <c r="AI871" s="12">
        <f t="shared" si="23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29"/>
        <v>0</v>
      </c>
      <c r="T872" s="10"/>
      <c r="U872" s="10"/>
      <c r="V872" s="10"/>
      <c r="W872" s="12">
        <f t="shared" si="23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31"/>
        <v>0</v>
      </c>
      <c r="AF872" s="10"/>
      <c r="AG872" s="10"/>
      <c r="AH872" s="10"/>
      <c r="AI872" s="12">
        <f t="shared" si="23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O873" s="31"/>
      <c r="P873" s="47"/>
      <c r="Q873" s="31"/>
      <c r="R873" s="31"/>
      <c r="S873" s="32">
        <f t="shared" si="229"/>
        <v>0</v>
      </c>
      <c r="T873" s="10"/>
      <c r="U873" s="10"/>
      <c r="V873" s="10"/>
      <c r="W873" s="12">
        <f t="shared" si="23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31"/>
        <v>0</v>
      </c>
      <c r="AF873" s="10"/>
      <c r="AG873" s="10"/>
      <c r="AH873" s="10"/>
      <c r="AI873" s="12">
        <f t="shared" si="23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29"/>
        <v>0</v>
      </c>
      <c r="T874" s="10"/>
      <c r="U874" s="10"/>
      <c r="V874" s="10"/>
      <c r="W874" s="12">
        <f t="shared" si="23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31"/>
        <v>0</v>
      </c>
      <c r="AF874" s="10"/>
      <c r="AG874" s="10"/>
      <c r="AH874" s="10"/>
      <c r="AI874" s="12">
        <f t="shared" si="23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29"/>
        <v>0</v>
      </c>
      <c r="T875" s="10"/>
      <c r="U875" s="10"/>
      <c r="V875" s="10"/>
      <c r="W875" s="12">
        <f t="shared" si="23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31"/>
        <v>0</v>
      </c>
      <c r="AF875" s="10"/>
      <c r="AG875" s="10"/>
      <c r="AH875" s="10"/>
      <c r="AI875" s="12">
        <f t="shared" si="23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3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10"/>
      <c r="N877" s="30"/>
      <c r="O877" s="31"/>
      <c r="P877" s="47"/>
      <c r="Q877" s="31"/>
      <c r="R877" s="31"/>
      <c r="S877" s="32">
        <f t="shared" ref="S877" si="238">SUM(P877:Q877)</f>
        <v>0</v>
      </c>
      <c r="T877" s="10"/>
      <c r="U877" s="10"/>
      <c r="V877" s="10"/>
      <c r="W877" s="12">
        <f t="shared" si="230"/>
        <v>0</v>
      </c>
      <c r="Y877" s="10"/>
      <c r="Z877" s="30"/>
      <c r="AA877" s="31"/>
      <c r="AB877" s="47"/>
      <c r="AC877" s="31"/>
      <c r="AD877" s="31"/>
      <c r="AE877" s="32">
        <f t="shared" ref="AE877" si="239">SUM(AB877:AC877)</f>
        <v>0</v>
      </c>
      <c r="AF877" s="10"/>
      <c r="AG877" s="10"/>
      <c r="AH877" s="10"/>
      <c r="AI877" s="12">
        <f t="shared" si="23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3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293210.5</v>
      </c>
      <c r="E880" s="38">
        <f t="shared" ref="E880:F880" si="240">SUM(E837:E877)</f>
        <v>0</v>
      </c>
      <c r="F880" s="38">
        <f t="shared" si="240"/>
        <v>0</v>
      </c>
      <c r="G880" s="38">
        <f>SUM(G837:G879)</f>
        <v>293210.5</v>
      </c>
      <c r="H880" s="4"/>
      <c r="I880" s="39">
        <f>SUM(I837:I879)</f>
        <v>0</v>
      </c>
      <c r="J880" s="39">
        <f>SUM(J837:J879)</f>
        <v>-2910</v>
      </c>
      <c r="K880" s="40">
        <f>SUM(K837:K879)</f>
        <v>290300.5</v>
      </c>
      <c r="N880" s="57"/>
      <c r="O880" s="57"/>
      <c r="P880" s="38">
        <f>SUM(P837:P879)</f>
        <v>293737.5</v>
      </c>
      <c r="Q880" s="38">
        <f>SUM(Q837:Q861)</f>
        <v>-648</v>
      </c>
      <c r="R880" s="38">
        <f>SUM(R837:R861)</f>
        <v>0</v>
      </c>
      <c r="S880" s="38">
        <f>SUM(S837:S879)</f>
        <v>293089.5</v>
      </c>
      <c r="T880" s="4"/>
      <c r="U880" s="41">
        <f>SUM(U837:U879)</f>
        <v>1593</v>
      </c>
      <c r="V880" s="41">
        <f>SUM(V837:V861)</f>
        <v>-1893</v>
      </c>
      <c r="W880" s="42">
        <f>SUM(W837:W879)</f>
        <v>292789.5</v>
      </c>
      <c r="Z880" s="57"/>
      <c r="AA880" s="57"/>
      <c r="AB880" s="38">
        <f>SUM(AB837:AB879)</f>
        <v>267404</v>
      </c>
      <c r="AC880" s="38">
        <f>SUM(AC837:AC861)</f>
        <v>-2052</v>
      </c>
      <c r="AD880" s="38">
        <f>SUM(AD837:AD861)</f>
        <v>0</v>
      </c>
      <c r="AE880" s="38">
        <f>SUM(AE837:AE879)</f>
        <v>265352</v>
      </c>
      <c r="AF880" s="4"/>
      <c r="AG880" s="41">
        <f>SUM(AG837:AG879)</f>
        <v>12</v>
      </c>
      <c r="AH880" s="41">
        <f>SUM(AH837:AH861)</f>
        <v>-1776</v>
      </c>
      <c r="AI880" s="42">
        <f>SUM(AI837:AI879)</f>
        <v>263588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34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34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34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0" t="s">
        <v>17</v>
      </c>
      <c r="E890" s="120"/>
      <c r="F890" s="106"/>
      <c r="G890" s="27"/>
      <c r="I890" s="118" t="s">
        <v>18</v>
      </c>
      <c r="J890" s="119"/>
      <c r="K890" s="116" t="s">
        <v>19</v>
      </c>
      <c r="N890" s="25"/>
      <c r="O890" s="26"/>
      <c r="P890" s="120" t="s">
        <v>17</v>
      </c>
      <c r="Q890" s="120"/>
      <c r="R890" s="106"/>
      <c r="S890" s="27"/>
      <c r="U890" s="118" t="s">
        <v>18</v>
      </c>
      <c r="V890" s="119"/>
      <c r="W890" s="116" t="s">
        <v>19</v>
      </c>
      <c r="Z890" s="25"/>
      <c r="AA890" s="26"/>
      <c r="AB890" s="120" t="s">
        <v>17</v>
      </c>
      <c r="AC890" s="120"/>
      <c r="AD890" s="106"/>
      <c r="AE890" s="27"/>
      <c r="AG890" s="118" t="s">
        <v>18</v>
      </c>
      <c r="AH890" s="119"/>
      <c r="AI890" s="116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7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7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7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2">
        <v>9805</v>
      </c>
      <c r="D892" s="32">
        <f>650*60</f>
        <v>39000</v>
      </c>
      <c r="E892" s="32"/>
      <c r="F892" s="32"/>
      <c r="G892" s="32">
        <f t="shared" ref="G892:G925" si="241">SUM(D892:E892)</f>
        <v>39000</v>
      </c>
      <c r="H892" s="12"/>
      <c r="I892" s="12"/>
      <c r="J892" s="12"/>
      <c r="K892" s="12">
        <f t="shared" ref="K892:K925" si="242">SUM(G892:J892)</f>
        <v>39000</v>
      </c>
      <c r="M892" s="10">
        <v>1</v>
      </c>
      <c r="N892" s="30" t="s">
        <v>84</v>
      </c>
      <c r="O892" s="31">
        <v>9738</v>
      </c>
      <c r="P892" s="32">
        <f>650*324+622*108+872+229*18+650*2</f>
        <v>284070</v>
      </c>
      <c r="Q892" s="32">
        <f>-433*6</f>
        <v>-2598</v>
      </c>
      <c r="R892" s="32"/>
      <c r="S892" s="32">
        <f>SUM(P892:Q892)</f>
        <v>281472</v>
      </c>
      <c r="T892" s="12"/>
      <c r="U892" s="12">
        <f>120+936</f>
        <v>1056</v>
      </c>
      <c r="V892" s="12">
        <v>-588</v>
      </c>
      <c r="W892" s="12">
        <f>SUM(S892:V892)</f>
        <v>281940</v>
      </c>
      <c r="Y892" s="10">
        <v>1</v>
      </c>
      <c r="Z892" s="30" t="s">
        <v>84</v>
      </c>
      <c r="AA892" s="31">
        <v>9691</v>
      </c>
      <c r="AB892" s="32">
        <f>650*20+670+622*6+229+650</f>
        <v>18281</v>
      </c>
      <c r="AC892" s="32"/>
      <c r="AD892" s="32"/>
      <c r="AE892" s="32">
        <f>SUM(AB892:AC892)</f>
        <v>18281</v>
      </c>
      <c r="AF892" s="12"/>
      <c r="AG892" s="12">
        <f>4.5*3+2.25+1.5*4</f>
        <v>21.75</v>
      </c>
      <c r="AH892" s="12"/>
      <c r="AI892" s="12">
        <f>SUM(AE892:AH892)</f>
        <v>18302.75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2">
        <f>C892+1</f>
        <v>9806</v>
      </c>
      <c r="D893" s="32">
        <f>650*45</f>
        <v>29250</v>
      </c>
      <c r="E893" s="32"/>
      <c r="F893" s="32"/>
      <c r="G893" s="32">
        <f t="shared" si="241"/>
        <v>29250</v>
      </c>
      <c r="H893" s="12"/>
      <c r="I893" s="12"/>
      <c r="J893" s="12"/>
      <c r="K893" s="12">
        <f t="shared" si="242"/>
        <v>29250</v>
      </c>
      <c r="M893" s="10">
        <v>2</v>
      </c>
      <c r="N893" s="30" t="s">
        <v>84</v>
      </c>
      <c r="O893" s="31">
        <f>O892+1</f>
        <v>9739</v>
      </c>
      <c r="P893" s="32">
        <f>650*5+670+9.5*5</f>
        <v>3967.5</v>
      </c>
      <c r="Q893" s="32"/>
      <c r="R893" s="32"/>
      <c r="S893" s="32">
        <f t="shared" ref="S893:S930" si="243">SUM(P893:Q893)</f>
        <v>3967.5</v>
      </c>
      <c r="T893" s="12"/>
      <c r="U893" s="12"/>
      <c r="V893" s="12"/>
      <c r="W893" s="12">
        <f t="shared" ref="W893:W933" si="244">SUM(S893:V893)</f>
        <v>3967.5</v>
      </c>
      <c r="Y893" s="10">
        <v>2</v>
      </c>
      <c r="Z893" s="30" t="s">
        <v>84</v>
      </c>
      <c r="AA893" s="31">
        <f>AA892+1</f>
        <v>9692</v>
      </c>
      <c r="AB893" s="32">
        <f>650*50+622*10+229</f>
        <v>38949</v>
      </c>
      <c r="AC893" s="32"/>
      <c r="AD893" s="32"/>
      <c r="AE893" s="32">
        <f t="shared" ref="AE893:AE930" si="245">SUM(AB893:AC893)</f>
        <v>38949</v>
      </c>
      <c r="AF893" s="12"/>
      <c r="AG893" s="12">
        <f>94.5+16.5</f>
        <v>111</v>
      </c>
      <c r="AH893" s="12"/>
      <c r="AI893" s="12">
        <f t="shared" ref="AI893:AI933" si="246">SUM(AE893:AH893)</f>
        <v>39060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2">
        <f t="shared" ref="C894:C903" si="247">C893+1</f>
        <v>9807</v>
      </c>
      <c r="D894" s="33">
        <f>1946+1175+2736+2100+2616+1175+1000+1300</f>
        <v>14048</v>
      </c>
      <c r="E894" s="33"/>
      <c r="F894" s="33"/>
      <c r="G894" s="33">
        <f t="shared" si="241"/>
        <v>14048</v>
      </c>
      <c r="H894" s="34"/>
      <c r="I894" s="34">
        <f>135*1.5</f>
        <v>202.5</v>
      </c>
      <c r="J894" s="34"/>
      <c r="K894" s="34">
        <f t="shared" si="242"/>
        <v>14250.5</v>
      </c>
      <c r="M894" s="10">
        <v>3</v>
      </c>
      <c r="N894" s="30" t="s">
        <v>84</v>
      </c>
      <c r="O894" s="31">
        <f t="shared" ref="O894:O895" si="248">O893+1</f>
        <v>9740</v>
      </c>
      <c r="P894" s="32">
        <f>650*15+622*2+872+500+650</f>
        <v>13016</v>
      </c>
      <c r="Q894" s="32"/>
      <c r="R894" s="32"/>
      <c r="S894" s="32">
        <f t="shared" si="243"/>
        <v>13016</v>
      </c>
      <c r="T894" s="12"/>
      <c r="U894" s="12"/>
      <c r="V894" s="12">
        <v>-111</v>
      </c>
      <c r="W894" s="12">
        <f t="shared" si="244"/>
        <v>12905</v>
      </c>
      <c r="Y894" s="10">
        <v>3</v>
      </c>
      <c r="Z894" s="30" t="s">
        <v>84</v>
      </c>
      <c r="AA894" s="31">
        <f t="shared" ref="AA894:AA899" si="249">AA893+1</f>
        <v>9693</v>
      </c>
      <c r="AB894" s="33">
        <f>650*216+229*6</f>
        <v>141774</v>
      </c>
      <c r="AC894" s="33">
        <f>-216*6</f>
        <v>-1296</v>
      </c>
      <c r="AD894" s="32"/>
      <c r="AE894" s="32">
        <f t="shared" si="245"/>
        <v>140478</v>
      </c>
      <c r="AF894" s="12"/>
      <c r="AG894" s="12"/>
      <c r="AH894" s="12">
        <f>-720+-111*77</f>
        <v>-9267</v>
      </c>
      <c r="AI894" s="12">
        <f t="shared" si="246"/>
        <v>131211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2">
        <f t="shared" si="247"/>
        <v>9808</v>
      </c>
      <c r="D895" s="32">
        <f>650*21+229</f>
        <v>13879</v>
      </c>
      <c r="E895" s="32"/>
      <c r="F895" s="32"/>
      <c r="G895" s="32">
        <f t="shared" si="241"/>
        <v>13879</v>
      </c>
      <c r="H895" s="12"/>
      <c r="I895" s="12"/>
      <c r="J895" s="12"/>
      <c r="K895" s="12">
        <f t="shared" si="242"/>
        <v>13879</v>
      </c>
      <c r="M895" s="10">
        <v>4</v>
      </c>
      <c r="N895" s="30" t="s">
        <v>84</v>
      </c>
      <c r="O895" s="31">
        <f t="shared" si="248"/>
        <v>9741</v>
      </c>
      <c r="P895" s="32">
        <f>650*4+9.5*4</f>
        <v>2638</v>
      </c>
      <c r="Q895" s="32"/>
      <c r="R895" s="32"/>
      <c r="S895" s="32">
        <f t="shared" si="243"/>
        <v>2638</v>
      </c>
      <c r="T895" s="12"/>
      <c r="U895" s="12"/>
      <c r="V895" s="12"/>
      <c r="W895" s="12">
        <f t="shared" si="244"/>
        <v>2638</v>
      </c>
      <c r="Y895" s="10">
        <v>4</v>
      </c>
      <c r="Z895" s="30" t="s">
        <v>84</v>
      </c>
      <c r="AA895" s="31">
        <f t="shared" si="249"/>
        <v>9694</v>
      </c>
      <c r="AB895" s="32">
        <f>650*50+229*2</f>
        <v>32958</v>
      </c>
      <c r="AC895" s="32">
        <f>-50*6</f>
        <v>-300</v>
      </c>
      <c r="AD895" s="32"/>
      <c r="AE895" s="32">
        <f t="shared" si="245"/>
        <v>32658</v>
      </c>
      <c r="AF895" s="12"/>
      <c r="AG895" s="58"/>
      <c r="AH895" s="12"/>
      <c r="AI895" s="12">
        <f t="shared" si="246"/>
        <v>32658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2">
        <f t="shared" si="247"/>
        <v>9809</v>
      </c>
      <c r="D896" s="32">
        <f>650*10</f>
        <v>6500</v>
      </c>
      <c r="E896" s="32"/>
      <c r="F896" s="32"/>
      <c r="G896" s="32">
        <f t="shared" si="241"/>
        <v>6500</v>
      </c>
      <c r="H896" s="12"/>
      <c r="I896" s="12"/>
      <c r="J896" s="12"/>
      <c r="K896" s="12">
        <f t="shared" si="242"/>
        <v>6500</v>
      </c>
      <c r="M896" s="10">
        <v>5</v>
      </c>
      <c r="N896" s="30"/>
      <c r="O896" s="11" t="s">
        <v>27</v>
      </c>
      <c r="P896" s="32"/>
      <c r="Q896" s="32"/>
      <c r="R896" s="32"/>
      <c r="S896" s="32">
        <f t="shared" si="243"/>
        <v>0</v>
      </c>
      <c r="T896" s="12"/>
      <c r="U896" s="12"/>
      <c r="V896" s="12"/>
      <c r="W896" s="12">
        <f t="shared" si="244"/>
        <v>0</v>
      </c>
      <c r="Y896" s="10">
        <v>5</v>
      </c>
      <c r="Z896" s="30" t="s">
        <v>84</v>
      </c>
      <c r="AA896" s="31">
        <f t="shared" si="249"/>
        <v>9695</v>
      </c>
      <c r="AB896" s="32">
        <f>650*100+670*8+622*10+229*3</f>
        <v>77267</v>
      </c>
      <c r="AC896" s="32">
        <v>-708</v>
      </c>
      <c r="AD896" s="32"/>
      <c r="AE896" s="32">
        <f t="shared" si="245"/>
        <v>76559</v>
      </c>
      <c r="AF896" s="12"/>
      <c r="AG896" s="12">
        <f>111*12+4.5*4</f>
        <v>1350</v>
      </c>
      <c r="AH896" s="12"/>
      <c r="AI896" s="12">
        <f t="shared" si="246"/>
        <v>77909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2">
        <f t="shared" si="247"/>
        <v>9810</v>
      </c>
      <c r="D897" s="32">
        <f>650*2</f>
        <v>1300</v>
      </c>
      <c r="E897" s="32"/>
      <c r="F897" s="32"/>
      <c r="G897" s="32">
        <f t="shared" si="241"/>
        <v>1300</v>
      </c>
      <c r="H897" s="12"/>
      <c r="I897" s="12"/>
      <c r="J897" s="12"/>
      <c r="K897" s="12">
        <f t="shared" si="242"/>
        <v>1300</v>
      </c>
      <c r="M897" s="10">
        <v>6</v>
      </c>
      <c r="N897" s="30"/>
      <c r="O897" s="31"/>
      <c r="P897" s="32"/>
      <c r="Q897" s="32"/>
      <c r="R897" s="32"/>
      <c r="S897" s="32">
        <f t="shared" si="243"/>
        <v>0</v>
      </c>
      <c r="T897" s="12"/>
      <c r="U897" s="12"/>
      <c r="V897" s="10"/>
      <c r="W897" s="12">
        <f t="shared" si="244"/>
        <v>0</v>
      </c>
      <c r="Y897" s="10">
        <v>6</v>
      </c>
      <c r="Z897" s="30" t="s">
        <v>84</v>
      </c>
      <c r="AA897" s="31">
        <f t="shared" si="249"/>
        <v>9696</v>
      </c>
      <c r="AB897" s="32">
        <f>650*5+622*2</f>
        <v>4494</v>
      </c>
      <c r="AC897" s="32"/>
      <c r="AD897" s="32"/>
      <c r="AE897" s="32">
        <f t="shared" si="245"/>
        <v>4494</v>
      </c>
      <c r="AF897" s="12"/>
      <c r="AG897" s="12"/>
      <c r="AH897" s="10"/>
      <c r="AI897" s="12">
        <f t="shared" si="246"/>
        <v>4494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2">
        <f t="shared" si="247"/>
        <v>9811</v>
      </c>
      <c r="D898" s="32">
        <f>650*5</f>
        <v>3250</v>
      </c>
      <c r="E898" s="32"/>
      <c r="F898" s="32"/>
      <c r="G898" s="32">
        <f t="shared" si="241"/>
        <v>3250</v>
      </c>
      <c r="H898" s="12"/>
      <c r="I898" s="12"/>
      <c r="J898" s="12"/>
      <c r="K898" s="12">
        <f t="shared" si="242"/>
        <v>3250</v>
      </c>
      <c r="M898" s="10">
        <v>7</v>
      </c>
      <c r="N898" s="30"/>
      <c r="O898" s="31"/>
      <c r="P898" s="32"/>
      <c r="Q898" s="32"/>
      <c r="R898" s="32"/>
      <c r="S898" s="32">
        <f t="shared" si="243"/>
        <v>0</v>
      </c>
      <c r="T898" s="12"/>
      <c r="U898" s="12"/>
      <c r="V898" s="12"/>
      <c r="W898" s="12">
        <f t="shared" si="244"/>
        <v>0</v>
      </c>
      <c r="Y898" s="10">
        <v>7</v>
      </c>
      <c r="Z898" s="30" t="s">
        <v>84</v>
      </c>
      <c r="AA898" s="31">
        <f t="shared" si="249"/>
        <v>9697</v>
      </c>
      <c r="AB898" s="32">
        <f>650*10</f>
        <v>6500</v>
      </c>
      <c r="AC898" s="32"/>
      <c r="AD898" s="32"/>
      <c r="AE898" s="32">
        <f t="shared" si="245"/>
        <v>6500</v>
      </c>
      <c r="AF898" s="12"/>
      <c r="AG898" s="58"/>
      <c r="AH898" s="12"/>
      <c r="AI898" s="12">
        <f t="shared" si="246"/>
        <v>6500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2">
        <f t="shared" si="247"/>
        <v>9812</v>
      </c>
      <c r="D899" s="32">
        <f>650*5</f>
        <v>3250</v>
      </c>
      <c r="E899" s="32"/>
      <c r="F899" s="32"/>
      <c r="G899" s="32">
        <f t="shared" si="241"/>
        <v>3250</v>
      </c>
      <c r="H899" s="12"/>
      <c r="I899" s="12"/>
      <c r="J899" s="12"/>
      <c r="K899" s="12">
        <f t="shared" si="242"/>
        <v>3250</v>
      </c>
      <c r="M899" s="10">
        <v>8</v>
      </c>
      <c r="N899" s="30"/>
      <c r="O899" s="31"/>
      <c r="P899" s="32"/>
      <c r="Q899" s="32"/>
      <c r="R899" s="32"/>
      <c r="S899" s="32">
        <f t="shared" si="243"/>
        <v>0</v>
      </c>
      <c r="T899" s="12"/>
      <c r="U899" s="12"/>
      <c r="V899" s="12"/>
      <c r="W899" s="12">
        <f t="shared" si="244"/>
        <v>0</v>
      </c>
      <c r="Y899" s="10">
        <v>8</v>
      </c>
      <c r="Z899" s="30" t="s">
        <v>84</v>
      </c>
      <c r="AA899" s="31">
        <f t="shared" si="249"/>
        <v>9698</v>
      </c>
      <c r="AB899" s="32">
        <f>912</f>
        <v>912</v>
      </c>
      <c r="AC899" s="32"/>
      <c r="AE899" s="32">
        <f t="shared" si="245"/>
        <v>912</v>
      </c>
      <c r="AF899" s="12"/>
      <c r="AG899" s="12"/>
      <c r="AH899" s="12"/>
      <c r="AI899" s="12">
        <f t="shared" si="246"/>
        <v>912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2">
        <f t="shared" si="247"/>
        <v>9813</v>
      </c>
      <c r="D900" s="32">
        <f>650*5</f>
        <v>3250</v>
      </c>
      <c r="E900" s="32"/>
      <c r="F900" s="32"/>
      <c r="G900" s="32">
        <f t="shared" si="241"/>
        <v>3250</v>
      </c>
      <c r="H900" s="12"/>
      <c r="I900" s="12"/>
      <c r="J900" s="12"/>
      <c r="K900" s="12">
        <f t="shared" si="242"/>
        <v>3250</v>
      </c>
      <c r="M900" s="10">
        <v>9</v>
      </c>
      <c r="N900" s="30"/>
      <c r="O900" s="31"/>
      <c r="P900" s="32"/>
      <c r="Q900" s="32"/>
      <c r="R900" s="32"/>
      <c r="S900" s="32">
        <f t="shared" si="243"/>
        <v>0</v>
      </c>
      <c r="T900" s="12"/>
      <c r="U900" s="12"/>
      <c r="V900" s="12"/>
      <c r="W900" s="12">
        <f t="shared" si="244"/>
        <v>0</v>
      </c>
      <c r="Y900" s="10">
        <v>9</v>
      </c>
      <c r="Z900" s="30"/>
      <c r="AA900" s="11" t="s">
        <v>27</v>
      </c>
      <c r="AB900" s="32"/>
      <c r="AC900" s="32"/>
      <c r="AD900" s="32"/>
      <c r="AE900" s="32">
        <f t="shared" si="245"/>
        <v>0</v>
      </c>
      <c r="AF900" s="12"/>
      <c r="AH900" s="12"/>
      <c r="AI900" s="12">
        <f t="shared" si="246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2">
        <f t="shared" si="247"/>
        <v>9814</v>
      </c>
      <c r="D901" s="32">
        <f>650*10</f>
        <v>6500</v>
      </c>
      <c r="E901" s="32"/>
      <c r="F901" s="32"/>
      <c r="G901" s="32">
        <f t="shared" si="241"/>
        <v>6500</v>
      </c>
      <c r="H901" s="12"/>
      <c r="I901" s="12"/>
      <c r="J901" s="12"/>
      <c r="K901" s="12">
        <f t="shared" si="242"/>
        <v>6500</v>
      </c>
      <c r="M901" s="10">
        <v>10</v>
      </c>
      <c r="N901" s="30"/>
      <c r="O901" s="31"/>
      <c r="P901" s="32"/>
      <c r="Q901" s="32"/>
      <c r="R901" s="32"/>
      <c r="S901" s="32">
        <f t="shared" si="243"/>
        <v>0</v>
      </c>
      <c r="T901" s="12"/>
      <c r="U901" s="12"/>
      <c r="V901" s="12"/>
      <c r="W901" s="12">
        <f t="shared" si="244"/>
        <v>0</v>
      </c>
      <c r="Y901" s="10">
        <v>10</v>
      </c>
      <c r="Z901" s="30"/>
      <c r="AA901" s="31"/>
      <c r="AB901" s="32"/>
      <c r="AC901" s="32"/>
      <c r="AD901" s="32"/>
      <c r="AE901" s="32">
        <f t="shared" si="245"/>
        <v>0</v>
      </c>
      <c r="AF901" s="12"/>
      <c r="AG901" s="12"/>
      <c r="AH901" s="12"/>
      <c r="AI901" s="12">
        <f t="shared" si="246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2">
        <f t="shared" si="247"/>
        <v>9815</v>
      </c>
      <c r="D902" s="32">
        <f>650*5</f>
        <v>3250</v>
      </c>
      <c r="E902" s="32"/>
      <c r="F902" s="32"/>
      <c r="G902" s="32">
        <f t="shared" si="241"/>
        <v>3250</v>
      </c>
      <c r="H902" s="12"/>
      <c r="I902" s="12"/>
      <c r="J902" s="12"/>
      <c r="K902" s="12">
        <f t="shared" si="242"/>
        <v>3250</v>
      </c>
      <c r="M902" s="10">
        <v>11</v>
      </c>
      <c r="N902" s="30"/>
      <c r="O902" s="11"/>
      <c r="P902" s="32"/>
      <c r="Q902" s="32"/>
      <c r="R902" s="32"/>
      <c r="S902" s="32">
        <f t="shared" si="243"/>
        <v>0</v>
      </c>
      <c r="T902" s="12"/>
      <c r="U902" s="12"/>
      <c r="V902" s="12"/>
      <c r="W902" s="12">
        <f t="shared" si="244"/>
        <v>0</v>
      </c>
      <c r="Y902" s="10">
        <v>11</v>
      </c>
      <c r="Z902" s="30"/>
      <c r="AA902" s="31"/>
      <c r="AB902" s="32"/>
      <c r="AC902" s="32"/>
      <c r="AD902" s="32"/>
      <c r="AE902" s="32">
        <f t="shared" si="245"/>
        <v>0</v>
      </c>
      <c r="AF902" s="12"/>
      <c r="AG902" s="12"/>
      <c r="AH902" s="12"/>
      <c r="AI902" s="12">
        <f t="shared" si="24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 t="s">
        <v>84</v>
      </c>
      <c r="C903" s="82">
        <f t="shared" si="247"/>
        <v>9816</v>
      </c>
      <c r="D903" s="32">
        <f>650*312+670*10+622*72</f>
        <v>254284</v>
      </c>
      <c r="E903" s="32"/>
      <c r="F903" s="32"/>
      <c r="G903" s="32">
        <f t="shared" si="241"/>
        <v>254284</v>
      </c>
      <c r="H903" s="12"/>
      <c r="I903" s="12">
        <f>111*121</f>
        <v>13431</v>
      </c>
      <c r="J903" s="10">
        <f>-720+-84+-1.5+-18</f>
        <v>-823.5</v>
      </c>
      <c r="K903" s="12">
        <f t="shared" si="242"/>
        <v>266891.5</v>
      </c>
      <c r="M903" s="10">
        <v>12</v>
      </c>
      <c r="N903" s="30"/>
      <c r="O903" s="31"/>
      <c r="P903" s="32"/>
      <c r="Q903" s="32"/>
      <c r="R903" s="32"/>
      <c r="S903" s="32">
        <f t="shared" si="243"/>
        <v>0</v>
      </c>
      <c r="T903" s="12"/>
      <c r="U903" s="12"/>
      <c r="V903" s="12"/>
      <c r="W903" s="12">
        <f t="shared" si="24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5"/>
        <v>0</v>
      </c>
      <c r="AF903" s="12"/>
      <c r="AG903" s="12"/>
      <c r="AH903" s="12"/>
      <c r="AI903" s="12">
        <f t="shared" si="24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11" t="s">
        <v>27</v>
      </c>
      <c r="D904" s="32"/>
      <c r="E904" s="32"/>
      <c r="F904" s="32"/>
      <c r="G904" s="32">
        <f t="shared" si="241"/>
        <v>0</v>
      </c>
      <c r="H904" s="12"/>
      <c r="I904" s="12"/>
      <c r="J904" s="12"/>
      <c r="K904" s="12">
        <f t="shared" si="242"/>
        <v>0</v>
      </c>
      <c r="M904" s="10">
        <v>13</v>
      </c>
      <c r="N904" s="30"/>
      <c r="O904" s="31"/>
      <c r="P904" s="32"/>
      <c r="Q904" s="32"/>
      <c r="R904" s="32"/>
      <c r="S904" s="32">
        <f t="shared" si="243"/>
        <v>0</v>
      </c>
      <c r="T904" s="12"/>
      <c r="U904" s="12"/>
      <c r="V904" s="12"/>
      <c r="W904" s="12">
        <f t="shared" si="244"/>
        <v>0</v>
      </c>
      <c r="Y904" s="10">
        <v>13</v>
      </c>
      <c r="Z904" s="30"/>
      <c r="AB904" s="32"/>
      <c r="AC904" s="32"/>
      <c r="AD904" s="32"/>
      <c r="AE904" s="32">
        <f t="shared" si="245"/>
        <v>0</v>
      </c>
      <c r="AF904" s="12"/>
      <c r="AG904" s="12"/>
      <c r="AH904" s="12"/>
      <c r="AI904" s="12">
        <f t="shared" si="24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2"/>
      <c r="D905" s="32"/>
      <c r="E905" s="32"/>
      <c r="F905" s="32"/>
      <c r="G905" s="32">
        <f t="shared" si="241"/>
        <v>0</v>
      </c>
      <c r="H905" s="12"/>
      <c r="I905" s="12"/>
      <c r="J905" s="12"/>
      <c r="K905" s="12">
        <f t="shared" si="242"/>
        <v>0</v>
      </c>
      <c r="M905" s="10">
        <v>14</v>
      </c>
      <c r="N905" s="30"/>
      <c r="O905" s="31"/>
      <c r="P905" s="32"/>
      <c r="Q905" s="32"/>
      <c r="R905" s="32"/>
      <c r="S905" s="32">
        <f t="shared" si="243"/>
        <v>0</v>
      </c>
      <c r="T905" s="12"/>
      <c r="U905" s="12"/>
      <c r="V905" s="12"/>
      <c r="W905" s="12">
        <f t="shared" si="24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5"/>
        <v>0</v>
      </c>
      <c r="AF905" s="12"/>
      <c r="AG905" s="12"/>
      <c r="AH905" s="12"/>
      <c r="AI905" s="12">
        <f t="shared" si="24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2"/>
      <c r="D906" s="32"/>
      <c r="E906" s="32"/>
      <c r="F906" s="32"/>
      <c r="G906" s="32">
        <f t="shared" si="241"/>
        <v>0</v>
      </c>
      <c r="H906" s="12"/>
      <c r="I906" s="12"/>
      <c r="J906" s="12"/>
      <c r="K906" s="12">
        <f t="shared" si="242"/>
        <v>0</v>
      </c>
      <c r="M906" s="10">
        <v>15</v>
      </c>
      <c r="N906" s="30"/>
      <c r="O906" s="31"/>
      <c r="P906" s="32"/>
      <c r="Q906" s="32"/>
      <c r="R906" s="32"/>
      <c r="S906" s="32">
        <f t="shared" si="243"/>
        <v>0</v>
      </c>
      <c r="T906" s="12"/>
      <c r="U906" s="12"/>
      <c r="V906" s="12"/>
      <c r="W906" s="12">
        <f t="shared" si="24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5"/>
        <v>0</v>
      </c>
      <c r="AF906" s="12"/>
      <c r="AG906" s="12"/>
      <c r="AH906" s="12"/>
      <c r="AI906" s="12">
        <f t="shared" si="24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1"/>
        <v>0</v>
      </c>
      <c r="H907" s="12"/>
      <c r="I907" s="12"/>
      <c r="J907" s="12"/>
      <c r="K907" s="12">
        <f t="shared" si="242"/>
        <v>0</v>
      </c>
      <c r="M907" s="10">
        <v>16</v>
      </c>
      <c r="N907" s="30"/>
      <c r="O907" s="11"/>
      <c r="P907" s="32"/>
      <c r="Q907" s="32"/>
      <c r="R907" s="32"/>
      <c r="S907" s="32">
        <f t="shared" si="243"/>
        <v>0</v>
      </c>
      <c r="T907" s="12"/>
      <c r="U907" s="12"/>
      <c r="V907" s="12"/>
      <c r="W907" s="12">
        <f t="shared" si="244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5"/>
        <v>0</v>
      </c>
      <c r="AF907" s="12"/>
      <c r="AG907" s="12"/>
      <c r="AH907" s="12"/>
      <c r="AI907" s="12">
        <f t="shared" si="24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2"/>
      <c r="D908" s="32"/>
      <c r="E908" s="32"/>
      <c r="F908" s="32"/>
      <c r="G908" s="32">
        <f t="shared" si="241"/>
        <v>0</v>
      </c>
      <c r="H908" s="12"/>
      <c r="I908" s="12"/>
      <c r="J908" s="12"/>
      <c r="K908" s="12">
        <f t="shared" si="242"/>
        <v>0</v>
      </c>
      <c r="M908" s="10">
        <v>17</v>
      </c>
      <c r="N908" s="30"/>
      <c r="O908" s="31"/>
      <c r="P908" s="35"/>
      <c r="Q908" s="32"/>
      <c r="R908" s="32"/>
      <c r="S908" s="32">
        <f t="shared" si="243"/>
        <v>0</v>
      </c>
      <c r="T908" s="12"/>
      <c r="U908" s="12"/>
      <c r="V908" s="12"/>
      <c r="W908" s="12">
        <f t="shared" si="24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5"/>
        <v>0</v>
      </c>
      <c r="AF908" s="12"/>
      <c r="AG908" s="12"/>
      <c r="AH908" s="12"/>
      <c r="AI908" s="12">
        <f t="shared" si="24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2"/>
      <c r="D909" s="32"/>
      <c r="E909" s="32"/>
      <c r="F909" s="32"/>
      <c r="G909" s="32">
        <f t="shared" si="241"/>
        <v>0</v>
      </c>
      <c r="H909" s="12"/>
      <c r="I909" s="12"/>
      <c r="J909" s="12"/>
      <c r="K909" s="12">
        <f t="shared" si="242"/>
        <v>0</v>
      </c>
      <c r="M909" s="10">
        <v>18</v>
      </c>
      <c r="N909" s="30"/>
      <c r="O909" s="31"/>
      <c r="P909" s="32"/>
      <c r="Q909" s="32"/>
      <c r="R909" s="32"/>
      <c r="S909" s="32">
        <f t="shared" si="243"/>
        <v>0</v>
      </c>
      <c r="T909" s="12"/>
      <c r="U909" s="12"/>
      <c r="V909" s="12"/>
      <c r="W909" s="12">
        <f t="shared" si="244"/>
        <v>0</v>
      </c>
      <c r="Y909" s="10">
        <v>18</v>
      </c>
      <c r="Z909" s="30"/>
      <c r="AB909" s="32"/>
      <c r="AC909" s="32"/>
      <c r="AD909" s="32"/>
      <c r="AE909" s="32">
        <f t="shared" si="245"/>
        <v>0</v>
      </c>
      <c r="AF909" s="12"/>
      <c r="AG909" s="12"/>
      <c r="AH909" s="12"/>
      <c r="AI909" s="12">
        <f t="shared" si="24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2"/>
      <c r="D910" s="32"/>
      <c r="E910" s="32"/>
      <c r="F910" s="32"/>
      <c r="G910" s="32">
        <f t="shared" si="241"/>
        <v>0</v>
      </c>
      <c r="H910" s="12"/>
      <c r="I910" s="12"/>
      <c r="J910" s="12"/>
      <c r="K910" s="12">
        <f t="shared" si="242"/>
        <v>0</v>
      </c>
      <c r="M910" s="10">
        <v>19</v>
      </c>
      <c r="N910" s="30"/>
      <c r="O910" s="31"/>
      <c r="P910" s="32"/>
      <c r="Q910" s="32"/>
      <c r="R910" s="32"/>
      <c r="S910" s="32">
        <f t="shared" si="243"/>
        <v>0</v>
      </c>
      <c r="T910" s="12"/>
      <c r="U910" s="12"/>
      <c r="V910" s="12"/>
      <c r="W910" s="12">
        <f t="shared" si="24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5"/>
        <v>0</v>
      </c>
      <c r="AF910" s="12"/>
      <c r="AG910" s="12"/>
      <c r="AH910" s="12"/>
      <c r="AI910" s="12">
        <f t="shared" si="24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2"/>
      <c r="D911" s="32"/>
      <c r="E911" s="32"/>
      <c r="F911" s="32"/>
      <c r="G911" s="32">
        <f t="shared" si="241"/>
        <v>0</v>
      </c>
      <c r="H911" s="12"/>
      <c r="I911" s="12"/>
      <c r="J911" s="12"/>
      <c r="K911" s="12">
        <f t="shared" si="242"/>
        <v>0</v>
      </c>
      <c r="M911" s="10">
        <v>20</v>
      </c>
      <c r="N911" s="30"/>
      <c r="O911" s="31"/>
      <c r="P911" s="32"/>
      <c r="Q911" s="32"/>
      <c r="R911" s="32"/>
      <c r="S911" s="32">
        <f t="shared" si="243"/>
        <v>0</v>
      </c>
      <c r="T911" s="12"/>
      <c r="U911" s="12"/>
      <c r="V911" s="12"/>
      <c r="W911" s="12">
        <f t="shared" si="24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45"/>
        <v>0</v>
      </c>
      <c r="AF911" s="12"/>
      <c r="AG911" s="12"/>
      <c r="AH911" s="12"/>
      <c r="AI911" s="12">
        <f t="shared" si="24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57"/>
      <c r="D912" s="32"/>
      <c r="E912" s="32"/>
      <c r="F912" s="32"/>
      <c r="G912" s="32">
        <f t="shared" si="241"/>
        <v>0</v>
      </c>
      <c r="H912" s="10"/>
      <c r="I912" s="10"/>
      <c r="J912" s="10"/>
      <c r="K912" s="12">
        <f t="shared" si="242"/>
        <v>0</v>
      </c>
      <c r="M912" s="10">
        <v>21</v>
      </c>
      <c r="N912" s="30"/>
      <c r="O912" s="31"/>
      <c r="P912" s="46"/>
      <c r="Q912" s="31"/>
      <c r="R912" s="31"/>
      <c r="S912" s="32">
        <f t="shared" si="243"/>
        <v>0</v>
      </c>
      <c r="T912" s="10"/>
      <c r="U912" s="10"/>
      <c r="V912" s="10"/>
      <c r="W912" s="12">
        <f t="shared" si="24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5"/>
        <v>0</v>
      </c>
      <c r="AF912" s="10"/>
      <c r="AG912" s="10"/>
      <c r="AH912" s="10"/>
      <c r="AI912" s="12">
        <f t="shared" si="24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57"/>
      <c r="D913" s="32"/>
      <c r="E913" s="32"/>
      <c r="F913" s="32"/>
      <c r="G913" s="32">
        <f t="shared" si="241"/>
        <v>0</v>
      </c>
      <c r="H913" s="10"/>
      <c r="I913" s="10"/>
      <c r="J913" s="10"/>
      <c r="K913" s="12">
        <f t="shared" si="242"/>
        <v>0</v>
      </c>
      <c r="M913" s="10">
        <v>22</v>
      </c>
      <c r="N913" s="30"/>
      <c r="O913" s="31"/>
      <c r="P913" s="45"/>
      <c r="Q913" s="31"/>
      <c r="R913" s="31"/>
      <c r="S913" s="32">
        <f t="shared" si="243"/>
        <v>0</v>
      </c>
      <c r="T913" s="10"/>
      <c r="U913" s="10"/>
      <c r="V913" s="10"/>
      <c r="W913" s="12">
        <f t="shared" si="24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5"/>
        <v>0</v>
      </c>
      <c r="AF913" s="10"/>
      <c r="AG913" s="10"/>
      <c r="AH913" s="10"/>
      <c r="AI913" s="12">
        <f t="shared" si="24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2"/>
      <c r="D914" s="32"/>
      <c r="E914" s="32"/>
      <c r="F914" s="32"/>
      <c r="G914" s="32">
        <f t="shared" si="241"/>
        <v>0</v>
      </c>
      <c r="H914" s="10"/>
      <c r="I914" s="10"/>
      <c r="J914" s="12"/>
      <c r="K914" s="12">
        <f t="shared" si="242"/>
        <v>0</v>
      </c>
      <c r="M914" s="10">
        <v>23</v>
      </c>
      <c r="N914" s="30"/>
      <c r="O914" s="31"/>
      <c r="P914" s="47"/>
      <c r="Q914" s="31"/>
      <c r="S914" s="32">
        <f t="shared" si="243"/>
        <v>0</v>
      </c>
      <c r="T914" s="10"/>
      <c r="U914" s="10"/>
      <c r="V914" s="10"/>
      <c r="W914" s="12">
        <f t="shared" si="244"/>
        <v>0</v>
      </c>
      <c r="Y914" s="10">
        <v>23</v>
      </c>
      <c r="Z914" s="30"/>
      <c r="AA914" s="31"/>
      <c r="AB914" s="47"/>
      <c r="AE914" s="32">
        <f t="shared" si="245"/>
        <v>0</v>
      </c>
      <c r="AF914" s="10"/>
      <c r="AG914" s="10"/>
      <c r="AH914" s="10"/>
      <c r="AI914" s="12">
        <f t="shared" si="24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2"/>
      <c r="D915" s="32"/>
      <c r="E915" s="32"/>
      <c r="F915" s="32"/>
      <c r="G915" s="32">
        <f t="shared" si="241"/>
        <v>0</v>
      </c>
      <c r="H915" s="10"/>
      <c r="I915" s="10"/>
      <c r="J915" s="10"/>
      <c r="K915" s="12">
        <f t="shared" si="242"/>
        <v>0</v>
      </c>
      <c r="M915" s="10">
        <v>24</v>
      </c>
      <c r="N915" s="30"/>
      <c r="O915" s="31"/>
      <c r="P915" s="47"/>
      <c r="Q915" s="31"/>
      <c r="R915" s="31"/>
      <c r="S915" s="32">
        <f t="shared" si="243"/>
        <v>0</v>
      </c>
      <c r="T915" s="10"/>
      <c r="U915" s="10"/>
      <c r="V915" s="10"/>
      <c r="W915" s="12">
        <f t="shared" si="24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5"/>
        <v>0</v>
      </c>
      <c r="AF915" s="10"/>
      <c r="AG915" s="10"/>
      <c r="AH915" s="10"/>
      <c r="AI915" s="12">
        <f t="shared" si="24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2"/>
      <c r="D916" s="32"/>
      <c r="E916" s="32"/>
      <c r="F916" s="32"/>
      <c r="G916" s="32">
        <f t="shared" si="241"/>
        <v>0</v>
      </c>
      <c r="H916" s="10"/>
      <c r="I916" s="10"/>
      <c r="J916" s="10"/>
      <c r="K916" s="12">
        <f t="shared" si="242"/>
        <v>0</v>
      </c>
      <c r="M916" s="10">
        <v>25</v>
      </c>
      <c r="N916" s="30"/>
      <c r="O916" s="31"/>
      <c r="P916" s="47"/>
      <c r="Q916" s="31"/>
      <c r="R916" s="31"/>
      <c r="S916" s="32">
        <f t="shared" si="243"/>
        <v>0</v>
      </c>
      <c r="T916" s="10"/>
      <c r="U916" s="10"/>
      <c r="V916" s="10"/>
      <c r="W916" s="12">
        <f t="shared" si="24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5"/>
        <v>0</v>
      </c>
      <c r="AF916" s="10"/>
      <c r="AG916" s="10"/>
      <c r="AH916" s="10"/>
      <c r="AI916" s="12">
        <f t="shared" si="24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2"/>
      <c r="D917" s="32"/>
      <c r="E917" s="32"/>
      <c r="F917" s="32"/>
      <c r="G917" s="32">
        <f t="shared" si="241"/>
        <v>0</v>
      </c>
      <c r="H917" s="10"/>
      <c r="I917" s="10"/>
      <c r="J917" s="10"/>
      <c r="K917" s="12">
        <f t="shared" si="242"/>
        <v>0</v>
      </c>
      <c r="M917" s="10">
        <v>26</v>
      </c>
      <c r="N917" s="30"/>
      <c r="O917" s="31"/>
      <c r="P917" s="47"/>
      <c r="Q917" s="31"/>
      <c r="R917" s="31"/>
      <c r="S917" s="32">
        <f t="shared" si="243"/>
        <v>0</v>
      </c>
      <c r="T917" s="10"/>
      <c r="U917" s="10"/>
      <c r="V917" s="10"/>
      <c r="W917" s="12">
        <f t="shared" si="24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5"/>
        <v>0</v>
      </c>
      <c r="AF917" s="10"/>
      <c r="AG917" s="10"/>
      <c r="AH917" s="10"/>
      <c r="AI917" s="12">
        <f t="shared" si="24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2"/>
      <c r="D918" s="32"/>
      <c r="E918" s="32"/>
      <c r="F918" s="32"/>
      <c r="G918" s="32">
        <f t="shared" si="241"/>
        <v>0</v>
      </c>
      <c r="H918" s="10"/>
      <c r="I918" s="10"/>
      <c r="J918" s="10"/>
      <c r="K918" s="12">
        <f t="shared" si="242"/>
        <v>0</v>
      </c>
      <c r="M918" s="10">
        <v>27</v>
      </c>
      <c r="N918" s="30"/>
      <c r="O918" s="31"/>
      <c r="P918" s="47"/>
      <c r="Q918" s="31"/>
      <c r="R918" s="31"/>
      <c r="S918" s="32">
        <f t="shared" si="243"/>
        <v>0</v>
      </c>
      <c r="T918" s="10"/>
      <c r="U918" s="10"/>
      <c r="V918" s="10"/>
      <c r="W918" s="12">
        <f t="shared" si="24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5"/>
        <v>0</v>
      </c>
      <c r="AF918" s="10"/>
      <c r="AG918" s="10"/>
      <c r="AH918" s="10"/>
      <c r="AI918" s="12">
        <f t="shared" si="24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2"/>
      <c r="D919" s="32"/>
      <c r="E919" s="32"/>
      <c r="F919" s="32"/>
      <c r="G919" s="32">
        <f t="shared" si="241"/>
        <v>0</v>
      </c>
      <c r="H919" s="10"/>
      <c r="I919" s="10"/>
      <c r="J919" s="10"/>
      <c r="K919" s="12">
        <f t="shared" si="242"/>
        <v>0</v>
      </c>
      <c r="M919" s="10">
        <v>28</v>
      </c>
      <c r="N919" s="30"/>
      <c r="O919" s="31"/>
      <c r="P919" s="47"/>
      <c r="Q919" s="31"/>
      <c r="R919" s="31"/>
      <c r="S919" s="32">
        <f t="shared" si="243"/>
        <v>0</v>
      </c>
      <c r="T919" s="10"/>
      <c r="U919" s="10"/>
      <c r="V919" s="10"/>
      <c r="W919" s="12">
        <f t="shared" si="24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5"/>
        <v>0</v>
      </c>
      <c r="AF919" s="10"/>
      <c r="AG919" s="10"/>
      <c r="AH919" s="10"/>
      <c r="AI919" s="12">
        <f t="shared" si="24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2"/>
      <c r="D920" s="32"/>
      <c r="E920" s="32"/>
      <c r="F920" s="32"/>
      <c r="G920" s="32">
        <f t="shared" si="241"/>
        <v>0</v>
      </c>
      <c r="H920" s="10"/>
      <c r="I920" s="10"/>
      <c r="J920" s="10"/>
      <c r="K920" s="12">
        <f t="shared" si="242"/>
        <v>0</v>
      </c>
      <c r="M920" s="10">
        <v>29</v>
      </c>
      <c r="N920" s="30"/>
      <c r="O920" s="31"/>
      <c r="P920" s="47"/>
      <c r="Q920" s="31"/>
      <c r="R920" s="31"/>
      <c r="S920" s="32">
        <f t="shared" si="243"/>
        <v>0</v>
      </c>
      <c r="T920" s="10"/>
      <c r="U920" s="10"/>
      <c r="V920" s="10"/>
      <c r="W920" s="12">
        <f t="shared" si="24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5"/>
        <v>0</v>
      </c>
      <c r="AF920" s="10"/>
      <c r="AG920" s="10"/>
      <c r="AH920" s="10"/>
      <c r="AI920" s="12">
        <f t="shared" si="24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2"/>
      <c r="D921" s="32"/>
      <c r="E921" s="32"/>
      <c r="F921" s="32"/>
      <c r="G921" s="32">
        <f t="shared" si="241"/>
        <v>0</v>
      </c>
      <c r="H921" s="10"/>
      <c r="I921" s="10"/>
      <c r="J921" s="10"/>
      <c r="K921" s="12">
        <f t="shared" si="242"/>
        <v>0</v>
      </c>
      <c r="M921" s="10">
        <v>30</v>
      </c>
      <c r="N921" s="30"/>
      <c r="O921" s="31"/>
      <c r="P921" s="47"/>
      <c r="Q921" s="31"/>
      <c r="R921" s="31"/>
      <c r="S921" s="32">
        <f t="shared" si="243"/>
        <v>0</v>
      </c>
      <c r="T921" s="10"/>
      <c r="U921" s="10"/>
      <c r="V921" s="10"/>
      <c r="W921" s="12">
        <f t="shared" si="244"/>
        <v>0</v>
      </c>
      <c r="Y921" s="10">
        <v>30</v>
      </c>
      <c r="Z921" s="30"/>
      <c r="AB921" s="47"/>
      <c r="AC921" s="31"/>
      <c r="AD921" s="31"/>
      <c r="AE921" s="32">
        <f t="shared" si="245"/>
        <v>0</v>
      </c>
      <c r="AF921" s="10"/>
      <c r="AG921" s="10"/>
      <c r="AH921" s="10"/>
      <c r="AI921" s="12">
        <f t="shared" si="24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2"/>
      <c r="D922" s="32"/>
      <c r="E922" s="32"/>
      <c r="F922" s="32"/>
      <c r="G922" s="32">
        <f t="shared" si="241"/>
        <v>0</v>
      </c>
      <c r="H922" s="10"/>
      <c r="I922" s="10"/>
      <c r="J922" s="10"/>
      <c r="K922" s="12">
        <f t="shared" si="242"/>
        <v>0</v>
      </c>
      <c r="M922" s="10">
        <v>31</v>
      </c>
      <c r="N922" s="30"/>
      <c r="O922" s="31"/>
      <c r="P922" s="47"/>
      <c r="Q922" s="31"/>
      <c r="R922" s="31"/>
      <c r="S922" s="32">
        <f t="shared" si="243"/>
        <v>0</v>
      </c>
      <c r="T922" s="10"/>
      <c r="U922" s="10"/>
      <c r="V922" s="10"/>
      <c r="W922" s="12">
        <f t="shared" si="24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5"/>
        <v>0</v>
      </c>
      <c r="AF922" s="10"/>
      <c r="AG922" s="10"/>
      <c r="AH922" s="10"/>
      <c r="AI922" s="12">
        <f t="shared" si="24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2"/>
      <c r="D923" s="32"/>
      <c r="E923" s="32"/>
      <c r="F923" s="32"/>
      <c r="G923" s="32">
        <f t="shared" si="241"/>
        <v>0</v>
      </c>
      <c r="H923" s="10"/>
      <c r="I923" s="10"/>
      <c r="J923" s="10"/>
      <c r="K923" s="12">
        <f t="shared" si="242"/>
        <v>0</v>
      </c>
      <c r="M923" s="10">
        <v>32</v>
      </c>
      <c r="N923" s="30"/>
      <c r="O923" s="31"/>
      <c r="P923" s="47"/>
      <c r="Q923" s="31"/>
      <c r="R923" s="31"/>
      <c r="S923" s="32">
        <f t="shared" si="243"/>
        <v>0</v>
      </c>
      <c r="T923" s="10"/>
      <c r="U923" s="10"/>
      <c r="V923" s="10"/>
      <c r="W923" s="12">
        <f t="shared" si="24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5"/>
        <v>0</v>
      </c>
      <c r="AF923" s="10"/>
      <c r="AG923" s="10"/>
      <c r="AH923" s="10"/>
      <c r="AI923" s="12">
        <f t="shared" si="24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2"/>
      <c r="D924" s="32"/>
      <c r="E924" s="32"/>
      <c r="F924" s="32"/>
      <c r="G924" s="32">
        <f t="shared" si="241"/>
        <v>0</v>
      </c>
      <c r="H924" s="10"/>
      <c r="I924" s="10"/>
      <c r="J924" s="10"/>
      <c r="K924" s="12">
        <f t="shared" si="242"/>
        <v>0</v>
      </c>
      <c r="M924" s="10">
        <v>33</v>
      </c>
      <c r="N924" s="30"/>
      <c r="O924" s="31"/>
      <c r="P924" s="47"/>
      <c r="Q924" s="31"/>
      <c r="R924" s="31"/>
      <c r="S924" s="32">
        <f t="shared" si="243"/>
        <v>0</v>
      </c>
      <c r="T924" s="10"/>
      <c r="U924" s="10"/>
      <c r="V924" s="10"/>
      <c r="W924" s="12">
        <f t="shared" si="24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5"/>
        <v>0</v>
      </c>
      <c r="AF924" s="10"/>
      <c r="AG924" s="10"/>
      <c r="AH924" s="10"/>
      <c r="AI924" s="12">
        <f t="shared" si="24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2"/>
      <c r="D925" s="32"/>
      <c r="E925" s="32"/>
      <c r="F925" s="32"/>
      <c r="G925" s="32">
        <f t="shared" si="241"/>
        <v>0</v>
      </c>
      <c r="H925" s="10"/>
      <c r="I925" s="10"/>
      <c r="J925" s="10"/>
      <c r="K925" s="12">
        <f t="shared" si="242"/>
        <v>0</v>
      </c>
      <c r="M925" s="10">
        <v>34</v>
      </c>
      <c r="N925" s="30"/>
      <c r="O925" s="31"/>
      <c r="P925" s="47"/>
      <c r="Q925" s="31"/>
      <c r="R925" s="31"/>
      <c r="S925" s="32">
        <f t="shared" si="243"/>
        <v>0</v>
      </c>
      <c r="T925" s="10"/>
      <c r="U925" s="10"/>
      <c r="V925" s="10"/>
      <c r="W925" s="12">
        <f t="shared" si="244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45"/>
        <v>0</v>
      </c>
      <c r="AF925" s="10"/>
      <c r="AG925" s="10"/>
      <c r="AH925" s="10"/>
      <c r="AI925" s="12">
        <f t="shared" si="24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P926" s="47"/>
      <c r="Q926" s="31"/>
      <c r="R926" s="31"/>
      <c r="S926" s="32">
        <f t="shared" si="243"/>
        <v>0</v>
      </c>
      <c r="T926" s="10"/>
      <c r="U926" s="10"/>
      <c r="V926" s="10"/>
      <c r="W926" s="12">
        <f t="shared" si="24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45"/>
        <v>0</v>
      </c>
      <c r="AF926" s="10"/>
      <c r="AG926" s="10"/>
      <c r="AH926" s="10"/>
      <c r="AI926" s="12">
        <f t="shared" si="24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3"/>
        <v>0</v>
      </c>
      <c r="T927" s="10"/>
      <c r="U927" s="10"/>
      <c r="V927" s="10"/>
      <c r="W927" s="12">
        <f t="shared" si="24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45"/>
        <v>0</v>
      </c>
      <c r="AF927" s="10"/>
      <c r="AG927" s="10"/>
      <c r="AH927" s="10"/>
      <c r="AI927" s="12">
        <f t="shared" si="24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O928" s="31"/>
      <c r="P928" s="47"/>
      <c r="Q928" s="31"/>
      <c r="R928" s="31"/>
      <c r="S928" s="32">
        <f t="shared" si="243"/>
        <v>0</v>
      </c>
      <c r="T928" s="10"/>
      <c r="U928" s="10"/>
      <c r="V928" s="10"/>
      <c r="W928" s="12">
        <f t="shared" si="24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45"/>
        <v>0</v>
      </c>
      <c r="AF928" s="10"/>
      <c r="AG928" s="10"/>
      <c r="AH928" s="10"/>
      <c r="AI928" s="12">
        <f t="shared" si="24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3"/>
        <v>0</v>
      </c>
      <c r="T929" s="10"/>
      <c r="U929" s="10"/>
      <c r="V929" s="10"/>
      <c r="W929" s="12">
        <f t="shared" si="24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45"/>
        <v>0</v>
      </c>
      <c r="AF929" s="10"/>
      <c r="AG929" s="10"/>
      <c r="AH929" s="10"/>
      <c r="AI929" s="12">
        <f t="shared" si="24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3"/>
        <v>0</v>
      </c>
      <c r="T930" s="10"/>
      <c r="U930" s="10"/>
      <c r="V930" s="10"/>
      <c r="W930" s="12">
        <f t="shared" si="24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45"/>
        <v>0</v>
      </c>
      <c r="AF930" s="10"/>
      <c r="AG930" s="10"/>
      <c r="AH930" s="10"/>
      <c r="AI930" s="12">
        <f t="shared" si="24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4"/>
        <v>0</v>
      </c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377761</v>
      </c>
      <c r="E935" s="38">
        <f t="shared" ref="E935:F935" si="254">SUM(E892:E932)</f>
        <v>0</v>
      </c>
      <c r="F935" s="38">
        <f t="shared" si="254"/>
        <v>0</v>
      </c>
      <c r="G935" s="38">
        <f>SUM(G892:G934)</f>
        <v>377761</v>
      </c>
      <c r="H935" s="4"/>
      <c r="I935" s="39">
        <f>SUM(I892:I934)</f>
        <v>13633.5</v>
      </c>
      <c r="J935" s="39">
        <f>SUM(J892:J934)</f>
        <v>-823.5</v>
      </c>
      <c r="K935" s="40">
        <f>SUM(K892:K934)</f>
        <v>390571</v>
      </c>
      <c r="N935" s="57"/>
      <c r="O935" s="57"/>
      <c r="P935" s="38">
        <f>SUM(P892:P934)</f>
        <v>303691.5</v>
      </c>
      <c r="Q935" s="38">
        <f>SUM(Q892:Q916)</f>
        <v>-2598</v>
      </c>
      <c r="R935" s="38">
        <f>SUM(R892:R916)</f>
        <v>0</v>
      </c>
      <c r="S935" s="38">
        <f>SUM(S892:S934)</f>
        <v>301093.5</v>
      </c>
      <c r="T935" s="4"/>
      <c r="U935" s="41">
        <f>SUM(U892:U934)</f>
        <v>1056</v>
      </c>
      <c r="V935" s="41">
        <f>SUM(V892:V916)</f>
        <v>-699</v>
      </c>
      <c r="W935" s="42">
        <f>SUM(W892:W934)</f>
        <v>301450.5</v>
      </c>
      <c r="Z935" s="57"/>
      <c r="AA935" s="57"/>
      <c r="AB935" s="38">
        <f>SUM(AB892:AB934)</f>
        <v>321135</v>
      </c>
      <c r="AC935" s="38">
        <f>SUM(AC892:AC916)</f>
        <v>-2304</v>
      </c>
      <c r="AD935" s="38">
        <f>SUM(AD892:AD916)</f>
        <v>0</v>
      </c>
      <c r="AE935" s="38">
        <f>SUM(AE892:AE934)</f>
        <v>318831</v>
      </c>
      <c r="AF935" s="4"/>
      <c r="AG935" s="41">
        <f>SUM(AG892:AG934)</f>
        <v>1482.75</v>
      </c>
      <c r="AH935" s="41">
        <f>SUM(AH892:AH916)</f>
        <v>-9267</v>
      </c>
      <c r="AI935" s="42">
        <f>SUM(AI892:AI934)</f>
        <v>311046.75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5"/>
      <c r="AM940" s="85"/>
      <c r="AN940" s="85"/>
      <c r="AO940" s="85"/>
      <c r="AP940" s="85"/>
      <c r="AQ940" s="85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5"/>
      <c r="AM941" s="85"/>
      <c r="AN941" s="85"/>
      <c r="AO941" s="85"/>
      <c r="AP941" s="85"/>
      <c r="AQ941" s="85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42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42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42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5"/>
      <c r="AM942" s="85"/>
      <c r="AN942" s="85"/>
      <c r="AO942" s="85"/>
      <c r="AP942" s="85"/>
      <c r="AQ942" s="85"/>
      <c r="AR942" s="62"/>
      <c r="AS942" s="85"/>
      <c r="AT942" s="85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86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88</v>
      </c>
      <c r="AI943" s="24"/>
      <c r="AK943" s="64"/>
      <c r="AL943" s="85"/>
      <c r="AM943" s="85"/>
      <c r="AN943" s="85"/>
      <c r="AO943" s="85"/>
      <c r="AP943" s="85"/>
      <c r="AQ943" s="85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5"/>
      <c r="AM944" s="85"/>
      <c r="AN944" s="85"/>
      <c r="AO944" s="85"/>
      <c r="AP944" s="85"/>
      <c r="AQ944" s="85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0" t="s">
        <v>17</v>
      </c>
      <c r="E945" s="120"/>
      <c r="F945" s="107"/>
      <c r="G945" s="27"/>
      <c r="I945" s="118" t="s">
        <v>18</v>
      </c>
      <c r="J945" s="119"/>
      <c r="K945" s="116" t="s">
        <v>19</v>
      </c>
      <c r="N945" s="25"/>
      <c r="O945" s="26"/>
      <c r="P945" s="120" t="s">
        <v>17</v>
      </c>
      <c r="Q945" s="120"/>
      <c r="R945" s="107"/>
      <c r="S945" s="27"/>
      <c r="U945" s="118" t="s">
        <v>18</v>
      </c>
      <c r="V945" s="119"/>
      <c r="W945" s="116" t="s">
        <v>19</v>
      </c>
      <c r="Z945" s="25"/>
      <c r="AA945" s="26"/>
      <c r="AB945" s="120" t="s">
        <v>17</v>
      </c>
      <c r="AC945" s="120"/>
      <c r="AD945" s="107"/>
      <c r="AE945" s="27"/>
      <c r="AG945" s="118" t="s">
        <v>18</v>
      </c>
      <c r="AH945" s="119"/>
      <c r="AI945" s="116" t="s">
        <v>19</v>
      </c>
      <c r="AK945" s="62"/>
      <c r="AL945" s="65"/>
      <c r="AM945" s="85"/>
      <c r="AN945" s="122"/>
      <c r="AO945" s="122"/>
      <c r="AP945" s="85"/>
      <c r="AQ945" s="85"/>
      <c r="AR945" s="62"/>
      <c r="AS945" s="122"/>
      <c r="AT945" s="122"/>
      <c r="AU945" s="12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7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17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7"/>
      <c r="AK946" s="62"/>
      <c r="AL946" s="85"/>
      <c r="AM946" s="85"/>
      <c r="AN946" s="79"/>
      <c r="AO946" s="81"/>
      <c r="AP946" s="81"/>
      <c r="AQ946" s="81"/>
      <c r="AR946" s="62"/>
      <c r="AS946" s="84"/>
      <c r="AT946" s="84"/>
      <c r="AU946" s="12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87</v>
      </c>
      <c r="C947" s="82">
        <v>9817</v>
      </c>
      <c r="D947" s="32">
        <f>650*432+229*13</f>
        <v>283777</v>
      </c>
      <c r="E947" s="32">
        <f>-432*6</f>
        <v>-2592</v>
      </c>
      <c r="F947" s="32"/>
      <c r="G947" s="32">
        <f t="shared" ref="G947:G980" si="255">SUM(D947:E947)</f>
        <v>281185</v>
      </c>
      <c r="H947" s="12"/>
      <c r="I947" s="12">
        <f>27*111+312*1.5+4.5*66</f>
        <v>3762</v>
      </c>
      <c r="J947" s="12"/>
      <c r="K947" s="12">
        <f t="shared" ref="K947:K980" si="256">SUM(G947:J947)</f>
        <v>284947</v>
      </c>
      <c r="M947" s="10">
        <v>1</v>
      </c>
      <c r="N947" s="30" t="s">
        <v>87</v>
      </c>
      <c r="O947" s="31">
        <v>9742</v>
      </c>
      <c r="P947" s="32">
        <f>650*8+700*2+622</f>
        <v>7222</v>
      </c>
      <c r="Q947" s="32"/>
      <c r="R947" s="32"/>
      <c r="S947" s="32">
        <f>SUM(P947:Q947)</f>
        <v>7222</v>
      </c>
      <c r="T947" s="12"/>
      <c r="U947" s="12"/>
      <c r="V947" s="12"/>
      <c r="W947" s="12">
        <f>SUM(S947:V947)</f>
        <v>7222</v>
      </c>
      <c r="Y947" s="10">
        <v>1</v>
      </c>
      <c r="Z947" s="30" t="s">
        <v>87</v>
      </c>
      <c r="AA947" s="31">
        <v>9752</v>
      </c>
      <c r="AB947" s="32">
        <f>650*324+229*13</f>
        <v>213577</v>
      </c>
      <c r="AC947" s="32"/>
      <c r="AD947" s="32"/>
      <c r="AE947" s="32">
        <f>SUM(AB947:AC947)</f>
        <v>213577</v>
      </c>
      <c r="AF947" s="12"/>
      <c r="AG947" s="12"/>
      <c r="AH947" s="12"/>
      <c r="AI947" s="12">
        <f>SUM(AE947:AH947)</f>
        <v>213577</v>
      </c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87</v>
      </c>
      <c r="C948" s="82">
        <f>C947+1</f>
        <v>9818</v>
      </c>
      <c r="D948" s="32">
        <f>650*16</f>
        <v>10400</v>
      </c>
      <c r="E948" s="32"/>
      <c r="F948" s="32"/>
      <c r="G948" s="32">
        <f t="shared" si="255"/>
        <v>10400</v>
      </c>
      <c r="H948" s="12"/>
      <c r="I948" s="12"/>
      <c r="J948" s="12"/>
      <c r="K948" s="12">
        <f t="shared" si="256"/>
        <v>10400</v>
      </c>
      <c r="M948" s="10">
        <v>2</v>
      </c>
      <c r="N948" s="30" t="s">
        <v>87</v>
      </c>
      <c r="O948" s="31">
        <f>O947+1</f>
        <v>9743</v>
      </c>
      <c r="P948" s="32">
        <f>650*16+9.5*16</f>
        <v>10552</v>
      </c>
      <c r="Q948" s="32"/>
      <c r="R948" s="32"/>
      <c r="S948" s="32">
        <f t="shared" ref="S948:S985" si="257">SUM(P948:Q948)</f>
        <v>10552</v>
      </c>
      <c r="T948" s="12"/>
      <c r="U948" s="12"/>
      <c r="V948" s="12">
        <v>-444</v>
      </c>
      <c r="W948" s="12">
        <f t="shared" ref="W948:W988" si="258">SUM(S948:V948)</f>
        <v>10108</v>
      </c>
      <c r="Y948" s="10">
        <v>2</v>
      </c>
      <c r="Z948" s="30" t="s">
        <v>87</v>
      </c>
      <c r="AA948" s="31">
        <f>AA947+1</f>
        <v>9753</v>
      </c>
      <c r="AB948" s="32">
        <f>650*40+670+973*2+622*7+912+1050*2+229*2+500*2</f>
        <v>37440</v>
      </c>
      <c r="AC948" s="32"/>
      <c r="AD948" s="32"/>
      <c r="AE948" s="32">
        <f t="shared" ref="AE948:AE985" si="259">SUM(AB948:AC948)</f>
        <v>37440</v>
      </c>
      <c r="AF948" s="12"/>
      <c r="AG948" s="12"/>
      <c r="AH948" s="12"/>
      <c r="AI948" s="12">
        <f t="shared" ref="AI948:AI988" si="260">SUM(AE948:AH948)</f>
        <v>37440</v>
      </c>
      <c r="AK948" s="62"/>
      <c r="AL948" s="66"/>
      <c r="AM948" s="85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87</v>
      </c>
      <c r="C949" s="82">
        <f t="shared" ref="C949:C950" si="261">C948+1</f>
        <v>9819</v>
      </c>
      <c r="D949" s="33">
        <f>650*4+9.5*4</f>
        <v>2638</v>
      </c>
      <c r="E949" s="33"/>
      <c r="F949" s="33"/>
      <c r="G949" s="33">
        <f t="shared" si="255"/>
        <v>2638</v>
      </c>
      <c r="H949" s="34"/>
      <c r="I949" s="34"/>
      <c r="J949" s="34"/>
      <c r="K949" s="34">
        <f t="shared" si="256"/>
        <v>2638</v>
      </c>
      <c r="M949" s="10">
        <v>3</v>
      </c>
      <c r="N949" s="30" t="s">
        <v>87</v>
      </c>
      <c r="O949" s="31">
        <f t="shared" ref="O949:O953" si="262">O948+1</f>
        <v>9744</v>
      </c>
      <c r="P949" s="32">
        <f>650*2+622+9.5*3</f>
        <v>1950.5</v>
      </c>
      <c r="Q949" s="32"/>
      <c r="R949" s="32"/>
      <c r="S949" s="32">
        <f t="shared" si="257"/>
        <v>1950.5</v>
      </c>
      <c r="T949" s="12"/>
      <c r="U949" s="12">
        <v>4.5</v>
      </c>
      <c r="V949" s="12">
        <v>-444</v>
      </c>
      <c r="W949" s="12">
        <f t="shared" si="258"/>
        <v>1511</v>
      </c>
      <c r="Y949" s="10">
        <v>3</v>
      </c>
      <c r="Z949" s="30" t="s">
        <v>87</v>
      </c>
      <c r="AA949" s="31">
        <f t="shared" ref="AA949:AA952" si="263">AA948+1</f>
        <v>9754</v>
      </c>
      <c r="AB949" s="33">
        <f>650*50+229*2</f>
        <v>32958</v>
      </c>
      <c r="AC949" s="33"/>
      <c r="AD949" s="32"/>
      <c r="AE949" s="32">
        <f t="shared" si="259"/>
        <v>32958</v>
      </c>
      <c r="AF949" s="12"/>
      <c r="AG949" s="12">
        <v>156</v>
      </c>
      <c r="AH949" s="12"/>
      <c r="AI949" s="12">
        <f t="shared" si="260"/>
        <v>33114</v>
      </c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87</v>
      </c>
      <c r="C950" s="82">
        <f t="shared" si="261"/>
        <v>9820</v>
      </c>
      <c r="D950" s="32">
        <f>650*6+670*3</f>
        <v>5910</v>
      </c>
      <c r="E950" s="32"/>
      <c r="F950" s="32"/>
      <c r="G950" s="32">
        <f t="shared" si="255"/>
        <v>5910</v>
      </c>
      <c r="H950" s="12"/>
      <c r="I950" s="12"/>
      <c r="J950" s="12">
        <f>-111*29</f>
        <v>-3219</v>
      </c>
      <c r="K950" s="12">
        <f t="shared" si="256"/>
        <v>2691</v>
      </c>
      <c r="M950" s="10">
        <v>4</v>
      </c>
      <c r="N950" s="30" t="s">
        <v>87</v>
      </c>
      <c r="O950" s="31">
        <f t="shared" si="262"/>
        <v>9745</v>
      </c>
      <c r="P950" s="32">
        <f>650+9.5</f>
        <v>659.5</v>
      </c>
      <c r="Q950" s="32"/>
      <c r="R950" s="32"/>
      <c r="S950" s="32">
        <f t="shared" si="257"/>
        <v>659.5</v>
      </c>
      <c r="T950" s="12"/>
      <c r="U950" s="12"/>
      <c r="V950" s="12"/>
      <c r="W950" s="12">
        <f t="shared" si="258"/>
        <v>659.5</v>
      </c>
      <c r="Y950" s="10">
        <v>4</v>
      </c>
      <c r="Z950" s="30" t="s">
        <v>87</v>
      </c>
      <c r="AA950" s="31">
        <f t="shared" si="263"/>
        <v>9755</v>
      </c>
      <c r="AB950" s="32">
        <f>650*5+670*2+622*3</f>
        <v>6456</v>
      </c>
      <c r="AC950" s="32"/>
      <c r="AD950" s="32"/>
      <c r="AE950" s="32">
        <f t="shared" si="259"/>
        <v>6456</v>
      </c>
      <c r="AF950" s="12"/>
      <c r="AG950" s="58">
        <v>840</v>
      </c>
      <c r="AH950" s="12"/>
      <c r="AI950" s="12">
        <f t="shared" si="260"/>
        <v>7296</v>
      </c>
      <c r="AK950" s="62"/>
      <c r="AL950" s="66"/>
      <c r="AM950" s="85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11" t="s">
        <v>27</v>
      </c>
      <c r="D951" s="32"/>
      <c r="E951" s="32"/>
      <c r="F951" s="32"/>
      <c r="G951" s="32">
        <f t="shared" si="255"/>
        <v>0</v>
      </c>
      <c r="H951" s="12"/>
      <c r="I951" s="12"/>
      <c r="J951" s="12"/>
      <c r="K951" s="12">
        <f t="shared" si="256"/>
        <v>0</v>
      </c>
      <c r="M951" s="10">
        <v>5</v>
      </c>
      <c r="N951" s="30" t="s">
        <v>87</v>
      </c>
      <c r="O951" s="31">
        <f t="shared" si="262"/>
        <v>9746</v>
      </c>
      <c r="P951" s="32">
        <f>650*4+622+9.5*5</f>
        <v>3269.5</v>
      </c>
      <c r="Q951" s="32"/>
      <c r="R951" s="32"/>
      <c r="S951" s="32">
        <f t="shared" si="257"/>
        <v>3269.5</v>
      </c>
      <c r="T951" s="12"/>
      <c r="U951" s="12"/>
      <c r="V951" s="12"/>
      <c r="W951" s="12">
        <f t="shared" si="258"/>
        <v>3269.5</v>
      </c>
      <c r="Y951" s="10">
        <v>5</v>
      </c>
      <c r="Z951" s="30" t="s">
        <v>87</v>
      </c>
      <c r="AA951" s="31">
        <f t="shared" si="263"/>
        <v>9756</v>
      </c>
      <c r="AB951" s="32">
        <f>650*7+670</f>
        <v>5220</v>
      </c>
      <c r="AC951" s="32"/>
      <c r="AD951" s="32"/>
      <c r="AE951" s="32">
        <f t="shared" si="259"/>
        <v>5220</v>
      </c>
      <c r="AF951" s="12"/>
      <c r="AG951" s="12"/>
      <c r="AH951" s="12"/>
      <c r="AI951" s="12">
        <f t="shared" si="260"/>
        <v>5220</v>
      </c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82"/>
      <c r="D952" s="32"/>
      <c r="E952" s="32"/>
      <c r="F952" s="32"/>
      <c r="G952" s="32">
        <f t="shared" si="255"/>
        <v>0</v>
      </c>
      <c r="H952" s="12"/>
      <c r="I952" s="12"/>
      <c r="J952" s="12"/>
      <c r="K952" s="12">
        <f t="shared" si="256"/>
        <v>0</v>
      </c>
      <c r="M952" s="10">
        <v>6</v>
      </c>
      <c r="N952" s="30" t="s">
        <v>87</v>
      </c>
      <c r="O952" s="31">
        <f t="shared" si="262"/>
        <v>9747</v>
      </c>
      <c r="P952" s="32">
        <f>650*140+670*4+229*2</f>
        <v>94138</v>
      </c>
      <c r="Q952" s="32">
        <f>-144*6</f>
        <v>-864</v>
      </c>
      <c r="R952" s="32"/>
      <c r="S952" s="32">
        <f t="shared" si="257"/>
        <v>93274</v>
      </c>
      <c r="T952" s="12"/>
      <c r="U952" s="12">
        <f>48*1.5</f>
        <v>72</v>
      </c>
      <c r="V952" s="10"/>
      <c r="W952" s="12">
        <f t="shared" si="258"/>
        <v>93346</v>
      </c>
      <c r="Y952" s="10">
        <v>6</v>
      </c>
      <c r="Z952" s="30" t="s">
        <v>87</v>
      </c>
      <c r="AA952" s="31">
        <f t="shared" si="263"/>
        <v>9757</v>
      </c>
      <c r="AB952" s="32">
        <f>650*15+670+622*5+229</f>
        <v>13759</v>
      </c>
      <c r="AC952" s="32"/>
      <c r="AD952" s="32"/>
      <c r="AE952" s="32">
        <f t="shared" si="259"/>
        <v>13759</v>
      </c>
      <c r="AF952" s="12"/>
      <c r="AG952" s="12"/>
      <c r="AH952" s="10"/>
      <c r="AI952" s="12">
        <f t="shared" si="260"/>
        <v>13759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82"/>
      <c r="D953" s="32"/>
      <c r="E953" s="32"/>
      <c r="F953" s="32"/>
      <c r="G953" s="32">
        <f t="shared" si="255"/>
        <v>0</v>
      </c>
      <c r="H953" s="12"/>
      <c r="I953" s="12"/>
      <c r="J953" s="12"/>
      <c r="K953" s="12">
        <f t="shared" si="256"/>
        <v>0</v>
      </c>
      <c r="M953" s="10">
        <v>7</v>
      </c>
      <c r="N953" s="30" t="s">
        <v>87</v>
      </c>
      <c r="O953" s="31">
        <f t="shared" si="262"/>
        <v>9748</v>
      </c>
      <c r="P953" s="32">
        <f>650*180+622*20+229*6</f>
        <v>130814</v>
      </c>
      <c r="Q953" s="32">
        <f>-200*6</f>
        <v>-1200</v>
      </c>
      <c r="R953" s="32"/>
      <c r="S953" s="32">
        <f t="shared" si="257"/>
        <v>129614</v>
      </c>
      <c r="T953" s="12"/>
      <c r="U953" s="12">
        <v>312</v>
      </c>
      <c r="V953" s="12">
        <f>-3996+-336</f>
        <v>-4332</v>
      </c>
      <c r="W953" s="12">
        <f t="shared" si="258"/>
        <v>125594</v>
      </c>
      <c r="Y953" s="10">
        <v>7</v>
      </c>
      <c r="Z953" s="30"/>
      <c r="AA953" s="11" t="s">
        <v>27</v>
      </c>
      <c r="AB953" s="32"/>
      <c r="AC953" s="32"/>
      <c r="AD953" s="32"/>
      <c r="AE953" s="32">
        <f t="shared" si="259"/>
        <v>0</v>
      </c>
      <c r="AF953" s="12"/>
      <c r="AG953" s="58"/>
      <c r="AH953" s="12"/>
      <c r="AI953" s="12">
        <f t="shared" si="260"/>
        <v>0</v>
      </c>
      <c r="AK953" s="62"/>
      <c r="AL953" s="66"/>
      <c r="AM953" s="85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82"/>
      <c r="D954" s="32"/>
      <c r="E954" s="32"/>
      <c r="F954" s="32"/>
      <c r="G954" s="32">
        <f t="shared" si="255"/>
        <v>0</v>
      </c>
      <c r="H954" s="12"/>
      <c r="I954" s="12"/>
      <c r="J954" s="12"/>
      <c r="K954" s="12">
        <f t="shared" si="256"/>
        <v>0</v>
      </c>
      <c r="M954" s="10">
        <v>8</v>
      </c>
      <c r="N954" s="30"/>
      <c r="O954" s="11" t="s">
        <v>27</v>
      </c>
      <c r="P954" s="32"/>
      <c r="Q954" s="32"/>
      <c r="R954" s="32"/>
      <c r="S954" s="32">
        <f t="shared" si="257"/>
        <v>0</v>
      </c>
      <c r="T954" s="12"/>
      <c r="U954" s="12"/>
      <c r="V954" s="12"/>
      <c r="W954" s="12">
        <f t="shared" si="258"/>
        <v>0</v>
      </c>
      <c r="Y954" s="10">
        <v>8</v>
      </c>
      <c r="Z954" s="30"/>
      <c r="AA954" s="31"/>
      <c r="AB954" s="32"/>
      <c r="AC954" s="32"/>
      <c r="AE954" s="32">
        <f t="shared" si="259"/>
        <v>0</v>
      </c>
      <c r="AF954" s="12"/>
      <c r="AG954" s="12"/>
      <c r="AH954" s="12"/>
      <c r="AI954" s="12">
        <f t="shared" si="260"/>
        <v>0</v>
      </c>
      <c r="AK954" s="62"/>
      <c r="AL954" s="66"/>
      <c r="AM954" s="85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82"/>
      <c r="D955" s="32"/>
      <c r="E955" s="32"/>
      <c r="F955" s="32"/>
      <c r="G955" s="32">
        <f t="shared" si="255"/>
        <v>0</v>
      </c>
      <c r="H955" s="12"/>
      <c r="I955" s="12"/>
      <c r="J955" s="12"/>
      <c r="K955" s="12">
        <f t="shared" si="256"/>
        <v>0</v>
      </c>
      <c r="M955" s="10">
        <v>9</v>
      </c>
      <c r="N955" s="30"/>
      <c r="O955" s="31"/>
      <c r="P955" s="32"/>
      <c r="Q955" s="32"/>
      <c r="R955" s="32"/>
      <c r="S955" s="32">
        <f t="shared" si="257"/>
        <v>0</v>
      </c>
      <c r="T955" s="12"/>
      <c r="U955" s="12"/>
      <c r="V955" s="12"/>
      <c r="W955" s="12">
        <f t="shared" si="258"/>
        <v>0</v>
      </c>
      <c r="Y955" s="10">
        <v>9</v>
      </c>
      <c r="Z955" s="30"/>
      <c r="AA955" s="11"/>
      <c r="AB955" s="32"/>
      <c r="AC955" s="32"/>
      <c r="AD955" s="32"/>
      <c r="AE955" s="32">
        <f t="shared" si="259"/>
        <v>0</v>
      </c>
      <c r="AF955" s="12"/>
      <c r="AH955" s="12"/>
      <c r="AI955" s="12">
        <f t="shared" si="260"/>
        <v>0</v>
      </c>
      <c r="AK955" s="62"/>
      <c r="AL955" s="66"/>
      <c r="AM955" s="85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82"/>
      <c r="D956" s="32"/>
      <c r="E956" s="32"/>
      <c r="F956" s="32"/>
      <c r="G956" s="32">
        <f t="shared" si="255"/>
        <v>0</v>
      </c>
      <c r="H956" s="12"/>
      <c r="I956" s="12"/>
      <c r="J956" s="12"/>
      <c r="K956" s="12">
        <f t="shared" si="256"/>
        <v>0</v>
      </c>
      <c r="M956" s="10">
        <v>10</v>
      </c>
      <c r="N956" s="30"/>
      <c r="O956" s="31"/>
      <c r="P956" s="32"/>
      <c r="Q956" s="32"/>
      <c r="R956" s="32"/>
      <c r="S956" s="32">
        <f t="shared" si="257"/>
        <v>0</v>
      </c>
      <c r="T956" s="12"/>
      <c r="U956" s="12"/>
      <c r="V956" s="12"/>
      <c r="W956" s="12">
        <f t="shared" si="258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59"/>
        <v>0</v>
      </c>
      <c r="AF956" s="12"/>
      <c r="AG956" s="12"/>
      <c r="AH956" s="12"/>
      <c r="AI956" s="12">
        <f t="shared" si="260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82"/>
      <c r="D957" s="32"/>
      <c r="E957" s="32"/>
      <c r="F957" s="32"/>
      <c r="G957" s="32">
        <f t="shared" si="255"/>
        <v>0</v>
      </c>
      <c r="H957" s="12"/>
      <c r="I957" s="12"/>
      <c r="J957" s="12"/>
      <c r="K957" s="12">
        <f t="shared" si="256"/>
        <v>0</v>
      </c>
      <c r="M957" s="10">
        <v>11</v>
      </c>
      <c r="N957" s="30"/>
      <c r="O957" s="31"/>
      <c r="P957" s="32"/>
      <c r="Q957" s="32"/>
      <c r="R957" s="32"/>
      <c r="S957" s="32">
        <f t="shared" si="257"/>
        <v>0</v>
      </c>
      <c r="T957" s="12"/>
      <c r="U957" s="12"/>
      <c r="V957" s="12"/>
      <c r="W957" s="12">
        <f t="shared" si="258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59"/>
        <v>0</v>
      </c>
      <c r="AF957" s="12"/>
      <c r="AG957" s="12"/>
      <c r="AH957" s="12"/>
      <c r="AI957" s="12">
        <f t="shared" si="260"/>
        <v>0</v>
      </c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2"/>
      <c r="D958" s="32"/>
      <c r="E958" s="32"/>
      <c r="F958" s="32"/>
      <c r="G958" s="32">
        <f t="shared" si="255"/>
        <v>0</v>
      </c>
      <c r="H958" s="12"/>
      <c r="I958" s="12"/>
      <c r="J958" s="10"/>
      <c r="K958" s="12">
        <f t="shared" si="256"/>
        <v>0</v>
      </c>
      <c r="M958" s="10">
        <v>12</v>
      </c>
      <c r="N958" s="30"/>
      <c r="O958" s="31"/>
      <c r="P958" s="32"/>
      <c r="Q958" s="32"/>
      <c r="R958" s="32"/>
      <c r="S958" s="32">
        <f t="shared" si="257"/>
        <v>0</v>
      </c>
      <c r="T958" s="12"/>
      <c r="U958" s="12"/>
      <c r="V958" s="12"/>
      <c r="W958" s="12">
        <f t="shared" si="258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59"/>
        <v>0</v>
      </c>
      <c r="AF958" s="12"/>
      <c r="AG958" s="12"/>
      <c r="AH958" s="12"/>
      <c r="AI958" s="12">
        <f t="shared" si="260"/>
        <v>0</v>
      </c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11"/>
      <c r="D959" s="32"/>
      <c r="E959" s="32"/>
      <c r="F959" s="32"/>
      <c r="G959" s="32">
        <f t="shared" si="255"/>
        <v>0</v>
      </c>
      <c r="H959" s="12"/>
      <c r="I959" s="12"/>
      <c r="J959" s="12"/>
      <c r="K959" s="12">
        <f t="shared" si="256"/>
        <v>0</v>
      </c>
      <c r="M959" s="10">
        <v>13</v>
      </c>
      <c r="N959" s="30"/>
      <c r="O959" s="31"/>
      <c r="P959" s="32"/>
      <c r="Q959" s="32"/>
      <c r="R959" s="32"/>
      <c r="S959" s="32">
        <f t="shared" si="257"/>
        <v>0</v>
      </c>
      <c r="T959" s="12"/>
      <c r="U959" s="12"/>
      <c r="V959" s="12"/>
      <c r="W959" s="12">
        <f t="shared" si="258"/>
        <v>0</v>
      </c>
      <c r="Y959" s="10">
        <v>13</v>
      </c>
      <c r="Z959" s="30"/>
      <c r="AB959" s="32"/>
      <c r="AC959" s="32"/>
      <c r="AD959" s="32"/>
      <c r="AE959" s="32">
        <f t="shared" si="259"/>
        <v>0</v>
      </c>
      <c r="AF959" s="12"/>
      <c r="AG959" s="12"/>
      <c r="AH959" s="12"/>
      <c r="AI959" s="12">
        <f t="shared" si="260"/>
        <v>0</v>
      </c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2"/>
      <c r="D960" s="32"/>
      <c r="E960" s="32"/>
      <c r="F960" s="32"/>
      <c r="G960" s="32">
        <f t="shared" si="255"/>
        <v>0</v>
      </c>
      <c r="H960" s="12"/>
      <c r="I960" s="12"/>
      <c r="J960" s="12"/>
      <c r="K960" s="12">
        <f t="shared" si="256"/>
        <v>0</v>
      </c>
      <c r="M960" s="10">
        <v>14</v>
      </c>
      <c r="N960" s="30"/>
      <c r="O960" s="31"/>
      <c r="P960" s="32"/>
      <c r="Q960" s="32"/>
      <c r="R960" s="32"/>
      <c r="S960" s="32">
        <f t="shared" si="257"/>
        <v>0</v>
      </c>
      <c r="T960" s="12"/>
      <c r="U960" s="12"/>
      <c r="V960" s="12"/>
      <c r="W960" s="12">
        <f t="shared" si="258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59"/>
        <v>0</v>
      </c>
      <c r="AF960" s="12"/>
      <c r="AG960" s="12"/>
      <c r="AH960" s="12"/>
      <c r="AI960" s="12">
        <f t="shared" si="260"/>
        <v>0</v>
      </c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2"/>
      <c r="D961" s="32"/>
      <c r="E961" s="32"/>
      <c r="F961" s="32"/>
      <c r="G961" s="32">
        <f t="shared" si="255"/>
        <v>0</v>
      </c>
      <c r="H961" s="12"/>
      <c r="I961" s="12"/>
      <c r="J961" s="12"/>
      <c r="K961" s="12">
        <f t="shared" si="256"/>
        <v>0</v>
      </c>
      <c r="M961" s="10">
        <v>15</v>
      </c>
      <c r="N961" s="30"/>
      <c r="O961" s="31"/>
      <c r="P961" s="32"/>
      <c r="Q961" s="32"/>
      <c r="R961" s="32"/>
      <c r="S961" s="32">
        <f t="shared" si="257"/>
        <v>0</v>
      </c>
      <c r="T961" s="12"/>
      <c r="U961" s="12"/>
      <c r="V961" s="12"/>
      <c r="W961" s="12">
        <f t="shared" si="258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59"/>
        <v>0</v>
      </c>
      <c r="AF961" s="12"/>
      <c r="AG961" s="12"/>
      <c r="AH961" s="12"/>
      <c r="AI961" s="12">
        <f t="shared" si="260"/>
        <v>0</v>
      </c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11"/>
      <c r="D962" s="32"/>
      <c r="E962" s="32"/>
      <c r="F962" s="32"/>
      <c r="G962" s="32">
        <f t="shared" si="255"/>
        <v>0</v>
      </c>
      <c r="H962" s="12"/>
      <c r="I962" s="12"/>
      <c r="J962" s="12"/>
      <c r="K962" s="12">
        <f t="shared" si="256"/>
        <v>0</v>
      </c>
      <c r="M962" s="10">
        <v>16</v>
      </c>
      <c r="N962" s="30"/>
      <c r="O962" s="11"/>
      <c r="P962" s="32"/>
      <c r="Q962" s="32"/>
      <c r="R962" s="32"/>
      <c r="S962" s="32">
        <f t="shared" si="257"/>
        <v>0</v>
      </c>
      <c r="T962" s="12"/>
      <c r="U962" s="12"/>
      <c r="V962" s="12"/>
      <c r="W962" s="12">
        <f t="shared" si="258"/>
        <v>0</v>
      </c>
      <c r="Y962" s="10">
        <v>16</v>
      </c>
      <c r="Z962" s="30"/>
      <c r="AA962" s="11"/>
      <c r="AB962" s="32"/>
      <c r="AC962" s="32"/>
      <c r="AD962" s="32"/>
      <c r="AE962" s="32">
        <f t="shared" si="259"/>
        <v>0</v>
      </c>
      <c r="AF962" s="12"/>
      <c r="AG962" s="12"/>
      <c r="AH962" s="12"/>
      <c r="AI962" s="12">
        <f t="shared" si="260"/>
        <v>0</v>
      </c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2"/>
      <c r="D963" s="32"/>
      <c r="E963" s="32"/>
      <c r="F963" s="32"/>
      <c r="G963" s="32">
        <f t="shared" si="255"/>
        <v>0</v>
      </c>
      <c r="H963" s="12"/>
      <c r="I963" s="12"/>
      <c r="J963" s="12"/>
      <c r="K963" s="12">
        <f t="shared" si="256"/>
        <v>0</v>
      </c>
      <c r="M963" s="10">
        <v>17</v>
      </c>
      <c r="N963" s="30"/>
      <c r="O963" s="31"/>
      <c r="P963" s="35"/>
      <c r="Q963" s="32"/>
      <c r="R963" s="32"/>
      <c r="S963" s="32">
        <f t="shared" si="257"/>
        <v>0</v>
      </c>
      <c r="T963" s="12"/>
      <c r="U963" s="12"/>
      <c r="V963" s="12"/>
      <c r="W963" s="12">
        <f t="shared" si="258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59"/>
        <v>0</v>
      </c>
      <c r="AF963" s="12"/>
      <c r="AG963" s="12"/>
      <c r="AH963" s="12"/>
      <c r="AI963" s="12">
        <f t="shared" si="260"/>
        <v>0</v>
      </c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2"/>
      <c r="D964" s="32"/>
      <c r="E964" s="32"/>
      <c r="F964" s="32"/>
      <c r="G964" s="32">
        <f t="shared" si="255"/>
        <v>0</v>
      </c>
      <c r="H964" s="12"/>
      <c r="I964" s="12"/>
      <c r="J964" s="12"/>
      <c r="K964" s="12">
        <f t="shared" si="256"/>
        <v>0</v>
      </c>
      <c r="M964" s="10">
        <v>18</v>
      </c>
      <c r="N964" s="30"/>
      <c r="O964" s="31"/>
      <c r="P964" s="32"/>
      <c r="Q964" s="32"/>
      <c r="R964" s="32"/>
      <c r="S964" s="32">
        <f t="shared" si="257"/>
        <v>0</v>
      </c>
      <c r="T964" s="12"/>
      <c r="U964" s="12"/>
      <c r="V964" s="12"/>
      <c r="W964" s="12">
        <f t="shared" si="258"/>
        <v>0</v>
      </c>
      <c r="Y964" s="10">
        <v>18</v>
      </c>
      <c r="Z964" s="30"/>
      <c r="AB964" s="32"/>
      <c r="AC964" s="32"/>
      <c r="AD964" s="32"/>
      <c r="AE964" s="32">
        <f t="shared" si="259"/>
        <v>0</v>
      </c>
      <c r="AF964" s="12"/>
      <c r="AG964" s="12"/>
      <c r="AH964" s="12"/>
      <c r="AI964" s="12">
        <f t="shared" si="260"/>
        <v>0</v>
      </c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2"/>
      <c r="D965" s="32"/>
      <c r="E965" s="32"/>
      <c r="F965" s="32"/>
      <c r="G965" s="32">
        <f t="shared" si="255"/>
        <v>0</v>
      </c>
      <c r="H965" s="12"/>
      <c r="I965" s="12"/>
      <c r="J965" s="12"/>
      <c r="K965" s="12">
        <f t="shared" si="256"/>
        <v>0</v>
      </c>
      <c r="M965" s="10">
        <v>19</v>
      </c>
      <c r="N965" s="30"/>
      <c r="O965" s="31"/>
      <c r="P965" s="32"/>
      <c r="Q965" s="32"/>
      <c r="R965" s="32"/>
      <c r="S965" s="32">
        <f t="shared" si="257"/>
        <v>0</v>
      </c>
      <c r="T965" s="12"/>
      <c r="U965" s="12"/>
      <c r="V965" s="12"/>
      <c r="W965" s="12">
        <f t="shared" si="258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59"/>
        <v>0</v>
      </c>
      <c r="AF965" s="12"/>
      <c r="AG965" s="12"/>
      <c r="AH965" s="12"/>
      <c r="AI965" s="12">
        <f t="shared" si="260"/>
        <v>0</v>
      </c>
      <c r="AK965" s="62"/>
      <c r="AL965" s="66"/>
      <c r="AM965" s="85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2"/>
      <c r="D966" s="32"/>
      <c r="E966" s="32"/>
      <c r="F966" s="32"/>
      <c r="G966" s="32">
        <f t="shared" si="255"/>
        <v>0</v>
      </c>
      <c r="H966" s="12"/>
      <c r="I966" s="12"/>
      <c r="J966" s="12"/>
      <c r="K966" s="12">
        <f t="shared" si="256"/>
        <v>0</v>
      </c>
      <c r="M966" s="10">
        <v>20</v>
      </c>
      <c r="N966" s="30"/>
      <c r="O966" s="31"/>
      <c r="P966" s="32"/>
      <c r="Q966" s="32"/>
      <c r="R966" s="32"/>
      <c r="S966" s="32">
        <f t="shared" si="257"/>
        <v>0</v>
      </c>
      <c r="T966" s="12"/>
      <c r="U966" s="12"/>
      <c r="V966" s="12"/>
      <c r="W966" s="12">
        <f t="shared" si="258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59"/>
        <v>0</v>
      </c>
      <c r="AF966" s="12"/>
      <c r="AG966" s="12"/>
      <c r="AH966" s="12"/>
      <c r="AI966" s="12">
        <f t="shared" si="260"/>
        <v>0</v>
      </c>
      <c r="AK966" s="62"/>
      <c r="AL966" s="66"/>
      <c r="AM966" s="85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55"/>
        <v>0</v>
      </c>
      <c r="H967" s="10"/>
      <c r="I967" s="10"/>
      <c r="J967" s="10"/>
      <c r="K967" s="12">
        <f t="shared" si="256"/>
        <v>0</v>
      </c>
      <c r="M967" s="10">
        <v>21</v>
      </c>
      <c r="N967" s="30"/>
      <c r="O967" s="31"/>
      <c r="P967" s="46"/>
      <c r="Q967" s="31"/>
      <c r="R967" s="31"/>
      <c r="S967" s="32">
        <f t="shared" si="257"/>
        <v>0</v>
      </c>
      <c r="T967" s="10"/>
      <c r="U967" s="10"/>
      <c r="V967" s="10"/>
      <c r="W967" s="12">
        <f t="shared" si="258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59"/>
        <v>0</v>
      </c>
      <c r="AF967" s="10"/>
      <c r="AG967" s="10"/>
      <c r="AH967" s="10"/>
      <c r="AI967" s="12">
        <f t="shared" si="260"/>
        <v>0</v>
      </c>
      <c r="AK967" s="62"/>
      <c r="AL967" s="66"/>
      <c r="AM967" s="85"/>
      <c r="AN967" s="67"/>
      <c r="AO967" s="85"/>
      <c r="AP967" s="85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57"/>
      <c r="D968" s="32"/>
      <c r="E968" s="32"/>
      <c r="F968" s="32"/>
      <c r="G968" s="32">
        <f t="shared" si="255"/>
        <v>0</v>
      </c>
      <c r="H968" s="10"/>
      <c r="I968" s="10"/>
      <c r="J968" s="10"/>
      <c r="K968" s="12">
        <f t="shared" si="256"/>
        <v>0</v>
      </c>
      <c r="M968" s="10">
        <v>22</v>
      </c>
      <c r="N968" s="30"/>
      <c r="O968" s="31"/>
      <c r="P968" s="45"/>
      <c r="Q968" s="31"/>
      <c r="R968" s="31"/>
      <c r="S968" s="32">
        <f t="shared" si="257"/>
        <v>0</v>
      </c>
      <c r="T968" s="10"/>
      <c r="U968" s="10"/>
      <c r="V968" s="10"/>
      <c r="W968" s="12">
        <f t="shared" si="258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59"/>
        <v>0</v>
      </c>
      <c r="AF968" s="10"/>
      <c r="AG968" s="10"/>
      <c r="AH968" s="10"/>
      <c r="AI968" s="12">
        <f t="shared" si="260"/>
        <v>0</v>
      </c>
      <c r="AK968" s="62"/>
      <c r="AL968" s="66"/>
      <c r="AM968" s="85"/>
      <c r="AN968" s="68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2"/>
      <c r="D969" s="32"/>
      <c r="E969" s="32"/>
      <c r="F969" s="32"/>
      <c r="G969" s="32">
        <f t="shared" si="255"/>
        <v>0</v>
      </c>
      <c r="H969" s="10"/>
      <c r="I969" s="10"/>
      <c r="J969" s="12"/>
      <c r="K969" s="12">
        <f t="shared" si="256"/>
        <v>0</v>
      </c>
      <c r="M969" s="10">
        <v>23</v>
      </c>
      <c r="N969" s="30"/>
      <c r="O969" s="31"/>
      <c r="P969" s="47"/>
      <c r="Q969" s="31"/>
      <c r="S969" s="32">
        <f t="shared" si="257"/>
        <v>0</v>
      </c>
      <c r="T969" s="10"/>
      <c r="U969" s="10"/>
      <c r="V969" s="10"/>
      <c r="W969" s="12">
        <f t="shared" si="258"/>
        <v>0</v>
      </c>
      <c r="Y969" s="10">
        <v>23</v>
      </c>
      <c r="Z969" s="30"/>
      <c r="AA969" s="31"/>
      <c r="AB969" s="47"/>
      <c r="AE969" s="32">
        <f t="shared" si="259"/>
        <v>0</v>
      </c>
      <c r="AF969" s="10"/>
      <c r="AG969" s="10"/>
      <c r="AH969" s="10"/>
      <c r="AI969" s="12">
        <f t="shared" si="260"/>
        <v>0</v>
      </c>
      <c r="AK969" s="62"/>
      <c r="AL969" s="66"/>
      <c r="AM969" s="85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2"/>
      <c r="D970" s="32"/>
      <c r="E970" s="32"/>
      <c r="F970" s="32"/>
      <c r="G970" s="32">
        <f t="shared" si="255"/>
        <v>0</v>
      </c>
      <c r="H970" s="10"/>
      <c r="I970" s="10"/>
      <c r="J970" s="10"/>
      <c r="K970" s="12">
        <f t="shared" si="256"/>
        <v>0</v>
      </c>
      <c r="M970" s="10">
        <v>24</v>
      </c>
      <c r="N970" s="30"/>
      <c r="O970" s="31"/>
      <c r="P970" s="47"/>
      <c r="Q970" s="31"/>
      <c r="R970" s="31"/>
      <c r="S970" s="32">
        <f t="shared" si="257"/>
        <v>0</v>
      </c>
      <c r="T970" s="10"/>
      <c r="U970" s="10"/>
      <c r="V970" s="10"/>
      <c r="W970" s="12">
        <f t="shared" si="258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59"/>
        <v>0</v>
      </c>
      <c r="AF970" s="10"/>
      <c r="AG970" s="10"/>
      <c r="AH970" s="10"/>
      <c r="AI970" s="12">
        <f t="shared" si="260"/>
        <v>0</v>
      </c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2"/>
      <c r="D971" s="32"/>
      <c r="E971" s="32"/>
      <c r="F971" s="32"/>
      <c r="G971" s="32">
        <f t="shared" si="255"/>
        <v>0</v>
      </c>
      <c r="H971" s="10"/>
      <c r="I971" s="10"/>
      <c r="J971" s="10"/>
      <c r="K971" s="12">
        <f t="shared" si="256"/>
        <v>0</v>
      </c>
      <c r="M971" s="10">
        <v>25</v>
      </c>
      <c r="N971" s="30"/>
      <c r="O971" s="31"/>
      <c r="P971" s="47"/>
      <c r="Q971" s="31"/>
      <c r="R971" s="31"/>
      <c r="S971" s="32">
        <f t="shared" si="257"/>
        <v>0</v>
      </c>
      <c r="T971" s="10"/>
      <c r="U971" s="10"/>
      <c r="V971" s="10"/>
      <c r="W971" s="12">
        <f t="shared" si="258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59"/>
        <v>0</v>
      </c>
      <c r="AF971" s="10"/>
      <c r="AG971" s="10"/>
      <c r="AH971" s="10"/>
      <c r="AI971" s="12">
        <f t="shared" si="260"/>
        <v>0</v>
      </c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2"/>
      <c r="D972" s="32"/>
      <c r="E972" s="32"/>
      <c r="F972" s="32"/>
      <c r="G972" s="32">
        <f t="shared" si="255"/>
        <v>0</v>
      </c>
      <c r="H972" s="10"/>
      <c r="I972" s="10"/>
      <c r="J972" s="10"/>
      <c r="K972" s="12">
        <f t="shared" si="256"/>
        <v>0</v>
      </c>
      <c r="M972" s="10">
        <v>26</v>
      </c>
      <c r="N972" s="30"/>
      <c r="O972" s="31"/>
      <c r="P972" s="47"/>
      <c r="Q972" s="31"/>
      <c r="R972" s="31"/>
      <c r="S972" s="32">
        <f t="shared" si="257"/>
        <v>0</v>
      </c>
      <c r="T972" s="10"/>
      <c r="U972" s="10"/>
      <c r="V972" s="10"/>
      <c r="W972" s="12">
        <f t="shared" si="258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59"/>
        <v>0</v>
      </c>
      <c r="AF972" s="10"/>
      <c r="AG972" s="10"/>
      <c r="AH972" s="10"/>
      <c r="AI972" s="12">
        <f t="shared" si="260"/>
        <v>0</v>
      </c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2"/>
      <c r="D973" s="32"/>
      <c r="E973" s="32"/>
      <c r="F973" s="32"/>
      <c r="G973" s="32">
        <f t="shared" si="255"/>
        <v>0</v>
      </c>
      <c r="H973" s="10"/>
      <c r="I973" s="10"/>
      <c r="J973" s="10"/>
      <c r="K973" s="12">
        <f t="shared" si="256"/>
        <v>0</v>
      </c>
      <c r="M973" s="10">
        <v>27</v>
      </c>
      <c r="N973" s="30"/>
      <c r="O973" s="31"/>
      <c r="P973" s="47"/>
      <c r="Q973" s="31"/>
      <c r="R973" s="31"/>
      <c r="S973" s="32">
        <f t="shared" si="257"/>
        <v>0</v>
      </c>
      <c r="T973" s="10"/>
      <c r="U973" s="10"/>
      <c r="V973" s="10"/>
      <c r="W973" s="12">
        <f t="shared" si="258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59"/>
        <v>0</v>
      </c>
      <c r="AF973" s="10"/>
      <c r="AG973" s="10"/>
      <c r="AH973" s="10"/>
      <c r="AI973" s="12">
        <f t="shared" si="260"/>
        <v>0</v>
      </c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2"/>
      <c r="D974" s="32"/>
      <c r="E974" s="32"/>
      <c r="F974" s="32"/>
      <c r="G974" s="32">
        <f t="shared" si="255"/>
        <v>0</v>
      </c>
      <c r="H974" s="10"/>
      <c r="I974" s="10"/>
      <c r="J974" s="10"/>
      <c r="K974" s="12">
        <f t="shared" si="256"/>
        <v>0</v>
      </c>
      <c r="M974" s="10">
        <v>28</v>
      </c>
      <c r="N974" s="30"/>
      <c r="O974" s="31"/>
      <c r="P974" s="47"/>
      <c r="Q974" s="31"/>
      <c r="R974" s="31"/>
      <c r="S974" s="32">
        <f t="shared" si="257"/>
        <v>0</v>
      </c>
      <c r="T974" s="10"/>
      <c r="U974" s="10"/>
      <c r="V974" s="10"/>
      <c r="W974" s="12">
        <f t="shared" si="258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59"/>
        <v>0</v>
      </c>
      <c r="AF974" s="10"/>
      <c r="AG974" s="10"/>
      <c r="AH974" s="10"/>
      <c r="AI974" s="12">
        <f t="shared" si="260"/>
        <v>0</v>
      </c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2"/>
      <c r="D975" s="32"/>
      <c r="E975" s="32"/>
      <c r="F975" s="32"/>
      <c r="G975" s="32">
        <f t="shared" si="255"/>
        <v>0</v>
      </c>
      <c r="H975" s="10"/>
      <c r="I975" s="10"/>
      <c r="J975" s="10"/>
      <c r="K975" s="12">
        <f t="shared" si="256"/>
        <v>0</v>
      </c>
      <c r="M975" s="10">
        <v>29</v>
      </c>
      <c r="N975" s="30"/>
      <c r="O975" s="31"/>
      <c r="P975" s="47"/>
      <c r="Q975" s="31"/>
      <c r="R975" s="31"/>
      <c r="S975" s="32">
        <f t="shared" si="257"/>
        <v>0</v>
      </c>
      <c r="T975" s="10"/>
      <c r="U975" s="10"/>
      <c r="V975" s="10"/>
      <c r="W975" s="12">
        <f t="shared" si="258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59"/>
        <v>0</v>
      </c>
      <c r="AF975" s="10"/>
      <c r="AG975" s="10"/>
      <c r="AH975" s="10"/>
      <c r="AI975" s="12">
        <f t="shared" si="260"/>
        <v>0</v>
      </c>
      <c r="AK975" s="62"/>
      <c r="AL975" s="66"/>
      <c r="AM975" s="85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2"/>
      <c r="D976" s="32"/>
      <c r="E976" s="32"/>
      <c r="F976" s="32"/>
      <c r="G976" s="32">
        <f t="shared" si="255"/>
        <v>0</v>
      </c>
      <c r="H976" s="10"/>
      <c r="I976" s="10"/>
      <c r="J976" s="10"/>
      <c r="K976" s="12">
        <f t="shared" si="256"/>
        <v>0</v>
      </c>
      <c r="M976" s="10">
        <v>30</v>
      </c>
      <c r="N976" s="30"/>
      <c r="O976" s="31"/>
      <c r="P976" s="47"/>
      <c r="Q976" s="31"/>
      <c r="R976" s="31"/>
      <c r="S976" s="32">
        <f t="shared" si="257"/>
        <v>0</v>
      </c>
      <c r="T976" s="10"/>
      <c r="U976" s="10"/>
      <c r="V976" s="10"/>
      <c r="W976" s="12">
        <f t="shared" si="258"/>
        <v>0</v>
      </c>
      <c r="Y976" s="10">
        <v>30</v>
      </c>
      <c r="Z976" s="30"/>
      <c r="AB976" s="47"/>
      <c r="AC976" s="31"/>
      <c r="AD976" s="31"/>
      <c r="AE976" s="32">
        <f t="shared" si="259"/>
        <v>0</v>
      </c>
      <c r="AF976" s="10"/>
      <c r="AG976" s="10"/>
      <c r="AH976" s="10"/>
      <c r="AI976" s="12">
        <f t="shared" si="260"/>
        <v>0</v>
      </c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2"/>
      <c r="D977" s="32"/>
      <c r="E977" s="32"/>
      <c r="F977" s="32"/>
      <c r="G977" s="32">
        <f t="shared" si="255"/>
        <v>0</v>
      </c>
      <c r="H977" s="10"/>
      <c r="I977" s="10"/>
      <c r="J977" s="10"/>
      <c r="K977" s="12">
        <f t="shared" si="256"/>
        <v>0</v>
      </c>
      <c r="M977" s="10">
        <v>31</v>
      </c>
      <c r="N977" s="30"/>
      <c r="O977" s="31"/>
      <c r="P977" s="47"/>
      <c r="Q977" s="31"/>
      <c r="R977" s="31"/>
      <c r="S977" s="32">
        <f t="shared" si="257"/>
        <v>0</v>
      </c>
      <c r="T977" s="10"/>
      <c r="U977" s="10"/>
      <c r="V977" s="10"/>
      <c r="W977" s="12">
        <f t="shared" si="258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59"/>
        <v>0</v>
      </c>
      <c r="AF977" s="10"/>
      <c r="AG977" s="10"/>
      <c r="AH977" s="10"/>
      <c r="AI977" s="12">
        <f t="shared" si="260"/>
        <v>0</v>
      </c>
      <c r="AK977" s="62"/>
      <c r="AL977" s="66"/>
      <c r="AM977" s="62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2"/>
      <c r="D978" s="32"/>
      <c r="E978" s="32"/>
      <c r="F978" s="32"/>
      <c r="G978" s="32">
        <f t="shared" si="255"/>
        <v>0</v>
      </c>
      <c r="H978" s="10"/>
      <c r="I978" s="10"/>
      <c r="J978" s="10"/>
      <c r="K978" s="12">
        <f t="shared" si="256"/>
        <v>0</v>
      </c>
      <c r="M978" s="10">
        <v>32</v>
      </c>
      <c r="N978" s="30"/>
      <c r="O978" s="31"/>
      <c r="P978" s="47"/>
      <c r="Q978" s="31"/>
      <c r="R978" s="31"/>
      <c r="S978" s="32">
        <f t="shared" si="257"/>
        <v>0</v>
      </c>
      <c r="T978" s="10"/>
      <c r="U978" s="10"/>
      <c r="V978" s="10"/>
      <c r="W978" s="12">
        <f t="shared" si="258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59"/>
        <v>0</v>
      </c>
      <c r="AF978" s="10"/>
      <c r="AG978" s="10"/>
      <c r="AH978" s="10"/>
      <c r="AI978" s="12">
        <f t="shared" si="260"/>
        <v>0</v>
      </c>
      <c r="AK978" s="62"/>
      <c r="AL978" s="66"/>
      <c r="AM978" s="85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2"/>
      <c r="D979" s="32"/>
      <c r="E979" s="32"/>
      <c r="F979" s="32"/>
      <c r="G979" s="32">
        <f t="shared" si="255"/>
        <v>0</v>
      </c>
      <c r="H979" s="10"/>
      <c r="I979" s="10"/>
      <c r="J979" s="10"/>
      <c r="K979" s="12">
        <f t="shared" si="256"/>
        <v>0</v>
      </c>
      <c r="M979" s="10">
        <v>33</v>
      </c>
      <c r="N979" s="30"/>
      <c r="O979" s="31"/>
      <c r="P979" s="47"/>
      <c r="Q979" s="31"/>
      <c r="R979" s="31"/>
      <c r="S979" s="32">
        <f t="shared" si="257"/>
        <v>0</v>
      </c>
      <c r="T979" s="10"/>
      <c r="U979" s="10"/>
      <c r="V979" s="10"/>
      <c r="W979" s="12">
        <f t="shared" si="258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59"/>
        <v>0</v>
      </c>
      <c r="AF979" s="10"/>
      <c r="AG979" s="10"/>
      <c r="AH979" s="10"/>
      <c r="AI979" s="12">
        <f t="shared" si="260"/>
        <v>0</v>
      </c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2"/>
      <c r="D980" s="32"/>
      <c r="E980" s="32"/>
      <c r="F980" s="32"/>
      <c r="G980" s="32">
        <f t="shared" si="255"/>
        <v>0</v>
      </c>
      <c r="H980" s="10"/>
      <c r="I980" s="10"/>
      <c r="J980" s="10"/>
      <c r="K980" s="12">
        <f t="shared" si="256"/>
        <v>0</v>
      </c>
      <c r="M980" s="10">
        <v>34</v>
      </c>
      <c r="N980" s="30"/>
      <c r="O980" s="31"/>
      <c r="P980" s="47"/>
      <c r="Q980" s="31"/>
      <c r="R980" s="31"/>
      <c r="S980" s="32">
        <f t="shared" si="257"/>
        <v>0</v>
      </c>
      <c r="T980" s="10"/>
      <c r="U980" s="10"/>
      <c r="V980" s="10"/>
      <c r="W980" s="12">
        <f t="shared" si="258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59"/>
        <v>0</v>
      </c>
      <c r="AF980" s="10"/>
      <c r="AG980" s="10"/>
      <c r="AH980" s="10"/>
      <c r="AI980" s="12">
        <f t="shared" si="260"/>
        <v>0</v>
      </c>
      <c r="AK980" s="62"/>
      <c r="AL980" s="66"/>
      <c r="AM980" s="62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P981" s="47"/>
      <c r="Q981" s="31"/>
      <c r="R981" s="31"/>
      <c r="S981" s="32">
        <f t="shared" si="257"/>
        <v>0</v>
      </c>
      <c r="T981" s="10"/>
      <c r="U981" s="10"/>
      <c r="V981" s="10"/>
      <c r="W981" s="12">
        <f t="shared" si="258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59"/>
        <v>0</v>
      </c>
      <c r="AF981" s="10"/>
      <c r="AG981" s="10"/>
      <c r="AH981" s="10"/>
      <c r="AI981" s="12">
        <f t="shared" si="260"/>
        <v>0</v>
      </c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57"/>
        <v>0</v>
      </c>
      <c r="T982" s="10"/>
      <c r="U982" s="10"/>
      <c r="V982" s="10"/>
      <c r="W982" s="12">
        <f t="shared" si="258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59"/>
        <v>0</v>
      </c>
      <c r="AF982" s="10"/>
      <c r="AG982" s="10"/>
      <c r="AH982" s="10"/>
      <c r="AI982" s="12">
        <f t="shared" si="260"/>
        <v>0</v>
      </c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O983" s="31"/>
      <c r="P983" s="47"/>
      <c r="Q983" s="31"/>
      <c r="R983" s="31"/>
      <c r="S983" s="32">
        <f t="shared" si="257"/>
        <v>0</v>
      </c>
      <c r="T983" s="10"/>
      <c r="U983" s="10"/>
      <c r="V983" s="10"/>
      <c r="W983" s="12">
        <f t="shared" si="258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59"/>
        <v>0</v>
      </c>
      <c r="AF983" s="10"/>
      <c r="AG983" s="10"/>
      <c r="AH983" s="10"/>
      <c r="AI983" s="12">
        <f t="shared" si="260"/>
        <v>0</v>
      </c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57"/>
        <v>0</v>
      </c>
      <c r="T984" s="10"/>
      <c r="U984" s="10"/>
      <c r="V984" s="10"/>
      <c r="W984" s="12">
        <f t="shared" si="258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59"/>
        <v>0</v>
      </c>
      <c r="AF984" s="10"/>
      <c r="AG984" s="10"/>
      <c r="AH984" s="10"/>
      <c r="AI984" s="12">
        <f t="shared" si="260"/>
        <v>0</v>
      </c>
      <c r="AK984" s="62"/>
      <c r="AL984" s="66"/>
      <c r="AM984" s="85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57"/>
        <v>0</v>
      </c>
      <c r="T985" s="10"/>
      <c r="U985" s="10"/>
      <c r="V985" s="10"/>
      <c r="W985" s="12">
        <f t="shared" si="258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59"/>
        <v>0</v>
      </c>
      <c r="AF985" s="10"/>
      <c r="AG985" s="10"/>
      <c r="AH985" s="10"/>
      <c r="AI985" s="12">
        <f t="shared" si="260"/>
        <v>0</v>
      </c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58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0"/>
        <v>0</v>
      </c>
      <c r="AK986" s="62"/>
      <c r="AL986" s="66"/>
      <c r="AM986" s="62"/>
      <c r="AN986" s="69"/>
      <c r="AO986" s="85"/>
      <c r="AP986" s="85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64">SUM(D987:E987)</f>
        <v>0</v>
      </c>
      <c r="H987" s="10"/>
      <c r="I987" s="10"/>
      <c r="J987" s="10"/>
      <c r="K987" s="12">
        <f t="shared" ref="K987" si="265">SUM(G987:J987)</f>
        <v>0</v>
      </c>
      <c r="M987" s="10"/>
      <c r="N987" s="30"/>
      <c r="O987" s="31"/>
      <c r="P987" s="47"/>
      <c r="Q987" s="31"/>
      <c r="R987" s="31"/>
      <c r="S987" s="32">
        <f t="shared" ref="S987" si="266">SUM(P987:Q987)</f>
        <v>0</v>
      </c>
      <c r="T987" s="10"/>
      <c r="U987" s="10"/>
      <c r="V987" s="10"/>
      <c r="W987" s="12">
        <f t="shared" si="258"/>
        <v>0</v>
      </c>
      <c r="Y987" s="10"/>
      <c r="Z987" s="30"/>
      <c r="AA987" s="31"/>
      <c r="AB987" s="47"/>
      <c r="AC987" s="31"/>
      <c r="AD987" s="31"/>
      <c r="AE987" s="32">
        <f t="shared" ref="AE987" si="267">SUM(AB987:AC987)</f>
        <v>0</v>
      </c>
      <c r="AF987" s="10"/>
      <c r="AG987" s="10"/>
      <c r="AH987" s="10"/>
      <c r="AI987" s="12">
        <f t="shared" si="260"/>
        <v>0</v>
      </c>
      <c r="AK987" s="62"/>
      <c r="AL987" s="66"/>
      <c r="AM987" s="85"/>
      <c r="AN987" s="69"/>
      <c r="AO987" s="85"/>
      <c r="AP987" s="85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58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0"/>
        <v>0</v>
      </c>
      <c r="AK988" s="62"/>
      <c r="AL988" s="85"/>
      <c r="AM988" s="85"/>
      <c r="AN988" s="85"/>
      <c r="AO988" s="85"/>
      <c r="AP988" s="85"/>
      <c r="AQ988" s="85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5"/>
      <c r="AM989" s="85"/>
      <c r="AN989" s="85"/>
      <c r="AO989" s="85"/>
      <c r="AP989" s="85"/>
      <c r="AQ989" s="85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302725</v>
      </c>
      <c r="E990" s="38">
        <f t="shared" ref="E990:F990" si="268">SUM(E947:E987)</f>
        <v>-2592</v>
      </c>
      <c r="F990" s="38">
        <f t="shared" si="268"/>
        <v>0</v>
      </c>
      <c r="G990" s="38">
        <f>SUM(G947:G989)</f>
        <v>300133</v>
      </c>
      <c r="H990" s="4"/>
      <c r="I990" s="39">
        <f>SUM(I947:I989)</f>
        <v>3762</v>
      </c>
      <c r="J990" s="39">
        <f>SUM(J947:J989)</f>
        <v>-3219</v>
      </c>
      <c r="K990" s="40">
        <f>SUM(K947:K989)</f>
        <v>300676</v>
      </c>
      <c r="N990" s="57"/>
      <c r="O990" s="57"/>
      <c r="P990" s="38">
        <f>SUM(P947:P989)</f>
        <v>248605.5</v>
      </c>
      <c r="Q990" s="38">
        <f>SUM(Q947:Q971)</f>
        <v>-2064</v>
      </c>
      <c r="R990" s="38">
        <f>SUM(R947:R971)</f>
        <v>0</v>
      </c>
      <c r="S990" s="38">
        <f>SUM(S947:S989)</f>
        <v>246541.5</v>
      </c>
      <c r="T990" s="4"/>
      <c r="U990" s="41">
        <f>SUM(U947:U989)</f>
        <v>388.5</v>
      </c>
      <c r="V990" s="41">
        <f>SUM(V947:V971)</f>
        <v>-5220</v>
      </c>
      <c r="W990" s="42">
        <f>SUM(W947:W989)</f>
        <v>241710</v>
      </c>
      <c r="Z990" s="57"/>
      <c r="AA990" s="57"/>
      <c r="AB990" s="38">
        <f>SUM(AB947:AB989)</f>
        <v>309410</v>
      </c>
      <c r="AC990" s="38">
        <f>SUM(AC947:AC971)</f>
        <v>0</v>
      </c>
      <c r="AD990" s="38">
        <f>SUM(AD947:AD971)</f>
        <v>0</v>
      </c>
      <c r="AE990" s="38">
        <f>SUM(AE947:AE989)</f>
        <v>309410</v>
      </c>
      <c r="AF990" s="4"/>
      <c r="AG990" s="41">
        <f>SUM(AG947:AG989)</f>
        <v>996</v>
      </c>
      <c r="AH990" s="41">
        <f>SUM(AH947:AH971)</f>
        <v>0</v>
      </c>
      <c r="AI990" s="42">
        <f>SUM(AI947:AI989)</f>
        <v>310406</v>
      </c>
      <c r="AK990" s="62"/>
      <c r="AL990" s="85"/>
      <c r="AM990" s="85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5"/>
      <c r="C992" s="85"/>
      <c r="D992" s="85"/>
      <c r="E992" s="85"/>
      <c r="F992" s="85"/>
      <c r="G992" s="85"/>
      <c r="H992" s="62"/>
      <c r="I992" s="62"/>
      <c r="J992" s="62"/>
      <c r="K992" s="62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5"/>
      <c r="C993" s="85"/>
      <c r="D993" s="85"/>
      <c r="E993" s="85"/>
      <c r="F993" s="85"/>
      <c r="G993" s="85"/>
      <c r="H993" s="62"/>
      <c r="I993" s="62"/>
      <c r="J993" s="62"/>
      <c r="K993" s="62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5"/>
      <c r="C994" s="85"/>
      <c r="D994" s="85"/>
      <c r="E994" s="85"/>
      <c r="F994" s="85"/>
      <c r="G994" s="85"/>
      <c r="H994" s="62"/>
      <c r="I994" s="62"/>
      <c r="J994" s="62"/>
      <c r="K994" s="62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5"/>
      <c r="C995" s="85"/>
      <c r="D995" s="85"/>
      <c r="E995" s="85"/>
      <c r="F995" s="85"/>
      <c r="G995" s="85"/>
      <c r="H995" s="62"/>
      <c r="I995" s="62"/>
      <c r="J995" s="62"/>
      <c r="K995" s="62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5"/>
      <c r="C996" s="85"/>
      <c r="D996" s="85"/>
      <c r="E996" s="85"/>
      <c r="F996" s="85"/>
      <c r="G996" s="85"/>
      <c r="H996" s="62"/>
      <c r="I996" s="62"/>
      <c r="J996" s="62"/>
      <c r="K996" s="62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5"/>
      <c r="C997" s="85"/>
      <c r="D997" s="85"/>
      <c r="E997" s="85"/>
      <c r="F997" s="85"/>
      <c r="G997" s="85"/>
      <c r="H997" s="62"/>
      <c r="I997" s="85"/>
      <c r="J997" s="73"/>
      <c r="K997" s="62"/>
      <c r="M997" t="s">
        <v>44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5"/>
      <c r="C998" s="85"/>
      <c r="D998" s="85"/>
      <c r="E998" s="85"/>
      <c r="F998" s="85"/>
      <c r="G998" s="85"/>
      <c r="H998" s="62"/>
      <c r="I998" s="65"/>
      <c r="J998" s="65"/>
      <c r="K998" s="62"/>
      <c r="M998" s="21" t="s">
        <v>90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33</v>
      </c>
      <c r="W998" s="24"/>
      <c r="Y998" s="21" t="s">
        <v>90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88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5"/>
      <c r="C999" s="85"/>
      <c r="D999" s="85"/>
      <c r="E999" s="85"/>
      <c r="F999" s="85"/>
      <c r="G999" s="85"/>
      <c r="H999" s="62"/>
      <c r="I999" s="62"/>
      <c r="J999" s="62"/>
      <c r="K999" s="62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5"/>
      <c r="D1000" s="122"/>
      <c r="E1000" s="122"/>
      <c r="F1000" s="85"/>
      <c r="G1000" s="85"/>
      <c r="H1000" s="62"/>
      <c r="I1000" s="122"/>
      <c r="J1000" s="122"/>
      <c r="K1000" s="121"/>
      <c r="N1000" s="25"/>
      <c r="O1000" s="26"/>
      <c r="P1000" s="120" t="s">
        <v>17</v>
      </c>
      <c r="Q1000" s="120"/>
      <c r="R1000" s="108"/>
      <c r="S1000" s="27"/>
      <c r="U1000" s="118" t="s">
        <v>18</v>
      </c>
      <c r="V1000" s="119"/>
      <c r="W1000" s="116" t="s">
        <v>19</v>
      </c>
      <c r="Z1000" s="25"/>
      <c r="AA1000" s="26"/>
      <c r="AB1000" s="120" t="s">
        <v>17</v>
      </c>
      <c r="AC1000" s="120"/>
      <c r="AD1000" s="108"/>
      <c r="AE1000" s="27"/>
      <c r="AG1000" s="118" t="s">
        <v>18</v>
      </c>
      <c r="AH1000" s="119"/>
      <c r="AI1000" s="116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85"/>
      <c r="C1001" s="85"/>
      <c r="D1001" s="79"/>
      <c r="E1001" s="80"/>
      <c r="F1001" s="81"/>
      <c r="G1001" s="81"/>
      <c r="H1001" s="62"/>
      <c r="I1001" s="84"/>
      <c r="J1001" s="84"/>
      <c r="K1001" s="121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32</v>
      </c>
      <c r="S1001" s="78" t="s">
        <v>24</v>
      </c>
      <c r="U1001" s="29" t="s">
        <v>25</v>
      </c>
      <c r="V1001" s="29" t="s">
        <v>26</v>
      </c>
      <c r="W1001" s="117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7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3"/>
      <c r="D1002" s="60"/>
      <c r="E1002" s="60"/>
      <c r="F1002" s="60"/>
      <c r="G1002" s="60"/>
      <c r="H1002" s="61"/>
      <c r="I1002" s="61"/>
      <c r="J1002" s="61"/>
      <c r="K1002" s="61"/>
      <c r="M1002" s="10">
        <v>1</v>
      </c>
      <c r="N1002" s="30" t="s">
        <v>91</v>
      </c>
      <c r="O1002" s="31">
        <v>9749</v>
      </c>
      <c r="P1002" s="32">
        <f>650*216+229*9</f>
        <v>142461</v>
      </c>
      <c r="Q1002" s="32">
        <f>-216*6</f>
        <v>-1296</v>
      </c>
      <c r="R1002" s="32"/>
      <c r="S1002" s="32">
        <f>SUM(P1002:Q1002)</f>
        <v>141165</v>
      </c>
      <c r="T1002" s="12"/>
      <c r="U1002" s="12">
        <f>71*111+78*8</f>
        <v>8505</v>
      </c>
      <c r="V1002" s="12">
        <v>-1680</v>
      </c>
      <c r="W1002" s="12">
        <f>SUM(S1002:V1002)</f>
        <v>147990</v>
      </c>
      <c r="Y1002" s="10">
        <v>1</v>
      </c>
      <c r="Z1002" s="30" t="s">
        <v>91</v>
      </c>
      <c r="AA1002" s="31">
        <v>9699</v>
      </c>
      <c r="AB1002" s="32">
        <f>650*166+622*50+229*10</f>
        <v>141290</v>
      </c>
      <c r="AC1002" s="32"/>
      <c r="AD1002" s="32"/>
      <c r="AE1002" s="32">
        <f>SUM(AB1002:AC1002)</f>
        <v>141290</v>
      </c>
      <c r="AF1002" s="12"/>
      <c r="AG1002" s="12">
        <f>54*111+1.5*206+4.5*84</f>
        <v>6681</v>
      </c>
      <c r="AH1002" s="12"/>
      <c r="AI1002" s="12">
        <f>SUM(AE1002:AH1002)</f>
        <v>147971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5"/>
      <c r="D1003" s="60"/>
      <c r="E1003" s="60"/>
      <c r="F1003" s="60"/>
      <c r="G1003" s="60"/>
      <c r="H1003" s="61"/>
      <c r="I1003" s="61"/>
      <c r="J1003" s="61"/>
      <c r="K1003" s="61"/>
      <c r="M1003" s="10">
        <v>2</v>
      </c>
      <c r="N1003" s="30" t="s">
        <v>91</v>
      </c>
      <c r="O1003" s="31">
        <f>O1002+1</f>
        <v>9750</v>
      </c>
      <c r="P1003" s="32">
        <f>650*39+670*2</f>
        <v>26690</v>
      </c>
      <c r="Q1003" s="32"/>
      <c r="R1003" s="32"/>
      <c r="S1003" s="32">
        <f t="shared" ref="S1003:S1040" si="269">SUM(P1003:Q1003)</f>
        <v>26690</v>
      </c>
      <c r="T1003" s="12"/>
      <c r="U1003" s="12">
        <f>4.5*19+2.25*3</f>
        <v>92.25</v>
      </c>
      <c r="V1003" s="12"/>
      <c r="W1003" s="12">
        <f t="shared" ref="W1003:W1043" si="270">SUM(S1003:V1003)</f>
        <v>26782.25</v>
      </c>
      <c r="Y1003" s="10">
        <v>2</v>
      </c>
      <c r="Z1003" s="30" t="s">
        <v>91</v>
      </c>
      <c r="AA1003" s="31">
        <f>AA1002+1</f>
        <v>9700</v>
      </c>
      <c r="AB1003" s="32">
        <f>650*245+622*25+229*7</f>
        <v>176403</v>
      </c>
      <c r="AC1003" s="32">
        <f>-270*6</f>
        <v>-1620</v>
      </c>
      <c r="AD1003" s="32"/>
      <c r="AE1003" s="32">
        <f t="shared" ref="AE1003:AE1040" si="271">SUM(AB1003:AC1003)</f>
        <v>174783</v>
      </c>
      <c r="AF1003" s="12"/>
      <c r="AG1003" s="12">
        <f>78*2+1.5*61</f>
        <v>247.5</v>
      </c>
      <c r="AH1003" s="12"/>
      <c r="AI1003" s="12">
        <f t="shared" ref="AI1003:AI1043" si="272">SUM(AE1003:AH1003)</f>
        <v>175030.5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5"/>
      <c r="D1004" s="60"/>
      <c r="E1004" s="60"/>
      <c r="F1004" s="60"/>
      <c r="G1004" s="60"/>
      <c r="H1004" s="61"/>
      <c r="I1004" s="61"/>
      <c r="J1004" s="61"/>
      <c r="K1004" s="61"/>
      <c r="M1004" s="10">
        <v>3</v>
      </c>
      <c r="N1004" s="30" t="s">
        <v>91</v>
      </c>
      <c r="O1004" s="31">
        <v>9851</v>
      </c>
      <c r="P1004" s="32">
        <f>650*20+9.5*20</f>
        <v>13190</v>
      </c>
      <c r="Q1004" s="32"/>
      <c r="R1004" s="32"/>
      <c r="S1004" s="32">
        <f t="shared" si="269"/>
        <v>13190</v>
      </c>
      <c r="T1004" s="12"/>
      <c r="U1004" s="12">
        <v>30</v>
      </c>
      <c r="V1004" s="12"/>
      <c r="W1004" s="12">
        <f t="shared" si="270"/>
        <v>13220</v>
      </c>
      <c r="Y1004" s="10">
        <v>3</v>
      </c>
      <c r="Z1004" s="30" t="s">
        <v>91</v>
      </c>
      <c r="AA1004" s="31">
        <v>9758</v>
      </c>
      <c r="AB1004" s="33">
        <f>650*29+872</f>
        <v>19722</v>
      </c>
      <c r="AC1004" s="33"/>
      <c r="AD1004" s="32"/>
      <c r="AE1004" s="32">
        <f t="shared" si="271"/>
        <v>19722</v>
      </c>
      <c r="AF1004" s="12"/>
      <c r="AG1004" s="12"/>
      <c r="AH1004" s="12"/>
      <c r="AI1004" s="12">
        <f t="shared" si="272"/>
        <v>19722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5"/>
      <c r="D1005" s="60"/>
      <c r="E1005" s="60"/>
      <c r="F1005" s="60"/>
      <c r="G1005" s="60"/>
      <c r="H1005" s="61"/>
      <c r="I1005" s="61"/>
      <c r="J1005" s="61"/>
      <c r="K1005" s="61"/>
      <c r="M1005" s="10">
        <v>4</v>
      </c>
      <c r="N1005" s="30" t="s">
        <v>91</v>
      </c>
      <c r="O1005" s="31">
        <f t="shared" ref="O1005:O1006" si="273">O1004+1</f>
        <v>9852</v>
      </c>
      <c r="P1005" s="32">
        <f>650*20+9.5*20</f>
        <v>13190</v>
      </c>
      <c r="Q1005" s="32"/>
      <c r="R1005" s="32"/>
      <c r="S1005" s="32">
        <f t="shared" si="269"/>
        <v>13190</v>
      </c>
      <c r="T1005" s="12"/>
      <c r="U1005" s="12"/>
      <c r="V1005" s="12">
        <v>-777</v>
      </c>
      <c r="W1005" s="12">
        <f t="shared" si="270"/>
        <v>12413</v>
      </c>
      <c r="Y1005" s="10">
        <v>4</v>
      </c>
      <c r="Z1005" s="30" t="s">
        <v>91</v>
      </c>
      <c r="AA1005" s="31">
        <f t="shared" ref="AA1005:AA1007" si="274">AA1004+1</f>
        <v>9759</v>
      </c>
      <c r="AB1005" s="32">
        <f>650*14+670</f>
        <v>9770</v>
      </c>
      <c r="AC1005" s="32"/>
      <c r="AD1005" s="32"/>
      <c r="AE1005" s="32">
        <f t="shared" si="271"/>
        <v>9770</v>
      </c>
      <c r="AF1005" s="12"/>
      <c r="AG1005" s="58"/>
      <c r="AH1005" s="12"/>
      <c r="AI1005" s="12">
        <f t="shared" si="272"/>
        <v>9770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5"/>
      <c r="D1006" s="60"/>
      <c r="E1006" s="60"/>
      <c r="F1006" s="60"/>
      <c r="G1006" s="60"/>
      <c r="H1006" s="61"/>
      <c r="I1006" s="61"/>
      <c r="J1006" s="61"/>
      <c r="K1006" s="61"/>
      <c r="M1006" s="10">
        <v>5</v>
      </c>
      <c r="N1006" s="30" t="s">
        <v>91</v>
      </c>
      <c r="O1006" s="31">
        <f t="shared" si="273"/>
        <v>9853</v>
      </c>
      <c r="P1006" s="32">
        <f>650*3+670</f>
        <v>2620</v>
      </c>
      <c r="Q1006" s="32"/>
      <c r="R1006" s="32"/>
      <c r="S1006" s="32">
        <f t="shared" si="269"/>
        <v>2620</v>
      </c>
      <c r="T1006" s="12"/>
      <c r="U1006" s="12"/>
      <c r="V1006" s="12"/>
      <c r="W1006" s="12">
        <f t="shared" si="270"/>
        <v>2620</v>
      </c>
      <c r="Y1006" s="10">
        <v>5</v>
      </c>
      <c r="Z1006" s="30" t="s">
        <v>91</v>
      </c>
      <c r="AA1006" s="31">
        <f t="shared" si="274"/>
        <v>9760</v>
      </c>
      <c r="AB1006" s="32">
        <f>650*15+670+872*2+500</f>
        <v>12664</v>
      </c>
      <c r="AC1006" s="32"/>
      <c r="AD1006" s="32"/>
      <c r="AE1006" s="32">
        <f t="shared" si="271"/>
        <v>12664</v>
      </c>
      <c r="AF1006" s="12"/>
      <c r="AG1006" s="12"/>
      <c r="AH1006" s="12">
        <v>-1776</v>
      </c>
      <c r="AI1006" s="12">
        <f t="shared" si="272"/>
        <v>10888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5"/>
      <c r="D1007" s="60"/>
      <c r="E1007" s="60"/>
      <c r="F1007" s="60"/>
      <c r="G1007" s="60"/>
      <c r="H1007" s="61"/>
      <c r="I1007" s="61"/>
      <c r="J1007" s="61"/>
      <c r="K1007" s="61"/>
      <c r="M1007" s="10">
        <v>6</v>
      </c>
      <c r="N1007" s="30"/>
      <c r="O1007" s="11" t="s">
        <v>27</v>
      </c>
      <c r="P1007" s="32"/>
      <c r="Q1007" s="32"/>
      <c r="R1007" s="32"/>
      <c r="S1007" s="32">
        <f t="shared" si="269"/>
        <v>0</v>
      </c>
      <c r="T1007" s="12"/>
      <c r="U1007" s="12"/>
      <c r="V1007" s="10"/>
      <c r="W1007" s="12">
        <f t="shared" si="270"/>
        <v>0</v>
      </c>
      <c r="Y1007" s="10">
        <v>6</v>
      </c>
      <c r="Z1007" s="30" t="s">
        <v>91</v>
      </c>
      <c r="AA1007" s="31">
        <f t="shared" si="274"/>
        <v>9761</v>
      </c>
      <c r="AB1007" s="32">
        <f>650*10</f>
        <v>6500</v>
      </c>
      <c r="AC1007" s="32">
        <f>-10*6</f>
        <v>-60</v>
      </c>
      <c r="AD1007" s="32"/>
      <c r="AE1007" s="32">
        <f t="shared" si="271"/>
        <v>6440</v>
      </c>
      <c r="AF1007" s="12"/>
      <c r="AG1007" s="12"/>
      <c r="AH1007" s="10"/>
      <c r="AI1007" s="12">
        <f t="shared" si="272"/>
        <v>6440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5"/>
      <c r="D1008" s="60"/>
      <c r="E1008" s="60"/>
      <c r="F1008" s="60"/>
      <c r="G1008" s="60"/>
      <c r="H1008" s="61"/>
      <c r="I1008" s="61"/>
      <c r="J1008" s="61"/>
      <c r="K1008" s="61"/>
      <c r="M1008" s="10">
        <v>7</v>
      </c>
      <c r="N1008" s="30"/>
      <c r="O1008" s="31"/>
      <c r="P1008" s="32"/>
      <c r="Q1008" s="32"/>
      <c r="R1008" s="32"/>
      <c r="S1008" s="32">
        <f t="shared" si="269"/>
        <v>0</v>
      </c>
      <c r="T1008" s="12"/>
      <c r="U1008" s="12"/>
      <c r="V1008" s="12"/>
      <c r="W1008" s="12">
        <f t="shared" si="270"/>
        <v>0</v>
      </c>
      <c r="Y1008" s="10">
        <v>7</v>
      </c>
      <c r="Z1008" s="30"/>
      <c r="AA1008" s="11" t="s">
        <v>27</v>
      </c>
      <c r="AB1008" s="32"/>
      <c r="AC1008" s="32"/>
      <c r="AD1008" s="32"/>
      <c r="AE1008" s="32">
        <f t="shared" si="271"/>
        <v>0</v>
      </c>
      <c r="AF1008" s="12"/>
      <c r="AG1008" s="58"/>
      <c r="AH1008" s="12"/>
      <c r="AI1008" s="12">
        <f t="shared" si="272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5"/>
      <c r="D1009" s="60"/>
      <c r="E1009" s="60"/>
      <c r="F1009" s="60"/>
      <c r="G1009" s="60"/>
      <c r="H1009" s="61"/>
      <c r="I1009" s="61"/>
      <c r="J1009" s="61"/>
      <c r="K1009" s="61"/>
      <c r="M1009" s="10">
        <v>8</v>
      </c>
      <c r="N1009" s="30"/>
      <c r="O1009" s="11"/>
      <c r="P1009" s="32"/>
      <c r="Q1009" s="32"/>
      <c r="R1009" s="32"/>
      <c r="S1009" s="32">
        <f t="shared" si="269"/>
        <v>0</v>
      </c>
      <c r="T1009" s="12"/>
      <c r="U1009" s="12"/>
      <c r="V1009" s="12"/>
      <c r="W1009" s="12">
        <f t="shared" si="270"/>
        <v>0</v>
      </c>
      <c r="Y1009" s="10">
        <v>8</v>
      </c>
      <c r="Z1009" s="30"/>
      <c r="AA1009" s="31"/>
      <c r="AB1009" s="32"/>
      <c r="AC1009" s="32"/>
      <c r="AE1009" s="32">
        <f t="shared" si="271"/>
        <v>0</v>
      </c>
      <c r="AF1009" s="12"/>
      <c r="AG1009" s="12"/>
      <c r="AH1009" s="12"/>
      <c r="AI1009" s="12">
        <f t="shared" si="272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5"/>
      <c r="D1010" s="60"/>
      <c r="E1010" s="60"/>
      <c r="F1010" s="60"/>
      <c r="G1010" s="60"/>
      <c r="H1010" s="61"/>
      <c r="I1010" s="61"/>
      <c r="J1010" s="61"/>
      <c r="K1010" s="61"/>
      <c r="M1010" s="10">
        <v>9</v>
      </c>
      <c r="N1010" s="30"/>
      <c r="O1010" s="31"/>
      <c r="P1010" s="32"/>
      <c r="Q1010" s="32"/>
      <c r="R1010" s="32"/>
      <c r="S1010" s="32">
        <f t="shared" si="269"/>
        <v>0</v>
      </c>
      <c r="T1010" s="12"/>
      <c r="U1010" s="12"/>
      <c r="V1010" s="12"/>
      <c r="W1010" s="12">
        <f t="shared" si="270"/>
        <v>0</v>
      </c>
      <c r="Y1010" s="10">
        <v>9</v>
      </c>
      <c r="Z1010" s="30"/>
      <c r="AA1010" s="11"/>
      <c r="AB1010" s="32"/>
      <c r="AC1010" s="32"/>
      <c r="AD1010" s="32"/>
      <c r="AE1010" s="32">
        <f t="shared" si="271"/>
        <v>0</v>
      </c>
      <c r="AF1010" s="12"/>
      <c r="AH1010" s="12"/>
      <c r="AI1010" s="12">
        <f t="shared" si="272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5"/>
      <c r="D1011" s="60"/>
      <c r="E1011" s="60"/>
      <c r="F1011" s="60"/>
      <c r="G1011" s="60"/>
      <c r="H1011" s="61"/>
      <c r="I1011" s="61"/>
      <c r="J1011" s="61"/>
      <c r="K1011" s="61"/>
      <c r="M1011" s="10">
        <v>10</v>
      </c>
      <c r="N1011" s="30"/>
      <c r="O1011" s="31"/>
      <c r="P1011" s="32"/>
      <c r="Q1011" s="32"/>
      <c r="R1011" s="32"/>
      <c r="S1011" s="32">
        <f t="shared" si="269"/>
        <v>0</v>
      </c>
      <c r="T1011" s="12"/>
      <c r="U1011" s="12"/>
      <c r="V1011" s="12"/>
      <c r="W1011" s="12">
        <f t="shared" si="270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71"/>
        <v>0</v>
      </c>
      <c r="AF1011" s="12"/>
      <c r="AG1011" s="12"/>
      <c r="AH1011" s="12"/>
      <c r="AI1011" s="12">
        <f t="shared" si="272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5"/>
      <c r="D1012" s="60"/>
      <c r="E1012" s="60"/>
      <c r="F1012" s="60"/>
      <c r="G1012" s="60"/>
      <c r="H1012" s="61"/>
      <c r="I1012" s="61"/>
      <c r="J1012" s="61"/>
      <c r="K1012" s="61"/>
      <c r="M1012" s="10">
        <v>11</v>
      </c>
      <c r="N1012" s="30"/>
      <c r="O1012" s="31"/>
      <c r="P1012" s="32"/>
      <c r="Q1012" s="32"/>
      <c r="R1012" s="32"/>
      <c r="S1012" s="32">
        <f t="shared" si="269"/>
        <v>0</v>
      </c>
      <c r="T1012" s="12"/>
      <c r="U1012" s="12"/>
      <c r="V1012" s="12"/>
      <c r="W1012" s="12">
        <f t="shared" si="270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271"/>
        <v>0</v>
      </c>
      <c r="AF1012" s="12"/>
      <c r="AG1012" s="12"/>
      <c r="AH1012" s="12"/>
      <c r="AI1012" s="12">
        <f t="shared" si="272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5"/>
      <c r="D1013" s="60"/>
      <c r="E1013" s="60"/>
      <c r="F1013" s="60"/>
      <c r="G1013" s="60"/>
      <c r="H1013" s="61"/>
      <c r="I1013" s="61"/>
      <c r="J1013" s="62"/>
      <c r="K1013" s="61"/>
      <c r="M1013" s="10">
        <v>12</v>
      </c>
      <c r="N1013" s="30"/>
      <c r="O1013" s="31"/>
      <c r="P1013" s="32"/>
      <c r="Q1013" s="32"/>
      <c r="R1013" s="32"/>
      <c r="S1013" s="32">
        <f t="shared" si="269"/>
        <v>0</v>
      </c>
      <c r="T1013" s="12"/>
      <c r="U1013" s="12"/>
      <c r="V1013" s="12"/>
      <c r="W1013" s="12">
        <f t="shared" si="270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71"/>
        <v>0</v>
      </c>
      <c r="AF1013" s="12"/>
      <c r="AG1013" s="12"/>
      <c r="AH1013" s="12"/>
      <c r="AI1013" s="12">
        <f t="shared" si="272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5"/>
      <c r="D1014" s="60"/>
      <c r="E1014" s="60"/>
      <c r="F1014" s="60"/>
      <c r="G1014" s="60"/>
      <c r="H1014" s="61"/>
      <c r="I1014" s="61"/>
      <c r="J1014" s="61"/>
      <c r="K1014" s="61"/>
      <c r="M1014" s="10">
        <v>13</v>
      </c>
      <c r="N1014" s="30"/>
      <c r="O1014" s="31"/>
      <c r="P1014" s="32"/>
      <c r="Q1014" s="32"/>
      <c r="R1014" s="32"/>
      <c r="S1014" s="32">
        <f t="shared" si="269"/>
        <v>0</v>
      </c>
      <c r="T1014" s="12"/>
      <c r="U1014" s="12"/>
      <c r="V1014" s="12"/>
      <c r="W1014" s="12">
        <f t="shared" si="270"/>
        <v>0</v>
      </c>
      <c r="Y1014" s="10">
        <v>13</v>
      </c>
      <c r="Z1014" s="30"/>
      <c r="AB1014" s="32"/>
      <c r="AC1014" s="32"/>
      <c r="AD1014" s="32"/>
      <c r="AE1014" s="32">
        <f t="shared" si="271"/>
        <v>0</v>
      </c>
      <c r="AF1014" s="12"/>
      <c r="AG1014" s="12"/>
      <c r="AH1014" s="12"/>
      <c r="AI1014" s="12">
        <f t="shared" si="272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5"/>
      <c r="D1015" s="60"/>
      <c r="E1015" s="60"/>
      <c r="F1015" s="60"/>
      <c r="G1015" s="60"/>
      <c r="H1015" s="61"/>
      <c r="I1015" s="61"/>
      <c r="J1015" s="61"/>
      <c r="K1015" s="61"/>
      <c r="M1015" s="10">
        <v>14</v>
      </c>
      <c r="N1015" s="30"/>
      <c r="O1015" s="31"/>
      <c r="P1015" s="32"/>
      <c r="Q1015" s="32"/>
      <c r="R1015" s="32"/>
      <c r="S1015" s="32">
        <f t="shared" si="269"/>
        <v>0</v>
      </c>
      <c r="T1015" s="12"/>
      <c r="U1015" s="12"/>
      <c r="V1015" s="12"/>
      <c r="W1015" s="12">
        <f t="shared" si="270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71"/>
        <v>0</v>
      </c>
      <c r="AF1015" s="12"/>
      <c r="AG1015" s="12"/>
      <c r="AH1015" s="12"/>
      <c r="AI1015" s="12">
        <f t="shared" si="272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M1016" s="10">
        <v>15</v>
      </c>
      <c r="N1016" s="30"/>
      <c r="O1016" s="31"/>
      <c r="P1016" s="32"/>
      <c r="Q1016" s="32"/>
      <c r="R1016" s="32"/>
      <c r="S1016" s="32">
        <f t="shared" si="269"/>
        <v>0</v>
      </c>
      <c r="T1016" s="12"/>
      <c r="U1016" s="12"/>
      <c r="V1016" s="12"/>
      <c r="W1016" s="12">
        <f t="shared" si="270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71"/>
        <v>0</v>
      </c>
      <c r="AF1016" s="12"/>
      <c r="AG1016" s="12"/>
      <c r="AH1016" s="12"/>
      <c r="AI1016" s="12">
        <f t="shared" si="272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5"/>
      <c r="D1017" s="60"/>
      <c r="E1017" s="60"/>
      <c r="F1017" s="60"/>
      <c r="G1017" s="60"/>
      <c r="H1017" s="61"/>
      <c r="I1017" s="61"/>
      <c r="J1017" s="61"/>
      <c r="K1017" s="61"/>
      <c r="M1017" s="10">
        <v>16</v>
      </c>
      <c r="N1017" s="30"/>
      <c r="O1017" s="11"/>
      <c r="P1017" s="32"/>
      <c r="Q1017" s="32"/>
      <c r="R1017" s="32"/>
      <c r="S1017" s="32">
        <f t="shared" si="269"/>
        <v>0</v>
      </c>
      <c r="T1017" s="12"/>
      <c r="U1017" s="12"/>
      <c r="V1017" s="12"/>
      <c r="W1017" s="12">
        <f t="shared" si="270"/>
        <v>0</v>
      </c>
      <c r="Y1017" s="10">
        <v>16</v>
      </c>
      <c r="Z1017" s="30"/>
      <c r="AA1017" s="11"/>
      <c r="AB1017" s="32"/>
      <c r="AC1017" s="32"/>
      <c r="AD1017" s="32"/>
      <c r="AE1017" s="32">
        <f t="shared" si="271"/>
        <v>0</v>
      </c>
      <c r="AF1017" s="12"/>
      <c r="AG1017" s="12"/>
      <c r="AH1017" s="12"/>
      <c r="AI1017" s="12">
        <f t="shared" si="272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5"/>
      <c r="D1018" s="60"/>
      <c r="E1018" s="60"/>
      <c r="F1018" s="60"/>
      <c r="G1018" s="60"/>
      <c r="H1018" s="61"/>
      <c r="I1018" s="61"/>
      <c r="J1018" s="61"/>
      <c r="K1018" s="61"/>
      <c r="M1018" s="10">
        <v>17</v>
      </c>
      <c r="N1018" s="30"/>
      <c r="O1018" s="31"/>
      <c r="P1018" s="35"/>
      <c r="Q1018" s="32"/>
      <c r="R1018" s="32"/>
      <c r="S1018" s="32">
        <f t="shared" si="269"/>
        <v>0</v>
      </c>
      <c r="T1018" s="12"/>
      <c r="U1018" s="12"/>
      <c r="V1018" s="12"/>
      <c r="W1018" s="12">
        <f t="shared" si="270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71"/>
        <v>0</v>
      </c>
      <c r="AF1018" s="12"/>
      <c r="AG1018" s="12"/>
      <c r="AH1018" s="12"/>
      <c r="AI1018" s="12">
        <f t="shared" si="272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5"/>
      <c r="D1019" s="60"/>
      <c r="E1019" s="60"/>
      <c r="F1019" s="60"/>
      <c r="G1019" s="60"/>
      <c r="H1019" s="61"/>
      <c r="I1019" s="61"/>
      <c r="J1019" s="61"/>
      <c r="K1019" s="61"/>
      <c r="M1019" s="10">
        <v>18</v>
      </c>
      <c r="N1019" s="30"/>
      <c r="O1019" s="31"/>
      <c r="P1019" s="32"/>
      <c r="Q1019" s="32"/>
      <c r="R1019" s="32"/>
      <c r="S1019" s="32">
        <f t="shared" si="269"/>
        <v>0</v>
      </c>
      <c r="T1019" s="12"/>
      <c r="U1019" s="12"/>
      <c r="V1019" s="12"/>
      <c r="W1019" s="12">
        <f t="shared" si="270"/>
        <v>0</v>
      </c>
      <c r="Y1019" s="10">
        <v>18</v>
      </c>
      <c r="Z1019" s="30"/>
      <c r="AB1019" s="32"/>
      <c r="AC1019" s="32"/>
      <c r="AD1019" s="32"/>
      <c r="AE1019" s="32">
        <f t="shared" si="271"/>
        <v>0</v>
      </c>
      <c r="AF1019" s="12"/>
      <c r="AG1019" s="12"/>
      <c r="AH1019" s="12"/>
      <c r="AI1019" s="12">
        <f t="shared" si="272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5"/>
      <c r="D1020" s="60"/>
      <c r="E1020" s="60"/>
      <c r="F1020" s="60"/>
      <c r="G1020" s="60"/>
      <c r="H1020" s="61"/>
      <c r="I1020" s="61"/>
      <c r="J1020" s="61"/>
      <c r="K1020" s="61"/>
      <c r="M1020" s="10">
        <v>19</v>
      </c>
      <c r="N1020" s="30"/>
      <c r="O1020" s="31"/>
      <c r="P1020" s="32"/>
      <c r="Q1020" s="32"/>
      <c r="R1020" s="32"/>
      <c r="S1020" s="32">
        <f t="shared" si="269"/>
        <v>0</v>
      </c>
      <c r="T1020" s="12"/>
      <c r="U1020" s="12"/>
      <c r="V1020" s="12"/>
      <c r="W1020" s="12">
        <f t="shared" si="270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71"/>
        <v>0</v>
      </c>
      <c r="AF1020" s="12"/>
      <c r="AG1020" s="12"/>
      <c r="AH1020" s="12"/>
      <c r="AI1020" s="12">
        <f t="shared" si="272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5"/>
      <c r="D1021" s="60"/>
      <c r="E1021" s="60"/>
      <c r="F1021" s="60"/>
      <c r="G1021" s="60"/>
      <c r="H1021" s="61"/>
      <c r="I1021" s="61"/>
      <c r="J1021" s="61"/>
      <c r="K1021" s="61"/>
      <c r="M1021" s="10">
        <v>20</v>
      </c>
      <c r="N1021" s="30"/>
      <c r="O1021" s="31"/>
      <c r="P1021" s="32"/>
      <c r="Q1021" s="32"/>
      <c r="R1021" s="32"/>
      <c r="S1021" s="32">
        <f t="shared" si="269"/>
        <v>0</v>
      </c>
      <c r="T1021" s="12"/>
      <c r="U1021" s="12"/>
      <c r="V1021" s="12"/>
      <c r="W1021" s="12">
        <f t="shared" si="270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71"/>
        <v>0</v>
      </c>
      <c r="AF1021" s="12"/>
      <c r="AG1021" s="12"/>
      <c r="AH1021" s="12"/>
      <c r="AI1021" s="12">
        <f t="shared" si="272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5"/>
      <c r="D1022" s="60"/>
      <c r="E1022" s="60"/>
      <c r="F1022" s="60"/>
      <c r="G1022" s="60"/>
      <c r="H1022" s="62"/>
      <c r="I1022" s="62"/>
      <c r="J1022" s="62"/>
      <c r="K1022" s="61"/>
      <c r="M1022" s="10">
        <v>21</v>
      </c>
      <c r="N1022" s="30"/>
      <c r="O1022" s="31"/>
      <c r="P1022" s="46"/>
      <c r="Q1022" s="31"/>
      <c r="R1022" s="31"/>
      <c r="S1022" s="32">
        <f t="shared" si="269"/>
        <v>0</v>
      </c>
      <c r="T1022" s="10"/>
      <c r="U1022" s="10"/>
      <c r="V1022" s="10"/>
      <c r="W1022" s="12">
        <f t="shared" si="270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71"/>
        <v>0</v>
      </c>
      <c r="AF1022" s="10"/>
      <c r="AG1022" s="10"/>
      <c r="AH1022" s="10"/>
      <c r="AI1022" s="12">
        <f t="shared" si="272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5"/>
      <c r="D1023" s="60"/>
      <c r="E1023" s="60"/>
      <c r="F1023" s="60"/>
      <c r="G1023" s="60"/>
      <c r="H1023" s="62"/>
      <c r="I1023" s="62"/>
      <c r="J1023" s="62"/>
      <c r="K1023" s="61"/>
      <c r="M1023" s="10">
        <v>22</v>
      </c>
      <c r="N1023" s="30"/>
      <c r="O1023" s="31"/>
      <c r="P1023" s="45"/>
      <c r="Q1023" s="31"/>
      <c r="R1023" s="31"/>
      <c r="S1023" s="32">
        <f t="shared" si="269"/>
        <v>0</v>
      </c>
      <c r="T1023" s="10"/>
      <c r="U1023" s="10"/>
      <c r="V1023" s="10"/>
      <c r="W1023" s="12">
        <f t="shared" si="270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71"/>
        <v>0</v>
      </c>
      <c r="AF1023" s="10"/>
      <c r="AG1023" s="10"/>
      <c r="AH1023" s="10"/>
      <c r="AI1023" s="12">
        <f t="shared" si="272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5"/>
      <c r="D1024" s="60"/>
      <c r="E1024" s="60"/>
      <c r="F1024" s="60"/>
      <c r="G1024" s="60"/>
      <c r="H1024" s="62"/>
      <c r="I1024" s="62"/>
      <c r="J1024" s="61"/>
      <c r="K1024" s="61"/>
      <c r="M1024" s="10">
        <v>23</v>
      </c>
      <c r="N1024" s="30"/>
      <c r="O1024" s="31"/>
      <c r="P1024" s="47"/>
      <c r="Q1024" s="31"/>
      <c r="S1024" s="32">
        <f t="shared" si="269"/>
        <v>0</v>
      </c>
      <c r="T1024" s="10"/>
      <c r="U1024" s="10"/>
      <c r="V1024" s="10"/>
      <c r="W1024" s="12">
        <f t="shared" si="270"/>
        <v>0</v>
      </c>
      <c r="Y1024" s="10">
        <v>23</v>
      </c>
      <c r="Z1024" s="30"/>
      <c r="AA1024" s="31"/>
      <c r="AB1024" s="47"/>
      <c r="AE1024" s="32">
        <f t="shared" si="271"/>
        <v>0</v>
      </c>
      <c r="AF1024" s="10"/>
      <c r="AG1024" s="10"/>
      <c r="AH1024" s="10"/>
      <c r="AI1024" s="12">
        <f t="shared" si="272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5"/>
      <c r="D1025" s="60"/>
      <c r="E1025" s="60"/>
      <c r="F1025" s="60"/>
      <c r="G1025" s="60"/>
      <c r="H1025" s="62"/>
      <c r="I1025" s="62"/>
      <c r="J1025" s="62"/>
      <c r="K1025" s="61"/>
      <c r="M1025" s="10">
        <v>24</v>
      </c>
      <c r="N1025" s="30"/>
      <c r="O1025" s="31"/>
      <c r="P1025" s="47"/>
      <c r="Q1025" s="31"/>
      <c r="R1025" s="31"/>
      <c r="S1025" s="32">
        <f t="shared" si="269"/>
        <v>0</v>
      </c>
      <c r="T1025" s="10"/>
      <c r="U1025" s="10"/>
      <c r="V1025" s="10"/>
      <c r="W1025" s="12">
        <f t="shared" si="270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71"/>
        <v>0</v>
      </c>
      <c r="AF1025" s="10"/>
      <c r="AG1025" s="10"/>
      <c r="AH1025" s="10"/>
      <c r="AI1025" s="12">
        <f t="shared" si="272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5"/>
      <c r="D1026" s="60"/>
      <c r="E1026" s="60"/>
      <c r="F1026" s="60"/>
      <c r="G1026" s="60"/>
      <c r="H1026" s="62"/>
      <c r="I1026" s="62"/>
      <c r="J1026" s="62"/>
      <c r="K1026" s="61"/>
      <c r="M1026" s="10">
        <v>25</v>
      </c>
      <c r="N1026" s="30"/>
      <c r="O1026" s="31"/>
      <c r="P1026" s="47"/>
      <c r="Q1026" s="31"/>
      <c r="R1026" s="31"/>
      <c r="S1026" s="32">
        <f t="shared" si="269"/>
        <v>0</v>
      </c>
      <c r="T1026" s="10"/>
      <c r="U1026" s="10"/>
      <c r="V1026" s="10"/>
      <c r="W1026" s="12">
        <f t="shared" si="270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71"/>
        <v>0</v>
      </c>
      <c r="AF1026" s="10"/>
      <c r="AG1026" s="10"/>
      <c r="AH1026" s="10"/>
      <c r="AI1026" s="12">
        <f t="shared" si="272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5"/>
      <c r="D1027" s="60"/>
      <c r="E1027" s="60"/>
      <c r="F1027" s="60"/>
      <c r="G1027" s="60"/>
      <c r="H1027" s="62"/>
      <c r="I1027" s="62"/>
      <c r="J1027" s="62"/>
      <c r="K1027" s="61"/>
      <c r="M1027" s="10">
        <v>26</v>
      </c>
      <c r="N1027" s="30"/>
      <c r="O1027" s="31"/>
      <c r="P1027" s="47"/>
      <c r="Q1027" s="31"/>
      <c r="R1027" s="31"/>
      <c r="S1027" s="32">
        <f t="shared" si="269"/>
        <v>0</v>
      </c>
      <c r="T1027" s="10"/>
      <c r="U1027" s="10"/>
      <c r="V1027" s="10"/>
      <c r="W1027" s="12">
        <f t="shared" si="270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71"/>
        <v>0</v>
      </c>
      <c r="AF1027" s="10"/>
      <c r="AG1027" s="10"/>
      <c r="AH1027" s="10"/>
      <c r="AI1027" s="12">
        <f t="shared" si="272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5"/>
      <c r="D1028" s="60"/>
      <c r="E1028" s="60"/>
      <c r="F1028" s="60"/>
      <c r="G1028" s="60"/>
      <c r="H1028" s="62"/>
      <c r="I1028" s="62"/>
      <c r="J1028" s="62"/>
      <c r="K1028" s="61"/>
      <c r="M1028" s="10">
        <v>27</v>
      </c>
      <c r="N1028" s="30"/>
      <c r="O1028" s="31"/>
      <c r="P1028" s="47"/>
      <c r="Q1028" s="31"/>
      <c r="R1028" s="31"/>
      <c r="S1028" s="32">
        <f t="shared" si="269"/>
        <v>0</v>
      </c>
      <c r="T1028" s="10"/>
      <c r="U1028" s="10"/>
      <c r="V1028" s="10"/>
      <c r="W1028" s="12">
        <f t="shared" si="270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71"/>
        <v>0</v>
      </c>
      <c r="AF1028" s="10"/>
      <c r="AG1028" s="10"/>
      <c r="AH1028" s="10"/>
      <c r="AI1028" s="12">
        <f t="shared" si="272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5"/>
      <c r="D1029" s="60"/>
      <c r="E1029" s="60"/>
      <c r="F1029" s="60"/>
      <c r="G1029" s="60"/>
      <c r="H1029" s="62"/>
      <c r="I1029" s="62"/>
      <c r="J1029" s="62"/>
      <c r="K1029" s="61"/>
      <c r="M1029" s="10">
        <v>28</v>
      </c>
      <c r="N1029" s="30"/>
      <c r="O1029" s="31"/>
      <c r="P1029" s="47"/>
      <c r="Q1029" s="31"/>
      <c r="R1029" s="31"/>
      <c r="S1029" s="32">
        <f t="shared" si="269"/>
        <v>0</v>
      </c>
      <c r="T1029" s="10"/>
      <c r="U1029" s="10"/>
      <c r="V1029" s="10"/>
      <c r="W1029" s="12">
        <f t="shared" si="270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71"/>
        <v>0</v>
      </c>
      <c r="AF1029" s="10"/>
      <c r="AG1029" s="10"/>
      <c r="AH1029" s="10"/>
      <c r="AI1029" s="12">
        <f t="shared" si="272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5"/>
      <c r="D1030" s="60"/>
      <c r="E1030" s="60"/>
      <c r="F1030" s="60"/>
      <c r="G1030" s="60"/>
      <c r="H1030" s="62"/>
      <c r="I1030" s="62"/>
      <c r="J1030" s="62"/>
      <c r="K1030" s="61"/>
      <c r="M1030" s="10">
        <v>29</v>
      </c>
      <c r="N1030" s="30"/>
      <c r="O1030" s="31"/>
      <c r="P1030" s="47"/>
      <c r="Q1030" s="31"/>
      <c r="R1030" s="31"/>
      <c r="S1030" s="32">
        <f t="shared" si="269"/>
        <v>0</v>
      </c>
      <c r="T1030" s="10"/>
      <c r="U1030" s="10"/>
      <c r="V1030" s="10"/>
      <c r="W1030" s="12">
        <f t="shared" si="270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71"/>
        <v>0</v>
      </c>
      <c r="AF1030" s="10"/>
      <c r="AG1030" s="10"/>
      <c r="AH1030" s="10"/>
      <c r="AI1030" s="12">
        <f t="shared" si="272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5"/>
      <c r="D1031" s="60"/>
      <c r="E1031" s="60"/>
      <c r="F1031" s="60"/>
      <c r="G1031" s="60"/>
      <c r="H1031" s="62"/>
      <c r="I1031" s="62"/>
      <c r="J1031" s="62"/>
      <c r="K1031" s="61"/>
      <c r="M1031" s="10">
        <v>30</v>
      </c>
      <c r="N1031" s="30"/>
      <c r="O1031" s="31"/>
      <c r="P1031" s="47"/>
      <c r="Q1031" s="31"/>
      <c r="R1031" s="31"/>
      <c r="S1031" s="32">
        <f t="shared" si="269"/>
        <v>0</v>
      </c>
      <c r="T1031" s="10"/>
      <c r="U1031" s="10"/>
      <c r="V1031" s="10"/>
      <c r="W1031" s="12">
        <f t="shared" si="270"/>
        <v>0</v>
      </c>
      <c r="Y1031" s="10">
        <v>30</v>
      </c>
      <c r="Z1031" s="30"/>
      <c r="AB1031" s="47"/>
      <c r="AC1031" s="31"/>
      <c r="AD1031" s="31"/>
      <c r="AE1031" s="32">
        <f t="shared" si="271"/>
        <v>0</v>
      </c>
      <c r="AF1031" s="10"/>
      <c r="AG1031" s="10"/>
      <c r="AH1031" s="10"/>
      <c r="AI1031" s="12">
        <f t="shared" si="272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3"/>
      <c r="D1032" s="60"/>
      <c r="E1032" s="60"/>
      <c r="F1032" s="60"/>
      <c r="G1032" s="60"/>
      <c r="H1032" s="62"/>
      <c r="I1032" s="62"/>
      <c r="J1032" s="62"/>
      <c r="K1032" s="61"/>
      <c r="M1032" s="10">
        <v>31</v>
      </c>
      <c r="N1032" s="30"/>
      <c r="O1032" s="31"/>
      <c r="P1032" s="47"/>
      <c r="Q1032" s="31"/>
      <c r="R1032" s="31"/>
      <c r="S1032" s="32">
        <f t="shared" si="269"/>
        <v>0</v>
      </c>
      <c r="T1032" s="10"/>
      <c r="U1032" s="10"/>
      <c r="V1032" s="10"/>
      <c r="W1032" s="12">
        <f t="shared" si="270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271"/>
        <v>0</v>
      </c>
      <c r="AF1032" s="10"/>
      <c r="AG1032" s="10"/>
      <c r="AH1032" s="10"/>
      <c r="AI1032" s="12">
        <f t="shared" si="272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5"/>
      <c r="D1033" s="60"/>
      <c r="E1033" s="60"/>
      <c r="F1033" s="60"/>
      <c r="G1033" s="60"/>
      <c r="H1033" s="62"/>
      <c r="I1033" s="62"/>
      <c r="J1033" s="62"/>
      <c r="K1033" s="61"/>
      <c r="M1033" s="10">
        <v>32</v>
      </c>
      <c r="N1033" s="30"/>
      <c r="O1033" s="31"/>
      <c r="P1033" s="47"/>
      <c r="Q1033" s="31"/>
      <c r="R1033" s="31"/>
      <c r="S1033" s="32">
        <f t="shared" si="269"/>
        <v>0</v>
      </c>
      <c r="T1033" s="10"/>
      <c r="U1033" s="10"/>
      <c r="V1033" s="10"/>
      <c r="W1033" s="12">
        <f t="shared" si="270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71"/>
        <v>0</v>
      </c>
      <c r="AF1033" s="10"/>
      <c r="AG1033" s="10"/>
      <c r="AH1033" s="10"/>
      <c r="AI1033" s="12">
        <f t="shared" si="272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3"/>
      <c r="D1034" s="60"/>
      <c r="E1034" s="60"/>
      <c r="F1034" s="60"/>
      <c r="G1034" s="60"/>
      <c r="H1034" s="62"/>
      <c r="I1034" s="62"/>
      <c r="J1034" s="62"/>
      <c r="K1034" s="61"/>
      <c r="M1034" s="10">
        <v>33</v>
      </c>
      <c r="N1034" s="30"/>
      <c r="O1034" s="31"/>
      <c r="P1034" s="47"/>
      <c r="Q1034" s="31"/>
      <c r="R1034" s="31"/>
      <c r="S1034" s="32">
        <f t="shared" si="269"/>
        <v>0</v>
      </c>
      <c r="T1034" s="10"/>
      <c r="U1034" s="10"/>
      <c r="V1034" s="10"/>
      <c r="W1034" s="12">
        <f t="shared" si="270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71"/>
        <v>0</v>
      </c>
      <c r="AF1034" s="10"/>
      <c r="AG1034" s="10"/>
      <c r="AH1034" s="10"/>
      <c r="AI1034" s="12">
        <f t="shared" si="272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3"/>
      <c r="D1035" s="60"/>
      <c r="E1035" s="60"/>
      <c r="F1035" s="60"/>
      <c r="G1035" s="60"/>
      <c r="H1035" s="62"/>
      <c r="I1035" s="62"/>
      <c r="J1035" s="62"/>
      <c r="K1035" s="61"/>
      <c r="M1035" s="10">
        <v>34</v>
      </c>
      <c r="N1035" s="30"/>
      <c r="O1035" s="31"/>
      <c r="P1035" s="47"/>
      <c r="Q1035" s="31"/>
      <c r="R1035" s="31"/>
      <c r="S1035" s="32">
        <f t="shared" si="269"/>
        <v>0</v>
      </c>
      <c r="T1035" s="10"/>
      <c r="U1035" s="10"/>
      <c r="V1035" s="10"/>
      <c r="W1035" s="12">
        <f t="shared" si="270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271"/>
        <v>0</v>
      </c>
      <c r="AF1035" s="10"/>
      <c r="AG1035" s="10"/>
      <c r="AH1035" s="10"/>
      <c r="AI1035" s="12">
        <f t="shared" si="272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3"/>
      <c r="D1036" s="60"/>
      <c r="E1036" s="60"/>
      <c r="F1036" s="60"/>
      <c r="G1036" s="60"/>
      <c r="H1036" s="62"/>
      <c r="I1036" s="62"/>
      <c r="J1036" s="62"/>
      <c r="K1036" s="61"/>
      <c r="M1036" s="10">
        <v>35</v>
      </c>
      <c r="N1036" s="30"/>
      <c r="P1036" s="47"/>
      <c r="Q1036" s="31"/>
      <c r="R1036" s="31"/>
      <c r="S1036" s="32">
        <f t="shared" si="269"/>
        <v>0</v>
      </c>
      <c r="T1036" s="10"/>
      <c r="U1036" s="10"/>
      <c r="V1036" s="10"/>
      <c r="W1036" s="12">
        <f t="shared" si="270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71"/>
        <v>0</v>
      </c>
      <c r="AF1036" s="10"/>
      <c r="AG1036" s="10"/>
      <c r="AH1036" s="10"/>
      <c r="AI1036" s="12">
        <f t="shared" si="272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3"/>
      <c r="D1037" s="60"/>
      <c r="E1037" s="60"/>
      <c r="F1037" s="60"/>
      <c r="G1037" s="60"/>
      <c r="H1037" s="62"/>
      <c r="I1037" s="62"/>
      <c r="J1037" s="62"/>
      <c r="K1037" s="61"/>
      <c r="M1037" s="10">
        <v>36</v>
      </c>
      <c r="N1037" s="30"/>
      <c r="O1037" s="31"/>
      <c r="P1037" s="47"/>
      <c r="Q1037" s="31"/>
      <c r="R1037" s="31"/>
      <c r="S1037" s="32">
        <f t="shared" si="269"/>
        <v>0</v>
      </c>
      <c r="T1037" s="10"/>
      <c r="U1037" s="10"/>
      <c r="V1037" s="10"/>
      <c r="W1037" s="12">
        <f t="shared" si="270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71"/>
        <v>0</v>
      </c>
      <c r="AF1037" s="10"/>
      <c r="AG1037" s="10"/>
      <c r="AH1037" s="10"/>
      <c r="AI1037" s="12">
        <f t="shared" si="272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5"/>
      <c r="D1038" s="60"/>
      <c r="E1038" s="60"/>
      <c r="F1038" s="60"/>
      <c r="G1038" s="60"/>
      <c r="H1038" s="62"/>
      <c r="I1038" s="62"/>
      <c r="J1038" s="62"/>
      <c r="K1038" s="61"/>
      <c r="M1038" s="10">
        <v>37</v>
      </c>
      <c r="N1038" s="30"/>
      <c r="O1038" s="31"/>
      <c r="P1038" s="47"/>
      <c r="Q1038" s="31"/>
      <c r="R1038" s="31"/>
      <c r="S1038" s="32">
        <f t="shared" si="269"/>
        <v>0</v>
      </c>
      <c r="T1038" s="10"/>
      <c r="U1038" s="10"/>
      <c r="V1038" s="10"/>
      <c r="W1038" s="12">
        <f t="shared" si="270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71"/>
        <v>0</v>
      </c>
      <c r="AF1038" s="10"/>
      <c r="AG1038" s="10"/>
      <c r="AH1038" s="10"/>
      <c r="AI1038" s="12">
        <f t="shared" si="272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5"/>
      <c r="D1039" s="60"/>
      <c r="E1039" s="60"/>
      <c r="F1039" s="60"/>
      <c r="G1039" s="60"/>
      <c r="H1039" s="62"/>
      <c r="I1039" s="62"/>
      <c r="J1039" s="62"/>
      <c r="K1039" s="61"/>
      <c r="M1039" s="10">
        <v>38</v>
      </c>
      <c r="N1039" s="30"/>
      <c r="O1039" s="31"/>
      <c r="P1039" s="47"/>
      <c r="Q1039" s="31"/>
      <c r="R1039" s="31"/>
      <c r="S1039" s="32">
        <f t="shared" si="269"/>
        <v>0</v>
      </c>
      <c r="T1039" s="10"/>
      <c r="U1039" s="10"/>
      <c r="V1039" s="10"/>
      <c r="W1039" s="12">
        <f t="shared" si="270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71"/>
        <v>0</v>
      </c>
      <c r="AF1039" s="10"/>
      <c r="AG1039" s="10"/>
      <c r="AH1039" s="10"/>
      <c r="AI1039" s="12">
        <f t="shared" si="272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5"/>
      <c r="D1040" s="60"/>
      <c r="E1040" s="60"/>
      <c r="F1040" s="60"/>
      <c r="G1040" s="60"/>
      <c r="H1040" s="62"/>
      <c r="I1040" s="62"/>
      <c r="J1040" s="62"/>
      <c r="K1040" s="61"/>
      <c r="M1040" s="10">
        <v>39</v>
      </c>
      <c r="N1040" s="30"/>
      <c r="O1040" s="31"/>
      <c r="P1040" s="47"/>
      <c r="Q1040" s="31"/>
      <c r="R1040" s="31"/>
      <c r="S1040" s="32">
        <f t="shared" si="269"/>
        <v>0</v>
      </c>
      <c r="T1040" s="10"/>
      <c r="U1040" s="10"/>
      <c r="V1040" s="10"/>
      <c r="W1040" s="12">
        <f t="shared" si="270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71"/>
        <v>0</v>
      </c>
      <c r="AF1040" s="10"/>
      <c r="AG1040" s="10"/>
      <c r="AH1040" s="10"/>
      <c r="AI1040" s="12">
        <f t="shared" si="272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5"/>
      <c r="D1041" s="60"/>
      <c r="E1041" s="60"/>
      <c r="F1041" s="60"/>
      <c r="G1041" s="60"/>
      <c r="H1041" s="62"/>
      <c r="I1041" s="62"/>
      <c r="J1041" s="62"/>
      <c r="K1041" s="61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70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72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5"/>
      <c r="D1042" s="60"/>
      <c r="E1042" s="60"/>
      <c r="F1042" s="60"/>
      <c r="G1042" s="60"/>
      <c r="H1042" s="62"/>
      <c r="I1042" s="62"/>
      <c r="J1042" s="62"/>
      <c r="K1042" s="61"/>
      <c r="M1042" s="10"/>
      <c r="N1042" s="30"/>
      <c r="O1042" s="31"/>
      <c r="P1042" s="47"/>
      <c r="Q1042" s="31"/>
      <c r="R1042" s="31"/>
      <c r="S1042" s="32">
        <f t="shared" ref="S1042" si="275">SUM(P1042:Q1042)</f>
        <v>0</v>
      </c>
      <c r="T1042" s="10"/>
      <c r="U1042" s="10"/>
      <c r="V1042" s="10"/>
      <c r="W1042" s="12">
        <f t="shared" si="270"/>
        <v>0</v>
      </c>
      <c r="Y1042" s="10"/>
      <c r="Z1042" s="30"/>
      <c r="AA1042" s="31"/>
      <c r="AB1042" s="47"/>
      <c r="AC1042" s="31"/>
      <c r="AD1042" s="31"/>
      <c r="AE1042" s="32">
        <f t="shared" ref="AE1042" si="276">SUM(AB1042:AC1042)</f>
        <v>0</v>
      </c>
      <c r="AF1042" s="10"/>
      <c r="AG1042" s="10"/>
      <c r="AH1042" s="10"/>
      <c r="AI1042" s="12">
        <f t="shared" si="272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70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72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5"/>
      <c r="C1044" s="85"/>
      <c r="D1044" s="85"/>
      <c r="E1044" s="85"/>
      <c r="F1044" s="85"/>
      <c r="G1044" s="85"/>
      <c r="H1044" s="62"/>
      <c r="I1044" s="62"/>
      <c r="J1044" s="62"/>
      <c r="K1044" s="62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5"/>
      <c r="C1045" s="85"/>
      <c r="D1045" s="70"/>
      <c r="E1045" s="70"/>
      <c r="F1045" s="70"/>
      <c r="G1045" s="70"/>
      <c r="H1045" s="63"/>
      <c r="I1045" s="70"/>
      <c r="J1045" s="70"/>
      <c r="K1045" s="70"/>
      <c r="N1045" s="57"/>
      <c r="O1045" s="57"/>
      <c r="P1045" s="38">
        <f>SUM(P1002:P1044)</f>
        <v>198151</v>
      </c>
      <c r="Q1045" s="38">
        <f>SUM(Q1002:Q1026)</f>
        <v>-1296</v>
      </c>
      <c r="R1045" s="38">
        <f>SUM(R1002:R1026)</f>
        <v>0</v>
      </c>
      <c r="S1045" s="38">
        <f>SUM(S1002:S1044)</f>
        <v>196855</v>
      </c>
      <c r="T1045" s="4"/>
      <c r="U1045" s="41">
        <f>SUM(U1002:U1044)</f>
        <v>8627.25</v>
      </c>
      <c r="V1045" s="41">
        <f>SUM(V1002:V1026)</f>
        <v>-2457</v>
      </c>
      <c r="W1045" s="42">
        <f>SUM(W1002:W1044)</f>
        <v>203025.25</v>
      </c>
      <c r="Z1045" s="57"/>
      <c r="AA1045" s="57"/>
      <c r="AB1045" s="38">
        <f>SUM(AB1002:AB1044)</f>
        <v>366349</v>
      </c>
      <c r="AC1045" s="38">
        <f>SUM(AC1002:AC1026)</f>
        <v>-1680</v>
      </c>
      <c r="AD1045" s="38">
        <f>SUM(AD1002:AD1026)</f>
        <v>0</v>
      </c>
      <c r="AE1045" s="38">
        <f>SUM(AE1002:AE1044)</f>
        <v>364669</v>
      </c>
      <c r="AF1045" s="4"/>
      <c r="AG1045" s="41">
        <f>SUM(AG1002:AG1044)</f>
        <v>6928.5</v>
      </c>
      <c r="AH1045" s="41">
        <f>SUM(AH1002:AH1026)</f>
        <v>-1776</v>
      </c>
      <c r="AI1045" s="42">
        <f>SUM(AI1002:AI1044)</f>
        <v>369821.5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s="62"/>
      <c r="Z1047" s="85"/>
      <c r="AA1047" s="85"/>
      <c r="AB1047" s="85"/>
      <c r="AC1047" s="85"/>
      <c r="AD1047" s="85"/>
      <c r="AE1047" s="85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s="62"/>
      <c r="Z1048" s="85"/>
      <c r="AA1048" s="85"/>
      <c r="AB1048" s="85"/>
      <c r="AC1048" s="85"/>
      <c r="AD1048" s="85"/>
      <c r="AE1048" s="85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Y1049" s="62"/>
      <c r="Z1049" s="85"/>
      <c r="AA1049" s="85"/>
      <c r="AB1049" s="85"/>
      <c r="AC1049" s="85"/>
      <c r="AD1049" s="85"/>
      <c r="AE1049" s="85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63"/>
      <c r="Z1050" s="85"/>
      <c r="AA1050" s="85"/>
      <c r="AB1050" s="85"/>
      <c r="AC1050" s="85"/>
      <c r="AD1050" s="85"/>
      <c r="AE1050" s="85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Y1051" s="62"/>
      <c r="Z1051" s="85"/>
      <c r="AA1051" s="85"/>
      <c r="AB1051" s="85"/>
      <c r="AC1051" s="85"/>
      <c r="AD1051" s="85"/>
      <c r="AE1051" s="85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47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47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s="62"/>
      <c r="Z1052" s="85"/>
      <c r="AA1052" s="85"/>
      <c r="AB1052" s="85"/>
      <c r="AC1052" s="85"/>
      <c r="AD1052" s="85"/>
      <c r="AE1052" s="85"/>
      <c r="AF1052" s="62"/>
      <c r="AG1052" s="85"/>
      <c r="AH1052" s="8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93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93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33</v>
      </c>
      <c r="W1053" s="24"/>
      <c r="Y1053" s="64"/>
      <c r="Z1053" s="85"/>
      <c r="AA1053" s="85"/>
      <c r="AB1053" s="85"/>
      <c r="AC1053" s="85"/>
      <c r="AD1053" s="85"/>
      <c r="AE1053" s="85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Y1054" s="62"/>
      <c r="Z1054" s="85"/>
      <c r="AA1054" s="85"/>
      <c r="AB1054" s="85"/>
      <c r="AC1054" s="85"/>
      <c r="AD1054" s="85"/>
      <c r="AE1054" s="85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0" t="s">
        <v>17</v>
      </c>
      <c r="E1055" s="120"/>
      <c r="F1055" s="109"/>
      <c r="G1055" s="27"/>
      <c r="I1055" s="118" t="s">
        <v>18</v>
      </c>
      <c r="J1055" s="119"/>
      <c r="K1055" s="116" t="s">
        <v>19</v>
      </c>
      <c r="N1055" s="25"/>
      <c r="O1055" s="26"/>
      <c r="P1055" s="120" t="s">
        <v>17</v>
      </c>
      <c r="Q1055" s="120"/>
      <c r="R1055" s="109"/>
      <c r="S1055" s="27"/>
      <c r="U1055" s="118" t="s">
        <v>18</v>
      </c>
      <c r="V1055" s="119"/>
      <c r="W1055" s="116" t="s">
        <v>19</v>
      </c>
      <c r="Y1055" s="62"/>
      <c r="Z1055" s="65"/>
      <c r="AA1055" s="85"/>
      <c r="AB1055" s="122"/>
      <c r="AC1055" s="122"/>
      <c r="AD1055" s="85"/>
      <c r="AE1055" s="85"/>
      <c r="AF1055" s="62"/>
      <c r="AG1055" s="122"/>
      <c r="AH1055" s="122"/>
      <c r="AI1055" s="12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17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17"/>
      <c r="Y1056" s="62"/>
      <c r="Z1056" s="85"/>
      <c r="AA1056" s="85"/>
      <c r="AB1056" s="79"/>
      <c r="AC1056" s="81"/>
      <c r="AD1056" s="81"/>
      <c r="AE1056" s="81"/>
      <c r="AF1056" s="62"/>
      <c r="AG1056" s="84"/>
      <c r="AH1056" s="84"/>
      <c r="AI1056" s="12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94</v>
      </c>
      <c r="C1057" s="82">
        <v>9822</v>
      </c>
      <c r="D1057" s="32">
        <f>650*431+670*40+912*10+229*15</f>
        <v>319505</v>
      </c>
      <c r="E1057" s="32">
        <f>-481*6</f>
        <v>-2886</v>
      </c>
      <c r="F1057" s="32"/>
      <c r="G1057" s="32">
        <f t="shared" ref="G1057:G1090" si="277">SUM(D1057:E1057)</f>
        <v>316619</v>
      </c>
      <c r="H1057" s="12"/>
      <c r="I1057" s="12">
        <f>120*4+111*7+78*11</f>
        <v>2115</v>
      </c>
      <c r="J1057" s="12">
        <v>-840</v>
      </c>
      <c r="K1057" s="12">
        <f t="shared" ref="K1057:K1090" si="278">SUM(G1057:J1057)</f>
        <v>317894</v>
      </c>
      <c r="M1057" s="10">
        <v>1</v>
      </c>
      <c r="N1057" s="30" t="s">
        <v>94</v>
      </c>
      <c r="O1057" s="31">
        <v>9854</v>
      </c>
      <c r="P1057" s="32">
        <f>650*3+229</f>
        <v>2179</v>
      </c>
      <c r="Q1057" s="32"/>
      <c r="R1057" s="32"/>
      <c r="S1057" s="32">
        <f>SUM(P1057:Q1057)</f>
        <v>2179</v>
      </c>
      <c r="T1057" s="12"/>
      <c r="U1057" s="12"/>
      <c r="V1057" s="12"/>
      <c r="W1057" s="12">
        <f>SUM(S1057:V1057)</f>
        <v>2179</v>
      </c>
      <c r="Y1057" s="62"/>
      <c r="Z1057" s="66"/>
      <c r="AA1057" s="85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94</v>
      </c>
      <c r="C1058" s="82">
        <f>C1057+1</f>
        <v>9823</v>
      </c>
      <c r="D1058" s="32">
        <f>650*30+622*5+912+872*2+650*2</f>
        <v>26566</v>
      </c>
      <c r="E1058" s="32"/>
      <c r="F1058" s="32"/>
      <c r="G1058" s="32">
        <f t="shared" si="277"/>
        <v>26566</v>
      </c>
      <c r="H1058" s="12"/>
      <c r="I1058" s="12"/>
      <c r="J1058" s="12"/>
      <c r="K1058" s="12">
        <f t="shared" si="278"/>
        <v>26566</v>
      </c>
      <c r="M1058" s="10">
        <v>2</v>
      </c>
      <c r="N1058" s="30" t="s">
        <v>94</v>
      </c>
      <c r="O1058" s="31">
        <f>O1057+1</f>
        <v>9855</v>
      </c>
      <c r="P1058" s="32">
        <f>650*6+229</f>
        <v>4129</v>
      </c>
      <c r="Q1058" s="32"/>
      <c r="R1058" s="32"/>
      <c r="S1058" s="32">
        <f t="shared" ref="S1058:S1095" si="279">SUM(P1058:Q1058)</f>
        <v>4129</v>
      </c>
      <c r="T1058" s="12"/>
      <c r="U1058" s="12"/>
      <c r="V1058" s="12"/>
      <c r="W1058" s="12">
        <f t="shared" ref="W1058:W1098" si="280">SUM(S1058:V1058)</f>
        <v>4129</v>
      </c>
      <c r="Y1058" s="62"/>
      <c r="Z1058" s="66"/>
      <c r="AA1058" s="85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94</v>
      </c>
      <c r="C1059" s="82">
        <f t="shared" ref="C1059:C1062" si="281">C1058+1</f>
        <v>9824</v>
      </c>
      <c r="D1059" s="33">
        <f>650*24</f>
        <v>15600</v>
      </c>
      <c r="E1059" s="33"/>
      <c r="F1059" s="33"/>
      <c r="G1059" s="33">
        <f t="shared" si="277"/>
        <v>15600</v>
      </c>
      <c r="H1059" s="34"/>
      <c r="I1059" s="34"/>
      <c r="J1059" s="34">
        <v>-5772</v>
      </c>
      <c r="K1059" s="34">
        <f t="shared" si="278"/>
        <v>9828</v>
      </c>
      <c r="M1059" s="10">
        <v>3</v>
      </c>
      <c r="N1059" s="30" t="s">
        <v>94</v>
      </c>
      <c r="O1059" s="31">
        <f t="shared" ref="O1059:O1069" si="282">O1058+1</f>
        <v>9856</v>
      </c>
      <c r="P1059" s="32">
        <f>650*14+670+622*4</f>
        <v>12258</v>
      </c>
      <c r="Q1059" s="32"/>
      <c r="R1059" s="32"/>
      <c r="S1059" s="32">
        <f t="shared" si="279"/>
        <v>12258</v>
      </c>
      <c r="T1059" s="12"/>
      <c r="U1059" s="12"/>
      <c r="V1059" s="12"/>
      <c r="W1059" s="12">
        <f t="shared" si="280"/>
        <v>12258</v>
      </c>
      <c r="Y1059" s="62"/>
      <c r="Z1059" s="66"/>
      <c r="AA1059" s="85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94</v>
      </c>
      <c r="C1060" s="82">
        <f t="shared" si="281"/>
        <v>9825</v>
      </c>
      <c r="D1060" s="32">
        <f>650*11</f>
        <v>7150</v>
      </c>
      <c r="E1060" s="32"/>
      <c r="F1060" s="32"/>
      <c r="G1060" s="32">
        <f t="shared" si="277"/>
        <v>7150</v>
      </c>
      <c r="H1060" s="12"/>
      <c r="I1060" s="12"/>
      <c r="J1060" s="12"/>
      <c r="K1060" s="12">
        <f t="shared" si="278"/>
        <v>7150</v>
      </c>
      <c r="M1060" s="10">
        <v>4</v>
      </c>
      <c r="N1060" s="30" t="s">
        <v>94</v>
      </c>
      <c r="O1060" s="31">
        <f t="shared" si="282"/>
        <v>9857</v>
      </c>
      <c r="P1060" s="32">
        <f>650*9+9.5*3</f>
        <v>5878.5</v>
      </c>
      <c r="Q1060" s="32"/>
      <c r="R1060" s="32"/>
      <c r="S1060" s="32">
        <f t="shared" si="279"/>
        <v>5878.5</v>
      </c>
      <c r="T1060" s="12"/>
      <c r="U1060" s="12"/>
      <c r="V1060" s="12"/>
      <c r="W1060" s="12">
        <f t="shared" si="280"/>
        <v>5878.5</v>
      </c>
      <c r="Y1060" s="62"/>
      <c r="Z1060" s="66"/>
      <c r="AA1060" s="8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94</v>
      </c>
      <c r="C1061" s="82">
        <f t="shared" si="281"/>
        <v>9826</v>
      </c>
      <c r="D1061" s="32">
        <f>650*12+9.5*12</f>
        <v>7914</v>
      </c>
      <c r="E1061" s="32"/>
      <c r="F1061" s="32"/>
      <c r="G1061" s="32">
        <f t="shared" si="277"/>
        <v>7914</v>
      </c>
      <c r="H1061" s="12"/>
      <c r="I1061" s="12"/>
      <c r="J1061" s="12"/>
      <c r="K1061" s="12">
        <f t="shared" si="278"/>
        <v>7914</v>
      </c>
      <c r="M1061" s="10">
        <v>5</v>
      </c>
      <c r="N1061" s="30" t="s">
        <v>94</v>
      </c>
      <c r="O1061" s="31">
        <f t="shared" si="282"/>
        <v>9858</v>
      </c>
      <c r="P1061" s="32">
        <f>650*22+670*2+622*3+9.5*5</f>
        <v>17553.5</v>
      </c>
      <c r="Q1061" s="32"/>
      <c r="R1061" s="32"/>
      <c r="S1061" s="32">
        <f t="shared" si="279"/>
        <v>17553.5</v>
      </c>
      <c r="T1061" s="12"/>
      <c r="U1061" s="12">
        <v>555</v>
      </c>
      <c r="V1061" s="12"/>
      <c r="W1061" s="12">
        <f t="shared" si="280"/>
        <v>18108.5</v>
      </c>
      <c r="Y1061" s="62"/>
      <c r="Z1061" s="66"/>
      <c r="AA1061" s="8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94</v>
      </c>
      <c r="C1062" s="82">
        <f t="shared" si="281"/>
        <v>9827</v>
      </c>
      <c r="D1062" s="32">
        <f>622</f>
        <v>622</v>
      </c>
      <c r="E1062" s="32"/>
      <c r="F1062" s="32"/>
      <c r="G1062" s="32">
        <f t="shared" si="277"/>
        <v>622</v>
      </c>
      <c r="H1062" s="12"/>
      <c r="I1062" s="12"/>
      <c r="J1062" s="12"/>
      <c r="K1062" s="12">
        <f t="shared" si="278"/>
        <v>622</v>
      </c>
      <c r="M1062" s="10">
        <v>6</v>
      </c>
      <c r="N1062" s="30" t="s">
        <v>94</v>
      </c>
      <c r="O1062" s="31">
        <f t="shared" si="282"/>
        <v>9859</v>
      </c>
      <c r="P1062" s="32">
        <f>622*7+872</f>
        <v>5226</v>
      </c>
      <c r="Q1062" s="32"/>
      <c r="R1062" s="32"/>
      <c r="S1062" s="32">
        <f t="shared" si="279"/>
        <v>5226</v>
      </c>
      <c r="T1062" s="12"/>
      <c r="U1062" s="12"/>
      <c r="V1062" s="10"/>
      <c r="W1062" s="12">
        <f t="shared" si="280"/>
        <v>5226</v>
      </c>
      <c r="Y1062" s="62"/>
      <c r="Z1062" s="66"/>
      <c r="AA1062" s="8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/>
      <c r="C1063" s="11" t="s">
        <v>27</v>
      </c>
      <c r="D1063" s="32"/>
      <c r="E1063" s="32"/>
      <c r="F1063" s="32"/>
      <c r="G1063" s="32">
        <f t="shared" si="277"/>
        <v>0</v>
      </c>
      <c r="H1063" s="12"/>
      <c r="I1063" s="12"/>
      <c r="J1063" s="12"/>
      <c r="K1063" s="12">
        <f t="shared" si="278"/>
        <v>0</v>
      </c>
      <c r="M1063" s="10">
        <v>7</v>
      </c>
      <c r="N1063" s="30" t="s">
        <v>94</v>
      </c>
      <c r="O1063" s="31">
        <f t="shared" si="282"/>
        <v>9860</v>
      </c>
      <c r="P1063" s="32">
        <f>650*14+670+622+9.5*15</f>
        <v>10534.5</v>
      </c>
      <c r="Q1063" s="32"/>
      <c r="R1063" s="32"/>
      <c r="S1063" s="32">
        <f t="shared" si="279"/>
        <v>10534.5</v>
      </c>
      <c r="T1063" s="12"/>
      <c r="U1063" s="12">
        <v>35</v>
      </c>
      <c r="V1063" s="12"/>
      <c r="W1063" s="12">
        <f t="shared" si="280"/>
        <v>10569.5</v>
      </c>
      <c r="Y1063" s="62"/>
      <c r="Z1063" s="66"/>
      <c r="AA1063" s="85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/>
      <c r="C1064" s="82"/>
      <c r="D1064" s="32"/>
      <c r="E1064" s="32"/>
      <c r="F1064" s="32"/>
      <c r="G1064" s="32">
        <f t="shared" si="277"/>
        <v>0</v>
      </c>
      <c r="H1064" s="12"/>
      <c r="I1064" s="12"/>
      <c r="J1064" s="12"/>
      <c r="K1064" s="12">
        <f t="shared" si="278"/>
        <v>0</v>
      </c>
      <c r="M1064" s="10">
        <v>8</v>
      </c>
      <c r="N1064" s="30" t="s">
        <v>94</v>
      </c>
      <c r="O1064" s="31">
        <f t="shared" si="282"/>
        <v>9861</v>
      </c>
      <c r="P1064" s="32">
        <f>650*4+9.5*4</f>
        <v>2638</v>
      </c>
      <c r="Q1064" s="32"/>
      <c r="R1064" s="32"/>
      <c r="S1064" s="32">
        <f t="shared" si="279"/>
        <v>2638</v>
      </c>
      <c r="T1064" s="12"/>
      <c r="U1064" s="12"/>
      <c r="V1064" s="12"/>
      <c r="W1064" s="12">
        <f t="shared" si="280"/>
        <v>2638</v>
      </c>
      <c r="Y1064" s="62"/>
      <c r="Z1064" s="66"/>
      <c r="AA1064" s="85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/>
      <c r="C1065" s="82"/>
      <c r="D1065" s="32"/>
      <c r="E1065" s="32"/>
      <c r="F1065" s="32"/>
      <c r="G1065" s="32">
        <f t="shared" si="277"/>
        <v>0</v>
      </c>
      <c r="H1065" s="12"/>
      <c r="I1065" s="12"/>
      <c r="J1065" s="12"/>
      <c r="K1065" s="12">
        <f t="shared" si="278"/>
        <v>0</v>
      </c>
      <c r="M1065" s="10">
        <v>9</v>
      </c>
      <c r="N1065" s="30" t="s">
        <v>94</v>
      </c>
      <c r="O1065" s="31">
        <f t="shared" si="282"/>
        <v>9862</v>
      </c>
      <c r="P1065" s="32">
        <f>650*3+9.5*3</f>
        <v>1978.5</v>
      </c>
      <c r="Q1065" s="32"/>
      <c r="R1065" s="32"/>
      <c r="S1065" s="32">
        <f t="shared" si="279"/>
        <v>1978.5</v>
      </c>
      <c r="T1065" s="12"/>
      <c r="U1065" s="12"/>
      <c r="V1065" s="12">
        <v>-222</v>
      </c>
      <c r="W1065" s="12">
        <f t="shared" si="280"/>
        <v>1756.5</v>
      </c>
      <c r="Y1065" s="62"/>
      <c r="Z1065" s="66"/>
      <c r="AA1065" s="85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/>
      <c r="C1066" s="82"/>
      <c r="D1066" s="32"/>
      <c r="E1066" s="32"/>
      <c r="F1066" s="32"/>
      <c r="G1066" s="32">
        <f t="shared" si="277"/>
        <v>0</v>
      </c>
      <c r="H1066" s="12"/>
      <c r="I1066" s="12"/>
      <c r="J1066" s="12"/>
      <c r="K1066" s="12">
        <f t="shared" si="278"/>
        <v>0</v>
      </c>
      <c r="M1066" s="10">
        <v>10</v>
      </c>
      <c r="N1066" s="30" t="s">
        <v>94</v>
      </c>
      <c r="O1066" s="31">
        <f t="shared" si="282"/>
        <v>9863</v>
      </c>
      <c r="P1066" s="32">
        <f>650*8+622*2+525+436+9.5*10</f>
        <v>7500</v>
      </c>
      <c r="Q1066" s="32"/>
      <c r="R1066" s="32"/>
      <c r="S1066" s="32">
        <f t="shared" si="279"/>
        <v>7500</v>
      </c>
      <c r="T1066" s="12"/>
      <c r="U1066" s="12">
        <v>333</v>
      </c>
      <c r="V1066" s="12"/>
      <c r="W1066" s="12">
        <f t="shared" si="280"/>
        <v>7833</v>
      </c>
      <c r="Y1066" s="62"/>
      <c r="Z1066" s="66"/>
      <c r="AA1066" s="8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/>
      <c r="C1067" s="82"/>
      <c r="D1067" s="32"/>
      <c r="E1067" s="32"/>
      <c r="F1067" s="32"/>
      <c r="G1067" s="32">
        <f t="shared" si="277"/>
        <v>0</v>
      </c>
      <c r="H1067" s="12"/>
      <c r="I1067" s="12"/>
      <c r="J1067" s="12"/>
      <c r="K1067" s="12">
        <f t="shared" si="278"/>
        <v>0</v>
      </c>
      <c r="M1067" s="10">
        <v>11</v>
      </c>
      <c r="N1067" s="30" t="s">
        <v>94</v>
      </c>
      <c r="O1067" s="31">
        <f t="shared" si="282"/>
        <v>9864</v>
      </c>
      <c r="P1067" s="32">
        <f>650+622+9.5*2</f>
        <v>1291</v>
      </c>
      <c r="Q1067" s="32"/>
      <c r="R1067" s="32"/>
      <c r="S1067" s="32">
        <f t="shared" si="279"/>
        <v>1291</v>
      </c>
      <c r="T1067" s="12"/>
      <c r="U1067" s="12">
        <v>13.5</v>
      </c>
      <c r="V1067" s="12"/>
      <c r="W1067" s="12">
        <f t="shared" si="280"/>
        <v>1304.5</v>
      </c>
      <c r="Y1067" s="62"/>
      <c r="Z1067" s="66"/>
      <c r="AA1067" s="8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/>
      <c r="C1068" s="82"/>
      <c r="D1068" s="32"/>
      <c r="E1068" s="32"/>
      <c r="F1068" s="32"/>
      <c r="G1068" s="32">
        <f t="shared" si="277"/>
        <v>0</v>
      </c>
      <c r="H1068" s="12"/>
      <c r="I1068" s="12"/>
      <c r="J1068" s="10"/>
      <c r="K1068" s="12">
        <f t="shared" si="278"/>
        <v>0</v>
      </c>
      <c r="M1068" s="10">
        <v>12</v>
      </c>
      <c r="N1068" s="30" t="s">
        <v>94</v>
      </c>
      <c r="O1068" s="31">
        <f t="shared" si="282"/>
        <v>9865</v>
      </c>
      <c r="P1068" s="32">
        <f>650*216+229*4</f>
        <v>141316</v>
      </c>
      <c r="Q1068" s="32">
        <f>-216*6</f>
        <v>-1296</v>
      </c>
      <c r="R1068" s="32"/>
      <c r="S1068" s="32">
        <f t="shared" si="279"/>
        <v>140020</v>
      </c>
      <c r="T1068" s="12"/>
      <c r="U1068" s="12">
        <f>2886+312</f>
        <v>3198</v>
      </c>
      <c r="V1068" s="12">
        <f>-240+-336+-126</f>
        <v>-702</v>
      </c>
      <c r="W1068" s="12">
        <f t="shared" si="280"/>
        <v>142516</v>
      </c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82"/>
      <c r="D1069" s="32"/>
      <c r="E1069" s="32"/>
      <c r="F1069" s="32"/>
      <c r="G1069" s="32">
        <f t="shared" si="277"/>
        <v>0</v>
      </c>
      <c r="H1069" s="12"/>
      <c r="I1069" s="12"/>
      <c r="J1069" s="12"/>
      <c r="K1069" s="12">
        <f t="shared" si="278"/>
        <v>0</v>
      </c>
      <c r="M1069" s="10">
        <v>13</v>
      </c>
      <c r="N1069" s="30" t="s">
        <v>94</v>
      </c>
      <c r="O1069" s="31">
        <f t="shared" si="282"/>
        <v>9866</v>
      </c>
      <c r="P1069" s="32">
        <f>650*6+622+9.5*4</f>
        <v>4560</v>
      </c>
      <c r="Q1069" s="32"/>
      <c r="R1069" s="32"/>
      <c r="S1069" s="32">
        <f t="shared" si="279"/>
        <v>4560</v>
      </c>
      <c r="T1069" s="12"/>
      <c r="U1069" s="12"/>
      <c r="V1069" s="12">
        <v>-222</v>
      </c>
      <c r="W1069" s="12">
        <f t="shared" si="280"/>
        <v>4338</v>
      </c>
      <c r="Y1069" s="62"/>
      <c r="Z1069" s="66"/>
      <c r="AA1069" s="85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82"/>
      <c r="D1070" s="32"/>
      <c r="E1070" s="32"/>
      <c r="F1070" s="32"/>
      <c r="G1070" s="32">
        <f t="shared" si="277"/>
        <v>0</v>
      </c>
      <c r="H1070" s="12"/>
      <c r="I1070" s="12"/>
      <c r="J1070" s="12"/>
      <c r="K1070" s="12">
        <f t="shared" si="278"/>
        <v>0</v>
      </c>
      <c r="M1070" s="10">
        <v>14</v>
      </c>
      <c r="N1070" s="30"/>
      <c r="O1070" s="11" t="s">
        <v>27</v>
      </c>
      <c r="P1070" s="32"/>
      <c r="Q1070" s="32"/>
      <c r="R1070" s="32"/>
      <c r="S1070" s="32">
        <f t="shared" si="279"/>
        <v>0</v>
      </c>
      <c r="T1070" s="12"/>
      <c r="U1070" s="12"/>
      <c r="V1070" s="12"/>
      <c r="W1070" s="12">
        <f t="shared" si="280"/>
        <v>0</v>
      </c>
      <c r="Y1070" s="62"/>
      <c r="Z1070" s="66"/>
      <c r="AA1070" s="85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82"/>
      <c r="D1071" s="32"/>
      <c r="E1071" s="32"/>
      <c r="F1071" s="32"/>
      <c r="G1071" s="32">
        <f t="shared" si="277"/>
        <v>0</v>
      </c>
      <c r="H1071" s="12"/>
      <c r="I1071" s="12"/>
      <c r="J1071" s="12"/>
      <c r="K1071" s="12">
        <f t="shared" si="278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279"/>
        <v>0</v>
      </c>
      <c r="T1071" s="12"/>
      <c r="U1071" s="12"/>
      <c r="V1071" s="12"/>
      <c r="W1071" s="12">
        <f t="shared" si="280"/>
        <v>0</v>
      </c>
      <c r="Y1071" s="62"/>
      <c r="Z1071" s="66"/>
      <c r="AA1071" s="85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D1072" s="32"/>
      <c r="E1072" s="32"/>
      <c r="F1072" s="32"/>
      <c r="G1072" s="32">
        <f t="shared" si="277"/>
        <v>0</v>
      </c>
      <c r="H1072" s="12"/>
      <c r="I1072" s="12"/>
      <c r="J1072" s="12"/>
      <c r="K1072" s="12">
        <f t="shared" si="278"/>
        <v>0</v>
      </c>
      <c r="M1072" s="10">
        <v>16</v>
      </c>
      <c r="N1072" s="30"/>
      <c r="O1072" s="11"/>
      <c r="P1072" s="32"/>
      <c r="Q1072" s="32"/>
      <c r="R1072" s="32"/>
      <c r="S1072" s="32">
        <f t="shared" si="279"/>
        <v>0</v>
      </c>
      <c r="T1072" s="12"/>
      <c r="U1072" s="12"/>
      <c r="V1072" s="12"/>
      <c r="W1072" s="12">
        <f t="shared" si="280"/>
        <v>0</v>
      </c>
      <c r="Y1072" s="62"/>
      <c r="Z1072" s="66"/>
      <c r="AA1072" s="85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82"/>
      <c r="D1073" s="32"/>
      <c r="E1073" s="32"/>
      <c r="F1073" s="32"/>
      <c r="G1073" s="32">
        <f t="shared" si="277"/>
        <v>0</v>
      </c>
      <c r="H1073" s="12"/>
      <c r="I1073" s="12"/>
      <c r="J1073" s="12"/>
      <c r="K1073" s="12">
        <f t="shared" si="278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279"/>
        <v>0</v>
      </c>
      <c r="T1073" s="12"/>
      <c r="U1073" s="12"/>
      <c r="V1073" s="12"/>
      <c r="W1073" s="12">
        <f t="shared" si="280"/>
        <v>0</v>
      </c>
      <c r="Y1073" s="62"/>
      <c r="Z1073" s="66"/>
      <c r="AA1073" s="85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82"/>
      <c r="D1074" s="32"/>
      <c r="E1074" s="32"/>
      <c r="F1074" s="32"/>
      <c r="G1074" s="32">
        <f t="shared" si="277"/>
        <v>0</v>
      </c>
      <c r="H1074" s="12"/>
      <c r="I1074" s="12"/>
      <c r="J1074" s="12"/>
      <c r="K1074" s="12">
        <f t="shared" si="278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279"/>
        <v>0</v>
      </c>
      <c r="T1074" s="12"/>
      <c r="U1074" s="12"/>
      <c r="V1074" s="12"/>
      <c r="W1074" s="12">
        <f t="shared" si="280"/>
        <v>0</v>
      </c>
      <c r="Y1074" s="62"/>
      <c r="Z1074" s="66"/>
      <c r="AA1074" s="85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82"/>
      <c r="D1075" s="32"/>
      <c r="E1075" s="32"/>
      <c r="F1075" s="32"/>
      <c r="G1075" s="32">
        <f t="shared" si="277"/>
        <v>0</v>
      </c>
      <c r="H1075" s="12"/>
      <c r="I1075" s="12"/>
      <c r="J1075" s="12"/>
      <c r="K1075" s="12">
        <f t="shared" si="278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279"/>
        <v>0</v>
      </c>
      <c r="T1075" s="12"/>
      <c r="U1075" s="12"/>
      <c r="V1075" s="12"/>
      <c r="W1075" s="12">
        <f t="shared" si="280"/>
        <v>0</v>
      </c>
      <c r="Y1075" s="62"/>
      <c r="Z1075" s="66"/>
      <c r="AA1075" s="85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82"/>
      <c r="D1076" s="32"/>
      <c r="E1076" s="32"/>
      <c r="F1076" s="32"/>
      <c r="G1076" s="32">
        <f t="shared" si="277"/>
        <v>0</v>
      </c>
      <c r="H1076" s="12"/>
      <c r="I1076" s="12"/>
      <c r="J1076" s="12"/>
      <c r="K1076" s="12">
        <f t="shared" si="278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279"/>
        <v>0</v>
      </c>
      <c r="T1076" s="12"/>
      <c r="U1076" s="12"/>
      <c r="V1076" s="12"/>
      <c r="W1076" s="12">
        <f t="shared" si="280"/>
        <v>0</v>
      </c>
      <c r="Y1076" s="62"/>
      <c r="Z1076" s="66"/>
      <c r="AA1076" s="85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57"/>
      <c r="D1077" s="32"/>
      <c r="E1077" s="32"/>
      <c r="F1077" s="32"/>
      <c r="G1077" s="32">
        <f t="shared" si="277"/>
        <v>0</v>
      </c>
      <c r="H1077" s="10"/>
      <c r="I1077" s="10"/>
      <c r="J1077" s="10"/>
      <c r="K1077" s="12">
        <f t="shared" si="278"/>
        <v>0</v>
      </c>
      <c r="M1077" s="10">
        <v>21</v>
      </c>
      <c r="N1077" s="30"/>
      <c r="O1077" s="31"/>
      <c r="P1077" s="46"/>
      <c r="Q1077" s="31"/>
      <c r="R1077" s="31"/>
      <c r="S1077" s="32">
        <f t="shared" si="279"/>
        <v>0</v>
      </c>
      <c r="T1077" s="10"/>
      <c r="U1077" s="10"/>
      <c r="V1077" s="10"/>
      <c r="W1077" s="12">
        <f t="shared" si="280"/>
        <v>0</v>
      </c>
      <c r="Y1077" s="62"/>
      <c r="Z1077" s="66"/>
      <c r="AA1077" s="62"/>
      <c r="AB1077" s="67"/>
      <c r="AC1077" s="85"/>
      <c r="AD1077" s="85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57"/>
      <c r="D1078" s="32"/>
      <c r="E1078" s="32"/>
      <c r="F1078" s="32"/>
      <c r="G1078" s="32">
        <f t="shared" si="277"/>
        <v>0</v>
      </c>
      <c r="H1078" s="10"/>
      <c r="I1078" s="10"/>
      <c r="J1078" s="10"/>
      <c r="K1078" s="12">
        <f t="shared" si="278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279"/>
        <v>0</v>
      </c>
      <c r="T1078" s="10"/>
      <c r="U1078" s="10"/>
      <c r="V1078" s="10"/>
      <c r="W1078" s="12">
        <f t="shared" si="280"/>
        <v>0</v>
      </c>
      <c r="Y1078" s="62"/>
      <c r="Z1078" s="66"/>
      <c r="AA1078" s="85"/>
      <c r="AB1078" s="68"/>
      <c r="AC1078" s="85"/>
      <c r="AD1078" s="85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2"/>
      <c r="D1079" s="32"/>
      <c r="E1079" s="32"/>
      <c r="F1079" s="32"/>
      <c r="G1079" s="32">
        <f t="shared" si="277"/>
        <v>0</v>
      </c>
      <c r="H1079" s="10"/>
      <c r="I1079" s="10"/>
      <c r="J1079" s="12"/>
      <c r="K1079" s="12">
        <f t="shared" si="278"/>
        <v>0</v>
      </c>
      <c r="M1079" s="10">
        <v>23</v>
      </c>
      <c r="N1079" s="30"/>
      <c r="O1079" s="31"/>
      <c r="P1079" s="47"/>
      <c r="Q1079" s="31"/>
      <c r="S1079" s="32">
        <f t="shared" si="279"/>
        <v>0</v>
      </c>
      <c r="T1079" s="10"/>
      <c r="U1079" s="10"/>
      <c r="V1079" s="10"/>
      <c r="W1079" s="12">
        <f t="shared" si="280"/>
        <v>0</v>
      </c>
      <c r="Y1079" s="62"/>
      <c r="Z1079" s="66"/>
      <c r="AA1079" s="62"/>
      <c r="AB1079" s="69"/>
      <c r="AC1079" s="85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82"/>
      <c r="D1080" s="32"/>
      <c r="E1080" s="32"/>
      <c r="F1080" s="32"/>
      <c r="G1080" s="32">
        <f t="shared" si="277"/>
        <v>0</v>
      </c>
      <c r="H1080" s="10"/>
      <c r="I1080" s="10"/>
      <c r="J1080" s="10"/>
      <c r="K1080" s="12">
        <f t="shared" si="278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279"/>
        <v>0</v>
      </c>
      <c r="T1080" s="10"/>
      <c r="U1080" s="10"/>
      <c r="V1080" s="10"/>
      <c r="W1080" s="12">
        <f t="shared" si="280"/>
        <v>0</v>
      </c>
      <c r="Y1080" s="62"/>
      <c r="Z1080" s="66"/>
      <c r="AA1080" s="85"/>
      <c r="AB1080" s="69"/>
      <c r="AC1080" s="85"/>
      <c r="AD1080" s="85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82"/>
      <c r="D1081" s="32"/>
      <c r="E1081" s="32"/>
      <c r="F1081" s="32"/>
      <c r="G1081" s="32">
        <f t="shared" si="277"/>
        <v>0</v>
      </c>
      <c r="H1081" s="10"/>
      <c r="I1081" s="10"/>
      <c r="J1081" s="10"/>
      <c r="K1081" s="12">
        <f t="shared" si="278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79"/>
        <v>0</v>
      </c>
      <c r="T1081" s="10"/>
      <c r="U1081" s="10"/>
      <c r="V1081" s="10"/>
      <c r="W1081" s="12">
        <f t="shared" si="280"/>
        <v>0</v>
      </c>
      <c r="Y1081" s="62"/>
      <c r="Z1081" s="66"/>
      <c r="AA1081" s="85"/>
      <c r="AB1081" s="69"/>
      <c r="AC1081" s="85"/>
      <c r="AD1081" s="85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82"/>
      <c r="D1082" s="32"/>
      <c r="E1082" s="32"/>
      <c r="F1082" s="32"/>
      <c r="G1082" s="32">
        <f t="shared" si="277"/>
        <v>0</v>
      </c>
      <c r="H1082" s="10"/>
      <c r="I1082" s="10"/>
      <c r="J1082" s="10"/>
      <c r="K1082" s="12">
        <f t="shared" si="278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279"/>
        <v>0</v>
      </c>
      <c r="T1082" s="10"/>
      <c r="U1082" s="10"/>
      <c r="V1082" s="10"/>
      <c r="W1082" s="12">
        <f t="shared" si="280"/>
        <v>0</v>
      </c>
      <c r="Y1082" s="62"/>
      <c r="Z1082" s="66"/>
      <c r="AA1082" s="85"/>
      <c r="AB1082" s="69"/>
      <c r="AC1082" s="85"/>
      <c r="AD1082" s="85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82"/>
      <c r="D1083" s="32"/>
      <c r="E1083" s="32"/>
      <c r="F1083" s="32"/>
      <c r="G1083" s="32">
        <f t="shared" si="277"/>
        <v>0</v>
      </c>
      <c r="H1083" s="10"/>
      <c r="I1083" s="10"/>
      <c r="J1083" s="10"/>
      <c r="K1083" s="12">
        <f t="shared" si="278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79"/>
        <v>0</v>
      </c>
      <c r="T1083" s="10"/>
      <c r="U1083" s="10"/>
      <c r="V1083" s="10"/>
      <c r="W1083" s="12">
        <f t="shared" si="280"/>
        <v>0</v>
      </c>
      <c r="Y1083" s="62"/>
      <c r="Z1083" s="66"/>
      <c r="AA1083" s="85"/>
      <c r="AB1083" s="69"/>
      <c r="AC1083" s="85"/>
      <c r="AD1083" s="85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82"/>
      <c r="D1084" s="32"/>
      <c r="E1084" s="32"/>
      <c r="F1084" s="32"/>
      <c r="G1084" s="32">
        <f t="shared" si="277"/>
        <v>0</v>
      </c>
      <c r="H1084" s="10"/>
      <c r="I1084" s="10"/>
      <c r="J1084" s="10"/>
      <c r="K1084" s="12">
        <f t="shared" si="278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79"/>
        <v>0</v>
      </c>
      <c r="T1084" s="10"/>
      <c r="U1084" s="10"/>
      <c r="V1084" s="10"/>
      <c r="W1084" s="12">
        <f t="shared" si="280"/>
        <v>0</v>
      </c>
      <c r="Y1084" s="62"/>
      <c r="Z1084" s="66"/>
      <c r="AA1084" s="85"/>
      <c r="AB1084" s="69"/>
      <c r="AC1084" s="85"/>
      <c r="AD1084" s="85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82"/>
      <c r="D1085" s="32"/>
      <c r="E1085" s="32"/>
      <c r="F1085" s="32"/>
      <c r="G1085" s="32">
        <f t="shared" si="277"/>
        <v>0</v>
      </c>
      <c r="H1085" s="10"/>
      <c r="I1085" s="10"/>
      <c r="J1085" s="10"/>
      <c r="K1085" s="12">
        <f t="shared" si="278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79"/>
        <v>0</v>
      </c>
      <c r="T1085" s="10"/>
      <c r="U1085" s="10"/>
      <c r="V1085" s="10"/>
      <c r="W1085" s="12">
        <f t="shared" si="280"/>
        <v>0</v>
      </c>
      <c r="Y1085" s="62"/>
      <c r="Z1085" s="66"/>
      <c r="AA1085" s="85"/>
      <c r="AB1085" s="69"/>
      <c r="AC1085" s="85"/>
      <c r="AD1085" s="85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82"/>
      <c r="D1086" s="32"/>
      <c r="E1086" s="32"/>
      <c r="F1086" s="32"/>
      <c r="G1086" s="32">
        <f t="shared" si="277"/>
        <v>0</v>
      </c>
      <c r="H1086" s="10"/>
      <c r="I1086" s="10"/>
      <c r="J1086" s="10"/>
      <c r="K1086" s="12">
        <f t="shared" si="278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279"/>
        <v>0</v>
      </c>
      <c r="T1086" s="10"/>
      <c r="U1086" s="10"/>
      <c r="V1086" s="10"/>
      <c r="W1086" s="12">
        <f t="shared" si="280"/>
        <v>0</v>
      </c>
      <c r="Y1086" s="62"/>
      <c r="Z1086" s="66"/>
      <c r="AA1086" s="85"/>
      <c r="AB1086" s="69"/>
      <c r="AC1086" s="85"/>
      <c r="AD1086" s="85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82"/>
      <c r="D1087" s="32"/>
      <c r="E1087" s="32"/>
      <c r="F1087" s="32"/>
      <c r="G1087" s="32">
        <f t="shared" si="277"/>
        <v>0</v>
      </c>
      <c r="H1087" s="10"/>
      <c r="I1087" s="10"/>
      <c r="J1087" s="10"/>
      <c r="K1087" s="12">
        <f t="shared" si="278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79"/>
        <v>0</v>
      </c>
      <c r="T1087" s="10"/>
      <c r="U1087" s="10"/>
      <c r="V1087" s="10"/>
      <c r="W1087" s="12">
        <f t="shared" si="280"/>
        <v>0</v>
      </c>
      <c r="Y1087" s="62"/>
      <c r="Z1087" s="66"/>
      <c r="AA1087" s="85"/>
      <c r="AB1087" s="69"/>
      <c r="AC1087" s="85"/>
      <c r="AD1087" s="85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2"/>
      <c r="D1088" s="32"/>
      <c r="E1088" s="32"/>
      <c r="F1088" s="32"/>
      <c r="G1088" s="32">
        <f t="shared" si="277"/>
        <v>0</v>
      </c>
      <c r="H1088" s="10"/>
      <c r="I1088" s="10"/>
      <c r="J1088" s="10"/>
      <c r="K1088" s="12">
        <f t="shared" si="278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79"/>
        <v>0</v>
      </c>
      <c r="T1088" s="10"/>
      <c r="U1088" s="10"/>
      <c r="V1088" s="10"/>
      <c r="W1088" s="12">
        <f t="shared" si="280"/>
        <v>0</v>
      </c>
      <c r="Y1088" s="62"/>
      <c r="Z1088" s="66"/>
      <c r="AA1088" s="85"/>
      <c r="AB1088" s="69"/>
      <c r="AC1088" s="85"/>
      <c r="AD1088" s="85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2"/>
      <c r="D1089" s="32"/>
      <c r="E1089" s="32"/>
      <c r="F1089" s="32"/>
      <c r="G1089" s="32">
        <f t="shared" si="277"/>
        <v>0</v>
      </c>
      <c r="H1089" s="10"/>
      <c r="I1089" s="10"/>
      <c r="J1089" s="10"/>
      <c r="K1089" s="12">
        <f t="shared" si="278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79"/>
        <v>0</v>
      </c>
      <c r="T1089" s="10"/>
      <c r="U1089" s="10"/>
      <c r="V1089" s="10"/>
      <c r="W1089" s="12">
        <f t="shared" si="280"/>
        <v>0</v>
      </c>
      <c r="Y1089" s="62"/>
      <c r="Z1089" s="66"/>
      <c r="AA1089" s="85"/>
      <c r="AB1089" s="69"/>
      <c r="AC1089" s="85"/>
      <c r="AD1089" s="85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2"/>
      <c r="D1090" s="32"/>
      <c r="E1090" s="32"/>
      <c r="F1090" s="32"/>
      <c r="G1090" s="32">
        <f t="shared" si="277"/>
        <v>0</v>
      </c>
      <c r="H1090" s="10"/>
      <c r="I1090" s="10"/>
      <c r="J1090" s="10"/>
      <c r="K1090" s="12">
        <f t="shared" si="278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79"/>
        <v>0</v>
      </c>
      <c r="T1090" s="10"/>
      <c r="U1090" s="10"/>
      <c r="V1090" s="10"/>
      <c r="W1090" s="12">
        <f t="shared" si="280"/>
        <v>0</v>
      </c>
      <c r="Y1090" s="62"/>
      <c r="Z1090" s="66"/>
      <c r="AA1090" s="85"/>
      <c r="AB1090" s="69"/>
      <c r="AC1090" s="85"/>
      <c r="AD1090" s="85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2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P1091" s="47"/>
      <c r="Q1091" s="31"/>
      <c r="R1091" s="31"/>
      <c r="S1091" s="32">
        <f t="shared" si="279"/>
        <v>0</v>
      </c>
      <c r="T1091" s="10"/>
      <c r="U1091" s="10"/>
      <c r="V1091" s="10"/>
      <c r="W1091" s="12">
        <f t="shared" si="280"/>
        <v>0</v>
      </c>
      <c r="Y1091" s="62"/>
      <c r="Z1091" s="66"/>
      <c r="AA1091" s="85"/>
      <c r="AB1091" s="69"/>
      <c r="AC1091" s="85"/>
      <c r="AD1091" s="85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2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79"/>
        <v>0</v>
      </c>
      <c r="T1092" s="10"/>
      <c r="U1092" s="10"/>
      <c r="V1092" s="10"/>
      <c r="W1092" s="12">
        <f t="shared" si="280"/>
        <v>0</v>
      </c>
      <c r="Y1092" s="62"/>
      <c r="Z1092" s="66"/>
      <c r="AA1092" s="85"/>
      <c r="AB1092" s="69"/>
      <c r="AC1092" s="85"/>
      <c r="AD1092" s="85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O1093" s="31"/>
      <c r="P1093" s="47"/>
      <c r="Q1093" s="31"/>
      <c r="R1093" s="31"/>
      <c r="S1093" s="32">
        <f t="shared" si="279"/>
        <v>0</v>
      </c>
      <c r="T1093" s="10"/>
      <c r="U1093" s="10"/>
      <c r="V1093" s="10"/>
      <c r="W1093" s="12">
        <f t="shared" si="280"/>
        <v>0</v>
      </c>
      <c r="Y1093" s="62"/>
      <c r="Z1093" s="66"/>
      <c r="AA1093" s="85"/>
      <c r="AB1093" s="69"/>
      <c r="AC1093" s="85"/>
      <c r="AD1093" s="85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79"/>
        <v>0</v>
      </c>
      <c r="T1094" s="10"/>
      <c r="U1094" s="10"/>
      <c r="V1094" s="10"/>
      <c r="W1094" s="12">
        <f t="shared" si="280"/>
        <v>0</v>
      </c>
      <c r="Y1094" s="62"/>
      <c r="Z1094" s="66"/>
      <c r="AA1094" s="85"/>
      <c r="AB1094" s="69"/>
      <c r="AC1094" s="85"/>
      <c r="AD1094" s="85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79"/>
        <v>0</v>
      </c>
      <c r="T1095" s="10"/>
      <c r="U1095" s="10"/>
      <c r="V1095" s="10"/>
      <c r="W1095" s="12">
        <f t="shared" si="280"/>
        <v>0</v>
      </c>
      <c r="Y1095" s="62"/>
      <c r="Z1095" s="66"/>
      <c r="AA1095" s="85"/>
      <c r="AB1095" s="69"/>
      <c r="AC1095" s="85"/>
      <c r="AD1095" s="85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80"/>
        <v>0</v>
      </c>
      <c r="Y1096" s="62"/>
      <c r="Z1096" s="66"/>
      <c r="AA1096" s="62"/>
      <c r="AB1096" s="69"/>
      <c r="AC1096" s="85"/>
      <c r="AD1096" s="85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283">SUM(D1097:E1097)</f>
        <v>0</v>
      </c>
      <c r="H1097" s="10"/>
      <c r="I1097" s="10"/>
      <c r="J1097" s="10"/>
      <c r="K1097" s="12">
        <f t="shared" ref="K1097" si="284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285">SUM(P1097:Q1097)</f>
        <v>0</v>
      </c>
      <c r="T1097" s="10"/>
      <c r="U1097" s="10"/>
      <c r="V1097" s="10"/>
      <c r="W1097" s="12">
        <f t="shared" si="280"/>
        <v>0</v>
      </c>
      <c r="Y1097" s="62"/>
      <c r="Z1097" s="66"/>
      <c r="AA1097" s="85"/>
      <c r="AB1097" s="69"/>
      <c r="AC1097" s="85"/>
      <c r="AD1097" s="85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80"/>
        <v>0</v>
      </c>
      <c r="Y1098" s="62"/>
      <c r="Z1098" s="85"/>
      <c r="AA1098" s="85"/>
      <c r="AB1098" s="85"/>
      <c r="AC1098" s="85"/>
      <c r="AD1098" s="85"/>
      <c r="AE1098" s="85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Y1099" s="62"/>
      <c r="Z1099" s="85"/>
      <c r="AA1099" s="85"/>
      <c r="AB1099" s="85"/>
      <c r="AC1099" s="85"/>
      <c r="AD1099" s="85"/>
      <c r="AE1099" s="85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377357</v>
      </c>
      <c r="E1100" s="38">
        <f t="shared" ref="E1100:F1100" si="286">SUM(E1057:E1097)</f>
        <v>-2886</v>
      </c>
      <c r="F1100" s="38">
        <f t="shared" si="286"/>
        <v>0</v>
      </c>
      <c r="G1100" s="38">
        <f>SUM(G1057:G1099)</f>
        <v>374471</v>
      </c>
      <c r="H1100" s="4"/>
      <c r="I1100" s="39">
        <f>SUM(I1057:I1099)</f>
        <v>2115</v>
      </c>
      <c r="J1100" s="39">
        <f>SUM(J1057:J1099)</f>
        <v>-6612</v>
      </c>
      <c r="K1100" s="40">
        <f>SUM(K1057:K1099)</f>
        <v>369974</v>
      </c>
      <c r="N1100" s="57"/>
      <c r="O1100" s="57"/>
      <c r="P1100" s="38">
        <f>SUM(P1057:P1099)</f>
        <v>217042</v>
      </c>
      <c r="Q1100" s="38">
        <f>SUM(Q1057:Q1081)</f>
        <v>-1296</v>
      </c>
      <c r="R1100" s="38">
        <f>SUM(R1057:R1081)</f>
        <v>0</v>
      </c>
      <c r="S1100" s="38">
        <f>SUM(S1057:S1099)</f>
        <v>215746</v>
      </c>
      <c r="T1100" s="4"/>
      <c r="U1100" s="41">
        <f>SUM(U1057:U1099)</f>
        <v>4134.5</v>
      </c>
      <c r="V1100" s="41">
        <f>SUM(V1057:V1081)</f>
        <v>-1146</v>
      </c>
      <c r="W1100" s="42">
        <f>SUM(W1057:W1099)</f>
        <v>218734.5</v>
      </c>
      <c r="Y1100" s="62"/>
      <c r="Z1100" s="85"/>
      <c r="AA1100" s="85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50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50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50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96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96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33</v>
      </c>
      <c r="W1108" s="24"/>
      <c r="Y1108" s="21" t="s">
        <v>96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35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0" t="s">
        <v>17</v>
      </c>
      <c r="E1110" s="120"/>
      <c r="F1110" s="110"/>
      <c r="G1110" s="27"/>
      <c r="I1110" s="118" t="s">
        <v>18</v>
      </c>
      <c r="J1110" s="119"/>
      <c r="K1110" s="116" t="s">
        <v>19</v>
      </c>
      <c r="N1110" s="25"/>
      <c r="O1110" s="26"/>
      <c r="P1110" s="120" t="s">
        <v>17</v>
      </c>
      <c r="Q1110" s="120"/>
      <c r="R1110" s="110"/>
      <c r="S1110" s="27"/>
      <c r="U1110" s="118" t="s">
        <v>18</v>
      </c>
      <c r="V1110" s="119"/>
      <c r="W1110" s="116" t="s">
        <v>19</v>
      </c>
      <c r="Z1110" s="25"/>
      <c r="AA1110" s="26"/>
      <c r="AB1110" s="120" t="s">
        <v>17</v>
      </c>
      <c r="AC1110" s="120"/>
      <c r="AD1110" s="110"/>
      <c r="AE1110" s="27"/>
      <c r="AG1110" s="118" t="s">
        <v>18</v>
      </c>
      <c r="AH1110" s="119"/>
      <c r="AI1110" s="116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32</v>
      </c>
      <c r="G1111" s="78" t="s">
        <v>24</v>
      </c>
      <c r="I1111" s="29" t="s">
        <v>25</v>
      </c>
      <c r="J1111" s="29" t="s">
        <v>26</v>
      </c>
      <c r="K1111" s="117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32</v>
      </c>
      <c r="S1111" s="78" t="s">
        <v>24</v>
      </c>
      <c r="U1111" s="29" t="s">
        <v>25</v>
      </c>
      <c r="V1111" s="29" t="s">
        <v>26</v>
      </c>
      <c r="W1111" s="117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32</v>
      </c>
      <c r="AE1111" s="78" t="s">
        <v>24</v>
      </c>
      <c r="AG1111" s="29" t="s">
        <v>25</v>
      </c>
      <c r="AH1111" s="29" t="s">
        <v>26</v>
      </c>
      <c r="AI1111" s="117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97</v>
      </c>
      <c r="C1112" s="82">
        <v>9828</v>
      </c>
      <c r="D1112" s="32">
        <f>650*80+670*5+622*12</f>
        <v>62814</v>
      </c>
      <c r="E1112" s="32"/>
      <c r="F1112" s="32"/>
      <c r="G1112" s="32">
        <f t="shared" ref="G1112:G1145" si="287">SUM(D1112:E1112)</f>
        <v>62814</v>
      </c>
      <c r="H1112" s="12"/>
      <c r="I1112" s="12"/>
      <c r="J1112" s="12"/>
      <c r="K1112" s="12">
        <f t="shared" ref="K1112:K1145" si="288">SUM(G1112:J1112)</f>
        <v>62814</v>
      </c>
      <c r="M1112" s="10">
        <v>1</v>
      </c>
      <c r="N1112" s="30" t="s">
        <v>97</v>
      </c>
      <c r="O1112" s="31">
        <v>9867</v>
      </c>
      <c r="P1112" s="32">
        <f>650*300+622*30+229*10</f>
        <v>215950</v>
      </c>
      <c r="Q1112" s="32">
        <f>330*6</f>
        <v>1980</v>
      </c>
      <c r="R1112" s="32"/>
      <c r="S1112" s="32">
        <f>SUM(P1112:Q1112)</f>
        <v>217930</v>
      </c>
      <c r="T1112" s="12"/>
      <c r="U1112" s="12">
        <f>2886+780</f>
        <v>3666</v>
      </c>
      <c r="V1112" s="12">
        <f>-480+-336</f>
        <v>-816</v>
      </c>
      <c r="W1112" s="12">
        <f>SUM(S1112:V1112)</f>
        <v>220780</v>
      </c>
      <c r="Y1112" s="10">
        <v>1</v>
      </c>
      <c r="Z1112" s="30" t="s">
        <v>97</v>
      </c>
      <c r="AA1112" s="31">
        <v>9762</v>
      </c>
      <c r="AB1112" s="32">
        <f>650*60+622*10+872</f>
        <v>46092</v>
      </c>
      <c r="AC1112" s="32"/>
      <c r="AD1112" s="32"/>
      <c r="AE1112" s="32">
        <f>SUM(AB1112:AC1112)</f>
        <v>46092</v>
      </c>
      <c r="AF1112" s="12"/>
      <c r="AG1112" s="12">
        <v>234</v>
      </c>
      <c r="AH1112" s="12"/>
      <c r="AI1112" s="12">
        <f>SUM(AE1112:AH1112)</f>
        <v>46326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97</v>
      </c>
      <c r="C1113" s="82">
        <f>C1112+1</f>
        <v>9829</v>
      </c>
      <c r="D1113" s="32">
        <f>650*50+1582</f>
        <v>34082</v>
      </c>
      <c r="E1113" s="32"/>
      <c r="F1113" s="32"/>
      <c r="G1113" s="32">
        <f t="shared" si="287"/>
        <v>34082</v>
      </c>
      <c r="H1113" s="12"/>
      <c r="I1113" s="12"/>
      <c r="J1113" s="12"/>
      <c r="K1113" s="12">
        <f t="shared" si="288"/>
        <v>34082</v>
      </c>
      <c r="M1113" s="10">
        <v>2</v>
      </c>
      <c r="N1113" s="30" t="s">
        <v>97</v>
      </c>
      <c r="O1113" s="31">
        <f>O1112+1</f>
        <v>9868</v>
      </c>
      <c r="P1113" s="32">
        <f>650*51</f>
        <v>33150</v>
      </c>
      <c r="Q1113" s="32"/>
      <c r="R1113" s="32"/>
      <c r="S1113" s="32">
        <f t="shared" ref="S1113:S1150" si="289">SUM(P1113:Q1113)</f>
        <v>33150</v>
      </c>
      <c r="T1113" s="12"/>
      <c r="U1113" s="12"/>
      <c r="V1113" s="12"/>
      <c r="W1113" s="12">
        <f t="shared" ref="W1113:W1153" si="290">SUM(S1113:V1113)</f>
        <v>33150</v>
      </c>
      <c r="Y1113" s="10">
        <v>2</v>
      </c>
      <c r="Z1113" s="30" t="s">
        <v>97</v>
      </c>
      <c r="AA1113" s="31">
        <f>AA1112+1</f>
        <v>9763</v>
      </c>
      <c r="AB1113" s="32">
        <f>650*100+670*5+622*50+912+872*2+229*6+650*2</f>
        <v>104780</v>
      </c>
      <c r="AC1113" s="32">
        <f>-158*6</f>
        <v>-948</v>
      </c>
      <c r="AD1113" s="32"/>
      <c r="AE1113" s="32">
        <f t="shared" ref="AE1113:AE1150" si="291">SUM(AB1113:AC1113)</f>
        <v>103832</v>
      </c>
      <c r="AF1113" s="12"/>
      <c r="AG1113" s="12"/>
      <c r="AH1113" s="12"/>
      <c r="AI1113" s="12">
        <f t="shared" ref="AI1113:AI1153" si="292">SUM(AE1113:AH1113)</f>
        <v>103832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97</v>
      </c>
      <c r="C1114" s="82">
        <f t="shared" ref="C1114:C1123" si="293">C1113+1</f>
        <v>9830</v>
      </c>
      <c r="D1114" s="33">
        <f>650*50</f>
        <v>32500</v>
      </c>
      <c r="E1114" s="33"/>
      <c r="F1114" s="33"/>
      <c r="G1114" s="33">
        <f t="shared" si="287"/>
        <v>32500</v>
      </c>
      <c r="H1114" s="34"/>
      <c r="I1114" s="34"/>
      <c r="J1114" s="34"/>
      <c r="K1114" s="34">
        <f t="shared" si="288"/>
        <v>32500</v>
      </c>
      <c r="M1114" s="10">
        <v>3</v>
      </c>
      <c r="N1114" s="30" t="s">
        <v>97</v>
      </c>
      <c r="O1114" s="31">
        <f t="shared" ref="O1114:O1118" si="294">O1113+1</f>
        <v>9869</v>
      </c>
      <c r="P1114" s="32">
        <f>500+650</f>
        <v>1150</v>
      </c>
      <c r="Q1114" s="32"/>
      <c r="R1114" s="32"/>
      <c r="S1114" s="32">
        <f t="shared" si="289"/>
        <v>1150</v>
      </c>
      <c r="T1114" s="12"/>
      <c r="U1114" s="12"/>
      <c r="V1114" s="12"/>
      <c r="W1114" s="12">
        <f t="shared" si="290"/>
        <v>1150</v>
      </c>
      <c r="Y1114" s="10">
        <v>3</v>
      </c>
      <c r="Z1114" s="30" t="s">
        <v>97</v>
      </c>
      <c r="AA1114" s="31">
        <f t="shared" ref="AA1114:AA1122" si="295">AA1113+1</f>
        <v>9764</v>
      </c>
      <c r="AB1114" s="33">
        <f>650*108+229*4</f>
        <v>71116</v>
      </c>
      <c r="AC1114" s="33">
        <f>-108*6</f>
        <v>-648</v>
      </c>
      <c r="AD1114" s="32"/>
      <c r="AE1114" s="32">
        <f t="shared" si="291"/>
        <v>70468</v>
      </c>
      <c r="AF1114" s="12"/>
      <c r="AG1114" s="12">
        <f>2664+1.5*48</f>
        <v>2736</v>
      </c>
      <c r="AH1114" s="12"/>
      <c r="AI1114" s="12">
        <f t="shared" si="292"/>
        <v>73204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97</v>
      </c>
      <c r="C1115" s="82">
        <f t="shared" si="293"/>
        <v>9831</v>
      </c>
      <c r="D1115" s="32">
        <f>650*50+229</f>
        <v>32729</v>
      </c>
      <c r="E1115" s="32"/>
      <c r="F1115" s="32"/>
      <c r="G1115" s="32">
        <f t="shared" si="287"/>
        <v>32729</v>
      </c>
      <c r="H1115" s="12"/>
      <c r="I1115" s="12">
        <f>111*42+9.5*15</f>
        <v>4804.5</v>
      </c>
      <c r="J1115" s="12"/>
      <c r="K1115" s="12">
        <f t="shared" si="288"/>
        <v>37533.5</v>
      </c>
      <c r="M1115" s="10">
        <v>4</v>
      </c>
      <c r="N1115" s="30" t="s">
        <v>97</v>
      </c>
      <c r="O1115" s="31">
        <f t="shared" si="294"/>
        <v>9870</v>
      </c>
      <c r="P1115" s="32">
        <f>650*4+670</f>
        <v>3270</v>
      </c>
      <c r="Q1115" s="32"/>
      <c r="R1115" s="32"/>
      <c r="S1115" s="32">
        <f t="shared" si="289"/>
        <v>3270</v>
      </c>
      <c r="T1115" s="12"/>
      <c r="U1115" s="12"/>
      <c r="V1115" s="12"/>
      <c r="W1115" s="12">
        <f t="shared" si="290"/>
        <v>3270</v>
      </c>
      <c r="Y1115" s="10">
        <v>4</v>
      </c>
      <c r="Z1115" s="30" t="s">
        <v>97</v>
      </c>
      <c r="AA1115" s="31">
        <f t="shared" si="295"/>
        <v>9765</v>
      </c>
      <c r="AB1115" s="32">
        <f>650*162+229*6</f>
        <v>106674</v>
      </c>
      <c r="AC1115" s="32">
        <f>-162*6</f>
        <v>-972</v>
      </c>
      <c r="AD1115" s="32"/>
      <c r="AE1115" s="32">
        <f t="shared" si="291"/>
        <v>105702</v>
      </c>
      <c r="AF1115" s="12"/>
      <c r="AG1115" s="58"/>
      <c r="AH1115" s="12"/>
      <c r="AI1115" s="12">
        <f t="shared" si="292"/>
        <v>105702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97</v>
      </c>
      <c r="C1116" s="82">
        <f t="shared" si="293"/>
        <v>9832</v>
      </c>
      <c r="D1116" s="32">
        <f>229*3</f>
        <v>687</v>
      </c>
      <c r="E1116" s="32"/>
      <c r="F1116" s="32"/>
      <c r="G1116" s="32">
        <f t="shared" si="287"/>
        <v>687</v>
      </c>
      <c r="H1116" s="12"/>
      <c r="I1116" s="12"/>
      <c r="J1116" s="12">
        <v>-156</v>
      </c>
      <c r="K1116" s="12">
        <f t="shared" si="288"/>
        <v>531</v>
      </c>
      <c r="M1116" s="10">
        <v>5</v>
      </c>
      <c r="N1116" s="30" t="s">
        <v>97</v>
      </c>
      <c r="O1116" s="31">
        <f t="shared" si="294"/>
        <v>9871</v>
      </c>
      <c r="P1116" s="32">
        <f>650*3+670</f>
        <v>2620</v>
      </c>
      <c r="Q1116" s="32"/>
      <c r="R1116" s="32"/>
      <c r="S1116" s="32">
        <f t="shared" si="289"/>
        <v>2620</v>
      </c>
      <c r="T1116" s="12"/>
      <c r="U1116" s="12"/>
      <c r="V1116" s="12"/>
      <c r="W1116" s="12">
        <f t="shared" si="290"/>
        <v>2620</v>
      </c>
      <c r="Y1116" s="10">
        <v>5</v>
      </c>
      <c r="Z1116" s="30" t="s">
        <v>97</v>
      </c>
      <c r="AA1116" s="31">
        <f t="shared" si="295"/>
        <v>9766</v>
      </c>
      <c r="AB1116" s="32">
        <f>650*20+670*4+622*6+229*3</f>
        <v>20099</v>
      </c>
      <c r="AC1116" s="32"/>
      <c r="AD1116" s="32"/>
      <c r="AE1116" s="32">
        <f t="shared" si="291"/>
        <v>20099</v>
      </c>
      <c r="AF1116" s="12"/>
      <c r="AG1116" s="12"/>
      <c r="AH1116" s="12"/>
      <c r="AI1116" s="12">
        <f t="shared" si="292"/>
        <v>20099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97</v>
      </c>
      <c r="C1117" s="82">
        <f t="shared" si="293"/>
        <v>9833</v>
      </c>
      <c r="D1117" s="32">
        <f>650*8+9.5*8</f>
        <v>5276</v>
      </c>
      <c r="E1117" s="32"/>
      <c r="F1117" s="32"/>
      <c r="G1117" s="32">
        <f t="shared" si="287"/>
        <v>5276</v>
      </c>
      <c r="H1117" s="12"/>
      <c r="I1117" s="12"/>
      <c r="J1117" s="12"/>
      <c r="K1117" s="12">
        <f t="shared" si="288"/>
        <v>5276</v>
      </c>
      <c r="M1117" s="10">
        <v>6</v>
      </c>
      <c r="N1117" s="30" t="s">
        <v>97</v>
      </c>
      <c r="O1117" s="31">
        <f t="shared" si="294"/>
        <v>9872</v>
      </c>
      <c r="P1117" s="32">
        <f>650*75+670*7+622*15+229*3</f>
        <v>63457</v>
      </c>
      <c r="Q1117" s="32"/>
      <c r="R1117" s="32"/>
      <c r="S1117" s="32">
        <f t="shared" si="289"/>
        <v>63457</v>
      </c>
      <c r="T1117" s="12"/>
      <c r="U1117" s="12">
        <f>18*111+4.5*36</f>
        <v>2160</v>
      </c>
      <c r="V1117" s="10"/>
      <c r="W1117" s="12">
        <f t="shared" si="290"/>
        <v>65617</v>
      </c>
      <c r="Y1117" s="10">
        <v>6</v>
      </c>
      <c r="Z1117" s="30" t="s">
        <v>97</v>
      </c>
      <c r="AA1117" s="31">
        <f t="shared" si="295"/>
        <v>9767</v>
      </c>
      <c r="AB1117" s="32">
        <f>650*10+622*10</f>
        <v>12720</v>
      </c>
      <c r="AC1117" s="32"/>
      <c r="AD1117" s="32"/>
      <c r="AE1117" s="32">
        <f t="shared" si="291"/>
        <v>12720</v>
      </c>
      <c r="AF1117" s="12"/>
      <c r="AG1117" s="12"/>
      <c r="AH1117" s="10"/>
      <c r="AI1117" s="12">
        <f t="shared" si="292"/>
        <v>12720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97</v>
      </c>
      <c r="C1118" s="82">
        <f t="shared" si="293"/>
        <v>9834</v>
      </c>
      <c r="D1118" s="32">
        <f>650*2+9.5*2</f>
        <v>1319</v>
      </c>
      <c r="E1118" s="32"/>
      <c r="F1118" s="32"/>
      <c r="G1118" s="32">
        <f t="shared" si="287"/>
        <v>1319</v>
      </c>
      <c r="H1118" s="12"/>
      <c r="I1118" s="12"/>
      <c r="J1118" s="12"/>
      <c r="K1118" s="12">
        <f t="shared" si="288"/>
        <v>1319</v>
      </c>
      <c r="M1118" s="10">
        <v>7</v>
      </c>
      <c r="N1118" s="30" t="s">
        <v>97</v>
      </c>
      <c r="O1118" s="31">
        <f t="shared" si="294"/>
        <v>9873</v>
      </c>
      <c r="P1118" s="32">
        <f>650*4+9.5*4</f>
        <v>2638</v>
      </c>
      <c r="Q1118" s="32"/>
      <c r="R1118" s="32"/>
      <c r="S1118" s="32">
        <f t="shared" si="289"/>
        <v>2638</v>
      </c>
      <c r="T1118" s="12"/>
      <c r="U1118" s="12"/>
      <c r="V1118" s="12">
        <f>-333+-126</f>
        <v>-459</v>
      </c>
      <c r="W1118" s="12">
        <f t="shared" si="290"/>
        <v>2179</v>
      </c>
      <c r="Y1118" s="10">
        <v>7</v>
      </c>
      <c r="Z1118" s="30" t="s">
        <v>97</v>
      </c>
      <c r="AA1118" s="31">
        <f t="shared" si="295"/>
        <v>9768</v>
      </c>
      <c r="AB1118" s="32">
        <f>650*2+622+9.5*3</f>
        <v>1950.5</v>
      </c>
      <c r="AC1118" s="32"/>
      <c r="AD1118" s="32"/>
      <c r="AE1118" s="32">
        <f t="shared" si="291"/>
        <v>1950.5</v>
      </c>
      <c r="AF1118" s="12"/>
      <c r="AG1118" s="58"/>
      <c r="AH1118" s="12"/>
      <c r="AI1118" s="12">
        <f t="shared" si="292"/>
        <v>1950.5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97</v>
      </c>
      <c r="C1119" s="82">
        <f t="shared" si="293"/>
        <v>9835</v>
      </c>
      <c r="D1119" s="32">
        <f>650*2+9.5*2</f>
        <v>1319</v>
      </c>
      <c r="E1119" s="32"/>
      <c r="F1119" s="32"/>
      <c r="G1119" s="32">
        <f t="shared" si="287"/>
        <v>1319</v>
      </c>
      <c r="H1119" s="12"/>
      <c r="I1119" s="12"/>
      <c r="J1119" s="12"/>
      <c r="K1119" s="12">
        <f t="shared" si="288"/>
        <v>1319</v>
      </c>
      <c r="M1119" s="10">
        <v>8</v>
      </c>
      <c r="N1119" s="30"/>
      <c r="O1119" s="11" t="s">
        <v>27</v>
      </c>
      <c r="P1119" s="32"/>
      <c r="Q1119" s="32"/>
      <c r="R1119" s="32"/>
      <c r="S1119" s="32">
        <f t="shared" si="289"/>
        <v>0</v>
      </c>
      <c r="T1119" s="12"/>
      <c r="U1119" s="12"/>
      <c r="V1119" s="12"/>
      <c r="W1119" s="12">
        <f t="shared" si="290"/>
        <v>0</v>
      </c>
      <c r="Y1119" s="10">
        <v>8</v>
      </c>
      <c r="Z1119" s="30" t="s">
        <v>97</v>
      </c>
      <c r="AA1119" s="31">
        <f t="shared" si="295"/>
        <v>9769</v>
      </c>
      <c r="AB1119" s="32">
        <f>650*20+622*5+229</f>
        <v>16339</v>
      </c>
      <c r="AC1119" s="32"/>
      <c r="AE1119" s="32">
        <f t="shared" si="291"/>
        <v>16339</v>
      </c>
      <c r="AF1119" s="12"/>
      <c r="AG1119" s="12"/>
      <c r="AH1119" s="12"/>
      <c r="AI1119" s="12">
        <f t="shared" si="292"/>
        <v>16339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97</v>
      </c>
      <c r="C1120" s="82">
        <f t="shared" si="293"/>
        <v>9836</v>
      </c>
      <c r="D1120" s="32">
        <f>650+9.5</f>
        <v>659.5</v>
      </c>
      <c r="E1120" s="32"/>
      <c r="F1120" s="32"/>
      <c r="G1120" s="32">
        <f t="shared" si="287"/>
        <v>659.5</v>
      </c>
      <c r="H1120" s="12"/>
      <c r="I1120" s="12"/>
      <c r="J1120" s="12"/>
      <c r="K1120" s="12">
        <f t="shared" si="288"/>
        <v>659.5</v>
      </c>
      <c r="M1120" s="10">
        <v>9</v>
      </c>
      <c r="N1120" s="30"/>
      <c r="O1120" s="31"/>
      <c r="P1120" s="32"/>
      <c r="Q1120" s="32"/>
      <c r="R1120" s="32"/>
      <c r="S1120" s="32">
        <f t="shared" si="289"/>
        <v>0</v>
      </c>
      <c r="T1120" s="12"/>
      <c r="U1120" s="12"/>
      <c r="V1120" s="12"/>
      <c r="W1120" s="12">
        <f t="shared" si="290"/>
        <v>0</v>
      </c>
      <c r="Y1120" s="10">
        <v>9</v>
      </c>
      <c r="Z1120" s="30" t="s">
        <v>97</v>
      </c>
      <c r="AA1120" s="31">
        <f t="shared" si="295"/>
        <v>9770</v>
      </c>
      <c r="AB1120" s="32">
        <f>650*6+670*4+622*3</f>
        <v>8446</v>
      </c>
      <c r="AC1120" s="32"/>
      <c r="AD1120" s="32"/>
      <c r="AE1120" s="32">
        <f t="shared" si="291"/>
        <v>8446</v>
      </c>
      <c r="AF1120" s="12"/>
      <c r="AG1120">
        <v>40.5</v>
      </c>
      <c r="AH1120" s="12"/>
      <c r="AI1120" s="12">
        <f t="shared" si="292"/>
        <v>8486.5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 t="s">
        <v>97</v>
      </c>
      <c r="C1121" s="82">
        <f t="shared" si="293"/>
        <v>9837</v>
      </c>
      <c r="D1121" s="32">
        <f>650*2+9.5*2</f>
        <v>1319</v>
      </c>
      <c r="E1121" s="32"/>
      <c r="F1121" s="32"/>
      <c r="G1121" s="32">
        <f t="shared" si="287"/>
        <v>1319</v>
      </c>
      <c r="H1121" s="12"/>
      <c r="I1121" s="12"/>
      <c r="J1121" s="12"/>
      <c r="K1121" s="12">
        <f t="shared" si="288"/>
        <v>1319</v>
      </c>
      <c r="M1121" s="10">
        <v>10</v>
      </c>
      <c r="N1121" s="30"/>
      <c r="O1121" s="31"/>
      <c r="P1121" s="32"/>
      <c r="Q1121" s="32"/>
      <c r="R1121" s="32"/>
      <c r="S1121" s="32">
        <f t="shared" si="289"/>
        <v>0</v>
      </c>
      <c r="T1121" s="12"/>
      <c r="U1121" s="12"/>
      <c r="V1121" s="12"/>
      <c r="W1121" s="12">
        <f t="shared" si="290"/>
        <v>0</v>
      </c>
      <c r="Y1121" s="10">
        <v>10</v>
      </c>
      <c r="Z1121" s="30" t="s">
        <v>97</v>
      </c>
      <c r="AA1121" s="31">
        <f t="shared" si="295"/>
        <v>9771</v>
      </c>
      <c r="AB1121" s="32">
        <f>650*5+622*15</f>
        <v>12580</v>
      </c>
      <c r="AC1121" s="32"/>
      <c r="AD1121" s="32"/>
      <c r="AE1121" s="32">
        <f t="shared" si="291"/>
        <v>12580</v>
      </c>
      <c r="AF1121" s="12"/>
      <c r="AG1121" s="12"/>
      <c r="AH1121" s="12"/>
      <c r="AI1121" s="12">
        <f t="shared" si="292"/>
        <v>12580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 t="s">
        <v>97</v>
      </c>
      <c r="C1122" s="82">
        <f t="shared" si="293"/>
        <v>9838</v>
      </c>
      <c r="D1122" s="32">
        <f>650*8+670+622*8</f>
        <v>10846</v>
      </c>
      <c r="E1122" s="32"/>
      <c r="F1122" s="32"/>
      <c r="G1122" s="32">
        <f t="shared" si="287"/>
        <v>10846</v>
      </c>
      <c r="H1122" s="12"/>
      <c r="I1122" s="12"/>
      <c r="J1122" s="12"/>
      <c r="K1122" s="12">
        <f t="shared" si="288"/>
        <v>10846</v>
      </c>
      <c r="M1122" s="10">
        <v>11</v>
      </c>
      <c r="N1122" s="30"/>
      <c r="O1122" s="31"/>
      <c r="P1122" s="32"/>
      <c r="Q1122" s="32"/>
      <c r="R1122" s="32"/>
      <c r="S1122" s="32">
        <f t="shared" si="289"/>
        <v>0</v>
      </c>
      <c r="T1122" s="12"/>
      <c r="U1122" s="12"/>
      <c r="V1122" s="12"/>
      <c r="W1122" s="12">
        <f t="shared" si="290"/>
        <v>0</v>
      </c>
      <c r="Y1122" s="10">
        <v>11</v>
      </c>
      <c r="Z1122" s="30" t="s">
        <v>97</v>
      </c>
      <c r="AA1122" s="31">
        <f t="shared" si="295"/>
        <v>9772</v>
      </c>
      <c r="AB1122" s="32">
        <f>650*20+670*4</f>
        <v>15680</v>
      </c>
      <c r="AC1122" s="32"/>
      <c r="AD1122" s="32"/>
      <c r="AE1122" s="32">
        <f t="shared" si="291"/>
        <v>15680</v>
      </c>
      <c r="AF1122" s="12"/>
      <c r="AG1122" s="12"/>
      <c r="AH1122" s="12"/>
      <c r="AI1122" s="12">
        <f t="shared" si="292"/>
        <v>15680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 t="s">
        <v>97</v>
      </c>
      <c r="C1123" s="82">
        <f t="shared" si="293"/>
        <v>9839</v>
      </c>
      <c r="D1123" s="32">
        <f>650*22+622*3+872</f>
        <v>17038</v>
      </c>
      <c r="E1123" s="32"/>
      <c r="F1123" s="32"/>
      <c r="G1123" s="32">
        <f t="shared" si="287"/>
        <v>17038</v>
      </c>
      <c r="H1123" s="12"/>
      <c r="I1123" s="12"/>
      <c r="J1123" s="10"/>
      <c r="K1123" s="12">
        <f t="shared" si="288"/>
        <v>17038</v>
      </c>
      <c r="M1123" s="10">
        <v>12</v>
      </c>
      <c r="N1123" s="30"/>
      <c r="O1123" s="31"/>
      <c r="P1123" s="32"/>
      <c r="Q1123" s="32"/>
      <c r="R1123" s="32"/>
      <c r="S1123" s="32">
        <f t="shared" si="289"/>
        <v>0</v>
      </c>
      <c r="T1123" s="12"/>
      <c r="U1123" s="12"/>
      <c r="V1123" s="12"/>
      <c r="W1123" s="12">
        <f t="shared" si="290"/>
        <v>0</v>
      </c>
      <c r="Y1123" s="10">
        <v>12</v>
      </c>
      <c r="Z1123" s="30"/>
      <c r="AA1123" s="11" t="s">
        <v>27</v>
      </c>
      <c r="AB1123" s="32"/>
      <c r="AC1123" s="32"/>
      <c r="AD1123" s="32"/>
      <c r="AE1123" s="32">
        <f t="shared" si="291"/>
        <v>0</v>
      </c>
      <c r="AF1123" s="12"/>
      <c r="AG1123" s="12"/>
      <c r="AH1123" s="12"/>
      <c r="AI1123" s="12">
        <f t="shared" si="292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11" t="s">
        <v>27</v>
      </c>
      <c r="D1124" s="32"/>
      <c r="E1124" s="32"/>
      <c r="F1124" s="32"/>
      <c r="G1124" s="32">
        <f t="shared" si="287"/>
        <v>0</v>
      </c>
      <c r="H1124" s="12"/>
      <c r="I1124" s="12"/>
      <c r="J1124" s="12"/>
      <c r="K1124" s="12">
        <f t="shared" si="288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289"/>
        <v>0</v>
      </c>
      <c r="T1124" s="12"/>
      <c r="U1124" s="12"/>
      <c r="V1124" s="12"/>
      <c r="W1124" s="12">
        <f t="shared" si="290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291"/>
        <v>0</v>
      </c>
      <c r="AF1124" s="12"/>
      <c r="AG1124" s="12"/>
      <c r="AH1124" s="12"/>
      <c r="AI1124" s="12">
        <f t="shared" si="292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2"/>
      <c r="D1125" s="32"/>
      <c r="E1125" s="32"/>
      <c r="F1125" s="32"/>
      <c r="G1125" s="32">
        <f t="shared" si="287"/>
        <v>0</v>
      </c>
      <c r="H1125" s="12"/>
      <c r="I1125" s="12"/>
      <c r="J1125" s="12"/>
      <c r="K1125" s="12">
        <f t="shared" si="288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289"/>
        <v>0</v>
      </c>
      <c r="T1125" s="12"/>
      <c r="U1125" s="12"/>
      <c r="V1125" s="12"/>
      <c r="W1125" s="12">
        <f t="shared" si="290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291"/>
        <v>0</v>
      </c>
      <c r="AF1125" s="12"/>
      <c r="AG1125" s="12"/>
      <c r="AH1125" s="12"/>
      <c r="AI1125" s="12">
        <f t="shared" si="292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2"/>
      <c r="D1126" s="32"/>
      <c r="E1126" s="32"/>
      <c r="F1126" s="32"/>
      <c r="G1126" s="32">
        <f t="shared" si="287"/>
        <v>0</v>
      </c>
      <c r="H1126" s="12"/>
      <c r="I1126" s="12"/>
      <c r="J1126" s="12"/>
      <c r="K1126" s="12">
        <f t="shared" si="288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289"/>
        <v>0</v>
      </c>
      <c r="T1126" s="12"/>
      <c r="U1126" s="12"/>
      <c r="V1126" s="12"/>
      <c r="W1126" s="12">
        <f t="shared" si="290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291"/>
        <v>0</v>
      </c>
      <c r="AF1126" s="12"/>
      <c r="AG1126" s="12"/>
      <c r="AH1126" s="12"/>
      <c r="AI1126" s="12">
        <f t="shared" si="292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82"/>
      <c r="D1127" s="32"/>
      <c r="E1127" s="32"/>
      <c r="F1127" s="32"/>
      <c r="G1127" s="32">
        <f t="shared" si="287"/>
        <v>0</v>
      </c>
      <c r="H1127" s="12"/>
      <c r="I1127" s="12"/>
      <c r="J1127" s="12"/>
      <c r="K1127" s="12">
        <f t="shared" si="288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289"/>
        <v>0</v>
      </c>
      <c r="T1127" s="12"/>
      <c r="U1127" s="12"/>
      <c r="V1127" s="12"/>
      <c r="W1127" s="12">
        <f t="shared" si="290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291"/>
        <v>0</v>
      </c>
      <c r="AF1127" s="12"/>
      <c r="AG1127" s="12"/>
      <c r="AH1127" s="12"/>
      <c r="AI1127" s="12">
        <f t="shared" si="292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2"/>
      <c r="D1128" s="32"/>
      <c r="E1128" s="32"/>
      <c r="F1128" s="32"/>
      <c r="G1128" s="32">
        <f t="shared" si="287"/>
        <v>0</v>
      </c>
      <c r="H1128" s="12"/>
      <c r="I1128" s="12"/>
      <c r="J1128" s="12"/>
      <c r="K1128" s="12">
        <f t="shared" si="288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289"/>
        <v>0</v>
      </c>
      <c r="T1128" s="12"/>
      <c r="U1128" s="12"/>
      <c r="V1128" s="12"/>
      <c r="W1128" s="12">
        <f t="shared" si="290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291"/>
        <v>0</v>
      </c>
      <c r="AF1128" s="12"/>
      <c r="AG1128" s="12"/>
      <c r="AH1128" s="12"/>
      <c r="AI1128" s="12">
        <f t="shared" si="292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2"/>
      <c r="D1129" s="32"/>
      <c r="E1129" s="32"/>
      <c r="F1129" s="32"/>
      <c r="G1129" s="32">
        <f t="shared" si="287"/>
        <v>0</v>
      </c>
      <c r="H1129" s="12"/>
      <c r="I1129" s="12"/>
      <c r="J1129" s="12"/>
      <c r="K1129" s="12">
        <f t="shared" si="288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289"/>
        <v>0</v>
      </c>
      <c r="T1129" s="12"/>
      <c r="U1129" s="12"/>
      <c r="V1129" s="12"/>
      <c r="W1129" s="12">
        <f t="shared" si="290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291"/>
        <v>0</v>
      </c>
      <c r="AF1129" s="12"/>
      <c r="AG1129" s="12"/>
      <c r="AH1129" s="12"/>
      <c r="AI1129" s="12">
        <f t="shared" si="292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2"/>
      <c r="D1130" s="32"/>
      <c r="E1130" s="32"/>
      <c r="F1130" s="32"/>
      <c r="G1130" s="32">
        <f t="shared" si="287"/>
        <v>0</v>
      </c>
      <c r="H1130" s="12"/>
      <c r="I1130" s="12"/>
      <c r="J1130" s="12"/>
      <c r="K1130" s="12">
        <f t="shared" si="288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289"/>
        <v>0</v>
      </c>
      <c r="T1130" s="12"/>
      <c r="U1130" s="12"/>
      <c r="V1130" s="12"/>
      <c r="W1130" s="12">
        <f t="shared" si="290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291"/>
        <v>0</v>
      </c>
      <c r="AF1130" s="12"/>
      <c r="AG1130" s="12"/>
      <c r="AH1130" s="12"/>
      <c r="AI1130" s="12">
        <f t="shared" si="292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2"/>
      <c r="D1131" s="32"/>
      <c r="E1131" s="32"/>
      <c r="F1131" s="32"/>
      <c r="G1131" s="32">
        <f t="shared" si="287"/>
        <v>0</v>
      </c>
      <c r="H1131" s="12"/>
      <c r="I1131" s="12"/>
      <c r="J1131" s="12"/>
      <c r="K1131" s="12">
        <f t="shared" si="288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289"/>
        <v>0</v>
      </c>
      <c r="T1131" s="12"/>
      <c r="U1131" s="12"/>
      <c r="V1131" s="12"/>
      <c r="W1131" s="12">
        <f t="shared" si="290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291"/>
        <v>0</v>
      </c>
      <c r="AF1131" s="12"/>
      <c r="AG1131" s="12"/>
      <c r="AH1131" s="12"/>
      <c r="AI1131" s="12">
        <f t="shared" si="292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11"/>
      <c r="D1132" s="32"/>
      <c r="E1132" s="32"/>
      <c r="F1132" s="32"/>
      <c r="G1132" s="32">
        <f t="shared" si="287"/>
        <v>0</v>
      </c>
      <c r="H1132" s="10"/>
      <c r="I1132" s="10"/>
      <c r="J1132" s="10"/>
      <c r="K1132" s="12">
        <f t="shared" si="288"/>
        <v>0</v>
      </c>
      <c r="M1132" s="10">
        <v>21</v>
      </c>
      <c r="N1132" s="30"/>
      <c r="O1132" s="11"/>
      <c r="P1132" s="46"/>
      <c r="Q1132" s="31"/>
      <c r="R1132" s="31"/>
      <c r="S1132" s="32">
        <f t="shared" si="289"/>
        <v>0</v>
      </c>
      <c r="T1132" s="10"/>
      <c r="U1132" s="10"/>
      <c r="V1132" s="10"/>
      <c r="W1132" s="12">
        <f t="shared" si="290"/>
        <v>0</v>
      </c>
      <c r="Y1132" s="10">
        <v>21</v>
      </c>
      <c r="Z1132" s="30"/>
      <c r="AA1132" s="11"/>
      <c r="AB1132" s="46"/>
      <c r="AC1132" s="31"/>
      <c r="AD1132" s="31"/>
      <c r="AE1132" s="32">
        <f t="shared" si="291"/>
        <v>0</v>
      </c>
      <c r="AF1132" s="10"/>
      <c r="AG1132" s="10"/>
      <c r="AH1132" s="10"/>
      <c r="AI1132" s="12">
        <f t="shared" si="292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57"/>
      <c r="D1133" s="32"/>
      <c r="E1133" s="32"/>
      <c r="F1133" s="32"/>
      <c r="G1133" s="32">
        <f t="shared" si="287"/>
        <v>0</v>
      </c>
      <c r="H1133" s="10"/>
      <c r="I1133" s="10"/>
      <c r="J1133" s="10"/>
      <c r="K1133" s="12">
        <f t="shared" si="288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289"/>
        <v>0</v>
      </c>
      <c r="T1133" s="10"/>
      <c r="U1133" s="10"/>
      <c r="V1133" s="10"/>
      <c r="W1133" s="12">
        <f t="shared" si="290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291"/>
        <v>0</v>
      </c>
      <c r="AF1133" s="10"/>
      <c r="AG1133" s="10"/>
      <c r="AH1133" s="10"/>
      <c r="AI1133" s="12">
        <f t="shared" si="292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2"/>
      <c r="D1134" s="32"/>
      <c r="E1134" s="32"/>
      <c r="F1134" s="32"/>
      <c r="G1134" s="32">
        <f t="shared" si="287"/>
        <v>0</v>
      </c>
      <c r="H1134" s="10"/>
      <c r="I1134" s="10"/>
      <c r="J1134" s="12"/>
      <c r="K1134" s="12">
        <f t="shared" si="288"/>
        <v>0</v>
      </c>
      <c r="M1134" s="10">
        <v>23</v>
      </c>
      <c r="N1134" s="30"/>
      <c r="O1134" s="31"/>
      <c r="P1134" s="47"/>
      <c r="Q1134" s="31"/>
      <c r="S1134" s="32">
        <f t="shared" si="289"/>
        <v>0</v>
      </c>
      <c r="T1134" s="10"/>
      <c r="U1134" s="10"/>
      <c r="V1134" s="10"/>
      <c r="W1134" s="12">
        <f t="shared" si="290"/>
        <v>0</v>
      </c>
      <c r="Y1134" s="10">
        <v>23</v>
      </c>
      <c r="Z1134" s="30"/>
      <c r="AA1134" s="31"/>
      <c r="AB1134" s="47"/>
      <c r="AE1134" s="32">
        <f t="shared" si="291"/>
        <v>0</v>
      </c>
      <c r="AF1134" s="10"/>
      <c r="AG1134" s="10"/>
      <c r="AH1134" s="10"/>
      <c r="AI1134" s="12">
        <f t="shared" si="292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82"/>
      <c r="D1135" s="32"/>
      <c r="E1135" s="32"/>
      <c r="F1135" s="32"/>
      <c r="G1135" s="32">
        <f t="shared" si="287"/>
        <v>0</v>
      </c>
      <c r="H1135" s="10"/>
      <c r="I1135" s="10"/>
      <c r="J1135" s="10"/>
      <c r="K1135" s="12">
        <f t="shared" si="288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289"/>
        <v>0</v>
      </c>
      <c r="T1135" s="10"/>
      <c r="U1135" s="10"/>
      <c r="V1135" s="10"/>
      <c r="W1135" s="12">
        <f t="shared" si="290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291"/>
        <v>0</v>
      </c>
      <c r="AF1135" s="10"/>
      <c r="AG1135" s="10"/>
      <c r="AH1135" s="10"/>
      <c r="AI1135" s="12">
        <f t="shared" si="292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82"/>
      <c r="D1136" s="32"/>
      <c r="E1136" s="32"/>
      <c r="F1136" s="32"/>
      <c r="G1136" s="32">
        <f t="shared" si="287"/>
        <v>0</v>
      </c>
      <c r="H1136" s="10"/>
      <c r="I1136" s="10"/>
      <c r="J1136" s="10"/>
      <c r="K1136" s="12">
        <f t="shared" si="288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289"/>
        <v>0</v>
      </c>
      <c r="T1136" s="10"/>
      <c r="U1136" s="10"/>
      <c r="V1136" s="10"/>
      <c r="W1136" s="12">
        <f t="shared" si="290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291"/>
        <v>0</v>
      </c>
      <c r="AF1136" s="10"/>
      <c r="AG1136" s="10"/>
      <c r="AH1136" s="10"/>
      <c r="AI1136" s="12">
        <f t="shared" si="292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82"/>
      <c r="D1137" s="32"/>
      <c r="E1137" s="32"/>
      <c r="F1137" s="32"/>
      <c r="G1137" s="32">
        <f t="shared" si="287"/>
        <v>0</v>
      </c>
      <c r="H1137" s="10"/>
      <c r="I1137" s="10"/>
      <c r="J1137" s="10"/>
      <c r="K1137" s="12">
        <f t="shared" si="288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289"/>
        <v>0</v>
      </c>
      <c r="T1137" s="10"/>
      <c r="U1137" s="10"/>
      <c r="V1137" s="10"/>
      <c r="W1137" s="12">
        <f t="shared" si="290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291"/>
        <v>0</v>
      </c>
      <c r="AF1137" s="10"/>
      <c r="AG1137" s="10"/>
      <c r="AH1137" s="10"/>
      <c r="AI1137" s="12">
        <f t="shared" si="292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82"/>
      <c r="D1138" s="32"/>
      <c r="E1138" s="32"/>
      <c r="F1138" s="32"/>
      <c r="G1138" s="32">
        <f t="shared" si="287"/>
        <v>0</v>
      </c>
      <c r="H1138" s="10"/>
      <c r="I1138" s="10"/>
      <c r="J1138" s="10"/>
      <c r="K1138" s="12">
        <f t="shared" si="288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289"/>
        <v>0</v>
      </c>
      <c r="T1138" s="10"/>
      <c r="U1138" s="10"/>
      <c r="V1138" s="10"/>
      <c r="W1138" s="12">
        <f t="shared" si="290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291"/>
        <v>0</v>
      </c>
      <c r="AF1138" s="10"/>
      <c r="AG1138" s="10"/>
      <c r="AH1138" s="10"/>
      <c r="AI1138" s="12">
        <f t="shared" si="292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82"/>
      <c r="D1139" s="32"/>
      <c r="E1139" s="32"/>
      <c r="F1139" s="32"/>
      <c r="G1139" s="32">
        <f t="shared" si="287"/>
        <v>0</v>
      </c>
      <c r="H1139" s="10"/>
      <c r="I1139" s="10"/>
      <c r="J1139" s="10"/>
      <c r="K1139" s="12">
        <f t="shared" si="288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289"/>
        <v>0</v>
      </c>
      <c r="T1139" s="10"/>
      <c r="U1139" s="10"/>
      <c r="V1139" s="10"/>
      <c r="W1139" s="12">
        <f t="shared" si="290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291"/>
        <v>0</v>
      </c>
      <c r="AF1139" s="10"/>
      <c r="AG1139" s="10"/>
      <c r="AH1139" s="10"/>
      <c r="AI1139" s="12">
        <f t="shared" si="292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82"/>
      <c r="D1140" s="32"/>
      <c r="E1140" s="32"/>
      <c r="F1140" s="32"/>
      <c r="G1140" s="32">
        <f t="shared" si="287"/>
        <v>0</v>
      </c>
      <c r="H1140" s="10"/>
      <c r="I1140" s="10"/>
      <c r="J1140" s="10"/>
      <c r="K1140" s="12">
        <f t="shared" si="288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289"/>
        <v>0</v>
      </c>
      <c r="T1140" s="10"/>
      <c r="U1140" s="10"/>
      <c r="V1140" s="10"/>
      <c r="W1140" s="12">
        <f t="shared" si="290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291"/>
        <v>0</v>
      </c>
      <c r="AF1140" s="10"/>
      <c r="AG1140" s="10"/>
      <c r="AH1140" s="10"/>
      <c r="AI1140" s="12">
        <f t="shared" si="292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82"/>
      <c r="D1141" s="32"/>
      <c r="E1141" s="32"/>
      <c r="F1141" s="32"/>
      <c r="G1141" s="32">
        <f t="shared" si="287"/>
        <v>0</v>
      </c>
      <c r="H1141" s="10"/>
      <c r="I1141" s="10"/>
      <c r="J1141" s="10"/>
      <c r="K1141" s="12">
        <f t="shared" si="288"/>
        <v>0</v>
      </c>
      <c r="M1141" s="10">
        <v>30</v>
      </c>
      <c r="N1141" s="30"/>
      <c r="O1141" s="31"/>
      <c r="P1141" s="47"/>
      <c r="Q1141" s="31"/>
      <c r="R1141" s="31"/>
      <c r="S1141" s="32">
        <f t="shared" si="289"/>
        <v>0</v>
      </c>
      <c r="T1141" s="10"/>
      <c r="U1141" s="10"/>
      <c r="V1141" s="10"/>
      <c r="W1141" s="12">
        <f t="shared" si="290"/>
        <v>0</v>
      </c>
      <c r="Y1141" s="10">
        <v>30</v>
      </c>
      <c r="Z1141" s="30"/>
      <c r="AB1141" s="47"/>
      <c r="AC1141" s="31"/>
      <c r="AD1141" s="31"/>
      <c r="AE1141" s="32">
        <f t="shared" si="291"/>
        <v>0</v>
      </c>
      <c r="AF1141" s="10"/>
      <c r="AG1141" s="10"/>
      <c r="AH1141" s="10"/>
      <c r="AI1141" s="12">
        <f t="shared" si="292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82"/>
      <c r="D1142" s="32"/>
      <c r="E1142" s="32"/>
      <c r="F1142" s="32"/>
      <c r="G1142" s="32">
        <f t="shared" si="287"/>
        <v>0</v>
      </c>
      <c r="H1142" s="10"/>
      <c r="I1142" s="10"/>
      <c r="J1142" s="10"/>
      <c r="K1142" s="12">
        <f t="shared" si="288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289"/>
        <v>0</v>
      </c>
      <c r="T1142" s="10"/>
      <c r="U1142" s="10"/>
      <c r="V1142" s="10"/>
      <c r="W1142" s="12">
        <f t="shared" si="290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291"/>
        <v>0</v>
      </c>
      <c r="AF1142" s="10"/>
      <c r="AG1142" s="10"/>
      <c r="AH1142" s="10"/>
      <c r="AI1142" s="12">
        <f t="shared" si="292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82"/>
      <c r="D1143" s="32"/>
      <c r="E1143" s="32"/>
      <c r="F1143" s="32"/>
      <c r="G1143" s="32">
        <f t="shared" si="287"/>
        <v>0</v>
      </c>
      <c r="H1143" s="10"/>
      <c r="I1143" s="10"/>
      <c r="J1143" s="10"/>
      <c r="K1143" s="12">
        <f t="shared" si="288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289"/>
        <v>0</v>
      </c>
      <c r="T1143" s="10"/>
      <c r="U1143" s="10"/>
      <c r="V1143" s="10"/>
      <c r="W1143" s="12">
        <f t="shared" si="290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291"/>
        <v>0</v>
      </c>
      <c r="AF1143" s="10"/>
      <c r="AG1143" s="10"/>
      <c r="AH1143" s="10"/>
      <c r="AI1143" s="12">
        <f t="shared" si="292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2"/>
      <c r="D1144" s="32"/>
      <c r="E1144" s="32"/>
      <c r="F1144" s="32"/>
      <c r="G1144" s="32">
        <f t="shared" si="287"/>
        <v>0</v>
      </c>
      <c r="H1144" s="10"/>
      <c r="I1144" s="10"/>
      <c r="J1144" s="10"/>
      <c r="K1144" s="12">
        <f t="shared" si="288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289"/>
        <v>0</v>
      </c>
      <c r="T1144" s="10"/>
      <c r="U1144" s="10"/>
      <c r="V1144" s="10"/>
      <c r="W1144" s="12">
        <f t="shared" si="290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291"/>
        <v>0</v>
      </c>
      <c r="AF1144" s="10"/>
      <c r="AG1144" s="10"/>
      <c r="AH1144" s="10"/>
      <c r="AI1144" s="12">
        <f t="shared" si="292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2"/>
      <c r="D1145" s="32"/>
      <c r="E1145" s="32"/>
      <c r="F1145" s="32"/>
      <c r="G1145" s="32">
        <f t="shared" si="287"/>
        <v>0</v>
      </c>
      <c r="H1145" s="10"/>
      <c r="I1145" s="10"/>
      <c r="J1145" s="10"/>
      <c r="K1145" s="12">
        <f t="shared" si="288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289"/>
        <v>0</v>
      </c>
      <c r="T1145" s="10"/>
      <c r="U1145" s="10"/>
      <c r="V1145" s="10"/>
      <c r="W1145" s="12">
        <f t="shared" si="290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291"/>
        <v>0</v>
      </c>
      <c r="AF1145" s="10"/>
      <c r="AG1145" s="10"/>
      <c r="AH1145" s="10"/>
      <c r="AI1145" s="12">
        <f t="shared" si="292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P1146" s="47"/>
      <c r="Q1146" s="31"/>
      <c r="R1146" s="31"/>
      <c r="S1146" s="32">
        <f t="shared" si="289"/>
        <v>0</v>
      </c>
      <c r="T1146" s="10"/>
      <c r="U1146" s="10"/>
      <c r="V1146" s="10"/>
      <c r="W1146" s="12">
        <f t="shared" si="290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291"/>
        <v>0</v>
      </c>
      <c r="AF1146" s="10"/>
      <c r="AG1146" s="10"/>
      <c r="AH1146" s="10"/>
      <c r="AI1146" s="12">
        <f t="shared" si="292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289"/>
        <v>0</v>
      </c>
      <c r="T1147" s="10"/>
      <c r="U1147" s="10"/>
      <c r="V1147" s="10"/>
      <c r="W1147" s="12">
        <f t="shared" si="290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291"/>
        <v>0</v>
      </c>
      <c r="AF1147" s="10"/>
      <c r="AG1147" s="10"/>
      <c r="AH1147" s="10"/>
      <c r="AI1147" s="12">
        <f t="shared" si="292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O1148" s="31"/>
      <c r="P1148" s="47"/>
      <c r="Q1148" s="31"/>
      <c r="R1148" s="31"/>
      <c r="S1148" s="32">
        <f t="shared" si="289"/>
        <v>0</v>
      </c>
      <c r="T1148" s="10"/>
      <c r="U1148" s="10"/>
      <c r="V1148" s="10"/>
      <c r="W1148" s="12">
        <f t="shared" si="290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291"/>
        <v>0</v>
      </c>
      <c r="AF1148" s="10"/>
      <c r="AG1148" s="10"/>
      <c r="AH1148" s="10"/>
      <c r="AI1148" s="12">
        <f t="shared" si="292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289"/>
        <v>0</v>
      </c>
      <c r="T1149" s="10"/>
      <c r="U1149" s="10"/>
      <c r="V1149" s="10"/>
      <c r="W1149" s="12">
        <f t="shared" si="290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291"/>
        <v>0</v>
      </c>
      <c r="AF1149" s="10"/>
      <c r="AG1149" s="10"/>
      <c r="AH1149" s="10"/>
      <c r="AI1149" s="12">
        <f t="shared" si="292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289"/>
        <v>0</v>
      </c>
      <c r="T1150" s="10"/>
      <c r="U1150" s="10"/>
      <c r="V1150" s="10"/>
      <c r="W1150" s="12">
        <f t="shared" si="290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291"/>
        <v>0</v>
      </c>
      <c r="AF1150" s="10"/>
      <c r="AG1150" s="10"/>
      <c r="AH1150" s="10"/>
      <c r="AI1150" s="12">
        <f t="shared" si="292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290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292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296">SUM(D1152:E1152)</f>
        <v>0</v>
      </c>
      <c r="H1152" s="10"/>
      <c r="I1152" s="10"/>
      <c r="J1152" s="10"/>
      <c r="K1152" s="12">
        <f t="shared" ref="K1152" si="297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298">SUM(P1152:Q1152)</f>
        <v>0</v>
      </c>
      <c r="T1152" s="10"/>
      <c r="U1152" s="10"/>
      <c r="V1152" s="10"/>
      <c r="W1152" s="12">
        <f t="shared" si="290"/>
        <v>0</v>
      </c>
      <c r="Y1152" s="10"/>
      <c r="Z1152" s="30"/>
      <c r="AA1152" s="31"/>
      <c r="AB1152" s="47"/>
      <c r="AC1152" s="31"/>
      <c r="AD1152" s="31"/>
      <c r="AE1152" s="32">
        <f t="shared" ref="AE1152" si="299">SUM(AB1152:AC1152)</f>
        <v>0</v>
      </c>
      <c r="AF1152" s="10"/>
      <c r="AG1152" s="10"/>
      <c r="AH1152" s="10"/>
      <c r="AI1152" s="12">
        <f t="shared" si="292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290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292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200588.5</v>
      </c>
      <c r="E1155" s="38">
        <f t="shared" ref="E1155:F1155" si="300">SUM(E1112:E1152)</f>
        <v>0</v>
      </c>
      <c r="F1155" s="38">
        <f t="shared" si="300"/>
        <v>0</v>
      </c>
      <c r="G1155" s="38">
        <f>SUM(G1112:G1154)</f>
        <v>200588.5</v>
      </c>
      <c r="H1155" s="4"/>
      <c r="I1155" s="39">
        <f>SUM(I1112:I1154)</f>
        <v>4804.5</v>
      </c>
      <c r="J1155" s="39">
        <f>SUM(J1112:J1154)</f>
        <v>-156</v>
      </c>
      <c r="K1155" s="40">
        <f>SUM(K1112:K1154)</f>
        <v>205237</v>
      </c>
      <c r="N1155" s="57"/>
      <c r="O1155" s="57"/>
      <c r="P1155" s="38">
        <f>SUM(P1112:P1154)</f>
        <v>322235</v>
      </c>
      <c r="Q1155" s="38">
        <f>SUM(Q1112:Q1136)</f>
        <v>1980</v>
      </c>
      <c r="R1155" s="38">
        <f>SUM(R1112:R1136)</f>
        <v>0</v>
      </c>
      <c r="S1155" s="38">
        <f>SUM(S1112:S1154)</f>
        <v>324215</v>
      </c>
      <c r="T1155" s="4"/>
      <c r="U1155" s="41">
        <f>SUM(U1112:U1154)</f>
        <v>5826</v>
      </c>
      <c r="V1155" s="41">
        <f>SUM(V1112:V1136)</f>
        <v>-1275</v>
      </c>
      <c r="W1155" s="42">
        <f>SUM(W1112:W1154)</f>
        <v>328766</v>
      </c>
      <c r="Z1155" s="57"/>
      <c r="AA1155" s="57"/>
      <c r="AB1155" s="38">
        <f>SUM(AB1112:AB1154)</f>
        <v>416476.5</v>
      </c>
      <c r="AC1155" s="38">
        <f>SUM(AC1112:AC1136)</f>
        <v>-2568</v>
      </c>
      <c r="AD1155" s="38">
        <f>SUM(AD1112:AD1136)</f>
        <v>0</v>
      </c>
      <c r="AE1155" s="38">
        <f>SUM(AE1112:AE1154)</f>
        <v>413908.5</v>
      </c>
      <c r="AF1155" s="4"/>
      <c r="AG1155" s="41">
        <f>SUM(AG1112:AG1154)</f>
        <v>3010.5</v>
      </c>
      <c r="AH1155" s="41">
        <f>SUM(AH1112:AH1136)</f>
        <v>0</v>
      </c>
      <c r="AI1155" s="42">
        <f>SUM(AI1112:AI1154)</f>
        <v>416919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s="62"/>
      <c r="N1157" s="85"/>
      <c r="O1157" s="85"/>
      <c r="P1157" s="85"/>
      <c r="Q1157" s="85"/>
      <c r="R1157" s="85"/>
      <c r="S1157" s="85"/>
      <c r="T1157" s="62"/>
      <c r="U1157" s="62"/>
      <c r="V1157" s="62"/>
      <c r="W1157" s="62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s="62"/>
      <c r="N1158" s="85"/>
      <c r="O1158" s="85"/>
      <c r="P1158" s="85"/>
      <c r="Q1158" s="85"/>
      <c r="R1158" s="85"/>
      <c r="S1158" s="85"/>
      <c r="T1158" s="62"/>
      <c r="U1158" s="62"/>
      <c r="V1158" s="62"/>
      <c r="W1158" s="62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M1159" s="62"/>
      <c r="N1159" s="85"/>
      <c r="O1159" s="85"/>
      <c r="P1159" s="85"/>
      <c r="Q1159" s="85"/>
      <c r="R1159" s="85"/>
      <c r="S1159" s="85"/>
      <c r="T1159" s="62"/>
      <c r="U1159" s="62"/>
      <c r="V1159" s="62"/>
      <c r="W1159" s="62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63"/>
      <c r="N1160" s="85"/>
      <c r="O1160" s="85"/>
      <c r="P1160" s="85"/>
      <c r="Q1160" s="85"/>
      <c r="R1160" s="85"/>
      <c r="S1160" s="85"/>
      <c r="T1160" s="62"/>
      <c r="U1160" s="62"/>
      <c r="V1160" s="62"/>
      <c r="W1160" s="62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M1161" s="62"/>
      <c r="N1161" s="85"/>
      <c r="O1161" s="85"/>
      <c r="P1161" s="85"/>
      <c r="Q1161" s="85"/>
      <c r="R1161" s="85"/>
      <c r="S1161" s="85"/>
      <c r="T1161" s="62"/>
      <c r="U1161" s="62"/>
      <c r="V1161" s="62"/>
      <c r="W1161" s="62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34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s="62"/>
      <c r="N1162" s="85"/>
      <c r="O1162" s="85"/>
      <c r="P1162" s="85"/>
      <c r="Q1162" s="85"/>
      <c r="R1162" s="85"/>
      <c r="S1162" s="85"/>
      <c r="T1162" s="62"/>
      <c r="U1162" s="85"/>
      <c r="V1162" s="73"/>
      <c r="W1162" s="62"/>
      <c r="Y1162" t="s">
        <v>34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99</v>
      </c>
      <c r="B1163" s="20"/>
      <c r="C1163" s="57"/>
      <c r="D1163" s="57"/>
      <c r="E1163" s="57"/>
      <c r="G1163" s="57"/>
      <c r="I1163" s="22" t="s">
        <v>16</v>
      </c>
      <c r="J1163" s="23" t="s">
        <v>31</v>
      </c>
      <c r="K1163" s="24"/>
      <c r="M1163" s="64"/>
      <c r="N1163" s="85"/>
      <c r="O1163" s="85"/>
      <c r="P1163" s="85"/>
      <c r="Q1163" s="85"/>
      <c r="R1163" s="85"/>
      <c r="S1163" s="85"/>
      <c r="T1163" s="62"/>
      <c r="U1163" s="65"/>
      <c r="V1163" s="65"/>
      <c r="W1163" s="62"/>
      <c r="Y1163" s="21" t="s">
        <v>99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35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M1164" s="62"/>
      <c r="N1164" s="85"/>
      <c r="O1164" s="85"/>
      <c r="P1164" s="85"/>
      <c r="Q1164" s="85"/>
      <c r="R1164" s="85"/>
      <c r="S1164" s="85"/>
      <c r="T1164" s="62"/>
      <c r="U1164" s="62"/>
      <c r="V1164" s="62"/>
      <c r="W1164" s="62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0" t="s">
        <v>17</v>
      </c>
      <c r="E1165" s="120"/>
      <c r="F1165" s="111"/>
      <c r="G1165" s="27"/>
      <c r="I1165" s="118" t="s">
        <v>18</v>
      </c>
      <c r="J1165" s="119"/>
      <c r="K1165" s="116" t="s">
        <v>19</v>
      </c>
      <c r="M1165" s="62"/>
      <c r="N1165" s="65"/>
      <c r="O1165" s="85"/>
      <c r="P1165" s="122"/>
      <c r="Q1165" s="122"/>
      <c r="R1165" s="85"/>
      <c r="S1165" s="85"/>
      <c r="T1165" s="62"/>
      <c r="U1165" s="122"/>
      <c r="V1165" s="122"/>
      <c r="W1165" s="121"/>
      <c r="Z1165" s="25"/>
      <c r="AA1165" s="26"/>
      <c r="AB1165" s="120" t="s">
        <v>17</v>
      </c>
      <c r="AC1165" s="120"/>
      <c r="AD1165" s="111"/>
      <c r="AE1165" s="27"/>
      <c r="AG1165" s="118" t="s">
        <v>18</v>
      </c>
      <c r="AH1165" s="119"/>
      <c r="AI1165" s="116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7" t="s">
        <v>22</v>
      </c>
      <c r="E1166" s="76" t="s">
        <v>23</v>
      </c>
      <c r="F1166" s="78" t="s">
        <v>32</v>
      </c>
      <c r="G1166" s="78" t="s">
        <v>24</v>
      </c>
      <c r="I1166" s="29" t="s">
        <v>25</v>
      </c>
      <c r="J1166" s="29" t="s">
        <v>26</v>
      </c>
      <c r="K1166" s="117"/>
      <c r="M1166" s="62"/>
      <c r="N1166" s="85"/>
      <c r="O1166" s="85"/>
      <c r="P1166" s="79"/>
      <c r="Q1166" s="81"/>
      <c r="R1166" s="81"/>
      <c r="S1166" s="81"/>
      <c r="T1166" s="62"/>
      <c r="U1166" s="84"/>
      <c r="V1166" s="84"/>
      <c r="W1166" s="121"/>
      <c r="Z1166" s="28" t="s">
        <v>20</v>
      </c>
      <c r="AA1166" s="28" t="s">
        <v>21</v>
      </c>
      <c r="AB1166" s="77" t="s">
        <v>22</v>
      </c>
      <c r="AC1166" s="78" t="s">
        <v>23</v>
      </c>
      <c r="AD1166" s="78" t="s">
        <v>32</v>
      </c>
      <c r="AE1166" s="78" t="s">
        <v>24</v>
      </c>
      <c r="AG1166" s="29" t="s">
        <v>25</v>
      </c>
      <c r="AH1166" s="29" t="s">
        <v>26</v>
      </c>
      <c r="AI1166" s="117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100</v>
      </c>
      <c r="C1167" s="82">
        <v>9840</v>
      </c>
      <c r="D1167" s="32">
        <f>650*10+9.5*10</f>
        <v>6595</v>
      </c>
      <c r="E1167" s="32"/>
      <c r="F1167" s="32"/>
      <c r="G1167" s="32">
        <f t="shared" ref="G1167:G1211" si="301">SUM(D1167:E1167)</f>
        <v>6595</v>
      </c>
      <c r="H1167" s="12"/>
      <c r="I1167" s="12"/>
      <c r="J1167" s="12"/>
      <c r="K1167" s="12">
        <f t="shared" ref="K1167:K1211" si="302">SUM(G1167:J1167)</f>
        <v>6595</v>
      </c>
      <c r="M1167" s="62"/>
      <c r="N1167" s="66"/>
      <c r="O1167" s="85"/>
      <c r="P1167" s="60"/>
      <c r="Q1167" s="60"/>
      <c r="R1167" s="60"/>
      <c r="S1167" s="60"/>
      <c r="T1167" s="61"/>
      <c r="U1167" s="61"/>
      <c r="V1167" s="61"/>
      <c r="W1167" s="61"/>
      <c r="Y1167" s="10">
        <v>1</v>
      </c>
      <c r="Z1167" s="30" t="s">
        <v>100</v>
      </c>
      <c r="AA1167" s="31">
        <v>9774</v>
      </c>
      <c r="AB1167" s="32">
        <f>650*40+622*10+229</f>
        <v>32449</v>
      </c>
      <c r="AC1167" s="32">
        <f>-50*6</f>
        <v>-300</v>
      </c>
      <c r="AD1167" s="32"/>
      <c r="AE1167" s="32">
        <f>SUM(AB1167:AC1167)</f>
        <v>32149</v>
      </c>
      <c r="AF1167" s="12"/>
      <c r="AG1167" s="12"/>
      <c r="AH1167" s="12"/>
      <c r="AI1167" s="12">
        <f>SUM(AE1167:AH1167)</f>
        <v>32149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100</v>
      </c>
      <c r="C1168" s="82">
        <f>C1167+1</f>
        <v>9841</v>
      </c>
      <c r="D1168" s="32">
        <f>650*432+670*20+229*18</f>
        <v>298322</v>
      </c>
      <c r="E1168" s="32">
        <f>-452*6</f>
        <v>-2712</v>
      </c>
      <c r="F1168" s="32"/>
      <c r="G1168" s="32">
        <f t="shared" si="301"/>
        <v>295610</v>
      </c>
      <c r="H1168" s="12"/>
      <c r="I1168" s="12">
        <v>504</v>
      </c>
      <c r="J1168" s="12"/>
      <c r="K1168" s="12">
        <f t="shared" si="302"/>
        <v>296114</v>
      </c>
      <c r="M1168" s="62"/>
      <c r="N1168" s="66"/>
      <c r="O1168" s="85"/>
      <c r="P1168" s="60"/>
      <c r="Q1168" s="60"/>
      <c r="R1168" s="60"/>
      <c r="S1168" s="60"/>
      <c r="T1168" s="61"/>
      <c r="U1168" s="61"/>
      <c r="V1168" s="61"/>
      <c r="W1168" s="61"/>
      <c r="Y1168" s="10">
        <v>2</v>
      </c>
      <c r="Z1168" s="30" t="s">
        <v>100</v>
      </c>
      <c r="AA1168" s="31">
        <v>9773</v>
      </c>
      <c r="AB1168" s="32">
        <f>650*120+622*25+229*2</f>
        <v>94008</v>
      </c>
      <c r="AC1168" s="32">
        <f>-145*6</f>
        <v>-870</v>
      </c>
      <c r="AD1168" s="32"/>
      <c r="AE1168" s="32">
        <f t="shared" ref="AE1168:AE1211" si="303">SUM(AB1168:AC1168)</f>
        <v>93138</v>
      </c>
      <c r="AF1168" s="12"/>
      <c r="AG1168" s="12">
        <v>45</v>
      </c>
      <c r="AH1168" s="12"/>
      <c r="AI1168" s="12">
        <f t="shared" ref="AI1168:AI1211" si="304">SUM(AE1168:AH1168)</f>
        <v>93183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100</v>
      </c>
      <c r="C1169" s="82">
        <f t="shared" ref="C1169:C1181" si="305">C1168+1</f>
        <v>9842</v>
      </c>
      <c r="D1169" s="33">
        <f>650*216+229*8</f>
        <v>142232</v>
      </c>
      <c r="E1169" s="33">
        <f>-216*6</f>
        <v>-1296</v>
      </c>
      <c r="F1169" s="33"/>
      <c r="G1169" s="33">
        <f t="shared" si="301"/>
        <v>140936</v>
      </c>
      <c r="H1169" s="34"/>
      <c r="I1169" s="34">
        <v>180</v>
      </c>
      <c r="J1169" s="34"/>
      <c r="K1169" s="34">
        <f t="shared" si="302"/>
        <v>141116</v>
      </c>
      <c r="M1169" s="62"/>
      <c r="N1169" s="66"/>
      <c r="O1169" s="85"/>
      <c r="P1169" s="60"/>
      <c r="Q1169" s="60"/>
      <c r="R1169" s="60"/>
      <c r="S1169" s="60"/>
      <c r="T1169" s="61"/>
      <c r="U1169" s="61"/>
      <c r="V1169" s="61"/>
      <c r="W1169" s="61"/>
      <c r="Y1169" s="10">
        <v>3</v>
      </c>
      <c r="Z1169" s="30" t="s">
        <v>100</v>
      </c>
      <c r="AA1169" s="31">
        <v>9775</v>
      </c>
      <c r="AB1169" s="33">
        <f>650*28+670*2+622*10</f>
        <v>25760</v>
      </c>
      <c r="AC1169" s="33"/>
      <c r="AD1169" s="32"/>
      <c r="AE1169" s="32">
        <f t="shared" si="303"/>
        <v>25760</v>
      </c>
      <c r="AF1169" s="12"/>
      <c r="AG1169" s="12">
        <v>364.5</v>
      </c>
      <c r="AH1169" s="12"/>
      <c r="AI1169" s="12">
        <f t="shared" si="304"/>
        <v>26124.5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100</v>
      </c>
      <c r="C1170" s="82">
        <f t="shared" si="305"/>
        <v>9843</v>
      </c>
      <c r="D1170" s="32">
        <f>650*12</f>
        <v>7800</v>
      </c>
      <c r="E1170" s="32"/>
      <c r="F1170" s="32"/>
      <c r="G1170" s="32">
        <f t="shared" si="301"/>
        <v>7800</v>
      </c>
      <c r="H1170" s="12"/>
      <c r="I1170" s="12"/>
      <c r="J1170" s="12">
        <f>-111*14+-84*2</f>
        <v>-1722</v>
      </c>
      <c r="K1170" s="12">
        <f t="shared" si="302"/>
        <v>6078</v>
      </c>
      <c r="M1170" s="62"/>
      <c r="N1170" s="66"/>
      <c r="O1170" s="85"/>
      <c r="P1170" s="60"/>
      <c r="Q1170" s="60"/>
      <c r="R1170" s="60"/>
      <c r="S1170" s="60"/>
      <c r="T1170" s="61"/>
      <c r="U1170" s="61"/>
      <c r="V1170" s="61"/>
      <c r="W1170" s="61"/>
      <c r="Y1170" s="10">
        <v>4</v>
      </c>
      <c r="Z1170" s="30" t="s">
        <v>100</v>
      </c>
      <c r="AA1170" s="31">
        <f t="shared" ref="AA1169:AA1177" si="306">AA1169+1</f>
        <v>9776</v>
      </c>
      <c r="AB1170" s="32">
        <f>650*45+622*5</f>
        <v>32360</v>
      </c>
      <c r="AC1170" s="32"/>
      <c r="AD1170" s="32"/>
      <c r="AE1170" s="32">
        <f t="shared" si="303"/>
        <v>32360</v>
      </c>
      <c r="AF1170" s="12"/>
      <c r="AG1170" s="34">
        <v>54</v>
      </c>
      <c r="AH1170" s="12"/>
      <c r="AI1170" s="12">
        <f t="shared" si="304"/>
        <v>32414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100</v>
      </c>
      <c r="C1171" s="82">
        <f t="shared" si="305"/>
        <v>9844</v>
      </c>
      <c r="D1171" s="32">
        <f>650*25+670*2+622*5</f>
        <v>20700</v>
      </c>
      <c r="E1171" s="32"/>
      <c r="F1171" s="32"/>
      <c r="G1171" s="32">
        <f t="shared" si="301"/>
        <v>20700</v>
      </c>
      <c r="H1171" s="12"/>
      <c r="I1171" s="12"/>
      <c r="J1171" s="12"/>
      <c r="K1171" s="12">
        <f t="shared" si="302"/>
        <v>20700</v>
      </c>
      <c r="M1171" s="62"/>
      <c r="N1171" s="66"/>
      <c r="O1171" s="85"/>
      <c r="P1171" s="60"/>
      <c r="Q1171" s="60"/>
      <c r="R1171" s="60"/>
      <c r="S1171" s="60"/>
      <c r="T1171" s="61"/>
      <c r="U1171" s="61"/>
      <c r="V1171" s="61"/>
      <c r="W1171" s="61"/>
      <c r="Y1171" s="10">
        <v>5</v>
      </c>
      <c r="Z1171" s="30" t="s">
        <v>100</v>
      </c>
      <c r="AA1171" s="31">
        <f t="shared" si="306"/>
        <v>9777</v>
      </c>
      <c r="AB1171" s="32">
        <f>650*6+700*2+622*2+872+500*2</f>
        <v>8416</v>
      </c>
      <c r="AC1171" s="32"/>
      <c r="AD1171" s="32"/>
      <c r="AE1171" s="32">
        <f t="shared" si="303"/>
        <v>8416</v>
      </c>
      <c r="AF1171" s="12"/>
      <c r="AG1171" s="58">
        <f>1.5*52</f>
        <v>78</v>
      </c>
      <c r="AH1171" s="12"/>
      <c r="AI1171" s="12">
        <f t="shared" si="304"/>
        <v>8494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100</v>
      </c>
      <c r="C1172" s="82">
        <f t="shared" si="305"/>
        <v>9845</v>
      </c>
      <c r="D1172" s="32">
        <f>650*191+670*5+872*3+229*7</f>
        <v>131719</v>
      </c>
      <c r="E1172" s="32">
        <f>-199*6</f>
        <v>-1194</v>
      </c>
      <c r="F1172" s="32"/>
      <c r="G1172" s="32">
        <f t="shared" si="301"/>
        <v>130525</v>
      </c>
      <c r="H1172" s="12"/>
      <c r="I1172" s="12">
        <v>312</v>
      </c>
      <c r="J1172" s="12"/>
      <c r="K1172" s="12">
        <f t="shared" si="302"/>
        <v>130837</v>
      </c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Y1172" s="10">
        <v>6</v>
      </c>
      <c r="Z1172" s="30" t="s">
        <v>100</v>
      </c>
      <c r="AA1172" s="31">
        <f t="shared" si="306"/>
        <v>9778</v>
      </c>
      <c r="AB1172" s="32">
        <f>650*121+670*10+622*60+229*5</f>
        <v>123815</v>
      </c>
      <c r="AC1172" s="32">
        <f>-191*6</f>
        <v>-1146</v>
      </c>
      <c r="AD1172" s="32"/>
      <c r="AE1172" s="32">
        <f t="shared" si="303"/>
        <v>122669</v>
      </c>
      <c r="AF1172" s="12"/>
      <c r="AG1172" s="12">
        <f>78*5+4.5*66</f>
        <v>687</v>
      </c>
      <c r="AH1172" s="10"/>
      <c r="AI1172" s="12">
        <f t="shared" si="304"/>
        <v>123356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/>
      <c r="C1173" s="11" t="s">
        <v>27</v>
      </c>
      <c r="D1173" s="32"/>
      <c r="E1173" s="32"/>
      <c r="F1173" s="32"/>
      <c r="G1173" s="32">
        <f t="shared" si="301"/>
        <v>0</v>
      </c>
      <c r="H1173" s="12"/>
      <c r="I1173" s="12"/>
      <c r="J1173" s="12"/>
      <c r="K1173" s="12">
        <f t="shared" si="302"/>
        <v>0</v>
      </c>
      <c r="M1173" s="62"/>
      <c r="N1173" s="66"/>
      <c r="O1173" s="85"/>
      <c r="P1173" s="60"/>
      <c r="Q1173" s="60"/>
      <c r="R1173" s="60"/>
      <c r="S1173" s="60"/>
      <c r="T1173" s="61"/>
      <c r="U1173" s="61"/>
      <c r="V1173" s="61"/>
      <c r="W1173" s="61"/>
      <c r="Y1173" s="10">
        <v>7</v>
      </c>
      <c r="Z1173" s="30" t="s">
        <v>100</v>
      </c>
      <c r="AA1173" s="31">
        <f t="shared" si="306"/>
        <v>9779</v>
      </c>
      <c r="AB1173" s="32">
        <f>650*15+670+872</f>
        <v>11292</v>
      </c>
      <c r="AC1173" s="32"/>
      <c r="AD1173" s="32"/>
      <c r="AE1173" s="32">
        <f t="shared" si="303"/>
        <v>11292</v>
      </c>
      <c r="AF1173" s="12"/>
      <c r="AG1173" s="58"/>
      <c r="AH1173" s="12">
        <v>-888</v>
      </c>
      <c r="AI1173" s="12">
        <f t="shared" si="304"/>
        <v>10404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/>
      <c r="C1174" s="82"/>
      <c r="D1174" s="32"/>
      <c r="E1174" s="32"/>
      <c r="F1174" s="32"/>
      <c r="G1174" s="32">
        <f t="shared" si="301"/>
        <v>0</v>
      </c>
      <c r="H1174" s="12"/>
      <c r="I1174" s="12"/>
      <c r="J1174" s="12"/>
      <c r="K1174" s="12">
        <f t="shared" si="302"/>
        <v>0</v>
      </c>
      <c r="M1174" s="62"/>
      <c r="N1174" s="66"/>
      <c r="O1174" s="85"/>
      <c r="P1174" s="60"/>
      <c r="Q1174" s="60"/>
      <c r="R1174" s="60"/>
      <c r="S1174" s="60"/>
      <c r="T1174" s="61"/>
      <c r="U1174" s="61"/>
      <c r="V1174" s="61"/>
      <c r="W1174" s="61"/>
      <c r="Y1174" s="10">
        <v>8</v>
      </c>
      <c r="Z1174" s="30" t="s">
        <v>100</v>
      </c>
      <c r="AA1174" s="31">
        <f t="shared" si="306"/>
        <v>9780</v>
      </c>
      <c r="AB1174" s="32">
        <f>650*3+9.5*3</f>
        <v>1978.5</v>
      </c>
      <c r="AC1174" s="32"/>
      <c r="AE1174" s="32">
        <f t="shared" si="303"/>
        <v>1978.5</v>
      </c>
      <c r="AF1174" s="12"/>
      <c r="AG1174" s="12"/>
      <c r="AH1174" s="12"/>
      <c r="AI1174" s="12">
        <f t="shared" si="304"/>
        <v>1978.5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/>
      <c r="C1175" s="82"/>
      <c r="D1175" s="32"/>
      <c r="E1175" s="32"/>
      <c r="F1175" s="32"/>
      <c r="G1175" s="32">
        <f t="shared" si="301"/>
        <v>0</v>
      </c>
      <c r="H1175" s="12"/>
      <c r="I1175" s="12"/>
      <c r="J1175" s="12"/>
      <c r="K1175" s="12">
        <f t="shared" si="302"/>
        <v>0</v>
      </c>
      <c r="M1175" s="62"/>
      <c r="N1175" s="66"/>
      <c r="O1175" s="85"/>
      <c r="P1175" s="60"/>
      <c r="Q1175" s="60"/>
      <c r="R1175" s="60"/>
      <c r="S1175" s="60"/>
      <c r="T1175" s="61"/>
      <c r="U1175" s="61"/>
      <c r="V1175" s="61"/>
      <c r="W1175" s="61"/>
      <c r="Y1175" s="10">
        <v>9</v>
      </c>
      <c r="Z1175" s="30"/>
      <c r="AA1175" s="11" t="s">
        <v>27</v>
      </c>
      <c r="AB1175" s="32"/>
      <c r="AC1175" s="32"/>
      <c r="AD1175" s="32"/>
      <c r="AE1175" s="32">
        <f t="shared" si="303"/>
        <v>0</v>
      </c>
      <c r="AF1175" s="12"/>
      <c r="AH1175" s="12"/>
      <c r="AI1175" s="12">
        <f t="shared" si="304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82"/>
      <c r="D1176" s="32"/>
      <c r="E1176" s="32"/>
      <c r="F1176" s="32"/>
      <c r="G1176" s="32">
        <f t="shared" si="301"/>
        <v>0</v>
      </c>
      <c r="H1176" s="12"/>
      <c r="I1176" s="12"/>
      <c r="J1176" s="12"/>
      <c r="K1176" s="12">
        <f t="shared" si="302"/>
        <v>0</v>
      </c>
      <c r="M1176" s="62"/>
      <c r="N1176" s="66"/>
      <c r="O1176" s="85"/>
      <c r="P1176" s="60"/>
      <c r="Q1176" s="60"/>
      <c r="R1176" s="60"/>
      <c r="S1176" s="60"/>
      <c r="T1176" s="61"/>
      <c r="U1176" s="61"/>
      <c r="V1176" s="61"/>
      <c r="W1176" s="61"/>
      <c r="Y1176" s="10">
        <v>10</v>
      </c>
      <c r="Z1176" s="30"/>
      <c r="AA1176" s="31"/>
      <c r="AB1176" s="32"/>
      <c r="AC1176" s="32"/>
      <c r="AD1176" s="32"/>
      <c r="AE1176" s="32">
        <f t="shared" si="303"/>
        <v>0</v>
      </c>
      <c r="AF1176" s="12"/>
      <c r="AG1176" s="12"/>
      <c r="AH1176" s="12"/>
      <c r="AI1176" s="12">
        <f t="shared" si="304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82"/>
      <c r="D1177" s="32"/>
      <c r="E1177" s="32"/>
      <c r="F1177" s="32"/>
      <c r="G1177" s="32">
        <f t="shared" si="301"/>
        <v>0</v>
      </c>
      <c r="H1177" s="12"/>
      <c r="I1177" s="12"/>
      <c r="J1177" s="12"/>
      <c r="K1177" s="12">
        <f t="shared" si="302"/>
        <v>0</v>
      </c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Y1177" s="10">
        <v>11</v>
      </c>
      <c r="Z1177" s="30"/>
      <c r="AA1177" s="31"/>
      <c r="AB1177" s="32"/>
      <c r="AC1177" s="32"/>
      <c r="AD1177" s="32"/>
      <c r="AE1177" s="32">
        <f t="shared" si="303"/>
        <v>0</v>
      </c>
      <c r="AF1177" s="12"/>
      <c r="AG1177" s="12"/>
      <c r="AH1177" s="12"/>
      <c r="AI1177" s="12">
        <f t="shared" si="304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82"/>
      <c r="D1178" s="32"/>
      <c r="E1178" s="32"/>
      <c r="F1178" s="32"/>
      <c r="G1178" s="32">
        <f t="shared" si="301"/>
        <v>0</v>
      </c>
      <c r="H1178" s="12"/>
      <c r="I1178" s="12"/>
      <c r="J1178" s="10"/>
      <c r="K1178" s="12">
        <f t="shared" si="302"/>
        <v>0</v>
      </c>
      <c r="M1178" s="62"/>
      <c r="N1178" s="66"/>
      <c r="O1178" s="85"/>
      <c r="P1178" s="60"/>
      <c r="Q1178" s="60"/>
      <c r="R1178" s="60"/>
      <c r="S1178" s="60"/>
      <c r="T1178" s="61"/>
      <c r="U1178" s="61"/>
      <c r="V1178" s="61"/>
      <c r="W1178" s="61"/>
      <c r="Y1178" s="10">
        <v>12</v>
      </c>
      <c r="Z1178" s="30"/>
      <c r="AA1178" s="11"/>
      <c r="AB1178" s="32"/>
      <c r="AC1178" s="32"/>
      <c r="AD1178" s="32"/>
      <c r="AE1178" s="32">
        <f t="shared" si="303"/>
        <v>0</v>
      </c>
      <c r="AF1178" s="12"/>
      <c r="AG1178" s="12"/>
      <c r="AH1178" s="12"/>
      <c r="AI1178" s="12">
        <f t="shared" si="304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82"/>
      <c r="D1179" s="32"/>
      <c r="E1179" s="32"/>
      <c r="F1179" s="32"/>
      <c r="G1179" s="32">
        <f t="shared" si="301"/>
        <v>0</v>
      </c>
      <c r="H1179" s="12"/>
      <c r="I1179" s="12"/>
      <c r="J1179" s="12"/>
      <c r="K1179" s="12">
        <f t="shared" si="302"/>
        <v>0</v>
      </c>
      <c r="M1179" s="62"/>
      <c r="N1179" s="66"/>
      <c r="O1179" s="85"/>
      <c r="P1179" s="60"/>
      <c r="Q1179" s="60"/>
      <c r="R1179" s="60"/>
      <c r="S1179" s="60"/>
      <c r="T1179" s="61"/>
      <c r="U1179" s="61"/>
      <c r="V1179" s="61"/>
      <c r="W1179" s="61"/>
      <c r="Y1179" s="10">
        <v>13</v>
      </c>
      <c r="Z1179" s="30"/>
      <c r="AA1179" s="31"/>
      <c r="AB1179" s="32"/>
      <c r="AC1179" s="32"/>
      <c r="AD1179" s="32"/>
      <c r="AE1179" s="32">
        <f t="shared" si="303"/>
        <v>0</v>
      </c>
      <c r="AF1179" s="12"/>
      <c r="AG1179" s="12"/>
      <c r="AH1179" s="12"/>
      <c r="AI1179" s="12">
        <f t="shared" si="304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82"/>
      <c r="D1180" s="32"/>
      <c r="E1180" s="32"/>
      <c r="F1180" s="32"/>
      <c r="G1180" s="32">
        <f t="shared" si="301"/>
        <v>0</v>
      </c>
      <c r="H1180" s="12"/>
      <c r="I1180" s="12"/>
      <c r="J1180" s="12"/>
      <c r="K1180" s="12">
        <f t="shared" si="302"/>
        <v>0</v>
      </c>
      <c r="M1180" s="62"/>
      <c r="N1180" s="66"/>
      <c r="O1180" s="85"/>
      <c r="P1180" s="60"/>
      <c r="Q1180" s="60"/>
      <c r="R1180" s="60"/>
      <c r="S1180" s="60"/>
      <c r="T1180" s="61"/>
      <c r="U1180" s="61"/>
      <c r="V1180" s="61"/>
      <c r="W1180" s="61"/>
      <c r="Y1180" s="10">
        <v>14</v>
      </c>
      <c r="Z1180" s="30"/>
      <c r="AA1180" s="31"/>
      <c r="AB1180" s="32"/>
      <c r="AC1180" s="32"/>
      <c r="AD1180" s="32"/>
      <c r="AE1180" s="32">
        <f t="shared" si="303"/>
        <v>0</v>
      </c>
      <c r="AF1180" s="12"/>
      <c r="AG1180" s="12"/>
      <c r="AH1180" s="12"/>
      <c r="AI1180" s="12">
        <f t="shared" si="304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82"/>
      <c r="D1181" s="32"/>
      <c r="E1181" s="32"/>
      <c r="F1181" s="32"/>
      <c r="G1181" s="32">
        <f t="shared" si="301"/>
        <v>0</v>
      </c>
      <c r="H1181" s="12"/>
      <c r="I1181" s="12"/>
      <c r="J1181" s="12"/>
      <c r="K1181" s="12">
        <f t="shared" si="302"/>
        <v>0</v>
      </c>
      <c r="M1181" s="62"/>
      <c r="N1181" s="66"/>
      <c r="O1181" s="85"/>
      <c r="P1181" s="60"/>
      <c r="Q1181" s="60"/>
      <c r="R1181" s="60"/>
      <c r="S1181" s="60"/>
      <c r="T1181" s="61"/>
      <c r="U1181" s="61"/>
      <c r="V1181" s="61"/>
      <c r="W1181" s="61"/>
      <c r="Y1181" s="10">
        <v>15</v>
      </c>
      <c r="Z1181" s="30"/>
      <c r="AA1181" s="31"/>
      <c r="AB1181" s="32"/>
      <c r="AC1181" s="32"/>
      <c r="AD1181" s="32"/>
      <c r="AE1181" s="32">
        <f t="shared" si="303"/>
        <v>0</v>
      </c>
      <c r="AF1181" s="12"/>
      <c r="AG1181" s="12"/>
      <c r="AH1181" s="12"/>
      <c r="AI1181" s="12">
        <f t="shared" si="304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11"/>
      <c r="D1182" s="32"/>
      <c r="E1182" s="32"/>
      <c r="F1182" s="32"/>
      <c r="G1182" s="32">
        <f t="shared" si="301"/>
        <v>0</v>
      </c>
      <c r="H1182" s="12"/>
      <c r="I1182" s="12"/>
      <c r="J1182" s="12"/>
      <c r="K1182" s="12">
        <f t="shared" si="302"/>
        <v>0</v>
      </c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Y1182" s="10">
        <v>16</v>
      </c>
      <c r="Z1182" s="30"/>
      <c r="AA1182" s="31"/>
      <c r="AB1182" s="32"/>
      <c r="AC1182" s="32"/>
      <c r="AD1182" s="32"/>
      <c r="AE1182" s="32">
        <f t="shared" si="303"/>
        <v>0</v>
      </c>
      <c r="AF1182" s="12"/>
      <c r="AG1182" s="12"/>
      <c r="AH1182" s="12"/>
      <c r="AI1182" s="12">
        <f t="shared" si="304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82"/>
      <c r="D1183" s="32"/>
      <c r="E1183" s="32"/>
      <c r="F1183" s="32"/>
      <c r="G1183" s="32">
        <f t="shared" si="301"/>
        <v>0</v>
      </c>
      <c r="H1183" s="12"/>
      <c r="I1183" s="12"/>
      <c r="J1183" s="12"/>
      <c r="K1183" s="12">
        <f t="shared" si="302"/>
        <v>0</v>
      </c>
      <c r="M1183" s="62"/>
      <c r="N1183" s="66"/>
      <c r="O1183" s="85"/>
      <c r="P1183" s="60"/>
      <c r="Q1183" s="60"/>
      <c r="R1183" s="60"/>
      <c r="S1183" s="60"/>
      <c r="T1183" s="61"/>
      <c r="U1183" s="61"/>
      <c r="V1183" s="61"/>
      <c r="W1183" s="61"/>
      <c r="Y1183" s="10">
        <v>17</v>
      </c>
      <c r="Z1183" s="30"/>
      <c r="AA1183" s="31"/>
      <c r="AB1183" s="35"/>
      <c r="AC1183" s="32"/>
      <c r="AD1183" s="32"/>
      <c r="AE1183" s="32">
        <f t="shared" si="303"/>
        <v>0</v>
      </c>
      <c r="AF1183" s="12"/>
      <c r="AG1183" s="12"/>
      <c r="AH1183" s="12"/>
      <c r="AI1183" s="12">
        <f t="shared" si="304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C1184" s="82"/>
      <c r="D1184" s="32"/>
      <c r="E1184" s="32"/>
      <c r="F1184" s="32"/>
      <c r="G1184" s="32">
        <f t="shared" si="301"/>
        <v>0</v>
      </c>
      <c r="H1184" s="12"/>
      <c r="I1184" s="12"/>
      <c r="J1184" s="12"/>
      <c r="K1184" s="12">
        <f t="shared" si="302"/>
        <v>0</v>
      </c>
      <c r="M1184" s="62"/>
      <c r="N1184" s="66"/>
      <c r="O1184" s="85"/>
      <c r="P1184" s="60"/>
      <c r="Q1184" s="60"/>
      <c r="R1184" s="60"/>
      <c r="S1184" s="60"/>
      <c r="T1184" s="61"/>
      <c r="U1184" s="61"/>
      <c r="V1184" s="61"/>
      <c r="W1184" s="61"/>
      <c r="Y1184" s="10">
        <v>18</v>
      </c>
      <c r="Z1184" s="30"/>
      <c r="AA1184" s="31"/>
      <c r="AB1184" s="32"/>
      <c r="AC1184" s="32"/>
      <c r="AD1184" s="32"/>
      <c r="AE1184" s="32">
        <f t="shared" si="303"/>
        <v>0</v>
      </c>
      <c r="AF1184" s="12"/>
      <c r="AG1184" s="12"/>
      <c r="AH1184" s="12"/>
      <c r="AI1184" s="12">
        <f t="shared" si="304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82"/>
      <c r="D1185" s="32"/>
      <c r="E1185" s="32"/>
      <c r="F1185" s="32"/>
      <c r="G1185" s="32">
        <f t="shared" si="301"/>
        <v>0</v>
      </c>
      <c r="H1185" s="12"/>
      <c r="I1185" s="12"/>
      <c r="J1185" s="12"/>
      <c r="K1185" s="12">
        <f t="shared" si="302"/>
        <v>0</v>
      </c>
      <c r="M1185" s="62"/>
      <c r="N1185" s="66"/>
      <c r="O1185" s="85"/>
      <c r="P1185" s="60"/>
      <c r="Q1185" s="60"/>
      <c r="R1185" s="60"/>
      <c r="S1185" s="60"/>
      <c r="T1185" s="61"/>
      <c r="U1185" s="61"/>
      <c r="V1185" s="61"/>
      <c r="W1185" s="61"/>
      <c r="Y1185" s="10">
        <v>19</v>
      </c>
      <c r="Z1185" s="30"/>
      <c r="AA1185" s="31"/>
      <c r="AB1185" s="32"/>
      <c r="AC1185" s="32"/>
      <c r="AD1185" s="32"/>
      <c r="AE1185" s="32">
        <f t="shared" si="303"/>
        <v>0</v>
      </c>
      <c r="AF1185" s="12"/>
      <c r="AG1185" s="12"/>
      <c r="AH1185" s="12"/>
      <c r="AI1185" s="12">
        <f t="shared" si="304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82"/>
      <c r="D1186" s="32"/>
      <c r="E1186" s="32"/>
      <c r="F1186" s="32"/>
      <c r="G1186" s="32">
        <f t="shared" si="301"/>
        <v>0</v>
      </c>
      <c r="H1186" s="12"/>
      <c r="I1186" s="12"/>
      <c r="J1186" s="12"/>
      <c r="K1186" s="12">
        <f t="shared" si="302"/>
        <v>0</v>
      </c>
      <c r="M1186" s="62"/>
      <c r="N1186" s="66"/>
      <c r="O1186" s="85"/>
      <c r="P1186" s="60"/>
      <c r="Q1186" s="60"/>
      <c r="R1186" s="60"/>
      <c r="S1186" s="60"/>
      <c r="T1186" s="61"/>
      <c r="U1186" s="61"/>
      <c r="V1186" s="61"/>
      <c r="W1186" s="61"/>
      <c r="Y1186" s="10">
        <v>20</v>
      </c>
      <c r="Z1186" s="30"/>
      <c r="AA1186" s="31"/>
      <c r="AB1186" s="32"/>
      <c r="AC1186" s="32"/>
      <c r="AD1186" s="32"/>
      <c r="AE1186" s="32">
        <f t="shared" si="303"/>
        <v>0</v>
      </c>
      <c r="AF1186" s="12"/>
      <c r="AG1186" s="12"/>
      <c r="AH1186" s="12"/>
      <c r="AI1186" s="12">
        <f t="shared" si="304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11"/>
      <c r="D1187" s="32"/>
      <c r="E1187" s="32"/>
      <c r="F1187" s="32"/>
      <c r="G1187" s="32">
        <f t="shared" si="301"/>
        <v>0</v>
      </c>
      <c r="H1187" s="10"/>
      <c r="I1187" s="10"/>
      <c r="J1187" s="10"/>
      <c r="K1187" s="12">
        <f t="shared" si="302"/>
        <v>0</v>
      </c>
      <c r="M1187" s="62"/>
      <c r="N1187" s="66"/>
      <c r="O1187" s="62"/>
      <c r="P1187" s="67"/>
      <c r="Q1187" s="85"/>
      <c r="R1187" s="85"/>
      <c r="S1187" s="60"/>
      <c r="T1187" s="62"/>
      <c r="U1187" s="62"/>
      <c r="V1187" s="62"/>
      <c r="W1187" s="61"/>
      <c r="Y1187" s="10">
        <v>21</v>
      </c>
      <c r="Z1187" s="30"/>
      <c r="AA1187" s="11"/>
      <c r="AB1187" s="46"/>
      <c r="AC1187" s="31"/>
      <c r="AD1187" s="31"/>
      <c r="AE1187" s="32">
        <f t="shared" si="303"/>
        <v>0</v>
      </c>
      <c r="AF1187" s="10"/>
      <c r="AG1187" s="10"/>
      <c r="AH1187" s="10"/>
      <c r="AI1187" s="12">
        <f t="shared" si="304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57"/>
      <c r="D1188" s="32"/>
      <c r="E1188" s="32"/>
      <c r="F1188" s="32"/>
      <c r="G1188" s="32">
        <f t="shared" si="301"/>
        <v>0</v>
      </c>
      <c r="H1188" s="10"/>
      <c r="I1188" s="10"/>
      <c r="J1188" s="10"/>
      <c r="K1188" s="12">
        <f t="shared" si="302"/>
        <v>0</v>
      </c>
      <c r="M1188" s="62"/>
      <c r="N1188" s="66"/>
      <c r="O1188" s="85"/>
      <c r="P1188" s="68"/>
      <c r="Q1188" s="85"/>
      <c r="R1188" s="85"/>
      <c r="S1188" s="60"/>
      <c r="T1188" s="62"/>
      <c r="U1188" s="62"/>
      <c r="V1188" s="62"/>
      <c r="W1188" s="61"/>
      <c r="Y1188" s="10">
        <v>22</v>
      </c>
      <c r="Z1188" s="30"/>
      <c r="AA1188" s="31"/>
      <c r="AB1188" s="45"/>
      <c r="AC1188" s="31"/>
      <c r="AD1188" s="31"/>
      <c r="AE1188" s="32">
        <f t="shared" si="303"/>
        <v>0</v>
      </c>
      <c r="AF1188" s="10"/>
      <c r="AG1188" s="10"/>
      <c r="AH1188" s="10"/>
      <c r="AI1188" s="12">
        <f t="shared" si="304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82"/>
      <c r="D1189" s="32"/>
      <c r="E1189" s="32"/>
      <c r="F1189" s="32"/>
      <c r="G1189" s="32">
        <f t="shared" si="301"/>
        <v>0</v>
      </c>
      <c r="H1189" s="10"/>
      <c r="I1189" s="10"/>
      <c r="J1189" s="12"/>
      <c r="K1189" s="12">
        <f t="shared" si="302"/>
        <v>0</v>
      </c>
      <c r="M1189" s="62"/>
      <c r="N1189" s="66"/>
      <c r="O1189" s="85"/>
      <c r="P1189" s="69"/>
      <c r="Q1189" s="85"/>
      <c r="R1189" s="62"/>
      <c r="S1189" s="60"/>
      <c r="T1189" s="62"/>
      <c r="U1189" s="62"/>
      <c r="V1189" s="62"/>
      <c r="W1189" s="61"/>
      <c r="Y1189" s="10">
        <v>23</v>
      </c>
      <c r="Z1189" s="30"/>
      <c r="AA1189" s="31"/>
      <c r="AB1189" s="47"/>
      <c r="AC1189" s="31"/>
      <c r="AE1189" s="32">
        <f t="shared" si="303"/>
        <v>0</v>
      </c>
      <c r="AF1189" s="10"/>
      <c r="AG1189" s="10"/>
      <c r="AH1189" s="10"/>
      <c r="AI1189" s="12">
        <f t="shared" si="304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82"/>
      <c r="D1190" s="32"/>
      <c r="E1190" s="32"/>
      <c r="F1190" s="32"/>
      <c r="G1190" s="32">
        <f t="shared" si="301"/>
        <v>0</v>
      </c>
      <c r="H1190" s="10"/>
      <c r="I1190" s="10"/>
      <c r="J1190" s="10"/>
      <c r="K1190" s="12">
        <f t="shared" si="302"/>
        <v>0</v>
      </c>
      <c r="M1190" s="62"/>
      <c r="N1190" s="66"/>
      <c r="O1190" s="85"/>
      <c r="P1190" s="69"/>
      <c r="Q1190" s="85"/>
      <c r="R1190" s="85"/>
      <c r="S1190" s="60"/>
      <c r="T1190" s="62"/>
      <c r="U1190" s="62"/>
      <c r="V1190" s="62"/>
      <c r="W1190" s="61"/>
      <c r="Y1190" s="10">
        <v>24</v>
      </c>
      <c r="Z1190" s="30"/>
      <c r="AA1190" s="31"/>
      <c r="AB1190" s="47"/>
      <c r="AC1190" s="31"/>
      <c r="AD1190" s="31"/>
      <c r="AE1190" s="32">
        <f t="shared" si="303"/>
        <v>0</v>
      </c>
      <c r="AF1190" s="10"/>
      <c r="AG1190" s="10"/>
      <c r="AH1190" s="10"/>
      <c r="AI1190" s="12">
        <f t="shared" si="304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82"/>
      <c r="D1191" s="32"/>
      <c r="E1191" s="32"/>
      <c r="F1191" s="32"/>
      <c r="G1191" s="32">
        <f t="shared" si="301"/>
        <v>0</v>
      </c>
      <c r="H1191" s="10"/>
      <c r="I1191" s="10"/>
      <c r="J1191" s="10"/>
      <c r="K1191" s="12">
        <f t="shared" si="302"/>
        <v>0</v>
      </c>
      <c r="M1191" s="62"/>
      <c r="N1191" s="66"/>
      <c r="O1191" s="85"/>
      <c r="P1191" s="69"/>
      <c r="Q1191" s="85"/>
      <c r="R1191" s="85"/>
      <c r="S1191" s="60"/>
      <c r="T1191" s="62"/>
      <c r="U1191" s="62"/>
      <c r="V1191" s="62"/>
      <c r="W1191" s="61"/>
      <c r="Y1191" s="10">
        <v>25</v>
      </c>
      <c r="Z1191" s="30"/>
      <c r="AA1191" s="31"/>
      <c r="AB1191" s="47"/>
      <c r="AC1191" s="31"/>
      <c r="AD1191" s="31"/>
      <c r="AE1191" s="32">
        <f t="shared" si="303"/>
        <v>0</v>
      </c>
      <c r="AF1191" s="10"/>
      <c r="AG1191" s="10"/>
      <c r="AH1191" s="10"/>
      <c r="AI1191" s="12">
        <f t="shared" si="304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82"/>
      <c r="D1192" s="32"/>
      <c r="E1192" s="32"/>
      <c r="F1192" s="32"/>
      <c r="G1192" s="32">
        <f t="shared" si="301"/>
        <v>0</v>
      </c>
      <c r="H1192" s="10"/>
      <c r="I1192" s="10"/>
      <c r="J1192" s="10"/>
      <c r="K1192" s="12">
        <f t="shared" si="302"/>
        <v>0</v>
      </c>
      <c r="M1192" s="62"/>
      <c r="N1192" s="66"/>
      <c r="O1192" s="62"/>
      <c r="P1192" s="69"/>
      <c r="Q1192" s="85"/>
      <c r="R1192" s="85"/>
      <c r="S1192" s="60"/>
      <c r="T1192" s="62"/>
      <c r="U1192" s="62"/>
      <c r="V1192" s="62"/>
      <c r="W1192" s="61"/>
      <c r="Y1192" s="10">
        <v>26</v>
      </c>
      <c r="Z1192" s="30"/>
      <c r="AA1192" s="31"/>
      <c r="AB1192" s="47"/>
      <c r="AC1192" s="31"/>
      <c r="AD1192" s="31"/>
      <c r="AE1192" s="32">
        <f t="shared" si="303"/>
        <v>0</v>
      </c>
      <c r="AF1192" s="10"/>
      <c r="AG1192" s="10"/>
      <c r="AH1192" s="10"/>
      <c r="AI1192" s="12">
        <f t="shared" si="304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82"/>
      <c r="D1193" s="32"/>
      <c r="E1193" s="32"/>
      <c r="F1193" s="32"/>
      <c r="G1193" s="32">
        <f t="shared" si="301"/>
        <v>0</v>
      </c>
      <c r="H1193" s="10"/>
      <c r="I1193" s="10"/>
      <c r="J1193" s="10"/>
      <c r="K1193" s="12">
        <f t="shared" si="302"/>
        <v>0</v>
      </c>
      <c r="M1193" s="62"/>
      <c r="N1193" s="66"/>
      <c r="O1193" s="85"/>
      <c r="P1193" s="69"/>
      <c r="Q1193" s="85"/>
      <c r="R1193" s="85"/>
      <c r="S1193" s="60"/>
      <c r="T1193" s="62"/>
      <c r="U1193" s="62"/>
      <c r="V1193" s="62"/>
      <c r="W1193" s="61"/>
      <c r="Y1193" s="10">
        <v>27</v>
      </c>
      <c r="Z1193" s="30"/>
      <c r="AA1193" s="31"/>
      <c r="AB1193" s="47"/>
      <c r="AC1193" s="31"/>
      <c r="AD1193" s="31"/>
      <c r="AE1193" s="32">
        <f t="shared" si="303"/>
        <v>0</v>
      </c>
      <c r="AF1193" s="10"/>
      <c r="AG1193" s="10"/>
      <c r="AH1193" s="10"/>
      <c r="AI1193" s="12">
        <f t="shared" si="304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82"/>
      <c r="D1194" s="32"/>
      <c r="E1194" s="32"/>
      <c r="F1194" s="32"/>
      <c r="G1194" s="32">
        <f t="shared" si="301"/>
        <v>0</v>
      </c>
      <c r="H1194" s="10"/>
      <c r="I1194" s="10"/>
      <c r="J1194" s="10"/>
      <c r="K1194" s="12">
        <f t="shared" si="302"/>
        <v>0</v>
      </c>
      <c r="M1194" s="62"/>
      <c r="N1194" s="66"/>
      <c r="O1194" s="85"/>
      <c r="P1194" s="69"/>
      <c r="Q1194" s="85"/>
      <c r="R1194" s="85"/>
      <c r="S1194" s="60"/>
      <c r="T1194" s="62"/>
      <c r="U1194" s="62"/>
      <c r="V1194" s="62"/>
      <c r="W1194" s="61"/>
      <c r="Y1194" s="10">
        <v>28</v>
      </c>
      <c r="Z1194" s="30"/>
      <c r="AA1194" s="31"/>
      <c r="AB1194" s="47"/>
      <c r="AC1194" s="31"/>
      <c r="AD1194" s="31"/>
      <c r="AE1194" s="32">
        <f t="shared" si="303"/>
        <v>0</v>
      </c>
      <c r="AF1194" s="10"/>
      <c r="AG1194" s="10"/>
      <c r="AH1194" s="10"/>
      <c r="AI1194" s="12">
        <f t="shared" si="304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82"/>
      <c r="D1195" s="32"/>
      <c r="E1195" s="32"/>
      <c r="F1195" s="32"/>
      <c r="G1195" s="32">
        <f t="shared" si="301"/>
        <v>0</v>
      </c>
      <c r="H1195" s="10"/>
      <c r="I1195" s="10"/>
      <c r="J1195" s="10"/>
      <c r="K1195" s="12">
        <f t="shared" si="302"/>
        <v>0</v>
      </c>
      <c r="M1195" s="62"/>
      <c r="N1195" s="66"/>
      <c r="O1195" s="85"/>
      <c r="P1195" s="69"/>
      <c r="Q1195" s="85"/>
      <c r="R1195" s="85"/>
      <c r="S1195" s="60"/>
      <c r="T1195" s="62"/>
      <c r="U1195" s="62"/>
      <c r="V1195" s="62"/>
      <c r="W1195" s="61"/>
      <c r="Y1195" s="10">
        <v>29</v>
      </c>
      <c r="Z1195" s="30"/>
      <c r="AA1195" s="31"/>
      <c r="AB1195" s="47"/>
      <c r="AC1195" s="31"/>
      <c r="AD1195" s="31"/>
      <c r="AE1195" s="32">
        <f t="shared" si="303"/>
        <v>0</v>
      </c>
      <c r="AF1195" s="10"/>
      <c r="AG1195" s="10"/>
      <c r="AH1195" s="10"/>
      <c r="AI1195" s="12">
        <f t="shared" si="304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82"/>
      <c r="D1196" s="32"/>
      <c r="E1196" s="32"/>
      <c r="F1196" s="32"/>
      <c r="G1196" s="32">
        <f t="shared" si="301"/>
        <v>0</v>
      </c>
      <c r="H1196" s="10"/>
      <c r="I1196" s="10"/>
      <c r="J1196" s="10"/>
      <c r="K1196" s="12">
        <f t="shared" si="302"/>
        <v>0</v>
      </c>
      <c r="M1196" s="62"/>
      <c r="N1196" s="66"/>
      <c r="O1196" s="62"/>
      <c r="P1196" s="69"/>
      <c r="Q1196" s="85"/>
      <c r="R1196" s="85"/>
      <c r="S1196" s="60"/>
      <c r="T1196" s="62"/>
      <c r="U1196" s="62"/>
      <c r="V1196" s="62"/>
      <c r="W1196" s="61"/>
      <c r="Y1196" s="10">
        <v>30</v>
      </c>
      <c r="Z1196" s="30"/>
      <c r="AB1196" s="47"/>
      <c r="AC1196" s="31"/>
      <c r="AD1196" s="31"/>
      <c r="AE1196" s="32">
        <f t="shared" si="303"/>
        <v>0</v>
      </c>
      <c r="AF1196" s="10"/>
      <c r="AG1196" s="10"/>
      <c r="AH1196" s="10"/>
      <c r="AI1196" s="12">
        <f t="shared" si="304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82"/>
      <c r="D1197" s="32"/>
      <c r="E1197" s="32"/>
      <c r="F1197" s="32"/>
      <c r="G1197" s="32">
        <f t="shared" si="301"/>
        <v>0</v>
      </c>
      <c r="H1197" s="10"/>
      <c r="I1197" s="10"/>
      <c r="J1197" s="10"/>
      <c r="K1197" s="12">
        <f t="shared" si="302"/>
        <v>0</v>
      </c>
      <c r="M1197" s="62"/>
      <c r="N1197" s="66"/>
      <c r="O1197" s="85"/>
      <c r="P1197" s="69"/>
      <c r="Q1197" s="85"/>
      <c r="R1197" s="85"/>
      <c r="S1197" s="60"/>
      <c r="T1197" s="62"/>
      <c r="U1197" s="62"/>
      <c r="V1197" s="62"/>
      <c r="W1197" s="61"/>
      <c r="Y1197" s="10">
        <v>31</v>
      </c>
      <c r="Z1197" s="30"/>
      <c r="AA1197" s="31"/>
      <c r="AB1197" s="47"/>
      <c r="AC1197" s="31"/>
      <c r="AD1197" s="31"/>
      <c r="AE1197" s="32">
        <f t="shared" si="303"/>
        <v>0</v>
      </c>
      <c r="AF1197" s="10"/>
      <c r="AG1197" s="10"/>
      <c r="AH1197" s="10"/>
      <c r="AI1197" s="12">
        <f t="shared" si="304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82"/>
      <c r="D1198" s="32"/>
      <c r="E1198" s="32"/>
      <c r="F1198" s="32"/>
      <c r="G1198" s="32">
        <f t="shared" si="301"/>
        <v>0</v>
      </c>
      <c r="H1198" s="10"/>
      <c r="I1198" s="10"/>
      <c r="J1198" s="10"/>
      <c r="K1198" s="12">
        <f t="shared" si="302"/>
        <v>0</v>
      </c>
      <c r="M1198" s="62"/>
      <c r="N1198" s="66"/>
      <c r="O1198" s="85"/>
      <c r="P1198" s="69"/>
      <c r="Q1198" s="85"/>
      <c r="R1198" s="85"/>
      <c r="S1198" s="60"/>
      <c r="T1198" s="62"/>
      <c r="U1198" s="62"/>
      <c r="V1198" s="62"/>
      <c r="W1198" s="61"/>
      <c r="Y1198" s="10">
        <v>32</v>
      </c>
      <c r="Z1198" s="30"/>
      <c r="AA1198" s="31"/>
      <c r="AB1198" s="47"/>
      <c r="AC1198" s="31"/>
      <c r="AD1198" s="31"/>
      <c r="AE1198" s="32">
        <f t="shared" si="303"/>
        <v>0</v>
      </c>
      <c r="AF1198" s="10"/>
      <c r="AG1198" s="10"/>
      <c r="AH1198" s="10"/>
      <c r="AI1198" s="12">
        <f t="shared" si="304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2"/>
      <c r="D1199" s="32"/>
      <c r="E1199" s="32"/>
      <c r="F1199" s="32"/>
      <c r="G1199" s="32">
        <f t="shared" si="301"/>
        <v>0</v>
      </c>
      <c r="H1199" s="10"/>
      <c r="I1199" s="10"/>
      <c r="J1199" s="10"/>
      <c r="K1199" s="12">
        <f t="shared" si="302"/>
        <v>0</v>
      </c>
      <c r="M1199" s="62"/>
      <c r="N1199" s="66"/>
      <c r="O1199" s="85"/>
      <c r="P1199" s="69"/>
      <c r="Q1199" s="85"/>
      <c r="R1199" s="85"/>
      <c r="S1199" s="60"/>
      <c r="T1199" s="62"/>
      <c r="U1199" s="62"/>
      <c r="V1199" s="62"/>
      <c r="W1199" s="61"/>
      <c r="Y1199" s="10">
        <v>33</v>
      </c>
      <c r="Z1199" s="30"/>
      <c r="AA1199" s="31"/>
      <c r="AB1199" s="47"/>
      <c r="AC1199" s="31"/>
      <c r="AD1199" s="31"/>
      <c r="AE1199" s="32">
        <f t="shared" si="303"/>
        <v>0</v>
      </c>
      <c r="AF1199" s="10"/>
      <c r="AG1199" s="10"/>
      <c r="AH1199" s="10"/>
      <c r="AI1199" s="12">
        <f t="shared" si="304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2"/>
      <c r="D1200" s="32"/>
      <c r="E1200" s="32"/>
      <c r="F1200" s="32"/>
      <c r="G1200" s="32">
        <f t="shared" si="301"/>
        <v>0</v>
      </c>
      <c r="H1200" s="10"/>
      <c r="I1200" s="10"/>
      <c r="J1200" s="10"/>
      <c r="K1200" s="12">
        <f t="shared" si="302"/>
        <v>0</v>
      </c>
      <c r="M1200" s="62"/>
      <c r="N1200" s="66"/>
      <c r="O1200" s="85"/>
      <c r="P1200" s="69"/>
      <c r="Q1200" s="85"/>
      <c r="R1200" s="85"/>
      <c r="S1200" s="60"/>
      <c r="T1200" s="62"/>
      <c r="U1200" s="62"/>
      <c r="V1200" s="62"/>
      <c r="W1200" s="61"/>
      <c r="Y1200" s="10">
        <v>34</v>
      </c>
      <c r="Z1200" s="30"/>
      <c r="AA1200" s="31"/>
      <c r="AB1200" s="47"/>
      <c r="AC1200" s="31"/>
      <c r="AD1200" s="31"/>
      <c r="AE1200" s="32">
        <f t="shared" si="303"/>
        <v>0</v>
      </c>
      <c r="AF1200" s="10"/>
      <c r="AG1200" s="10"/>
      <c r="AH1200" s="10"/>
      <c r="AI1200" s="12">
        <f t="shared" si="304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/>
      <c r="H1201" s="10"/>
      <c r="I1201" s="10"/>
      <c r="J1201" s="10"/>
      <c r="K1201" s="12"/>
      <c r="M1201" s="62"/>
      <c r="N1201" s="66"/>
      <c r="O1201" s="85"/>
      <c r="P1201" s="69"/>
      <c r="Q1201" s="85"/>
      <c r="R1201" s="85"/>
      <c r="S1201" s="60"/>
      <c r="T1201" s="62"/>
      <c r="U1201" s="62"/>
      <c r="V1201" s="62"/>
      <c r="W1201" s="61"/>
      <c r="Y1201" s="10">
        <v>35</v>
      </c>
      <c r="Z1201" s="30"/>
      <c r="AA1201" s="31"/>
      <c r="AB1201" s="47"/>
      <c r="AC1201" s="31"/>
      <c r="AD1201" s="31"/>
      <c r="AE1201" s="32">
        <f t="shared" si="303"/>
        <v>0</v>
      </c>
      <c r="AF1201" s="10"/>
      <c r="AG1201" s="10"/>
      <c r="AH1201" s="10"/>
      <c r="AI1201" s="12">
        <f t="shared" si="304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62"/>
      <c r="N1202" s="66"/>
      <c r="O1202" s="85"/>
      <c r="P1202" s="69"/>
      <c r="Q1202" s="85"/>
      <c r="R1202" s="85"/>
      <c r="S1202" s="60"/>
      <c r="T1202" s="62"/>
      <c r="U1202" s="62"/>
      <c r="V1202" s="62"/>
      <c r="W1202" s="61"/>
      <c r="Y1202" s="10">
        <v>36</v>
      </c>
      <c r="Z1202" s="30"/>
      <c r="AA1202" s="31"/>
      <c r="AB1202" s="47"/>
      <c r="AC1202" s="31"/>
      <c r="AD1202" s="31"/>
      <c r="AE1202" s="32">
        <f t="shared" si="303"/>
        <v>0</v>
      </c>
      <c r="AF1202" s="10"/>
      <c r="AG1202" s="10"/>
      <c r="AH1202" s="10"/>
      <c r="AI1202" s="12">
        <f t="shared" si="304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62"/>
      <c r="N1203" s="66"/>
      <c r="O1203" s="62"/>
      <c r="P1203" s="69"/>
      <c r="Q1203" s="85"/>
      <c r="R1203" s="85"/>
      <c r="S1203" s="60"/>
      <c r="T1203" s="62"/>
      <c r="U1203" s="62"/>
      <c r="V1203" s="62"/>
      <c r="W1203" s="61"/>
      <c r="Y1203" s="10">
        <v>37</v>
      </c>
      <c r="Z1203" s="30"/>
      <c r="AA1203" s="31"/>
      <c r="AB1203" s="47"/>
      <c r="AC1203" s="31"/>
      <c r="AD1203" s="31"/>
      <c r="AE1203" s="32">
        <f t="shared" si="303"/>
        <v>0</v>
      </c>
      <c r="AF1203" s="10"/>
      <c r="AG1203" s="10"/>
      <c r="AH1203" s="10"/>
      <c r="AI1203" s="12">
        <f t="shared" si="304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62"/>
      <c r="N1204" s="66"/>
      <c r="O1204" s="85"/>
      <c r="P1204" s="69"/>
      <c r="Q1204" s="85"/>
      <c r="R1204" s="85"/>
      <c r="S1204" s="60"/>
      <c r="T1204" s="62"/>
      <c r="U1204" s="62"/>
      <c r="V1204" s="62"/>
      <c r="W1204" s="61"/>
      <c r="Y1204" s="10">
        <v>38</v>
      </c>
      <c r="Z1204" s="30"/>
      <c r="AA1204" s="31"/>
      <c r="AB1204" s="47"/>
      <c r="AC1204" s="31"/>
      <c r="AD1204" s="31"/>
      <c r="AE1204" s="32">
        <f t="shared" si="303"/>
        <v>0</v>
      </c>
      <c r="AF1204" s="10"/>
      <c r="AG1204" s="10"/>
      <c r="AH1204" s="10"/>
      <c r="AI1204" s="12">
        <f t="shared" si="304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62"/>
      <c r="N1205" s="66"/>
      <c r="O1205" s="85"/>
      <c r="P1205" s="69"/>
      <c r="Q1205" s="85"/>
      <c r="R1205" s="85"/>
      <c r="S1205" s="60"/>
      <c r="T1205" s="62"/>
      <c r="U1205" s="62"/>
      <c r="V1205" s="62"/>
      <c r="W1205" s="61"/>
      <c r="Y1205" s="10">
        <v>39</v>
      </c>
      <c r="Z1205" s="30"/>
      <c r="AA1205" s="31"/>
      <c r="AB1205" s="47"/>
      <c r="AC1205" s="31"/>
      <c r="AD1205" s="31"/>
      <c r="AE1205" s="32">
        <f t="shared" si="303"/>
        <v>0</v>
      </c>
      <c r="AF1205" s="10"/>
      <c r="AG1205" s="10"/>
      <c r="AH1205" s="10"/>
      <c r="AI1205" s="12">
        <f t="shared" si="304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62"/>
      <c r="N1206" s="66"/>
      <c r="O1206" s="62"/>
      <c r="P1206" s="69"/>
      <c r="Q1206" s="85"/>
      <c r="R1206" s="85"/>
      <c r="S1206" s="60"/>
      <c r="T1206" s="62"/>
      <c r="U1206" s="62"/>
      <c r="V1206" s="62"/>
      <c r="W1206" s="61"/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04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07">SUM(D1207:E1207)</f>
        <v>0</v>
      </c>
      <c r="H1207" s="10"/>
      <c r="I1207" s="10"/>
      <c r="J1207" s="10"/>
      <c r="K1207" s="12">
        <f t="shared" ref="K1207" si="308">SUM(G1207:J1207)</f>
        <v>0</v>
      </c>
      <c r="M1207" s="62"/>
      <c r="N1207" s="66"/>
      <c r="O1207" s="85"/>
      <c r="P1207" s="69"/>
      <c r="Q1207" s="85"/>
      <c r="R1207" s="85"/>
      <c r="S1207" s="60"/>
      <c r="T1207" s="62"/>
      <c r="U1207" s="62"/>
      <c r="V1207" s="62"/>
      <c r="W1207" s="61"/>
      <c r="Y1207" s="10"/>
      <c r="Z1207" s="30"/>
      <c r="AA1207" s="31"/>
      <c r="AB1207" s="47"/>
      <c r="AC1207" s="31"/>
      <c r="AD1207" s="31"/>
      <c r="AE1207" s="32">
        <f t="shared" ref="AE1207" si="309">SUM(AB1207:AC1207)</f>
        <v>0</v>
      </c>
      <c r="AF1207" s="10"/>
      <c r="AG1207" s="10"/>
      <c r="AH1207" s="10"/>
      <c r="AI1207" s="12">
        <f t="shared" si="304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62"/>
      <c r="N1208" s="85"/>
      <c r="O1208" s="85"/>
      <c r="P1208" s="85"/>
      <c r="Q1208" s="85"/>
      <c r="R1208" s="85"/>
      <c r="S1208" s="85"/>
      <c r="T1208" s="62"/>
      <c r="U1208" s="62"/>
      <c r="V1208" s="62"/>
      <c r="W1208" s="61"/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04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M1209" s="62"/>
      <c r="N1209" s="85"/>
      <c r="O1209" s="85"/>
      <c r="P1209" s="85"/>
      <c r="Q1209" s="85"/>
      <c r="R1209" s="85"/>
      <c r="S1209" s="85"/>
      <c r="T1209" s="62"/>
      <c r="U1209" s="62"/>
      <c r="V1209" s="62"/>
      <c r="W1209" s="62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607368</v>
      </c>
      <c r="E1210" s="38">
        <f t="shared" ref="E1210:G1210" si="310">SUM(E1167:E1207)</f>
        <v>-5202</v>
      </c>
      <c r="F1210" s="38">
        <f t="shared" si="310"/>
        <v>0</v>
      </c>
      <c r="G1210" s="38">
        <f>SUM(G1167:G1209)</f>
        <v>602166</v>
      </c>
      <c r="H1210" s="4"/>
      <c r="I1210" s="39">
        <f>SUM(I1167:I1209)</f>
        <v>996</v>
      </c>
      <c r="J1210" s="39">
        <f>SUM(J1167:J1209)</f>
        <v>-1722</v>
      </c>
      <c r="K1210" s="40">
        <f>SUM(K1167:K1209)</f>
        <v>601440</v>
      </c>
      <c r="M1210" s="62"/>
      <c r="N1210" s="85"/>
      <c r="O1210" s="85"/>
      <c r="P1210" s="70"/>
      <c r="Q1210" s="70"/>
      <c r="R1210" s="70"/>
      <c r="S1210" s="70"/>
      <c r="T1210" s="63"/>
      <c r="U1210" s="71"/>
      <c r="V1210" s="71"/>
      <c r="W1210" s="71"/>
      <c r="Z1210" s="57"/>
      <c r="AA1210" s="57"/>
      <c r="AB1210" s="38">
        <f>SUM(AB1167:AB1209)</f>
        <v>330078.5</v>
      </c>
      <c r="AC1210" s="38">
        <f>SUM(AC1167:AC1191)</f>
        <v>-2316</v>
      </c>
      <c r="AD1210" s="38">
        <f>SUM(AD1167:AD1191)</f>
        <v>0</v>
      </c>
      <c r="AE1210" s="38">
        <f>SUM(AE1167:AE1209)</f>
        <v>327762.5</v>
      </c>
      <c r="AF1210" s="4"/>
      <c r="AG1210" s="41">
        <f>SUM(AG1167:AG1209)</f>
        <v>1228.5</v>
      </c>
      <c r="AH1210" s="41">
        <f>SUM(AH1167:AH1191)</f>
        <v>-888</v>
      </c>
      <c r="AI1210" s="42">
        <f>SUM(AI1167:AI1209)</f>
        <v>328103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5"/>
      <c r="C1213" s="85"/>
      <c r="D1213" s="85"/>
      <c r="E1213" s="85"/>
      <c r="F1213" s="85"/>
      <c r="G1213" s="85"/>
      <c r="H1213" s="62"/>
      <c r="I1213" s="62"/>
      <c r="J1213" s="62"/>
      <c r="K1213" s="62"/>
      <c r="L1213" s="62"/>
      <c r="M1213" s="62"/>
      <c r="N1213" s="85"/>
      <c r="O1213" s="85"/>
      <c r="P1213" s="85"/>
      <c r="Q1213" s="85"/>
      <c r="R1213" s="85"/>
      <c r="S1213" s="85"/>
      <c r="T1213" s="62"/>
      <c r="U1213" s="62"/>
      <c r="V1213" s="62"/>
      <c r="W1213" s="62"/>
      <c r="X1213" s="62"/>
      <c r="Y1213" s="62"/>
      <c r="Z1213" s="85"/>
      <c r="AA1213" s="85"/>
      <c r="AB1213" s="85"/>
      <c r="AC1213" s="85"/>
      <c r="AD1213" s="85"/>
      <c r="AE1213" s="85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5"/>
      <c r="C1214" s="85"/>
      <c r="D1214" s="85"/>
      <c r="E1214" s="85"/>
      <c r="F1214" s="85"/>
      <c r="G1214" s="85"/>
      <c r="H1214" s="62"/>
      <c r="I1214" s="62"/>
      <c r="J1214" s="62"/>
      <c r="K1214" s="62"/>
      <c r="L1214" s="62"/>
      <c r="M1214" s="62"/>
      <c r="N1214" s="85"/>
      <c r="O1214" s="85"/>
      <c r="P1214" s="85"/>
      <c r="Q1214" s="85"/>
      <c r="R1214" s="85"/>
      <c r="S1214" s="85"/>
      <c r="T1214" s="62"/>
      <c r="U1214" s="62"/>
      <c r="V1214" s="62"/>
      <c r="W1214" s="62"/>
      <c r="X1214" s="62"/>
      <c r="Y1214" s="62"/>
      <c r="Z1214" s="85"/>
      <c r="AA1214" s="85"/>
      <c r="AB1214" s="85"/>
      <c r="AC1214" s="85"/>
      <c r="AD1214" s="85"/>
      <c r="AE1214" s="85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5"/>
      <c r="C1215" s="85"/>
      <c r="D1215" s="85"/>
      <c r="E1215" s="85"/>
      <c r="F1215" s="85"/>
      <c r="G1215" s="85"/>
      <c r="H1215" s="62"/>
      <c r="I1215" s="62"/>
      <c r="J1215" s="62"/>
      <c r="K1215" s="62"/>
      <c r="L1215" s="62"/>
      <c r="M1215" s="62"/>
      <c r="N1215" s="85"/>
      <c r="O1215" s="85"/>
      <c r="P1215" s="85"/>
      <c r="Q1215" s="85"/>
      <c r="R1215" s="85"/>
      <c r="S1215" s="85"/>
      <c r="T1215" s="62"/>
      <c r="U1215" s="62"/>
      <c r="V1215" s="62"/>
      <c r="W1215" s="62"/>
      <c r="X1215" s="62"/>
      <c r="Y1215" s="62"/>
      <c r="Z1215" s="85"/>
      <c r="AA1215" s="85"/>
      <c r="AB1215" s="85"/>
      <c r="AC1215" s="85"/>
      <c r="AD1215" s="85"/>
      <c r="AE1215" s="85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5"/>
      <c r="C1216" s="85"/>
      <c r="D1216" s="85"/>
      <c r="E1216" s="85"/>
      <c r="F1216" s="85"/>
      <c r="G1216" s="85"/>
      <c r="H1216" s="62"/>
      <c r="I1216" s="62"/>
      <c r="J1216" s="62"/>
      <c r="K1216" s="62"/>
      <c r="L1216" s="62"/>
      <c r="M1216" s="63"/>
      <c r="N1216" s="85"/>
      <c r="O1216" s="85"/>
      <c r="P1216" s="85"/>
      <c r="Q1216" s="85"/>
      <c r="R1216" s="85"/>
      <c r="S1216" s="85"/>
      <c r="T1216" s="62"/>
      <c r="U1216" s="62"/>
      <c r="V1216" s="62"/>
      <c r="W1216" s="62"/>
      <c r="X1216" s="62"/>
      <c r="Y1216" s="63"/>
      <c r="Z1216" s="85"/>
      <c r="AA1216" s="85"/>
      <c r="AB1216" s="85"/>
      <c r="AC1216" s="85"/>
      <c r="AD1216" s="85"/>
      <c r="AE1216" s="85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5"/>
      <c r="C1217" s="85"/>
      <c r="D1217" s="85"/>
      <c r="E1217" s="85"/>
      <c r="F1217" s="85"/>
      <c r="G1217" s="85"/>
      <c r="H1217" s="62"/>
      <c r="I1217" s="62"/>
      <c r="J1217" s="62"/>
      <c r="K1217" s="62"/>
      <c r="L1217" s="62"/>
      <c r="M1217" s="62"/>
      <c r="N1217" s="85"/>
      <c r="O1217" s="85"/>
      <c r="P1217" s="85"/>
      <c r="Q1217" s="85"/>
      <c r="R1217" s="85"/>
      <c r="S1217" s="85"/>
      <c r="T1217" s="62"/>
      <c r="U1217" s="62"/>
      <c r="V1217" s="62"/>
      <c r="W1217" s="62"/>
      <c r="X1217" s="62"/>
      <c r="Y1217" s="62"/>
      <c r="Z1217" s="85"/>
      <c r="AA1217" s="85"/>
      <c r="AB1217" s="85"/>
      <c r="AC1217" s="85"/>
      <c r="AD1217" s="85"/>
      <c r="AE1217" s="85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5"/>
      <c r="C1218" s="85"/>
      <c r="D1218" s="85"/>
      <c r="E1218" s="85"/>
      <c r="F1218" s="85"/>
      <c r="G1218" s="85"/>
      <c r="H1218" s="62"/>
      <c r="I1218" s="85"/>
      <c r="J1218" s="73"/>
      <c r="K1218" s="62"/>
      <c r="L1218" s="62"/>
      <c r="M1218" s="62"/>
      <c r="N1218" s="85"/>
      <c r="O1218" s="85"/>
      <c r="P1218" s="85"/>
      <c r="Q1218" s="85"/>
      <c r="R1218" s="85"/>
      <c r="S1218" s="85"/>
      <c r="T1218" s="62"/>
      <c r="U1218" s="85"/>
      <c r="V1218" s="73"/>
      <c r="W1218" s="62"/>
      <c r="X1218" s="62"/>
      <c r="Y1218" s="62"/>
      <c r="Z1218" s="85"/>
      <c r="AA1218" s="85"/>
      <c r="AB1218" s="85"/>
      <c r="AC1218" s="85"/>
      <c r="AD1218" s="85"/>
      <c r="AE1218" s="85"/>
      <c r="AF1218" s="62"/>
      <c r="AG1218" s="85"/>
      <c r="AH1218" s="85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5"/>
      <c r="C1219" s="85"/>
      <c r="D1219" s="85"/>
      <c r="E1219" s="85"/>
      <c r="F1219" s="85"/>
      <c r="G1219" s="85"/>
      <c r="H1219" s="62"/>
      <c r="I1219" s="65"/>
      <c r="J1219" s="65"/>
      <c r="K1219" s="62"/>
      <c r="L1219" s="62"/>
      <c r="M1219" s="64"/>
      <c r="N1219" s="85"/>
      <c r="O1219" s="85"/>
      <c r="P1219" s="85"/>
      <c r="Q1219" s="85"/>
      <c r="R1219" s="85"/>
      <c r="S1219" s="85"/>
      <c r="T1219" s="62"/>
      <c r="U1219" s="65"/>
      <c r="V1219" s="65"/>
      <c r="W1219" s="62"/>
      <c r="X1219" s="62"/>
      <c r="Y1219" s="64"/>
      <c r="Z1219" s="85"/>
      <c r="AA1219" s="85"/>
      <c r="AB1219" s="85"/>
      <c r="AC1219" s="85"/>
      <c r="AD1219" s="85"/>
      <c r="AE1219" s="85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5"/>
      <c r="C1220" s="85"/>
      <c r="D1220" s="85"/>
      <c r="E1220" s="85"/>
      <c r="F1220" s="85"/>
      <c r="G1220" s="85"/>
      <c r="H1220" s="62"/>
      <c r="I1220" s="62"/>
      <c r="J1220" s="62"/>
      <c r="K1220" s="62"/>
      <c r="L1220" s="62"/>
      <c r="M1220" s="62"/>
      <c r="N1220" s="85"/>
      <c r="O1220" s="85"/>
      <c r="P1220" s="85"/>
      <c r="Q1220" s="85"/>
      <c r="R1220" s="85"/>
      <c r="S1220" s="85"/>
      <c r="T1220" s="62"/>
      <c r="U1220" s="62"/>
      <c r="V1220" s="62"/>
      <c r="W1220" s="62"/>
      <c r="X1220" s="62"/>
      <c r="Y1220" s="62"/>
      <c r="Z1220" s="85"/>
      <c r="AA1220" s="85"/>
      <c r="AB1220" s="85"/>
      <c r="AC1220" s="85"/>
      <c r="AD1220" s="85"/>
      <c r="AE1220" s="85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5"/>
      <c r="D1221" s="122"/>
      <c r="E1221" s="122"/>
      <c r="F1221" s="85"/>
      <c r="G1221" s="85"/>
      <c r="H1221" s="62"/>
      <c r="I1221" s="122"/>
      <c r="J1221" s="122"/>
      <c r="K1221" s="121"/>
      <c r="L1221" s="62"/>
      <c r="M1221" s="62"/>
      <c r="N1221" s="65"/>
      <c r="O1221" s="85"/>
      <c r="P1221" s="122"/>
      <c r="Q1221" s="122"/>
      <c r="R1221" s="85"/>
      <c r="S1221" s="85"/>
      <c r="T1221" s="62"/>
      <c r="U1221" s="122"/>
      <c r="V1221" s="122"/>
      <c r="W1221" s="121"/>
      <c r="X1221" s="62"/>
      <c r="Y1221" s="62"/>
      <c r="Z1221" s="65"/>
      <c r="AA1221" s="85"/>
      <c r="AB1221" s="122"/>
      <c r="AC1221" s="122"/>
      <c r="AD1221" s="85"/>
      <c r="AE1221" s="85"/>
      <c r="AF1221" s="62"/>
      <c r="AG1221" s="122"/>
      <c r="AH1221" s="122"/>
      <c r="AI1221" s="12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5"/>
      <c r="C1222" s="85"/>
      <c r="D1222" s="79"/>
      <c r="E1222" s="80"/>
      <c r="F1222" s="81"/>
      <c r="G1222" s="81"/>
      <c r="H1222" s="62"/>
      <c r="I1222" s="84"/>
      <c r="J1222" s="84"/>
      <c r="K1222" s="121"/>
      <c r="L1222" s="62"/>
      <c r="M1222" s="62"/>
      <c r="N1222" s="85"/>
      <c r="O1222" s="85"/>
      <c r="P1222" s="79"/>
      <c r="Q1222" s="81"/>
      <c r="R1222" s="81"/>
      <c r="S1222" s="81"/>
      <c r="T1222" s="62"/>
      <c r="U1222" s="84"/>
      <c r="V1222" s="84"/>
      <c r="W1222" s="121"/>
      <c r="X1222" s="62"/>
      <c r="Y1222" s="62"/>
      <c r="Z1222" s="85"/>
      <c r="AA1222" s="85"/>
      <c r="AB1222" s="79"/>
      <c r="AC1222" s="80"/>
      <c r="AD1222" s="81"/>
      <c r="AE1222" s="81"/>
      <c r="AF1222" s="62"/>
      <c r="AG1222" s="84"/>
      <c r="AH1222" s="84"/>
      <c r="AI1222" s="12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5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5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5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5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5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5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5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5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5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5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5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5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5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5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5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5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5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5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5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5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5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5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5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5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5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5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5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5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5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5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5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5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5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5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5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5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5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5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5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5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5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5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5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5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5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5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5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5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5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5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5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5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5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5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5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5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5"/>
      <c r="P1243" s="67"/>
      <c r="Q1243" s="85"/>
      <c r="R1243" s="85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5"/>
      <c r="P1244" s="68"/>
      <c r="Q1244" s="85"/>
      <c r="R1244" s="85"/>
      <c r="S1244" s="60"/>
      <c r="T1244" s="62"/>
      <c r="U1244" s="62"/>
      <c r="V1244" s="62"/>
      <c r="W1244" s="61"/>
      <c r="X1244" s="62"/>
      <c r="Y1244" s="62"/>
      <c r="Z1244" s="66"/>
      <c r="AA1244" s="85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5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5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5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5"/>
      <c r="P1246" s="69"/>
      <c r="Q1246" s="85"/>
      <c r="R1246" s="85"/>
      <c r="S1246" s="60"/>
      <c r="T1246" s="62"/>
      <c r="U1246" s="62"/>
      <c r="V1246" s="62"/>
      <c r="W1246" s="61"/>
      <c r="X1246" s="62"/>
      <c r="Y1246" s="62"/>
      <c r="Z1246" s="66"/>
      <c r="AA1246" s="85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5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5"/>
      <c r="P1247" s="69"/>
      <c r="Q1247" s="85"/>
      <c r="R1247" s="85"/>
      <c r="S1247" s="60"/>
      <c r="T1247" s="62"/>
      <c r="U1247" s="62"/>
      <c r="V1247" s="62"/>
      <c r="W1247" s="61"/>
      <c r="X1247" s="62"/>
      <c r="Y1247" s="62"/>
      <c r="Z1247" s="66"/>
      <c r="AA1247" s="85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5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5"/>
      <c r="P1248" s="69"/>
      <c r="Q1248" s="85"/>
      <c r="R1248" s="85"/>
      <c r="S1248" s="60"/>
      <c r="T1248" s="62"/>
      <c r="U1248" s="62"/>
      <c r="V1248" s="62"/>
      <c r="W1248" s="61"/>
      <c r="X1248" s="62"/>
      <c r="Y1248" s="62"/>
      <c r="Z1248" s="66"/>
      <c r="AA1248" s="85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5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5"/>
      <c r="P1249" s="69"/>
      <c r="Q1249" s="85"/>
      <c r="R1249" s="85"/>
      <c r="S1249" s="60"/>
      <c r="T1249" s="62"/>
      <c r="U1249" s="62"/>
      <c r="V1249" s="62"/>
      <c r="W1249" s="61"/>
      <c r="X1249" s="62"/>
      <c r="Y1249" s="62"/>
      <c r="Z1249" s="66"/>
      <c r="AA1249" s="85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5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5"/>
      <c r="P1250" s="69"/>
      <c r="Q1250" s="85"/>
      <c r="R1250" s="85"/>
      <c r="S1250" s="60"/>
      <c r="T1250" s="62"/>
      <c r="U1250" s="62"/>
      <c r="V1250" s="62"/>
      <c r="W1250" s="61"/>
      <c r="X1250" s="62"/>
      <c r="Y1250" s="62"/>
      <c r="Z1250" s="66"/>
      <c r="AA1250" s="85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5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5"/>
      <c r="P1251" s="69"/>
      <c r="Q1251" s="85"/>
      <c r="R1251" s="85"/>
      <c r="S1251" s="60"/>
      <c r="T1251" s="62"/>
      <c r="U1251" s="62"/>
      <c r="V1251" s="62"/>
      <c r="W1251" s="61"/>
      <c r="X1251" s="62"/>
      <c r="Y1251" s="62"/>
      <c r="Z1251" s="66"/>
      <c r="AA1251" s="85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5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5"/>
      <c r="P1252" s="69"/>
      <c r="Q1252" s="85"/>
      <c r="R1252" s="85"/>
      <c r="S1252" s="60"/>
      <c r="T1252" s="62"/>
      <c r="U1252" s="62"/>
      <c r="V1252" s="62"/>
      <c r="W1252" s="61"/>
      <c r="X1252" s="62"/>
      <c r="Y1252" s="62"/>
      <c r="Z1252" s="66"/>
      <c r="AA1252" s="85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5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5"/>
      <c r="R1253" s="85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5"/>
      <c r="P1254" s="69"/>
      <c r="Q1254" s="85"/>
      <c r="R1254" s="85"/>
      <c r="S1254" s="60"/>
      <c r="T1254" s="62"/>
      <c r="U1254" s="62"/>
      <c r="V1254" s="62"/>
      <c r="W1254" s="61"/>
      <c r="X1254" s="62"/>
      <c r="Y1254" s="62"/>
      <c r="Z1254" s="66"/>
      <c r="AA1254" s="85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5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5"/>
      <c r="P1255" s="69"/>
      <c r="Q1255" s="85"/>
      <c r="R1255" s="85"/>
      <c r="S1255" s="60"/>
      <c r="T1255" s="62"/>
      <c r="U1255" s="62"/>
      <c r="V1255" s="62"/>
      <c r="W1255" s="61"/>
      <c r="X1255" s="62"/>
      <c r="Y1255" s="62"/>
      <c r="Z1255" s="66"/>
      <c r="AA1255" s="85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5"/>
      <c r="P1256" s="69"/>
      <c r="Q1256" s="85"/>
      <c r="R1256" s="85"/>
      <c r="S1256" s="60"/>
      <c r="T1256" s="62"/>
      <c r="U1256" s="62"/>
      <c r="V1256" s="62"/>
      <c r="W1256" s="61"/>
      <c r="X1256" s="62"/>
      <c r="Y1256" s="62"/>
      <c r="Z1256" s="66"/>
      <c r="AA1256" s="85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5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5"/>
      <c r="P1257" s="69"/>
      <c r="Q1257" s="85"/>
      <c r="R1257" s="85"/>
      <c r="S1257" s="60"/>
      <c r="T1257" s="62"/>
      <c r="U1257" s="62"/>
      <c r="V1257" s="62"/>
      <c r="W1257" s="61"/>
      <c r="X1257" s="62"/>
      <c r="Y1257" s="62"/>
      <c r="Z1257" s="66"/>
      <c r="AA1257" s="85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5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5"/>
      <c r="P1258" s="69"/>
      <c r="Q1258" s="85"/>
      <c r="R1258" s="85"/>
      <c r="S1258" s="60"/>
      <c r="T1258" s="62"/>
      <c r="U1258" s="62"/>
      <c r="V1258" s="62"/>
      <c r="W1258" s="61"/>
      <c r="X1258" s="62"/>
      <c r="Y1258" s="62"/>
      <c r="Z1258" s="66"/>
      <c r="AA1258" s="85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5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5"/>
      <c r="P1259" s="69"/>
      <c r="Q1259" s="85"/>
      <c r="R1259" s="85"/>
      <c r="S1259" s="60"/>
      <c r="T1259" s="62"/>
      <c r="U1259" s="62"/>
      <c r="V1259" s="62"/>
      <c r="W1259" s="61"/>
      <c r="X1259" s="62"/>
      <c r="Y1259" s="62"/>
      <c r="Z1259" s="66"/>
      <c r="AA1259" s="85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5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5"/>
      <c r="P1260" s="69"/>
      <c r="Q1260" s="85"/>
      <c r="R1260" s="85"/>
      <c r="S1260" s="60"/>
      <c r="T1260" s="62"/>
      <c r="U1260" s="62"/>
      <c r="V1260" s="62"/>
      <c r="W1260" s="61"/>
      <c r="X1260" s="62"/>
      <c r="Y1260" s="62"/>
      <c r="Z1260" s="66"/>
      <c r="AA1260" s="85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5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5"/>
      <c r="P1261" s="69"/>
      <c r="Q1261" s="85"/>
      <c r="R1261" s="85"/>
      <c r="S1261" s="60"/>
      <c r="T1261" s="62"/>
      <c r="U1261" s="62"/>
      <c r="V1261" s="62"/>
      <c r="W1261" s="61"/>
      <c r="X1261" s="62"/>
      <c r="Y1261" s="62"/>
      <c r="Z1261" s="66"/>
      <c r="AA1261" s="85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5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5"/>
      <c r="P1262" s="69"/>
      <c r="Q1262" s="85"/>
      <c r="R1262" s="85"/>
      <c r="S1262" s="60"/>
      <c r="T1262" s="62"/>
      <c r="U1262" s="62"/>
      <c r="V1262" s="62"/>
      <c r="W1262" s="61"/>
      <c r="X1262" s="62"/>
      <c r="Y1262" s="62"/>
      <c r="Z1262" s="66"/>
      <c r="AA1262" s="85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5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5"/>
      <c r="P1263" s="69"/>
      <c r="Q1263" s="85"/>
      <c r="R1263" s="85"/>
      <c r="S1263" s="60"/>
      <c r="T1263" s="62"/>
      <c r="U1263" s="62"/>
      <c r="V1263" s="62"/>
      <c r="W1263" s="61"/>
      <c r="X1263" s="62"/>
      <c r="Y1263" s="62"/>
      <c r="Z1263" s="66"/>
      <c r="AA1263" s="85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5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5"/>
      <c r="P1264" s="69"/>
      <c r="Q1264" s="85"/>
      <c r="R1264" s="85"/>
      <c r="S1264" s="60"/>
      <c r="T1264" s="62"/>
      <c r="U1264" s="62"/>
      <c r="V1264" s="62"/>
      <c r="W1264" s="61"/>
      <c r="X1264" s="62"/>
      <c r="Y1264" s="62"/>
      <c r="Z1264" s="66"/>
      <c r="AA1264" s="85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5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5"/>
      <c r="P1265" s="69"/>
      <c r="Q1265" s="85"/>
      <c r="R1265" s="85"/>
      <c r="S1265" s="60"/>
      <c r="T1265" s="62"/>
      <c r="U1265" s="62"/>
      <c r="V1265" s="62"/>
      <c r="W1265" s="61"/>
      <c r="X1265" s="62"/>
      <c r="Y1265" s="62"/>
      <c r="Z1265" s="66"/>
      <c r="AA1265" s="85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5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5"/>
      <c r="P1266" s="69"/>
      <c r="Q1266" s="85"/>
      <c r="R1266" s="85"/>
      <c r="S1266" s="60"/>
      <c r="T1266" s="62"/>
      <c r="U1266" s="62"/>
      <c r="V1266" s="62"/>
      <c r="W1266" s="61"/>
      <c r="X1266" s="62"/>
      <c r="Y1266" s="62"/>
      <c r="Z1266" s="66"/>
      <c r="AA1266" s="85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5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5"/>
      <c r="P1267" s="69"/>
      <c r="Q1267" s="85"/>
      <c r="R1267" s="85"/>
      <c r="S1267" s="60"/>
      <c r="T1267" s="62"/>
      <c r="U1267" s="62"/>
      <c r="V1267" s="62"/>
      <c r="W1267" s="61"/>
      <c r="X1267" s="62"/>
      <c r="Y1267" s="62"/>
      <c r="Z1267" s="66"/>
      <c r="AA1267" s="85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5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5"/>
      <c r="P1268" s="69"/>
      <c r="Q1268" s="85"/>
      <c r="R1268" s="85"/>
      <c r="S1268" s="60"/>
      <c r="T1268" s="62"/>
      <c r="U1268" s="62"/>
      <c r="V1268" s="62"/>
      <c r="W1268" s="61"/>
      <c r="X1268" s="62"/>
      <c r="Y1268" s="62"/>
      <c r="Z1268" s="66"/>
      <c r="AA1268" s="85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5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5"/>
      <c r="P1269" s="69"/>
      <c r="Q1269" s="85"/>
      <c r="R1269" s="85"/>
      <c r="S1269" s="60"/>
      <c r="T1269" s="62"/>
      <c r="U1269" s="62"/>
      <c r="V1269" s="62"/>
      <c r="W1269" s="61"/>
      <c r="X1269" s="62"/>
      <c r="Y1269" s="62"/>
      <c r="Z1269" s="66"/>
      <c r="AA1269" s="85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5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5"/>
      <c r="R1270" s="85"/>
      <c r="S1270" s="60"/>
      <c r="T1270" s="62"/>
      <c r="U1270" s="62"/>
      <c r="V1270" s="62"/>
      <c r="W1270" s="61"/>
      <c r="X1270" s="62"/>
      <c r="Y1270" s="62"/>
      <c r="Z1270" s="66"/>
      <c r="AA1270" s="85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5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5"/>
      <c r="P1271" s="69"/>
      <c r="Q1271" s="85"/>
      <c r="R1271" s="85"/>
      <c r="S1271" s="60"/>
      <c r="T1271" s="62"/>
      <c r="U1271" s="62"/>
      <c r="V1271" s="62"/>
      <c r="W1271" s="61"/>
      <c r="X1271" s="62"/>
      <c r="Y1271" s="62"/>
      <c r="Z1271" s="66"/>
      <c r="AA1271" s="85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5"/>
      <c r="O1272" s="85"/>
      <c r="P1272" s="85"/>
      <c r="Q1272" s="85"/>
      <c r="R1272" s="85"/>
      <c r="S1272" s="85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5"/>
      <c r="C1273" s="85"/>
      <c r="D1273" s="85"/>
      <c r="E1273" s="85"/>
      <c r="F1273" s="85"/>
      <c r="G1273" s="85"/>
      <c r="H1273" s="62"/>
      <c r="I1273" s="62"/>
      <c r="J1273" s="62"/>
      <c r="K1273" s="62"/>
      <c r="L1273" s="62"/>
      <c r="M1273" s="62"/>
      <c r="N1273" s="85"/>
      <c r="O1273" s="85"/>
      <c r="P1273" s="85"/>
      <c r="Q1273" s="85"/>
      <c r="R1273" s="85"/>
      <c r="S1273" s="85"/>
      <c r="T1273" s="62"/>
      <c r="U1273" s="62"/>
      <c r="V1273" s="62"/>
      <c r="W1273" s="62"/>
      <c r="X1273" s="62"/>
      <c r="Y1273" s="62"/>
      <c r="Z1273" s="85"/>
      <c r="AA1273" s="85"/>
      <c r="AB1273" s="85"/>
      <c r="AC1273" s="85"/>
      <c r="AD1273" s="85"/>
      <c r="AE1273" s="85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5"/>
      <c r="C1274" s="85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5"/>
      <c r="O1274" s="85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5"/>
      <c r="AA1274" s="85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5"/>
      <c r="C1276" s="85"/>
      <c r="D1276" s="85"/>
      <c r="E1276" s="85"/>
      <c r="F1276" s="85"/>
      <c r="G1276" s="85"/>
      <c r="H1276" s="62"/>
      <c r="I1276" s="62"/>
      <c r="J1276" s="62"/>
      <c r="K1276" s="62"/>
      <c r="L1276" s="62"/>
      <c r="M1276" s="62"/>
      <c r="N1276" s="85"/>
      <c r="O1276" s="85"/>
      <c r="P1276" s="85"/>
      <c r="Q1276" s="85"/>
      <c r="R1276" s="85"/>
      <c r="S1276" s="85"/>
      <c r="T1276" s="62"/>
      <c r="U1276" s="62"/>
      <c r="V1276" s="62"/>
      <c r="W1276" s="62"/>
      <c r="X1276" s="62"/>
      <c r="Y1276" s="62"/>
      <c r="Z1276" s="85"/>
      <c r="AA1276" s="85"/>
      <c r="AB1276" s="85"/>
      <c r="AC1276" s="85"/>
      <c r="AD1276" s="85"/>
      <c r="AE1276" s="85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5"/>
      <c r="C1277" s="85"/>
      <c r="D1277" s="85"/>
      <c r="E1277" s="85"/>
      <c r="F1277" s="85"/>
      <c r="G1277" s="85"/>
      <c r="H1277" s="62"/>
      <c r="I1277" s="62"/>
      <c r="J1277" s="62"/>
      <c r="K1277" s="62"/>
      <c r="L1277" s="62"/>
      <c r="M1277" s="62"/>
      <c r="N1277" s="85"/>
      <c r="O1277" s="85"/>
      <c r="P1277" s="85"/>
      <c r="Q1277" s="85"/>
      <c r="R1277" s="85"/>
      <c r="S1277" s="85"/>
      <c r="T1277" s="62"/>
      <c r="U1277" s="62"/>
      <c r="V1277" s="62"/>
      <c r="W1277" s="62"/>
      <c r="X1277" s="62"/>
      <c r="Y1277" s="62"/>
      <c r="Z1277" s="85"/>
      <c r="AA1277" s="85"/>
      <c r="AB1277" s="85"/>
      <c r="AC1277" s="85"/>
      <c r="AD1277" s="85"/>
      <c r="AE1277" s="85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5"/>
      <c r="C1278" s="85"/>
      <c r="D1278" s="85"/>
      <c r="E1278" s="85"/>
      <c r="F1278" s="85"/>
      <c r="G1278" s="85"/>
      <c r="H1278" s="62"/>
      <c r="I1278" s="62"/>
      <c r="J1278" s="62"/>
      <c r="K1278" s="62"/>
      <c r="L1278" s="62"/>
      <c r="M1278" s="63"/>
      <c r="N1278" s="85"/>
      <c r="O1278" s="85"/>
      <c r="P1278" s="85"/>
      <c r="Q1278" s="85"/>
      <c r="R1278" s="85"/>
      <c r="S1278" s="85"/>
      <c r="T1278" s="62"/>
      <c r="U1278" s="62"/>
      <c r="V1278" s="62"/>
      <c r="W1278" s="62"/>
      <c r="X1278" s="62"/>
      <c r="Y1278" s="63"/>
      <c r="Z1278" s="85"/>
      <c r="AA1278" s="85"/>
      <c r="AB1278" s="85"/>
      <c r="AC1278" s="85"/>
      <c r="AD1278" s="85"/>
      <c r="AE1278" s="85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5"/>
      <c r="C1279" s="85"/>
      <c r="D1279" s="85"/>
      <c r="E1279" s="85"/>
      <c r="F1279" s="85"/>
      <c r="G1279" s="85"/>
      <c r="H1279" s="62"/>
      <c r="I1279" s="62"/>
      <c r="J1279" s="62"/>
      <c r="K1279" s="62"/>
      <c r="L1279" s="62"/>
      <c r="M1279" s="62"/>
      <c r="N1279" s="85"/>
      <c r="O1279" s="85"/>
      <c r="P1279" s="85"/>
      <c r="Q1279" s="85"/>
      <c r="R1279" s="85"/>
      <c r="S1279" s="85"/>
      <c r="T1279" s="62"/>
      <c r="U1279" s="62"/>
      <c r="V1279" s="62"/>
      <c r="W1279" s="62"/>
      <c r="X1279" s="62"/>
      <c r="Y1279" s="62"/>
      <c r="Z1279" s="85"/>
      <c r="AA1279" s="85"/>
      <c r="AB1279" s="85"/>
      <c r="AC1279" s="85"/>
      <c r="AD1279" s="85"/>
      <c r="AE1279" s="85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5"/>
      <c r="C1280" s="85"/>
      <c r="D1280" s="85"/>
      <c r="E1280" s="85"/>
      <c r="F1280" s="85"/>
      <c r="G1280" s="85"/>
      <c r="H1280" s="62"/>
      <c r="I1280" s="85"/>
      <c r="J1280" s="73"/>
      <c r="K1280" s="62"/>
      <c r="L1280" s="62"/>
      <c r="M1280" s="62"/>
      <c r="N1280" s="85"/>
      <c r="O1280" s="85"/>
      <c r="P1280" s="85"/>
      <c r="Q1280" s="85"/>
      <c r="R1280" s="85"/>
      <c r="S1280" s="85"/>
      <c r="T1280" s="62"/>
      <c r="U1280" s="85"/>
      <c r="V1280" s="73"/>
      <c r="W1280" s="62"/>
      <c r="X1280" s="62"/>
      <c r="Y1280" s="62"/>
      <c r="Z1280" s="85"/>
      <c r="AA1280" s="85"/>
      <c r="AB1280" s="85"/>
      <c r="AC1280" s="85"/>
      <c r="AD1280" s="85"/>
      <c r="AE1280" s="85"/>
      <c r="AF1280" s="62"/>
      <c r="AG1280" s="85"/>
      <c r="AH1280" s="85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5"/>
      <c r="C1281" s="85"/>
      <c r="D1281" s="85"/>
      <c r="E1281" s="85"/>
      <c r="F1281" s="85"/>
      <c r="G1281" s="85"/>
      <c r="H1281" s="62"/>
      <c r="I1281" s="65"/>
      <c r="J1281" s="65"/>
      <c r="K1281" s="62"/>
      <c r="L1281" s="62"/>
      <c r="M1281" s="64"/>
      <c r="N1281" s="85"/>
      <c r="O1281" s="85"/>
      <c r="P1281" s="85"/>
      <c r="Q1281" s="85"/>
      <c r="R1281" s="85"/>
      <c r="S1281" s="85"/>
      <c r="T1281" s="62"/>
      <c r="U1281" s="65"/>
      <c r="V1281" s="65"/>
      <c r="W1281" s="62"/>
      <c r="X1281" s="62"/>
      <c r="Y1281" s="64"/>
      <c r="Z1281" s="85"/>
      <c r="AA1281" s="85"/>
      <c r="AB1281" s="85"/>
      <c r="AC1281" s="85"/>
      <c r="AD1281" s="85"/>
      <c r="AE1281" s="85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5"/>
      <c r="C1282" s="85"/>
      <c r="D1282" s="85"/>
      <c r="E1282" s="85"/>
      <c r="F1282" s="85"/>
      <c r="G1282" s="85"/>
      <c r="H1282" s="62"/>
      <c r="I1282" s="62"/>
      <c r="J1282" s="62"/>
      <c r="K1282" s="62"/>
      <c r="L1282" s="62"/>
      <c r="M1282" s="62"/>
      <c r="N1282" s="85"/>
      <c r="O1282" s="85"/>
      <c r="P1282" s="85"/>
      <c r="Q1282" s="85"/>
      <c r="R1282" s="85"/>
      <c r="S1282" s="85"/>
      <c r="T1282" s="62"/>
      <c r="U1282" s="62"/>
      <c r="V1282" s="62"/>
      <c r="W1282" s="62"/>
      <c r="X1282" s="62"/>
      <c r="Y1282" s="62"/>
      <c r="Z1282" s="85"/>
      <c r="AA1282" s="85"/>
      <c r="AB1282" s="85"/>
      <c r="AC1282" s="85"/>
      <c r="AD1282" s="85"/>
      <c r="AE1282" s="85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5"/>
      <c r="D1283" s="122"/>
      <c r="E1283" s="122"/>
      <c r="F1283" s="85"/>
      <c r="G1283" s="85"/>
      <c r="H1283" s="62"/>
      <c r="I1283" s="122"/>
      <c r="J1283" s="122"/>
      <c r="K1283" s="121"/>
      <c r="L1283" s="62"/>
      <c r="M1283" s="62"/>
      <c r="N1283" s="65"/>
      <c r="O1283" s="85"/>
      <c r="P1283" s="122"/>
      <c r="Q1283" s="122"/>
      <c r="R1283" s="85"/>
      <c r="S1283" s="85"/>
      <c r="T1283" s="62"/>
      <c r="U1283" s="122"/>
      <c r="V1283" s="122"/>
      <c r="W1283" s="121"/>
      <c r="X1283" s="62"/>
      <c r="Y1283" s="62"/>
      <c r="Z1283" s="65"/>
      <c r="AA1283" s="85"/>
      <c r="AB1283" s="122"/>
      <c r="AC1283" s="122"/>
      <c r="AD1283" s="85"/>
      <c r="AE1283" s="85"/>
      <c r="AF1283" s="62"/>
      <c r="AG1283" s="122"/>
      <c r="AH1283" s="122"/>
      <c r="AI1283" s="12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5"/>
      <c r="C1284" s="85"/>
      <c r="D1284" s="85"/>
      <c r="E1284" s="84"/>
      <c r="F1284" s="84"/>
      <c r="G1284" s="84"/>
      <c r="H1284" s="62"/>
      <c r="I1284" s="84"/>
      <c r="J1284" s="84"/>
      <c r="K1284" s="121"/>
      <c r="L1284" s="62"/>
      <c r="M1284" s="62"/>
      <c r="N1284" s="85"/>
      <c r="O1284" s="85"/>
      <c r="P1284" s="85"/>
      <c r="Q1284" s="84"/>
      <c r="R1284" s="84"/>
      <c r="S1284" s="84"/>
      <c r="T1284" s="62"/>
      <c r="U1284" s="84"/>
      <c r="V1284" s="84"/>
      <c r="W1284" s="121"/>
      <c r="X1284" s="62"/>
      <c r="Y1284" s="62"/>
      <c r="Z1284" s="85"/>
      <c r="AA1284" s="85"/>
      <c r="AB1284" s="85"/>
      <c r="AC1284" s="84"/>
      <c r="AD1284" s="84"/>
      <c r="AE1284" s="84"/>
      <c r="AF1284" s="62"/>
      <c r="AG1284" s="84"/>
      <c r="AH1284" s="84"/>
      <c r="AI1284" s="12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5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5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5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5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5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5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5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5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5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5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5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5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5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5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5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5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5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5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5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5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5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5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5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5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5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5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5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5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5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5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5"/>
      <c r="D1295" s="85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5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5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5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5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5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5"/>
      <c r="D1298" s="60"/>
      <c r="E1298" s="85"/>
      <c r="F1298" s="85"/>
      <c r="G1298" s="60"/>
      <c r="H1298" s="61"/>
      <c r="I1298" s="61"/>
      <c r="J1298" s="62"/>
      <c r="K1298" s="61"/>
      <c r="L1298" s="62"/>
      <c r="M1298" s="62"/>
      <c r="N1298" s="66"/>
      <c r="O1298" s="85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5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5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5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5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5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5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5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5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5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5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5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5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5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5"/>
      <c r="D1304" s="85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5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5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5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5"/>
      <c r="P1305" s="67"/>
      <c r="Q1305" s="85"/>
      <c r="R1305" s="85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5"/>
      <c r="AD1305" s="85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5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5"/>
      <c r="P1306" s="68"/>
      <c r="Q1306" s="85"/>
      <c r="R1306" s="85"/>
      <c r="S1306" s="60"/>
      <c r="T1306" s="62"/>
      <c r="U1306" s="62"/>
      <c r="V1306" s="62"/>
      <c r="W1306" s="61"/>
      <c r="X1306" s="62"/>
      <c r="Y1306" s="62"/>
      <c r="Z1306" s="66"/>
      <c r="AA1306" s="85"/>
      <c r="AB1306" s="68"/>
      <c r="AC1306" s="85"/>
      <c r="AD1306" s="85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5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5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5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5"/>
      <c r="P1308" s="69"/>
      <c r="Q1308" s="85"/>
      <c r="R1308" s="85"/>
      <c r="S1308" s="60"/>
      <c r="T1308" s="62"/>
      <c r="U1308" s="62"/>
      <c r="V1308" s="62"/>
      <c r="W1308" s="61"/>
      <c r="X1308" s="62"/>
      <c r="Y1308" s="62"/>
      <c r="Z1308" s="66"/>
      <c r="AA1308" s="85"/>
      <c r="AB1308" s="69"/>
      <c r="AC1308" s="85"/>
      <c r="AD1308" s="85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5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5"/>
      <c r="P1309" s="69"/>
      <c r="Q1309" s="85"/>
      <c r="R1309" s="85"/>
      <c r="S1309" s="60"/>
      <c r="T1309" s="62"/>
      <c r="U1309" s="62"/>
      <c r="V1309" s="62"/>
      <c r="W1309" s="61"/>
      <c r="X1309" s="62"/>
      <c r="Y1309" s="62"/>
      <c r="Z1309" s="66"/>
      <c r="AA1309" s="85"/>
      <c r="AB1309" s="69"/>
      <c r="AC1309" s="85"/>
      <c r="AD1309" s="85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5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5"/>
      <c r="P1310" s="69"/>
      <c r="Q1310" s="85"/>
      <c r="R1310" s="85"/>
      <c r="S1310" s="60"/>
      <c r="T1310" s="62"/>
      <c r="U1310" s="62"/>
      <c r="V1310" s="62"/>
      <c r="W1310" s="61"/>
      <c r="X1310" s="62"/>
      <c r="Y1310" s="62"/>
      <c r="Z1310" s="66"/>
      <c r="AA1310" s="85"/>
      <c r="AB1310" s="69"/>
      <c r="AC1310" s="85"/>
      <c r="AD1310" s="85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5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5"/>
      <c r="P1311" s="69"/>
      <c r="Q1311" s="85"/>
      <c r="R1311" s="85"/>
      <c r="S1311" s="60"/>
      <c r="T1311" s="62"/>
      <c r="U1311" s="62"/>
      <c r="V1311" s="62"/>
      <c r="W1311" s="61"/>
      <c r="X1311" s="62"/>
      <c r="Y1311" s="62"/>
      <c r="Z1311" s="66"/>
      <c r="AA1311" s="85"/>
      <c r="AB1311" s="69"/>
      <c r="AC1311" s="85"/>
      <c r="AD1311" s="85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5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5"/>
      <c r="P1312" s="69"/>
      <c r="Q1312" s="85"/>
      <c r="R1312" s="85"/>
      <c r="S1312" s="60"/>
      <c r="T1312" s="62"/>
      <c r="U1312" s="62"/>
      <c r="V1312" s="62"/>
      <c r="W1312" s="61"/>
      <c r="X1312" s="62"/>
      <c r="Y1312" s="62"/>
      <c r="Z1312" s="66"/>
      <c r="AA1312" s="85"/>
      <c r="AB1312" s="69"/>
      <c r="AC1312" s="85"/>
      <c r="AD1312" s="85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5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5"/>
      <c r="P1313" s="69"/>
      <c r="Q1313" s="85"/>
      <c r="R1313" s="85"/>
      <c r="S1313" s="60"/>
      <c r="T1313" s="62"/>
      <c r="U1313" s="62"/>
      <c r="V1313" s="62"/>
      <c r="W1313" s="61"/>
      <c r="X1313" s="62"/>
      <c r="Y1313" s="62"/>
      <c r="Z1313" s="66"/>
      <c r="AA1313" s="85"/>
      <c r="AB1313" s="69"/>
      <c r="AC1313" s="85"/>
      <c r="AD1313" s="85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5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5"/>
      <c r="P1314" s="69"/>
      <c r="Q1314" s="85"/>
      <c r="R1314" s="85"/>
      <c r="S1314" s="60"/>
      <c r="T1314" s="62"/>
      <c r="U1314" s="62"/>
      <c r="V1314" s="62"/>
      <c r="W1314" s="61"/>
      <c r="X1314" s="62"/>
      <c r="Y1314" s="62"/>
      <c r="Z1314" s="66"/>
      <c r="AA1314" s="85"/>
      <c r="AB1314" s="69"/>
      <c r="AC1314" s="85"/>
      <c r="AD1314" s="85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5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5"/>
      <c r="P1315" s="69"/>
      <c r="Q1315" s="85"/>
      <c r="R1315" s="85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5"/>
      <c r="AD1315" s="85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5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5"/>
      <c r="P1316" s="69"/>
      <c r="Q1316" s="85"/>
      <c r="R1316" s="85"/>
      <c r="S1316" s="60"/>
      <c r="T1316" s="62"/>
      <c r="U1316" s="62"/>
      <c r="V1316" s="62"/>
      <c r="W1316" s="61"/>
      <c r="X1316" s="62"/>
      <c r="Y1316" s="62"/>
      <c r="Z1316" s="66"/>
      <c r="AA1316" s="85"/>
      <c r="AB1316" s="69"/>
      <c r="AC1316" s="85"/>
      <c r="AD1316" s="85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5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5"/>
      <c r="P1317" s="69"/>
      <c r="Q1317" s="85"/>
      <c r="R1317" s="85"/>
      <c r="S1317" s="60"/>
      <c r="T1317" s="62"/>
      <c r="U1317" s="62"/>
      <c r="V1317" s="62"/>
      <c r="W1317" s="61"/>
      <c r="X1317" s="62"/>
      <c r="Y1317" s="62"/>
      <c r="Z1317" s="66"/>
      <c r="AA1317" s="85"/>
      <c r="AB1317" s="69"/>
      <c r="AC1317" s="85"/>
      <c r="AD1317" s="85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5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5"/>
      <c r="P1318" s="69"/>
      <c r="Q1318" s="85"/>
      <c r="R1318" s="85"/>
      <c r="S1318" s="60"/>
      <c r="T1318" s="62"/>
      <c r="U1318" s="62"/>
      <c r="V1318" s="62"/>
      <c r="W1318" s="61"/>
      <c r="X1318" s="62"/>
      <c r="Y1318" s="62"/>
      <c r="Z1318" s="66"/>
      <c r="AA1318" s="85"/>
      <c r="AB1318" s="69"/>
      <c r="AC1318" s="85"/>
      <c r="AD1318" s="85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5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5"/>
      <c r="P1319" s="69"/>
      <c r="Q1319" s="85"/>
      <c r="R1319" s="85"/>
      <c r="S1319" s="60"/>
      <c r="T1319" s="62"/>
      <c r="U1319" s="62"/>
      <c r="V1319" s="62"/>
      <c r="W1319" s="61"/>
      <c r="X1319" s="62"/>
      <c r="Y1319" s="62"/>
      <c r="Z1319" s="66"/>
      <c r="AA1319" s="85"/>
      <c r="AB1319" s="69"/>
      <c r="AC1319" s="85"/>
      <c r="AD1319" s="85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5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5"/>
      <c r="P1320" s="69"/>
      <c r="Q1320" s="85"/>
      <c r="R1320" s="85"/>
      <c r="S1320" s="60"/>
      <c r="T1320" s="62"/>
      <c r="U1320" s="62"/>
      <c r="V1320" s="62"/>
      <c r="W1320" s="61"/>
      <c r="X1320" s="62"/>
      <c r="Y1320" s="62"/>
      <c r="Z1320" s="66"/>
      <c r="AA1320" s="85"/>
      <c r="AB1320" s="69"/>
      <c r="AC1320" s="85"/>
      <c r="AD1320" s="85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5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5"/>
      <c r="R1321" s="85"/>
      <c r="S1321" s="60"/>
      <c r="T1321" s="62"/>
      <c r="U1321" s="62"/>
      <c r="V1321" s="62"/>
      <c r="W1321" s="61"/>
      <c r="X1321" s="62"/>
      <c r="Y1321" s="62"/>
      <c r="Z1321" s="66"/>
      <c r="AA1321" s="85"/>
      <c r="AB1321" s="69"/>
      <c r="AC1321" s="85"/>
      <c r="AD1321" s="85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5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5"/>
      <c r="P1322" s="69"/>
      <c r="Q1322" s="85"/>
      <c r="R1322" s="85"/>
      <c r="S1322" s="60"/>
      <c r="T1322" s="62"/>
      <c r="U1322" s="62"/>
      <c r="V1322" s="62"/>
      <c r="W1322" s="61"/>
      <c r="X1322" s="62"/>
      <c r="Y1322" s="62"/>
      <c r="Z1322" s="66"/>
      <c r="AA1322" s="85"/>
      <c r="AB1322" s="69"/>
      <c r="AC1322" s="85"/>
      <c r="AD1322" s="85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5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5"/>
      <c r="P1323" s="69"/>
      <c r="Q1323" s="85"/>
      <c r="R1323" s="85"/>
      <c r="S1323" s="60"/>
      <c r="T1323" s="62"/>
      <c r="U1323" s="62"/>
      <c r="V1323" s="62"/>
      <c r="W1323" s="61"/>
      <c r="X1323" s="62"/>
      <c r="Y1323" s="62"/>
      <c r="Z1323" s="66"/>
      <c r="AA1323" s="85"/>
      <c r="AB1323" s="69"/>
      <c r="AC1323" s="85"/>
      <c r="AD1323" s="85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5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5"/>
      <c r="R1324" s="85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5"/>
      <c r="AD1324" s="85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5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5"/>
      <c r="P1325" s="69"/>
      <c r="Q1325" s="85"/>
      <c r="R1325" s="85"/>
      <c r="S1325" s="60"/>
      <c r="T1325" s="62"/>
      <c r="U1325" s="62"/>
      <c r="V1325" s="62"/>
      <c r="W1325" s="61"/>
      <c r="X1325" s="62"/>
      <c r="Y1325" s="62"/>
      <c r="Z1325" s="66"/>
      <c r="AA1325" s="85"/>
      <c r="AB1325" s="69"/>
      <c r="AC1325" s="85"/>
      <c r="AD1325" s="85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5"/>
      <c r="O1326" s="85"/>
      <c r="P1326" s="85"/>
      <c r="Q1326" s="85"/>
      <c r="R1326" s="85"/>
      <c r="S1326" s="85"/>
      <c r="T1326" s="62"/>
      <c r="U1326" s="62"/>
      <c r="V1326" s="62"/>
      <c r="W1326" s="61"/>
      <c r="X1326" s="62"/>
      <c r="Y1326" s="62"/>
      <c r="Z1326" s="85"/>
      <c r="AA1326" s="85"/>
      <c r="AB1326" s="85"/>
      <c r="AC1326" s="85"/>
      <c r="AD1326" s="85"/>
      <c r="AE1326" s="85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5"/>
      <c r="C1327" s="85"/>
      <c r="D1327" s="85"/>
      <c r="E1327" s="85"/>
      <c r="F1327" s="85"/>
      <c r="G1327" s="85"/>
      <c r="H1327" s="62"/>
      <c r="I1327" s="62"/>
      <c r="J1327" s="62"/>
      <c r="K1327" s="62"/>
      <c r="L1327" s="62"/>
      <c r="M1327" s="62"/>
      <c r="N1327" s="85"/>
      <c r="O1327" s="85"/>
      <c r="P1327" s="85"/>
      <c r="Q1327" s="85"/>
      <c r="R1327" s="85"/>
      <c r="S1327" s="85"/>
      <c r="T1327" s="62"/>
      <c r="U1327" s="62"/>
      <c r="V1327" s="62"/>
      <c r="W1327" s="62"/>
      <c r="X1327" s="62"/>
      <c r="Y1327" s="62"/>
      <c r="Z1327" s="85"/>
      <c r="AA1327" s="85"/>
      <c r="AB1327" s="85"/>
      <c r="AC1327" s="85"/>
      <c r="AD1327" s="85"/>
      <c r="AE1327" s="85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5"/>
      <c r="O1328" s="85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5"/>
      <c r="AA1328" s="85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5"/>
      <c r="C1556" s="85"/>
      <c r="D1556" s="85"/>
      <c r="E1556" s="85"/>
      <c r="F1556" s="85"/>
      <c r="G1556" s="85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5"/>
      <c r="C1557" s="85"/>
      <c r="D1557" s="85"/>
      <c r="E1557" s="85"/>
      <c r="F1557" s="85"/>
      <c r="G1557" s="85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5"/>
      <c r="C1558" s="85"/>
      <c r="D1558" s="85"/>
      <c r="E1558" s="85"/>
      <c r="F1558" s="85"/>
      <c r="G1558" s="85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2026-03-31T01:11:48Z</dcterms:modified>
</cp:coreProperties>
</file>