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23CA245-8DB0-4C7F-8ACF-596C1EC1ECAB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231" i="2" l="1"/>
  <c r="S1231" i="2" s="1"/>
  <c r="W1231" i="2" s="1"/>
  <c r="P1230" i="2"/>
  <c r="S1230" i="2" s="1"/>
  <c r="W1230" i="2" s="1"/>
  <c r="P1229" i="2"/>
  <c r="P1228" i="2"/>
  <c r="P1227" i="2"/>
  <c r="S1227" i="2" s="1"/>
  <c r="W1227" i="2" s="1"/>
  <c r="U1226" i="2"/>
  <c r="P1226" i="2"/>
  <c r="S1226" i="2" s="1"/>
  <c r="W1226" i="2" s="1"/>
  <c r="Q1225" i="2"/>
  <c r="P1225" i="2"/>
  <c r="P1224" i="2"/>
  <c r="S1224" i="2" s="1"/>
  <c r="W1224" i="2" s="1"/>
  <c r="V1223" i="2"/>
  <c r="V1265" i="2" s="1"/>
  <c r="P1223" i="2"/>
  <c r="S1223" i="2" s="1"/>
  <c r="P1222" i="2"/>
  <c r="S1222" i="2" s="1"/>
  <c r="R1265" i="2"/>
  <c r="W1263" i="2"/>
  <c r="S1262" i="2"/>
  <c r="W1262" i="2" s="1"/>
  <c r="W1261" i="2"/>
  <c r="S1260" i="2"/>
  <c r="W1260" i="2" s="1"/>
  <c r="S1259" i="2"/>
  <c r="W1259" i="2" s="1"/>
  <c r="W1258" i="2"/>
  <c r="S1258" i="2"/>
  <c r="S1257" i="2"/>
  <c r="W1257" i="2" s="1"/>
  <c r="S1256" i="2"/>
  <c r="W1256" i="2" s="1"/>
  <c r="W1255" i="2"/>
  <c r="S1255" i="2"/>
  <c r="S1254" i="2"/>
  <c r="W1254" i="2" s="1"/>
  <c r="S1253" i="2"/>
  <c r="W1253" i="2" s="1"/>
  <c r="S1252" i="2"/>
  <c r="W1252" i="2" s="1"/>
  <c r="S1251" i="2"/>
  <c r="W1251" i="2" s="1"/>
  <c r="W1250" i="2"/>
  <c r="S1250" i="2"/>
  <c r="S1249" i="2"/>
  <c r="W1249" i="2" s="1"/>
  <c r="S1248" i="2"/>
  <c r="W1248" i="2" s="1"/>
  <c r="W1247" i="2"/>
  <c r="S1247" i="2"/>
  <c r="S1246" i="2"/>
  <c r="W1246" i="2" s="1"/>
  <c r="S1245" i="2"/>
  <c r="W1245" i="2" s="1"/>
  <c r="S1244" i="2"/>
  <c r="W1244" i="2" s="1"/>
  <c r="S1243" i="2"/>
  <c r="W1243" i="2" s="1"/>
  <c r="W1242" i="2"/>
  <c r="S1242" i="2"/>
  <c r="S1241" i="2"/>
  <c r="W1241" i="2" s="1"/>
  <c r="S1240" i="2"/>
  <c r="W1240" i="2" s="1"/>
  <c r="S1239" i="2"/>
  <c r="W1239" i="2" s="1"/>
  <c r="S1238" i="2"/>
  <c r="W1238" i="2" s="1"/>
  <c r="S1237" i="2"/>
  <c r="W1237" i="2" s="1"/>
  <c r="S1236" i="2"/>
  <c r="W1236" i="2" s="1"/>
  <c r="S1235" i="2"/>
  <c r="W1235" i="2" s="1"/>
  <c r="S1234" i="2"/>
  <c r="W1234" i="2" s="1"/>
  <c r="S1233" i="2"/>
  <c r="W1233" i="2" s="1"/>
  <c r="S1232" i="2"/>
  <c r="W1232" i="2" s="1"/>
  <c r="S1229" i="2"/>
  <c r="W1229" i="2" s="1"/>
  <c r="S1228" i="2"/>
  <c r="W1228" i="2" s="1"/>
  <c r="S1225" i="2"/>
  <c r="W1225" i="2" s="1"/>
  <c r="O1223" i="2"/>
  <c r="O1224" i="2" s="1"/>
  <c r="O1225" i="2" s="1"/>
  <c r="O1226" i="2" s="1"/>
  <c r="O1227" i="2" s="1"/>
  <c r="O1228" i="2" s="1"/>
  <c r="O1229" i="2" s="1"/>
  <c r="O1230" i="2" s="1"/>
  <c r="O1231" i="2" s="1"/>
  <c r="U1265" i="2"/>
  <c r="Q1265" i="2"/>
  <c r="D1224" i="2"/>
  <c r="G1224" i="2" s="1"/>
  <c r="K1224" i="2" s="1"/>
  <c r="E1223" i="2"/>
  <c r="D1223" i="2"/>
  <c r="G1223" i="2" s="1"/>
  <c r="E1222" i="2"/>
  <c r="G1222" i="2" s="1"/>
  <c r="J1222" i="2"/>
  <c r="J1265" i="2"/>
  <c r="D1222" i="2"/>
  <c r="C1223" i="2"/>
  <c r="C1224" i="2" s="1"/>
  <c r="G1225" i="2"/>
  <c r="K1225" i="2" s="1"/>
  <c r="G1226" i="2"/>
  <c r="K1226" i="2"/>
  <c r="G1227" i="2"/>
  <c r="K1227" i="2" s="1"/>
  <c r="G1228" i="2"/>
  <c r="K1228" i="2"/>
  <c r="G1229" i="2"/>
  <c r="K1229" i="2"/>
  <c r="G1230" i="2"/>
  <c r="K1230" i="2"/>
  <c r="G1231" i="2"/>
  <c r="K1231" i="2" s="1"/>
  <c r="G1232" i="2"/>
  <c r="K1232" i="2"/>
  <c r="G1233" i="2"/>
  <c r="K1233" i="2" s="1"/>
  <c r="G1234" i="2"/>
  <c r="K1234" i="2"/>
  <c r="G1235" i="2"/>
  <c r="K1235" i="2"/>
  <c r="G1236" i="2"/>
  <c r="K1236" i="2"/>
  <c r="G1237" i="2"/>
  <c r="K1237" i="2"/>
  <c r="G1238" i="2"/>
  <c r="K1238" i="2"/>
  <c r="G1239" i="2"/>
  <c r="K1239" i="2" s="1"/>
  <c r="G1240" i="2"/>
  <c r="K1240" i="2"/>
  <c r="G1241" i="2"/>
  <c r="K1241" i="2" s="1"/>
  <c r="G1242" i="2"/>
  <c r="K1242" i="2"/>
  <c r="G1243" i="2"/>
  <c r="K1243" i="2"/>
  <c r="G1244" i="2"/>
  <c r="K1244" i="2"/>
  <c r="G1245" i="2"/>
  <c r="K1245" i="2"/>
  <c r="G1246" i="2"/>
  <c r="K1246" i="2"/>
  <c r="G1247" i="2"/>
  <c r="K1247" i="2" s="1"/>
  <c r="G1248" i="2"/>
  <c r="K1248" i="2"/>
  <c r="G1249" i="2"/>
  <c r="K1249" i="2" s="1"/>
  <c r="G1250" i="2"/>
  <c r="K1250" i="2"/>
  <c r="G1251" i="2"/>
  <c r="K1251" i="2"/>
  <c r="G1252" i="2"/>
  <c r="K1252" i="2"/>
  <c r="G1253" i="2"/>
  <c r="K1253" i="2"/>
  <c r="G1254" i="2"/>
  <c r="K1254" i="2"/>
  <c r="G1255" i="2"/>
  <c r="K1255" i="2" s="1"/>
  <c r="G1262" i="2"/>
  <c r="K1262" i="2"/>
  <c r="F1265" i="2"/>
  <c r="I1265" i="2"/>
  <c r="W1223" i="2" l="1"/>
  <c r="S1265" i="2"/>
  <c r="W1222" i="2"/>
  <c r="P1265" i="2"/>
  <c r="E1265" i="2"/>
  <c r="K1223" i="2"/>
  <c r="K1222" i="2"/>
  <c r="G1265" i="2"/>
  <c r="D1265" i="2"/>
  <c r="AB1174" i="2"/>
  <c r="AE1174" i="2" s="1"/>
  <c r="AI1174" i="2" s="1"/>
  <c r="AB1173" i="2"/>
  <c r="AB1172" i="2"/>
  <c r="AG1172" i="2"/>
  <c r="AC1172" i="2"/>
  <c r="AE1172" i="2"/>
  <c r="AI1172" i="2" s="1"/>
  <c r="AG1171" i="2"/>
  <c r="AG1210" i="2" s="1"/>
  <c r="AB1171" i="2"/>
  <c r="AB1170" i="2"/>
  <c r="AB1169" i="2"/>
  <c r="AE1169" i="2" s="1"/>
  <c r="AI1169" i="2" s="1"/>
  <c r="AC1168" i="2"/>
  <c r="AE1168" i="2" s="1"/>
  <c r="AB1168" i="2"/>
  <c r="AC1167" i="2"/>
  <c r="AB1167" i="2"/>
  <c r="AE1167" i="2" s="1"/>
  <c r="AI1167" i="2" s="1"/>
  <c r="AA1170" i="2"/>
  <c r="AA1171" i="2" s="1"/>
  <c r="AA1172" i="2" s="1"/>
  <c r="AA1173" i="2" s="1"/>
  <c r="AA1174" i="2" s="1"/>
  <c r="AE1170" i="2"/>
  <c r="AI1170" i="2" s="1"/>
  <c r="AE1171" i="2"/>
  <c r="AI1171" i="2" s="1"/>
  <c r="AE1173" i="2"/>
  <c r="AI1173" i="2"/>
  <c r="AE1175" i="2"/>
  <c r="AI1175" i="2" s="1"/>
  <c r="AE1176" i="2"/>
  <c r="AI1176" i="2" s="1"/>
  <c r="AE1177" i="2"/>
  <c r="AI1177" i="2"/>
  <c r="AE1178" i="2"/>
  <c r="AI1178" i="2" s="1"/>
  <c r="AE1179" i="2"/>
  <c r="AI1179" i="2"/>
  <c r="AE1180" i="2"/>
  <c r="AI1180" i="2"/>
  <c r="AE1181" i="2"/>
  <c r="AI1181" i="2" s="1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 s="1"/>
  <c r="AE1188" i="2"/>
  <c r="AI1188" i="2"/>
  <c r="AE1189" i="2"/>
  <c r="AI1189" i="2" s="1"/>
  <c r="AE1190" i="2"/>
  <c r="AI1190" i="2" s="1"/>
  <c r="AE1191" i="2"/>
  <c r="AI1191" i="2" s="1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 s="1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 s="1"/>
  <c r="AE1204" i="2"/>
  <c r="AI1204" i="2"/>
  <c r="AE1205" i="2"/>
  <c r="AI1205" i="2" s="1"/>
  <c r="AI1206" i="2"/>
  <c r="AE1207" i="2"/>
  <c r="AI1207" i="2" s="1"/>
  <c r="AI1208" i="2"/>
  <c r="AD1210" i="2"/>
  <c r="AH1210" i="2"/>
  <c r="E1172" i="2"/>
  <c r="D1172" i="2"/>
  <c r="D1171" i="2"/>
  <c r="G1171" i="2" s="1"/>
  <c r="K1171" i="2" s="1"/>
  <c r="J1170" i="2"/>
  <c r="J1210" i="2" s="1"/>
  <c r="D1170" i="2"/>
  <c r="G1170" i="2" s="1"/>
  <c r="E1169" i="2"/>
  <c r="D1169" i="2"/>
  <c r="E1168" i="2"/>
  <c r="D1168" i="2"/>
  <c r="D1167" i="2"/>
  <c r="G1167" i="2"/>
  <c r="C1168" i="2"/>
  <c r="C1169" i="2" s="1"/>
  <c r="C1170" i="2" s="1"/>
  <c r="C1171" i="2" s="1"/>
  <c r="C1172" i="2" s="1"/>
  <c r="I1210" i="2"/>
  <c r="G1173" i="2"/>
  <c r="K1173" i="2" s="1"/>
  <c r="G1174" i="2"/>
  <c r="K1174" i="2" s="1"/>
  <c r="G1175" i="2"/>
  <c r="K1175" i="2" s="1"/>
  <c r="G1176" i="2"/>
  <c r="K1176" i="2" s="1"/>
  <c r="G1177" i="2"/>
  <c r="K1177" i="2" s="1"/>
  <c r="G1178" i="2"/>
  <c r="K1178" i="2" s="1"/>
  <c r="G1179" i="2"/>
  <c r="K1179" i="2" s="1"/>
  <c r="G1180" i="2"/>
  <c r="K1180" i="2"/>
  <c r="G1181" i="2"/>
  <c r="K1181" i="2"/>
  <c r="G1182" i="2"/>
  <c r="K1182" i="2"/>
  <c r="G1183" i="2"/>
  <c r="K1183" i="2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/>
  <c r="G1191" i="2"/>
  <c r="K1191" i="2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/>
  <c r="G1199" i="2"/>
  <c r="K1199" i="2"/>
  <c r="G1200" i="2"/>
  <c r="K1200" i="2"/>
  <c r="G1207" i="2"/>
  <c r="K1207" i="2"/>
  <c r="F1210" i="2"/>
  <c r="W1265" i="2" l="1"/>
  <c r="K1265" i="2"/>
  <c r="AC1210" i="2"/>
  <c r="AI1168" i="2"/>
  <c r="AI1210" i="2" s="1"/>
  <c r="AE1210" i="2"/>
  <c r="AB1210" i="2"/>
  <c r="E1210" i="2"/>
  <c r="G1172" i="2"/>
  <c r="K1172" i="2" s="1"/>
  <c r="D1210" i="2"/>
  <c r="G1168" i="2"/>
  <c r="K1168" i="2" s="1"/>
  <c r="K1167" i="2"/>
  <c r="G1169" i="2"/>
  <c r="K1169" i="2" s="1"/>
  <c r="K1170" i="2"/>
  <c r="AB1122" i="2"/>
  <c r="AE1122" i="2" s="1"/>
  <c r="AI1122" i="2" s="1"/>
  <c r="AB1121" i="2"/>
  <c r="AE1121" i="2" s="1"/>
  <c r="AI1121" i="2" s="1"/>
  <c r="AB1120" i="2"/>
  <c r="AB1119" i="2"/>
  <c r="AE1119" i="2" s="1"/>
  <c r="AI1119" i="2" s="1"/>
  <c r="AB1118" i="2"/>
  <c r="AE1118" i="2" s="1"/>
  <c r="AI1118" i="2" s="1"/>
  <c r="AB1117" i="2"/>
  <c r="AE1117" i="2" s="1"/>
  <c r="AI1117" i="2" s="1"/>
  <c r="AB1116" i="2"/>
  <c r="AE1116" i="2" s="1"/>
  <c r="AI1116" i="2" s="1"/>
  <c r="AC1115" i="2"/>
  <c r="AB1115" i="2"/>
  <c r="AE1115" i="2" s="1"/>
  <c r="AI1115" i="2" s="1"/>
  <c r="AG1114" i="2"/>
  <c r="AG1155" i="2" s="1"/>
  <c r="AC1114" i="2"/>
  <c r="AB1114" i="2"/>
  <c r="AE1114" i="2" s="1"/>
  <c r="AC1113" i="2"/>
  <c r="AC1155" i="2" s="1"/>
  <c r="AB1113" i="2"/>
  <c r="AB1112" i="2"/>
  <c r="AA1114" i="2"/>
  <c r="AA1115" i="2" s="1"/>
  <c r="AA1116" i="2" s="1"/>
  <c r="AA1117" i="2" s="1"/>
  <c r="AA1118" i="2" s="1"/>
  <c r="AA1119" i="2" s="1"/>
  <c r="AA1120" i="2" s="1"/>
  <c r="AA1121" i="2" s="1"/>
  <c r="AA1122" i="2" s="1"/>
  <c r="AH1155" i="2"/>
  <c r="AD1155" i="2"/>
  <c r="AI1153" i="2"/>
  <c r="AI1152" i="2"/>
  <c r="AE1152" i="2"/>
  <c r="AI1151" i="2"/>
  <c r="AE1150" i="2"/>
  <c r="AI1150" i="2" s="1"/>
  <c r="AE1149" i="2"/>
  <c r="AI1149" i="2" s="1"/>
  <c r="AE1148" i="2"/>
  <c r="AI1148" i="2" s="1"/>
  <c r="AE1147" i="2"/>
  <c r="AI1147" i="2" s="1"/>
  <c r="AI1146" i="2"/>
  <c r="AE1146" i="2"/>
  <c r="AE1145" i="2"/>
  <c r="AI1145" i="2" s="1"/>
  <c r="AE1144" i="2"/>
  <c r="AI1144" i="2" s="1"/>
  <c r="AI1143" i="2"/>
  <c r="AE1143" i="2"/>
  <c r="AE1142" i="2"/>
  <c r="AI1142" i="2" s="1"/>
  <c r="AE1141" i="2"/>
  <c r="AI1141" i="2" s="1"/>
  <c r="AE1140" i="2"/>
  <c r="AI1140" i="2" s="1"/>
  <c r="AI1139" i="2"/>
  <c r="AE1139" i="2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E1132" i="2"/>
  <c r="AI1132" i="2" s="1"/>
  <c r="AE1131" i="2"/>
  <c r="AI1131" i="2" s="1"/>
  <c r="AE1130" i="2"/>
  <c r="AI1130" i="2" s="1"/>
  <c r="AE1129" i="2"/>
  <c r="AI1129" i="2" s="1"/>
  <c r="AE1128" i="2"/>
  <c r="AI1128" i="2" s="1"/>
  <c r="AI1127" i="2"/>
  <c r="AE1127" i="2"/>
  <c r="AE1126" i="2"/>
  <c r="AI1126" i="2" s="1"/>
  <c r="AE1125" i="2"/>
  <c r="AI1125" i="2" s="1"/>
  <c r="AE1124" i="2"/>
  <c r="AI1124" i="2" s="1"/>
  <c r="AE1123" i="2"/>
  <c r="AI1123" i="2" s="1"/>
  <c r="AE1120" i="2"/>
  <c r="AI1120" i="2" s="1"/>
  <c r="AA1113" i="2"/>
  <c r="AE1112" i="2"/>
  <c r="P1118" i="2"/>
  <c r="V1118" i="2"/>
  <c r="S1118" i="2"/>
  <c r="W1118" i="2" s="1"/>
  <c r="U1117" i="2"/>
  <c r="U1155" i="2" s="1"/>
  <c r="P1117" i="2"/>
  <c r="P1116" i="2"/>
  <c r="S1116" i="2" s="1"/>
  <c r="W1116" i="2" s="1"/>
  <c r="P1115" i="2"/>
  <c r="P1114" i="2"/>
  <c r="P1113" i="2"/>
  <c r="U1112" i="2"/>
  <c r="P1112" i="2"/>
  <c r="V1112" i="2"/>
  <c r="Q1112" i="2"/>
  <c r="S1112" i="2"/>
  <c r="O1113" i="2"/>
  <c r="O1114" i="2" s="1"/>
  <c r="O1115" i="2" s="1"/>
  <c r="O1116" i="2" s="1"/>
  <c r="O1117" i="2" s="1"/>
  <c r="O1118" i="2" s="1"/>
  <c r="S1113" i="2"/>
  <c r="W1113" i="2" s="1"/>
  <c r="S1114" i="2"/>
  <c r="W1114" i="2" s="1"/>
  <c r="S1115" i="2"/>
  <c r="W1115" i="2" s="1"/>
  <c r="S1117" i="2"/>
  <c r="W1117" i="2" s="1"/>
  <c r="S1119" i="2"/>
  <c r="W1119" i="2"/>
  <c r="S1120" i="2"/>
  <c r="W1120" i="2" s="1"/>
  <c r="S1121" i="2"/>
  <c r="W1121" i="2" s="1"/>
  <c r="S1122" i="2"/>
  <c r="W1122" i="2" s="1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/>
  <c r="S1132" i="2"/>
  <c r="W1132" i="2"/>
  <c r="S1133" i="2"/>
  <c r="W1133" i="2"/>
  <c r="S1134" i="2"/>
  <c r="W1134" i="2"/>
  <c r="S1135" i="2"/>
  <c r="W1135" i="2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/>
  <c r="W1153" i="2"/>
  <c r="R1155" i="2"/>
  <c r="V1155" i="2"/>
  <c r="D1123" i="2"/>
  <c r="D1122" i="2"/>
  <c r="D1121" i="2"/>
  <c r="G1121" i="2" s="1"/>
  <c r="K1121" i="2" s="1"/>
  <c r="D1120" i="2"/>
  <c r="D1119" i="2"/>
  <c r="D1118" i="2"/>
  <c r="G1118" i="2" s="1"/>
  <c r="K1118" i="2" s="1"/>
  <c r="D1117" i="2"/>
  <c r="G1117" i="2" s="1"/>
  <c r="K1117" i="2" s="1"/>
  <c r="C1118" i="2"/>
  <c r="C1119" i="2" s="1"/>
  <c r="C1120" i="2" s="1"/>
  <c r="C1121" i="2" s="1"/>
  <c r="C1122" i="2" s="1"/>
  <c r="C1123" i="2" s="1"/>
  <c r="D1116" i="2"/>
  <c r="I1115" i="2"/>
  <c r="I1155" i="2" s="1"/>
  <c r="D1115" i="2"/>
  <c r="G1115" i="2" s="1"/>
  <c r="K1115" i="2" s="1"/>
  <c r="C1113" i="2"/>
  <c r="C1114" i="2" s="1"/>
  <c r="C1115" i="2" s="1"/>
  <c r="C1116" i="2" s="1"/>
  <c r="C1117" i="2" s="1"/>
  <c r="D1114" i="2"/>
  <c r="G1114" i="2" s="1"/>
  <c r="K1114" i="2" s="1"/>
  <c r="D1113" i="2"/>
  <c r="D1112" i="2"/>
  <c r="G1112" i="2"/>
  <c r="G1113" i="2"/>
  <c r="K1113" i="2"/>
  <c r="G1116" i="2"/>
  <c r="K1116" i="2" s="1"/>
  <c r="G1119" i="2"/>
  <c r="K1119" i="2" s="1"/>
  <c r="G1120" i="2"/>
  <c r="K1120" i="2" s="1"/>
  <c r="G1122" i="2"/>
  <c r="K1122" i="2" s="1"/>
  <c r="G1123" i="2"/>
  <c r="K1123" i="2"/>
  <c r="G1124" i="2"/>
  <c r="K1124" i="2" s="1"/>
  <c r="G1125" i="2"/>
  <c r="K1125" i="2"/>
  <c r="G1126" i="2"/>
  <c r="K1126" i="2"/>
  <c r="G1127" i="2"/>
  <c r="K1127" i="2"/>
  <c r="G1128" i="2"/>
  <c r="K1128" i="2" s="1"/>
  <c r="G1129" i="2"/>
  <c r="K1129" i="2" s="1"/>
  <c r="G1130" i="2"/>
  <c r="K1130" i="2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J1155" i="2"/>
  <c r="K1210" i="2" l="1"/>
  <c r="G1210" i="2"/>
  <c r="AI1114" i="2"/>
  <c r="AI1112" i="2"/>
  <c r="AE1113" i="2"/>
  <c r="AI1113" i="2" s="1"/>
  <c r="AB1155" i="2"/>
  <c r="P1155" i="2"/>
  <c r="Q1155" i="2"/>
  <c r="S1155" i="2"/>
  <c r="W1112" i="2"/>
  <c r="W1155" i="2" s="1"/>
  <c r="K1112" i="2"/>
  <c r="K1155" i="2" s="1"/>
  <c r="G1155" i="2"/>
  <c r="D1155" i="2"/>
  <c r="P1069" i="2"/>
  <c r="V1068" i="2"/>
  <c r="V1100" i="2" s="1"/>
  <c r="U1068" i="2"/>
  <c r="Q1068" i="2"/>
  <c r="P1068" i="2"/>
  <c r="S1068" i="2" s="1"/>
  <c r="W1068" i="2" s="1"/>
  <c r="P1067" i="2"/>
  <c r="P1066" i="2"/>
  <c r="S1066" i="2" s="1"/>
  <c r="W1066" i="2" s="1"/>
  <c r="P1065" i="2"/>
  <c r="S1065" i="2" s="1"/>
  <c r="W1065" i="2" s="1"/>
  <c r="P1064" i="2"/>
  <c r="S1064" i="2" s="1"/>
  <c r="W1064" i="2" s="1"/>
  <c r="P1063" i="2"/>
  <c r="S1063" i="2" s="1"/>
  <c r="W1063" i="2" s="1"/>
  <c r="P1062" i="2"/>
  <c r="P1061" i="2"/>
  <c r="P1060" i="2"/>
  <c r="P1059" i="2"/>
  <c r="P1058" i="2"/>
  <c r="P1057" i="2"/>
  <c r="O1059" i="2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S1057" i="2"/>
  <c r="W1057" i="2" s="1"/>
  <c r="O1058" i="2"/>
  <c r="S1058" i="2"/>
  <c r="W1058" i="2" s="1"/>
  <c r="U1100" i="2"/>
  <c r="S1059" i="2"/>
  <c r="W1059" i="2" s="1"/>
  <c r="S1061" i="2"/>
  <c r="W1061" i="2" s="1"/>
  <c r="S1062" i="2"/>
  <c r="W1062" i="2"/>
  <c r="S1067" i="2"/>
  <c r="W1067" i="2" s="1"/>
  <c r="S1069" i="2"/>
  <c r="W1069" i="2" s="1"/>
  <c r="S1070" i="2"/>
  <c r="W1070" i="2"/>
  <c r="S1071" i="2"/>
  <c r="W1071" i="2"/>
  <c r="S1072" i="2"/>
  <c r="W1072" i="2"/>
  <c r="S1073" i="2"/>
  <c r="W1073" i="2"/>
  <c r="S1074" i="2"/>
  <c r="W1074" i="2"/>
  <c r="S1075" i="2"/>
  <c r="W1075" i="2" s="1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/>
  <c r="S1083" i="2"/>
  <c r="W1083" i="2" s="1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/>
  <c r="S1091" i="2"/>
  <c r="W1091" i="2" s="1"/>
  <c r="S1092" i="2"/>
  <c r="W1092" i="2"/>
  <c r="S1093" i="2"/>
  <c r="W1093" i="2"/>
  <c r="S1094" i="2"/>
  <c r="W1094" i="2"/>
  <c r="S1095" i="2"/>
  <c r="W1095" i="2"/>
  <c r="W1096" i="2"/>
  <c r="S1097" i="2"/>
  <c r="W1097" i="2"/>
  <c r="W1098" i="2"/>
  <c r="Q1100" i="2"/>
  <c r="R1100" i="2"/>
  <c r="D1062" i="2"/>
  <c r="D1061" i="2"/>
  <c r="G1061" i="2" s="1"/>
  <c r="K1061" i="2" s="1"/>
  <c r="D1060" i="2"/>
  <c r="G1060" i="2" s="1"/>
  <c r="K1060" i="2" s="1"/>
  <c r="D1059" i="2"/>
  <c r="G1059" i="2" s="1"/>
  <c r="K1059" i="2" s="1"/>
  <c r="D1058" i="2"/>
  <c r="G1058" i="2" s="1"/>
  <c r="K1058" i="2" s="1"/>
  <c r="I1057" i="2"/>
  <c r="I1100" i="2" s="1"/>
  <c r="D1057" i="2"/>
  <c r="E1057" i="2"/>
  <c r="F1100" i="2"/>
  <c r="G1097" i="2"/>
  <c r="K1097" i="2" s="1"/>
  <c r="G1090" i="2"/>
  <c r="K1090" i="2" s="1"/>
  <c r="G1089" i="2"/>
  <c r="K1089" i="2" s="1"/>
  <c r="G1088" i="2"/>
  <c r="K1088" i="2" s="1"/>
  <c r="K1087" i="2"/>
  <c r="G1087" i="2"/>
  <c r="G1086" i="2"/>
  <c r="K1086" i="2" s="1"/>
  <c r="G1085" i="2"/>
  <c r="K1085" i="2" s="1"/>
  <c r="K1084" i="2"/>
  <c r="G1084" i="2"/>
  <c r="G1083" i="2"/>
  <c r="K1083" i="2" s="1"/>
  <c r="G1082" i="2"/>
  <c r="K1082" i="2" s="1"/>
  <c r="G1081" i="2"/>
  <c r="K1081" i="2" s="1"/>
  <c r="G1080" i="2"/>
  <c r="K1080" i="2" s="1"/>
  <c r="K1079" i="2"/>
  <c r="G1079" i="2"/>
  <c r="G1078" i="2"/>
  <c r="K1078" i="2" s="1"/>
  <c r="G1077" i="2"/>
  <c r="K1077" i="2" s="1"/>
  <c r="K1076" i="2"/>
  <c r="G1076" i="2"/>
  <c r="G1075" i="2"/>
  <c r="K1075" i="2" s="1"/>
  <c r="G1074" i="2"/>
  <c r="K1074" i="2" s="1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G1064" i="2"/>
  <c r="K1064" i="2" s="1"/>
  <c r="G1063" i="2"/>
  <c r="K1063" i="2" s="1"/>
  <c r="G1062" i="2"/>
  <c r="K1062" i="2" s="1"/>
  <c r="J1100" i="2"/>
  <c r="C1058" i="2"/>
  <c r="C1059" i="2" s="1"/>
  <c r="C1060" i="2" s="1"/>
  <c r="C1061" i="2" s="1"/>
  <c r="C1062" i="2" s="1"/>
  <c r="E1100" i="2"/>
  <c r="AI1155" i="2" l="1"/>
  <c r="AE1155" i="2"/>
  <c r="P1100" i="2"/>
  <c r="S1060" i="2"/>
  <c r="W1060" i="2" s="1"/>
  <c r="S1100" i="2"/>
  <c r="W1100" i="2"/>
  <c r="D1100" i="2"/>
  <c r="G1057" i="2"/>
  <c r="AC1007" i="2"/>
  <c r="AE1007" i="2" s="1"/>
  <c r="AI1007" i="2" s="1"/>
  <c r="AB1007" i="2"/>
  <c r="AB1006" i="2"/>
  <c r="AE1006" i="2" s="1"/>
  <c r="AI1006" i="2" s="1"/>
  <c r="AB1005" i="2"/>
  <c r="AE1005" i="2" s="1"/>
  <c r="AI1005" i="2" s="1"/>
  <c r="AB1004" i="2"/>
  <c r="AE1004" i="2" s="1"/>
  <c r="AI1004" i="2" s="1"/>
  <c r="AG1003" i="2"/>
  <c r="AG1045" i="2" s="1"/>
  <c r="AC1003" i="2"/>
  <c r="AB1003" i="2"/>
  <c r="AG1002" i="2"/>
  <c r="AB1002" i="2"/>
  <c r="AA1003" i="2"/>
  <c r="AA1005" i="2" s="1"/>
  <c r="AA1006" i="2" s="1"/>
  <c r="AA1007" i="2" s="1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 s="1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 s="1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H1045" i="2"/>
  <c r="P1006" i="2"/>
  <c r="S1006" i="2" s="1"/>
  <c r="W1006" i="2" s="1"/>
  <c r="P1005" i="2"/>
  <c r="P1004" i="2"/>
  <c r="S1004" i="2" s="1"/>
  <c r="W1004" i="2" s="1"/>
  <c r="U1003" i="2"/>
  <c r="P1003" i="2"/>
  <c r="U1002" i="2"/>
  <c r="Q1002" i="2"/>
  <c r="Q1045" i="2" s="1"/>
  <c r="P1002" i="2"/>
  <c r="O1003" i="2"/>
  <c r="O1005" i="2" s="1"/>
  <c r="O1006" i="2" s="1"/>
  <c r="S1003" i="2"/>
  <c r="S1007" i="2"/>
  <c r="W1007" i="2" s="1"/>
  <c r="S1008" i="2"/>
  <c r="W1008" i="2" s="1"/>
  <c r="V1045" i="2"/>
  <c r="S1009" i="2"/>
  <c r="W1009" i="2" s="1"/>
  <c r="S1010" i="2"/>
  <c r="W1010" i="2" s="1"/>
  <c r="S1011" i="2"/>
  <c r="W1011" i="2" s="1"/>
  <c r="S1012" i="2"/>
  <c r="W1012" i="2" s="1"/>
  <c r="S1013" i="2"/>
  <c r="W1013" i="2"/>
  <c r="S1014" i="2"/>
  <c r="W1014" i="2"/>
  <c r="S1015" i="2"/>
  <c r="W1015" i="2"/>
  <c r="S1016" i="2"/>
  <c r="W1016" i="2"/>
  <c r="S1017" i="2"/>
  <c r="W1017" i="2" s="1"/>
  <c r="S1018" i="2"/>
  <c r="W1018" i="2" s="1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 s="1"/>
  <c r="S1026" i="2"/>
  <c r="W1026" i="2" s="1"/>
  <c r="S1027" i="2"/>
  <c r="W1027" i="2" s="1"/>
  <c r="S1028" i="2"/>
  <c r="W1028" i="2" s="1"/>
  <c r="S1029" i="2"/>
  <c r="W1029" i="2"/>
  <c r="S1030" i="2"/>
  <c r="W1030" i="2"/>
  <c r="S1031" i="2"/>
  <c r="W1031" i="2"/>
  <c r="S1032" i="2"/>
  <c r="W1032" i="2"/>
  <c r="S1033" i="2"/>
  <c r="W1033" i="2" s="1"/>
  <c r="S1034" i="2"/>
  <c r="W1034" i="2" s="1"/>
  <c r="S1035" i="2"/>
  <c r="W1035" i="2" s="1"/>
  <c r="S1036" i="2"/>
  <c r="W1036" i="2" s="1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R1045" i="2"/>
  <c r="K1057" i="2" l="1"/>
  <c r="K1100" i="2" s="1"/>
  <c r="G1100" i="2"/>
  <c r="AC1045" i="2"/>
  <c r="AE1003" i="2"/>
  <c r="AI1003" i="2" s="1"/>
  <c r="AB1045" i="2"/>
  <c r="AE1002" i="2"/>
  <c r="AI1002" i="2" s="1"/>
  <c r="AE1045" i="2"/>
  <c r="P1045" i="2"/>
  <c r="W1003" i="2"/>
  <c r="U1045" i="2"/>
  <c r="S1002" i="2"/>
  <c r="W1002" i="2" s="1"/>
  <c r="S1005" i="2"/>
  <c r="W1005" i="2" s="1"/>
  <c r="AB952" i="2"/>
  <c r="AE952" i="2" s="1"/>
  <c r="AI952" i="2" s="1"/>
  <c r="AB951" i="2"/>
  <c r="AE951" i="2" s="1"/>
  <c r="AI951" i="2" s="1"/>
  <c r="AB950" i="2"/>
  <c r="AB949" i="2"/>
  <c r="AB948" i="2"/>
  <c r="AB947" i="2"/>
  <c r="AA948" i="2"/>
  <c r="AA949" i="2" s="1"/>
  <c r="AA950" i="2" s="1"/>
  <c r="AA951" i="2" s="1"/>
  <c r="AA952" i="2" s="1"/>
  <c r="AE948" i="2"/>
  <c r="AI948" i="2" s="1"/>
  <c r="AC990" i="2"/>
  <c r="AE949" i="2"/>
  <c r="AI949" i="2"/>
  <c r="AE950" i="2"/>
  <c r="AI950" i="2" s="1"/>
  <c r="AE953" i="2"/>
  <c r="AI953" i="2" s="1"/>
  <c r="AE954" i="2"/>
  <c r="AI954" i="2" s="1"/>
  <c r="AE955" i="2"/>
  <c r="AI955" i="2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 s="1"/>
  <c r="AE962" i="2"/>
  <c r="AI962" i="2"/>
  <c r="AE963" i="2"/>
  <c r="AI963" i="2"/>
  <c r="AE964" i="2"/>
  <c r="AI964" i="2" s="1"/>
  <c r="AE965" i="2"/>
  <c r="AI965" i="2" s="1"/>
  <c r="AE966" i="2"/>
  <c r="AI966" i="2"/>
  <c r="AE967" i="2"/>
  <c r="AI967" i="2"/>
  <c r="AE968" i="2"/>
  <c r="AI968" i="2" s="1"/>
  <c r="AE969" i="2"/>
  <c r="AI969" i="2" s="1"/>
  <c r="AE970" i="2"/>
  <c r="AI970" i="2"/>
  <c r="AE971" i="2"/>
  <c r="AI971" i="2"/>
  <c r="AE972" i="2"/>
  <c r="AI972" i="2" s="1"/>
  <c r="AE973" i="2"/>
  <c r="AI973" i="2" s="1"/>
  <c r="AE974" i="2"/>
  <c r="AI974" i="2"/>
  <c r="AE975" i="2"/>
  <c r="AI975" i="2"/>
  <c r="AE976" i="2"/>
  <c r="AI976" i="2" s="1"/>
  <c r="AE977" i="2"/>
  <c r="AI977" i="2" s="1"/>
  <c r="AE978" i="2"/>
  <c r="AI978" i="2"/>
  <c r="AE979" i="2"/>
  <c r="AI979" i="2"/>
  <c r="AE980" i="2"/>
  <c r="AI980" i="2" s="1"/>
  <c r="AE981" i="2"/>
  <c r="AI981" i="2" s="1"/>
  <c r="AE982" i="2"/>
  <c r="AI982" i="2"/>
  <c r="AE983" i="2"/>
  <c r="AI983" i="2"/>
  <c r="AE984" i="2"/>
  <c r="AI984" i="2" s="1"/>
  <c r="AE985" i="2"/>
  <c r="AI985" i="2" s="1"/>
  <c r="AI986" i="2"/>
  <c r="AE987" i="2"/>
  <c r="AI987" i="2" s="1"/>
  <c r="AI988" i="2"/>
  <c r="AD990" i="2"/>
  <c r="AG990" i="2"/>
  <c r="AH990" i="2"/>
  <c r="V953" i="2"/>
  <c r="V990" i="2" s="1"/>
  <c r="Q953" i="2"/>
  <c r="S953" i="2" s="1"/>
  <c r="W953" i="2" s="1"/>
  <c r="P953" i="2"/>
  <c r="U952" i="2"/>
  <c r="U990" i="2" s="1"/>
  <c r="Q952" i="2"/>
  <c r="P952" i="2"/>
  <c r="S952" i="2" s="1"/>
  <c r="W952" i="2" s="1"/>
  <c r="P951" i="2"/>
  <c r="S951" i="2" s="1"/>
  <c r="W951" i="2" s="1"/>
  <c r="P950" i="2"/>
  <c r="S950" i="2" s="1"/>
  <c r="W950" i="2" s="1"/>
  <c r="P949" i="2"/>
  <c r="P948" i="2"/>
  <c r="P947" i="2"/>
  <c r="O951" i="2"/>
  <c r="O952" i="2" s="1"/>
  <c r="O953" i="2" s="1"/>
  <c r="O948" i="2"/>
  <c r="S948" i="2"/>
  <c r="W948" i="2" s="1"/>
  <c r="O949" i="2"/>
  <c r="O950" i="2" s="1"/>
  <c r="S949" i="2"/>
  <c r="W949" i="2" s="1"/>
  <c r="S954" i="2"/>
  <c r="W954" i="2"/>
  <c r="S955" i="2"/>
  <c r="W955" i="2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 s="1"/>
  <c r="S974" i="2"/>
  <c r="W974" i="2" s="1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 s="1"/>
  <c r="S983" i="2"/>
  <c r="W983" i="2"/>
  <c r="S984" i="2"/>
  <c r="W984" i="2"/>
  <c r="S985" i="2"/>
  <c r="W985" i="2"/>
  <c r="W986" i="2"/>
  <c r="S987" i="2"/>
  <c r="W987" i="2"/>
  <c r="W988" i="2"/>
  <c r="R990" i="2"/>
  <c r="J950" i="2"/>
  <c r="J990" i="2" s="1"/>
  <c r="D950" i="2"/>
  <c r="G950" i="2" s="1"/>
  <c r="D949" i="2"/>
  <c r="G949" i="2" s="1"/>
  <c r="K949" i="2" s="1"/>
  <c r="D948" i="2"/>
  <c r="I947" i="2"/>
  <c r="E947" i="2"/>
  <c r="E990" i="2" s="1"/>
  <c r="D947" i="2"/>
  <c r="G947" i="2" s="1"/>
  <c r="K947" i="2" s="1"/>
  <c r="C948" i="2"/>
  <c r="C949" i="2" s="1"/>
  <c r="C950" i="2" s="1"/>
  <c r="G951" i="2"/>
  <c r="K951" i="2"/>
  <c r="G952" i="2"/>
  <c r="K952" i="2" s="1"/>
  <c r="G953" i="2"/>
  <c r="K953" i="2"/>
  <c r="G954" i="2"/>
  <c r="K954" i="2" s="1"/>
  <c r="G955" i="2"/>
  <c r="K955" i="2"/>
  <c r="G956" i="2"/>
  <c r="K956" i="2" s="1"/>
  <c r="G957" i="2"/>
  <c r="K957" i="2"/>
  <c r="G958" i="2"/>
  <c r="K958" i="2" s="1"/>
  <c r="G959" i="2"/>
  <c r="K959" i="2"/>
  <c r="G960" i="2"/>
  <c r="K960" i="2"/>
  <c r="G961" i="2"/>
  <c r="K961" i="2" s="1"/>
  <c r="G962" i="2"/>
  <c r="K962" i="2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 s="1"/>
  <c r="G970" i="2"/>
  <c r="K970" i="2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/>
  <c r="G987" i="2"/>
  <c r="K987" i="2"/>
  <c r="F990" i="2"/>
  <c r="I990" i="2"/>
  <c r="AI1045" i="2" l="1"/>
  <c r="W1045" i="2"/>
  <c r="S1045" i="2"/>
  <c r="AB990" i="2"/>
  <c r="AE947" i="2"/>
  <c r="AI947" i="2" s="1"/>
  <c r="AI990" i="2" s="1"/>
  <c r="Q990" i="2"/>
  <c r="P990" i="2"/>
  <c r="S947" i="2"/>
  <c r="W947" i="2" s="1"/>
  <c r="W990" i="2"/>
  <c r="S990" i="2"/>
  <c r="K950" i="2"/>
  <c r="D990" i="2"/>
  <c r="G948" i="2"/>
  <c r="K948" i="2" s="1"/>
  <c r="K990" i="2"/>
  <c r="G990" i="2"/>
  <c r="AA898" i="2"/>
  <c r="AA899" i="2" s="1"/>
  <c r="AB899" i="2"/>
  <c r="AB898" i="2"/>
  <c r="AB897" i="2"/>
  <c r="AG896" i="2"/>
  <c r="AB896" i="2"/>
  <c r="AE896" i="2" s="1"/>
  <c r="AI896" i="2" s="1"/>
  <c r="AC895" i="2"/>
  <c r="AB895" i="2"/>
  <c r="AE895" i="2" s="1"/>
  <c r="AI895" i="2" s="1"/>
  <c r="AH894" i="2"/>
  <c r="AH935" i="2" s="1"/>
  <c r="AC894" i="2"/>
  <c r="AE894" i="2" s="1"/>
  <c r="AI894" i="2" s="1"/>
  <c r="AB894" i="2"/>
  <c r="AG893" i="2"/>
  <c r="AG935" i="2" s="1"/>
  <c r="AB893" i="2"/>
  <c r="AG892" i="2"/>
  <c r="AB892" i="2"/>
  <c r="AE892" i="2" s="1"/>
  <c r="AA893" i="2"/>
  <c r="AA894" i="2" s="1"/>
  <c r="AA895" i="2" s="1"/>
  <c r="AA896" i="2" s="1"/>
  <c r="AA897" i="2" s="1"/>
  <c r="AE893" i="2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/>
  <c r="AE912" i="2"/>
  <c r="AI912" i="2"/>
  <c r="AE913" i="2"/>
  <c r="AI913" i="2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 s="1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P895" i="2"/>
  <c r="S895" i="2" s="1"/>
  <c r="W895" i="2" s="1"/>
  <c r="P894" i="2"/>
  <c r="S894" i="2" s="1"/>
  <c r="W894" i="2" s="1"/>
  <c r="P893" i="2"/>
  <c r="U892" i="2"/>
  <c r="Q892" i="2"/>
  <c r="S892" i="2" s="1"/>
  <c r="P892" i="2"/>
  <c r="O893" i="2"/>
  <c r="O894" i="2" s="1"/>
  <c r="O895" i="2" s="1"/>
  <c r="S893" i="2"/>
  <c r="W893" i="2"/>
  <c r="V935" i="2"/>
  <c r="S896" i="2"/>
  <c r="W896" i="2" s="1"/>
  <c r="S897" i="2"/>
  <c r="W897" i="2"/>
  <c r="S898" i="2"/>
  <c r="W898" i="2" s="1"/>
  <c r="S899" i="2"/>
  <c r="W899" i="2" s="1"/>
  <c r="S900" i="2"/>
  <c r="W900" i="2" s="1"/>
  <c r="S901" i="2"/>
  <c r="W901" i="2"/>
  <c r="S902" i="2"/>
  <c r="W902" i="2"/>
  <c r="S903" i="2"/>
  <c r="W903" i="2" s="1"/>
  <c r="S904" i="2"/>
  <c r="W904" i="2"/>
  <c r="S905" i="2"/>
  <c r="W905" i="2"/>
  <c r="S906" i="2"/>
  <c r="W906" i="2" s="1"/>
  <c r="S907" i="2"/>
  <c r="W907" i="2" s="1"/>
  <c r="S908" i="2"/>
  <c r="W908" i="2"/>
  <c r="S909" i="2"/>
  <c r="W909" i="2"/>
  <c r="S910" i="2"/>
  <c r="W910" i="2"/>
  <c r="S911" i="2"/>
  <c r="W911" i="2" s="1"/>
  <c r="S912" i="2"/>
  <c r="W912" i="2"/>
  <c r="S913" i="2"/>
  <c r="W913" i="2"/>
  <c r="S914" i="2"/>
  <c r="W914" i="2" s="1"/>
  <c r="S915" i="2"/>
  <c r="W915" i="2" s="1"/>
  <c r="S916" i="2"/>
  <c r="W916" i="2"/>
  <c r="S917" i="2"/>
  <c r="W917" i="2"/>
  <c r="S918" i="2"/>
  <c r="W918" i="2"/>
  <c r="S919" i="2"/>
  <c r="W919" i="2" s="1"/>
  <c r="S920" i="2"/>
  <c r="W920" i="2"/>
  <c r="S921" i="2"/>
  <c r="W921" i="2"/>
  <c r="S922" i="2"/>
  <c r="W922" i="2" s="1"/>
  <c r="S923" i="2"/>
  <c r="W923" i="2" s="1"/>
  <c r="S924" i="2"/>
  <c r="W924" i="2"/>
  <c r="S925" i="2"/>
  <c r="W925" i="2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U935" i="2"/>
  <c r="J903" i="2"/>
  <c r="J935" i="2" s="1"/>
  <c r="I903" i="2"/>
  <c r="I935" i="2" s="1"/>
  <c r="D903" i="2"/>
  <c r="D902" i="2"/>
  <c r="G902" i="2" s="1"/>
  <c r="K902" i="2" s="1"/>
  <c r="D901" i="2"/>
  <c r="D900" i="2"/>
  <c r="D899" i="2"/>
  <c r="D898" i="2"/>
  <c r="G898" i="2" s="1"/>
  <c r="K898" i="2" s="1"/>
  <c r="D897" i="2"/>
  <c r="G897" i="2" s="1"/>
  <c r="K897" i="2" s="1"/>
  <c r="D896" i="2"/>
  <c r="D895" i="2"/>
  <c r="G895" i="2" s="1"/>
  <c r="K895" i="2" s="1"/>
  <c r="I894" i="2"/>
  <c r="D894" i="2"/>
  <c r="D893" i="2"/>
  <c r="D892" i="2"/>
  <c r="C895" i="2"/>
  <c r="C896" i="2" s="1"/>
  <c r="C897" i="2" s="1"/>
  <c r="C898" i="2" s="1"/>
  <c r="C899" i="2" s="1"/>
  <c r="C900" i="2" s="1"/>
  <c r="C901" i="2" s="1"/>
  <c r="C902" i="2" s="1"/>
  <c r="C903" i="2" s="1"/>
  <c r="C893" i="2"/>
  <c r="G893" i="2"/>
  <c r="K893" i="2" s="1"/>
  <c r="C894" i="2"/>
  <c r="G894" i="2"/>
  <c r="G896" i="2"/>
  <c r="K896" i="2" s="1"/>
  <c r="G899" i="2"/>
  <c r="K899" i="2" s="1"/>
  <c r="G900" i="2"/>
  <c r="K900" i="2"/>
  <c r="G901" i="2"/>
  <c r="K901" i="2" s="1"/>
  <c r="G903" i="2"/>
  <c r="G904" i="2"/>
  <c r="K904" i="2"/>
  <c r="G905" i="2"/>
  <c r="K905" i="2"/>
  <c r="G906" i="2"/>
  <c r="K906" i="2" s="1"/>
  <c r="G907" i="2"/>
  <c r="K907" i="2" s="1"/>
  <c r="G908" i="2"/>
  <c r="K908" i="2"/>
  <c r="G909" i="2"/>
  <c r="K909" i="2"/>
  <c r="G910" i="2"/>
  <c r="K910" i="2"/>
  <c r="G911" i="2"/>
  <c r="K911" i="2" s="1"/>
  <c r="G912" i="2"/>
  <c r="K912" i="2"/>
  <c r="G913" i="2"/>
  <c r="K913" i="2"/>
  <c r="G914" i="2"/>
  <c r="K914" i="2"/>
  <c r="G915" i="2"/>
  <c r="K915" i="2" s="1"/>
  <c r="G916" i="2"/>
  <c r="K916" i="2"/>
  <c r="G917" i="2"/>
  <c r="K917" i="2"/>
  <c r="G918" i="2"/>
  <c r="K918" i="2"/>
  <c r="G919" i="2"/>
  <c r="K919" i="2" s="1"/>
  <c r="G920" i="2"/>
  <c r="K920" i="2"/>
  <c r="G921" i="2"/>
  <c r="K921" i="2"/>
  <c r="G922" i="2"/>
  <c r="K922" i="2"/>
  <c r="G923" i="2"/>
  <c r="K923" i="2" s="1"/>
  <c r="G924" i="2"/>
  <c r="K924" i="2"/>
  <c r="G925" i="2"/>
  <c r="K925" i="2"/>
  <c r="G932" i="2"/>
  <c r="K932" i="2"/>
  <c r="E935" i="2"/>
  <c r="F935" i="2"/>
  <c r="AE990" i="2" l="1"/>
  <c r="AC935" i="2"/>
  <c r="AI893" i="2"/>
  <c r="AI892" i="2"/>
  <c r="AB935" i="2"/>
  <c r="AE935" i="2"/>
  <c r="AI935" i="2"/>
  <c r="P935" i="2"/>
  <c r="W892" i="2"/>
  <c r="Q935" i="2"/>
  <c r="W935" i="2"/>
  <c r="S935" i="2"/>
  <c r="K903" i="2"/>
  <c r="D935" i="2"/>
  <c r="K894" i="2"/>
  <c r="G892" i="2"/>
  <c r="K892" i="2" s="1"/>
  <c r="AC842" i="2"/>
  <c r="AB842" i="2"/>
  <c r="AE842" i="2" s="1"/>
  <c r="AI842" i="2" s="1"/>
  <c r="AB841" i="2"/>
  <c r="AC840" i="2"/>
  <c r="AB840" i="2"/>
  <c r="AE840" i="2" s="1"/>
  <c r="AI840" i="2" s="1"/>
  <c r="AC839" i="2"/>
  <c r="AB839" i="2"/>
  <c r="AA839" i="2"/>
  <c r="AA840" i="2"/>
  <c r="AA841" i="2" s="1"/>
  <c r="AA842" i="2" s="1"/>
  <c r="AB838" i="2"/>
  <c r="AE838" i="2"/>
  <c r="AI838" i="2" s="1"/>
  <c r="AC837" i="2"/>
  <c r="AB837" i="2"/>
  <c r="AE837" i="2" s="1"/>
  <c r="AA838" i="2"/>
  <c r="AE839" i="2"/>
  <c r="AI839" i="2" s="1"/>
  <c r="AE841" i="2"/>
  <c r="AI841" i="2" s="1"/>
  <c r="AE843" i="2"/>
  <c r="AI843" i="2"/>
  <c r="AE844" i="2"/>
  <c r="AI844" i="2"/>
  <c r="AE845" i="2"/>
  <c r="AI845" i="2"/>
  <c r="AE846" i="2"/>
  <c r="AI846" i="2"/>
  <c r="AE847" i="2"/>
  <c r="AI847" i="2"/>
  <c r="AE848" i="2"/>
  <c r="AI848" i="2" s="1"/>
  <c r="AE849" i="2"/>
  <c r="AI849" i="2"/>
  <c r="AE850" i="2"/>
  <c r="AI850" i="2" s="1"/>
  <c r="AE851" i="2"/>
  <c r="AI851" i="2"/>
  <c r="AE852" i="2"/>
  <c r="AI852" i="2"/>
  <c r="AE853" i="2"/>
  <c r="AI853" i="2"/>
  <c r="AE854" i="2"/>
  <c r="AI854" i="2"/>
  <c r="AE855" i="2"/>
  <c r="AI855" i="2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/>
  <c r="AE873" i="2"/>
  <c r="AI873" i="2"/>
  <c r="AE874" i="2"/>
  <c r="AI874" i="2" s="1"/>
  <c r="AE875" i="2"/>
  <c r="AI875" i="2"/>
  <c r="AI876" i="2"/>
  <c r="AE877" i="2"/>
  <c r="AI877" i="2" s="1"/>
  <c r="AI878" i="2"/>
  <c r="AC880" i="2"/>
  <c r="AD880" i="2"/>
  <c r="AG880" i="2"/>
  <c r="AH880" i="2"/>
  <c r="P846" i="2"/>
  <c r="P845" i="2"/>
  <c r="S845" i="2" s="1"/>
  <c r="W845" i="2" s="1"/>
  <c r="P844" i="2"/>
  <c r="S844" i="2" s="1"/>
  <c r="W844" i="2" s="1"/>
  <c r="P843" i="2"/>
  <c r="P842" i="2"/>
  <c r="S842" i="2" s="1"/>
  <c r="W842" i="2" s="1"/>
  <c r="P841" i="2"/>
  <c r="V840" i="2"/>
  <c r="V880" i="2" s="1"/>
  <c r="P840" i="2"/>
  <c r="S840" i="2" s="1"/>
  <c r="W840" i="2" s="1"/>
  <c r="P839" i="2"/>
  <c r="Q838" i="2"/>
  <c r="Q880" i="2" s="1"/>
  <c r="P838" i="2"/>
  <c r="P837" i="2"/>
  <c r="S837" i="2" s="1"/>
  <c r="W837" i="2" s="1"/>
  <c r="O838" i="2"/>
  <c r="O839" i="2"/>
  <c r="O840" i="2" s="1"/>
  <c r="O841" i="2" s="1"/>
  <c r="O842" i="2" s="1"/>
  <c r="O843" i="2" s="1"/>
  <c r="O844" i="2" s="1"/>
  <c r="O845" i="2" s="1"/>
  <c r="O846" i="2" s="1"/>
  <c r="S841" i="2"/>
  <c r="W841" i="2" s="1"/>
  <c r="S843" i="2"/>
  <c r="W843" i="2" s="1"/>
  <c r="S846" i="2"/>
  <c r="W846" i="2" s="1"/>
  <c r="S847" i="2"/>
  <c r="W847" i="2" s="1"/>
  <c r="S848" i="2"/>
  <c r="W848" i="2" s="1"/>
  <c r="S849" i="2"/>
  <c r="W849" i="2" s="1"/>
  <c r="S850" i="2"/>
  <c r="W850" i="2" s="1"/>
  <c r="S851" i="2"/>
  <c r="W851" i="2" s="1"/>
  <c r="S852" i="2"/>
  <c r="W852" i="2" s="1"/>
  <c r="S853" i="2"/>
  <c r="W853" i="2"/>
  <c r="S854" i="2"/>
  <c r="W854" i="2"/>
  <c r="S855" i="2"/>
  <c r="W855" i="2" s="1"/>
  <c r="S856" i="2"/>
  <c r="W856" i="2" s="1"/>
  <c r="S857" i="2"/>
  <c r="W857" i="2" s="1"/>
  <c r="S858" i="2"/>
  <c r="W858" i="2" s="1"/>
  <c r="S859" i="2"/>
  <c r="W859" i="2" s="1"/>
  <c r="S860" i="2"/>
  <c r="W860" i="2" s="1"/>
  <c r="S861" i="2"/>
  <c r="W861" i="2"/>
  <c r="S862" i="2"/>
  <c r="W862" i="2"/>
  <c r="S863" i="2"/>
  <c r="W863" i="2" s="1"/>
  <c r="S864" i="2"/>
  <c r="W864" i="2" s="1"/>
  <c r="S865" i="2"/>
  <c r="W865" i="2" s="1"/>
  <c r="S866" i="2"/>
  <c r="W866" i="2" s="1"/>
  <c r="S867" i="2"/>
  <c r="W867" i="2" s="1"/>
  <c r="S868" i="2"/>
  <c r="W868" i="2" s="1"/>
  <c r="S869" i="2"/>
  <c r="W869" i="2"/>
  <c r="S870" i="2"/>
  <c r="W870" i="2"/>
  <c r="S871" i="2"/>
  <c r="W871" i="2" s="1"/>
  <c r="S872" i="2"/>
  <c r="W872" i="2" s="1"/>
  <c r="S873" i="2"/>
  <c r="W873" i="2" s="1"/>
  <c r="S874" i="2"/>
  <c r="W874" i="2" s="1"/>
  <c r="S875" i="2"/>
  <c r="W875" i="2" s="1"/>
  <c r="W876" i="2"/>
  <c r="S877" i="2"/>
  <c r="W877" i="2" s="1"/>
  <c r="W878" i="2"/>
  <c r="R880" i="2"/>
  <c r="U880" i="2"/>
  <c r="D843" i="2"/>
  <c r="D842" i="2"/>
  <c r="G842" i="2" s="1"/>
  <c r="K842" i="2" s="1"/>
  <c r="D841" i="2"/>
  <c r="D840" i="2"/>
  <c r="G840" i="2" s="1"/>
  <c r="K840" i="2" s="1"/>
  <c r="D839" i="2"/>
  <c r="G839" i="2" s="1"/>
  <c r="K839" i="2" s="1"/>
  <c r="D838" i="2"/>
  <c r="D837" i="2"/>
  <c r="G837" i="2"/>
  <c r="C838" i="2"/>
  <c r="C839" i="2" s="1"/>
  <c r="C841" i="2" s="1"/>
  <c r="C842" i="2" s="1"/>
  <c r="C843" i="2" s="1"/>
  <c r="G838" i="2"/>
  <c r="K838" i="2" s="1"/>
  <c r="G841" i="2"/>
  <c r="K841" i="2" s="1"/>
  <c r="G843" i="2"/>
  <c r="K843" i="2" s="1"/>
  <c r="G844" i="2"/>
  <c r="K844" i="2" s="1"/>
  <c r="G845" i="2"/>
  <c r="K845" i="2" s="1"/>
  <c r="G846" i="2"/>
  <c r="K846" i="2" s="1"/>
  <c r="G847" i="2"/>
  <c r="K847" i="2"/>
  <c r="G848" i="2"/>
  <c r="K848" i="2"/>
  <c r="G849" i="2"/>
  <c r="K849" i="2"/>
  <c r="G850" i="2"/>
  <c r="K850" i="2" s="1"/>
  <c r="G851" i="2"/>
  <c r="K851" i="2"/>
  <c r="G852" i="2"/>
  <c r="K852" i="2"/>
  <c r="G853" i="2"/>
  <c r="K853" i="2"/>
  <c r="G854" i="2"/>
  <c r="K854" i="2" s="1"/>
  <c r="G855" i="2"/>
  <c r="K855" i="2"/>
  <c r="G856" i="2"/>
  <c r="K856" i="2"/>
  <c r="G857" i="2"/>
  <c r="K857" i="2"/>
  <c r="G858" i="2"/>
  <c r="K858" i="2" s="1"/>
  <c r="G859" i="2"/>
  <c r="K859" i="2"/>
  <c r="G860" i="2"/>
  <c r="K860" i="2"/>
  <c r="G861" i="2"/>
  <c r="K861" i="2"/>
  <c r="G862" i="2"/>
  <c r="K862" i="2" s="1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 s="1"/>
  <c r="G877" i="2"/>
  <c r="K877" i="2"/>
  <c r="E880" i="2"/>
  <c r="F880" i="2"/>
  <c r="I880" i="2"/>
  <c r="J880" i="2"/>
  <c r="AB786" i="2"/>
  <c r="AB785" i="2"/>
  <c r="AE785" i="2" s="1"/>
  <c r="AI785" i="2" s="1"/>
  <c r="AC784" i="2"/>
  <c r="AB784" i="2"/>
  <c r="AC783" i="2"/>
  <c r="AB783" i="2"/>
  <c r="AH782" i="2"/>
  <c r="AH825" i="2" s="1"/>
  <c r="AC782" i="2"/>
  <c r="AB782" i="2"/>
  <c r="AE782" i="2"/>
  <c r="AA783" i="2"/>
  <c r="AA785" i="2" s="1"/>
  <c r="AA786" i="2" s="1"/>
  <c r="AE783" i="2"/>
  <c r="AE784" i="2"/>
  <c r="AI784" i="2" s="1"/>
  <c r="AE786" i="2"/>
  <c r="AI786" i="2"/>
  <c r="AE787" i="2"/>
  <c r="AI787" i="2" s="1"/>
  <c r="AE788" i="2"/>
  <c r="AI788" i="2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/>
  <c r="AE797" i="2"/>
  <c r="AI797" i="2" s="1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 s="1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 s="1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1" i="2"/>
  <c r="P790" i="2"/>
  <c r="P789" i="2"/>
  <c r="P788" i="2"/>
  <c r="S788" i="2" s="1"/>
  <c r="W788" i="2" s="1"/>
  <c r="P787" i="2"/>
  <c r="S787" i="2" s="1"/>
  <c r="W787" i="2" s="1"/>
  <c r="U786" i="2"/>
  <c r="U825" i="2" s="1"/>
  <c r="P786" i="2"/>
  <c r="S786" i="2" s="1"/>
  <c r="P785" i="2"/>
  <c r="P784" i="2"/>
  <c r="S784" i="2" s="1"/>
  <c r="W784" i="2" s="1"/>
  <c r="Q783" i="2"/>
  <c r="S783" i="2" s="1"/>
  <c r="W783" i="2" s="1"/>
  <c r="P783" i="2"/>
  <c r="P782" i="2"/>
  <c r="S782" i="2" s="1"/>
  <c r="W782" i="2" s="1"/>
  <c r="O787" i="2"/>
  <c r="O788" i="2" s="1"/>
  <c r="O789" i="2" s="1"/>
  <c r="O790" i="2" s="1"/>
  <c r="O791" i="2" s="1"/>
  <c r="O783" i="2"/>
  <c r="O784" i="2" s="1"/>
  <c r="O785" i="2" s="1"/>
  <c r="O786" i="2" s="1"/>
  <c r="S785" i="2"/>
  <c r="W785" i="2" s="1"/>
  <c r="S789" i="2"/>
  <c r="W789" i="2" s="1"/>
  <c r="S790" i="2"/>
  <c r="W790" i="2"/>
  <c r="S791" i="2"/>
  <c r="W791" i="2" s="1"/>
  <c r="S792" i="2"/>
  <c r="W792" i="2" s="1"/>
  <c r="S793" i="2"/>
  <c r="W793" i="2"/>
  <c r="S794" i="2"/>
  <c r="W794" i="2" s="1"/>
  <c r="S795" i="2"/>
  <c r="W795" i="2"/>
  <c r="S796" i="2"/>
  <c r="W796" i="2"/>
  <c r="S797" i="2"/>
  <c r="W797" i="2"/>
  <c r="S798" i="2"/>
  <c r="W798" i="2"/>
  <c r="S799" i="2"/>
  <c r="W799" i="2"/>
  <c r="S800" i="2"/>
  <c r="W800" i="2" s="1"/>
  <c r="S801" i="2"/>
  <c r="W801" i="2"/>
  <c r="S802" i="2"/>
  <c r="W802" i="2" s="1"/>
  <c r="S803" i="2"/>
  <c r="W803" i="2"/>
  <c r="S804" i="2"/>
  <c r="W804" i="2"/>
  <c r="S805" i="2"/>
  <c r="W805" i="2"/>
  <c r="S806" i="2"/>
  <c r="W806" i="2"/>
  <c r="S807" i="2"/>
  <c r="W807" i="2"/>
  <c r="S808" i="2"/>
  <c r="W808" i="2" s="1"/>
  <c r="S809" i="2"/>
  <c r="W809" i="2"/>
  <c r="S810" i="2"/>
  <c r="W810" i="2" s="1"/>
  <c r="S811" i="2"/>
  <c r="W811" i="2"/>
  <c r="S812" i="2"/>
  <c r="W812" i="2"/>
  <c r="S813" i="2"/>
  <c r="W813" i="2"/>
  <c r="S814" i="2"/>
  <c r="W814" i="2"/>
  <c r="S815" i="2"/>
  <c r="W815" i="2"/>
  <c r="S816" i="2"/>
  <c r="W816" i="2" s="1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R825" i="2"/>
  <c r="V825" i="2"/>
  <c r="I790" i="2"/>
  <c r="D790" i="2"/>
  <c r="D789" i="2"/>
  <c r="D788" i="2"/>
  <c r="D787" i="2"/>
  <c r="G787" i="2" s="1"/>
  <c r="K787" i="2" s="1"/>
  <c r="J786" i="2"/>
  <c r="J825" i="2" s="1"/>
  <c r="I786" i="2"/>
  <c r="I825" i="2" s="1"/>
  <c r="E786" i="2"/>
  <c r="E825" i="2" s="1"/>
  <c r="D786" i="2"/>
  <c r="G786" i="2" s="1"/>
  <c r="D785" i="2"/>
  <c r="D784" i="2"/>
  <c r="G784" i="2" s="1"/>
  <c r="K784" i="2" s="1"/>
  <c r="D783" i="2"/>
  <c r="D782" i="2"/>
  <c r="G782" i="2"/>
  <c r="C783" i="2"/>
  <c r="C784" i="2" s="1"/>
  <c r="C785" i="2" s="1"/>
  <c r="C786" i="2" s="1"/>
  <c r="C787" i="2" s="1"/>
  <c r="C788" i="2" s="1"/>
  <c r="C790" i="2" s="1"/>
  <c r="G783" i="2"/>
  <c r="K783" i="2" s="1"/>
  <c r="G785" i="2"/>
  <c r="K785" i="2"/>
  <c r="G788" i="2"/>
  <c r="K788" i="2" s="1"/>
  <c r="G789" i="2"/>
  <c r="K789" i="2" s="1"/>
  <c r="G790" i="2"/>
  <c r="K790" i="2"/>
  <c r="G791" i="2"/>
  <c r="K791" i="2"/>
  <c r="G792" i="2"/>
  <c r="K792" i="2" s="1"/>
  <c r="G793" i="2"/>
  <c r="K793" i="2"/>
  <c r="G794" i="2"/>
  <c r="K794" i="2" s="1"/>
  <c r="G795" i="2"/>
  <c r="K795" i="2" s="1"/>
  <c r="G796" i="2"/>
  <c r="K796" i="2"/>
  <c r="G797" i="2"/>
  <c r="K797" i="2" s="1"/>
  <c r="G798" i="2"/>
  <c r="K798" i="2"/>
  <c r="G799" i="2"/>
  <c r="K799" i="2"/>
  <c r="G800" i="2"/>
  <c r="K800" i="2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 s="1"/>
  <c r="G812" i="2"/>
  <c r="K812" i="2"/>
  <c r="G813" i="2"/>
  <c r="K813" i="2" s="1"/>
  <c r="G814" i="2"/>
  <c r="K814" i="2"/>
  <c r="G815" i="2"/>
  <c r="K815" i="2"/>
  <c r="G822" i="2"/>
  <c r="K822" i="2"/>
  <c r="F825" i="2"/>
  <c r="K935" i="2" l="1"/>
  <c r="G935" i="2"/>
  <c r="AE880" i="2"/>
  <c r="AI837" i="2"/>
  <c r="AI880" i="2" s="1"/>
  <c r="AB880" i="2"/>
  <c r="S838" i="2"/>
  <c r="W838" i="2" s="1"/>
  <c r="P880" i="2"/>
  <c r="S839" i="2"/>
  <c r="W839" i="2" s="1"/>
  <c r="W880" i="2" s="1"/>
  <c r="D880" i="2"/>
  <c r="K837" i="2"/>
  <c r="K880" i="2" s="1"/>
  <c r="G880" i="2"/>
  <c r="AC825" i="2"/>
  <c r="AI782" i="2"/>
  <c r="AI783" i="2"/>
  <c r="AI825" i="2" s="1"/>
  <c r="AE825" i="2"/>
  <c r="AB825" i="2"/>
  <c r="W786" i="2"/>
  <c r="Q825" i="2"/>
  <c r="P825" i="2"/>
  <c r="S825" i="2"/>
  <c r="W825" i="2"/>
  <c r="K786" i="2"/>
  <c r="G825" i="2"/>
  <c r="K782" i="2"/>
  <c r="D825" i="2"/>
  <c r="AB743" i="2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S880" i="2" l="1"/>
  <c r="K825" i="2"/>
  <c r="AB770" i="2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J23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D39" i="1" s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  <comment ref="F30" authorId="0" shapeId="0" xr:uid="{18543D32-ED49-4506-88E7-726EFB4D4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30" authorId="0" shapeId="0" xr:uid="{CB4D1CEC-9712-41B8-ABA4-92D50153CE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0" authorId="0" shapeId="0" xr:uid="{654D5819-85D9-41CD-A241-2FD56A08E2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3" authorId="0" shapeId="0" xr:uid="{297E6368-5456-4082-9F2A-AD7080C6A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34" authorId="0" shapeId="0" xr:uid="{D6A1D33B-E281-470D-B2B0-93700DFFEB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5" authorId="0" shapeId="0" xr:uid="{95DE54A3-FFB3-4C16-8CEC-80B027923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39" authorId="0" shapeId="0" xr:uid="{3E134C01-C908-479F-B0E3-70850872E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40" authorId="0" shapeId="0" xr:uid="{38A3324A-2EE3-46A2-BA91-342AD026AF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  <comment ref="C782" authorId="0" shapeId="0" xr:uid="{4FB7C226-2A2F-490F-8D7A-7A847346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POB, SINDANGAN</t>
        </r>
      </text>
    </comment>
    <comment ref="O782" authorId="0" shapeId="0" xr:uid="{899A0BB5-7F9A-4333-B508-4AA3C814A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82" authorId="0" shapeId="0" xr:uid="{9FC2173C-CB5A-484C-A454-1D04B0831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FF25E494-A7B0-4E72-94F3-51D79A1B75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733D21BD-B40D-4080-B4EC-A40EFB569C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83" authorId="0" shapeId="0" xr:uid="{A1E190E7-597D-41AA-BFBA-C9C023DA8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784" authorId="0" shapeId="0" xr:uid="{F29B06ED-42B1-43D7-B295-9FD86ED53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84" authorId="0" shapeId="0" xr:uid="{812CFF98-4F9C-495E-8CE0-DFB5A10417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4" authorId="0" shapeId="0" xr:uid="{A44933DC-6A0E-495B-946E-BEA297F7C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85" authorId="0" shapeId="0" xr:uid="{7734148C-0672-496B-B1C2-08EABA218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O785" authorId="0" shapeId="0" xr:uid="{E0CA7E07-7DC1-4B11-B7F8-64C21CE07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785" authorId="0" shapeId="0" xr:uid="{CD6E67A4-1585-4BD5-B80C-645227B4E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86" authorId="0" shapeId="0" xr:uid="{BA2655F5-7A44-4ECA-BF97-2BD0192A8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786" authorId="0" shapeId="0" xr:uid="{36DEDDCE-D416-4835-BD64-3290FA4D4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6" authorId="0" shapeId="0" xr:uid="{0B1F35E6-6DA3-4913-A6DE-2CAF8D37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787" authorId="0" shapeId="0" xr:uid="{92E3B391-C690-409E-B66A-00C992523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787" authorId="0" shapeId="0" xr:uid="{4657FD6C-C20C-40C1-9EF0-30016F559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C788" authorId="0" shapeId="0" xr:uid="{9370334C-0E48-4D44-A50B-A4DF052FDA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788" authorId="0" shapeId="0" xr:uid="{3D90D06D-BE12-4DB6-9070-C7374DDD4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89" authorId="0" shapeId="0" xr:uid="{03C3AFE6-27B5-4C6C-B315-9629ABC26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9" authorId="0" shapeId="0" xr:uid="{4A5C9442-1C6E-4180-B167-A368DA4A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C790" authorId="0" shapeId="0" xr:uid="{9D26518D-DF3C-4751-9E78-15973B305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</t>
        </r>
      </text>
    </comment>
    <comment ref="O790" authorId="0" shapeId="0" xr:uid="{D3CE5974-C04A-44EA-8AF3-A8345995C0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791" authorId="0" shapeId="0" xr:uid="{B5B55408-F063-4EDE-8DED-086BC4565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837" authorId="0" shapeId="0" xr:uid="{2D9A7BCA-8DED-436F-8DE7-5E4C3A02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O837" authorId="0" shapeId="0" xr:uid="{B652B568-287A-491E-A88D-E58826A0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37" authorId="0" shapeId="0" xr:uid="{18D86D9E-2064-4284-A9DD-84D062EC2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838" authorId="0" shapeId="0" xr:uid="{6C072B0C-4506-442D-B3F1-918A5AF19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838" authorId="0" shapeId="0" xr:uid="{0D95AA9D-77B7-4A3C-B47E-EC65D1D53A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838" authorId="0" shapeId="0" xr:uid="{4C8E7622-D2C9-4744-889A-939C1D526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839" authorId="0" shapeId="0" xr:uid="{00D50E0E-FE52-4C8D-A2C9-840716D24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839" authorId="0" shapeId="0" xr:uid="{706EEDAA-17A3-4F2E-BA80-6B749AFE4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39" authorId="0" shapeId="0" xr:uid="{4798E6A2-4355-47AE-8DF5-97894FF6C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EMOTEN STORE
POB EAST, SALUG</t>
        </r>
      </text>
    </comment>
    <comment ref="C840" authorId="0" shapeId="0" xr:uid="{B241AA09-988F-43BA-A99C-DC1EACA8EF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840" authorId="0" shapeId="0" xr:uid="{1D6BA980-7E7D-476E-BD8B-4EC6859F7A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0" authorId="0" shapeId="0" xr:uid="{DE36A58E-9D5E-4840-B7B7-3139F418F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41" authorId="0" shapeId="0" xr:uid="{AAC71FE7-A385-464B-84BE-17021305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841" authorId="0" shapeId="0" xr:uid="{0B532DC9-A8A0-481C-9FA4-79ED310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AA841" authorId="0" shapeId="0" xr:uid="{0D26F965-61D7-4CE3-9AC4-1235C1233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42" authorId="0" shapeId="0" xr:uid="{C5C533FB-88F7-4A9D-95D7-10809D38E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42" authorId="0" shapeId="0" xr:uid="{BFEB0064-4E39-476C-B2C2-C1C3D9137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SANOPAO
MARAS, SINDANGAN</t>
        </r>
      </text>
    </comment>
    <comment ref="AA842" authorId="0" shapeId="0" xr:uid="{18AE79E4-C97A-4E64-98E9-DB6B913FB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 STORE
BACONG, SALUG</t>
        </r>
      </text>
    </comment>
    <comment ref="C843" authorId="0" shapeId="0" xr:uid="{312C240C-C52B-4786-AEEA-7239C324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GABIOLA
DAGAO, SIAYAN</t>
        </r>
      </text>
    </comment>
    <comment ref="O843" authorId="0" shapeId="0" xr:uid="{C99604B9-32E9-4E90-B48C-C6796CCEB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844" authorId="0" shapeId="0" xr:uid="{BB2219FE-F8C8-4E80-9AE7-AA3D36777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845" authorId="0" shapeId="0" xr:uid="{C2FBF2BF-E408-41EC-ACA2-D29C1E82A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46" authorId="0" shapeId="0" xr:uid="{E0161F1D-F6E1-4533-B30B-5DDB613D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92" authorId="0" shapeId="0" xr:uid="{B73A67E0-1DBF-450F-B072-9195E7EEC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892" authorId="0" shapeId="0" xr:uid="{42DAAAD9-7AC7-4BC2-AA45-21A0F5CBC6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892" authorId="0" shapeId="0" xr:uid="{69BEE74A-9D8B-4996-9802-17B0C79FE5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C893" authorId="0" shapeId="0" xr:uid="{AA5FCD45-80F4-4434-9BAB-2122430D9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DAPAON, SINDANGAN</t>
        </r>
      </text>
    </comment>
    <comment ref="O893" authorId="0" shapeId="0" xr:uid="{50FDC39C-6636-4AE6-A6B7-2DE0C52D21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93" authorId="0" shapeId="0" xr:uid="{4FA7EBB1-CF8A-4C42-B5EA-5EFF3E5F5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894" authorId="0" shapeId="0" xr:uid="{898B3213-98AA-4714-9F83-FD929AEC4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4" authorId="0" shapeId="0" xr:uid="{191B5328-F849-40C0-BC17-E051976D7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894" authorId="0" shapeId="0" xr:uid="{2A0C332C-3BEA-4A0B-A5FB-3681367249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895" authorId="0" shapeId="0" xr:uid="{F4F77430-A5D3-4F15-A54E-33FD8F691C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O895" authorId="0" shapeId="0" xr:uid="{57E9665F-6B1E-494B-80DB-050C91D2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95" authorId="0" shapeId="0" xr:uid="{AC2D2DB5-B79B-4CD9-AD44-4B6BD313A9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896" authorId="0" shapeId="0" xr:uid="{57CA3B68-BD87-49A4-9A18-9AE10BCE1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ROSALYN BALASE
POB, SINDANGAN</t>
        </r>
      </text>
    </comment>
    <comment ref="AA896" authorId="0" shapeId="0" xr:uid="{7327789A-2246-45FC-93E7-8557A13D7F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C897" authorId="0" shapeId="0" xr:uid="{158FB475-BFF2-45AF-87F7-E0AC8AE35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ROSEMARIE CABABAT
POB, SINDANGAN</t>
        </r>
      </text>
    </comment>
    <comment ref="AA897" authorId="0" shapeId="0" xr:uid="{1430045D-D9FA-49BD-8FB1-CFA6FB949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
CANAWAN, SALUG</t>
        </r>
      </text>
    </comment>
    <comment ref="C898" authorId="0" shapeId="0" xr:uid="{32655AA0-08F7-4BDC-B4F4-B57057DBE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CABILLO
POB, SINDANGAN</t>
        </r>
      </text>
    </comment>
    <comment ref="AA898" authorId="0" shapeId="0" xr:uid="{4F4DAF57-E087-47C7-BFF3-EF26A6D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BACONG, SALUG</t>
        </r>
      </text>
    </comment>
    <comment ref="C899" authorId="0" shapeId="0" xr:uid="{1CC2B576-BE63-4DCC-AB7C-32CBD34B4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CERNAN
POB, SINDANGAN</t>
        </r>
      </text>
    </comment>
    <comment ref="AA899" authorId="0" shapeId="0" xr:uid="{AABEB828-A779-4711-9E38-45CF55CE0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900" authorId="0" shapeId="0" xr:uid="{22E1A0DB-4074-4BF6-A452-997F9126D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TORIÑO
POB, SINDANGAN</t>
        </r>
      </text>
    </comment>
    <comment ref="C901" authorId="0" shapeId="0" xr:uid="{7581CB0E-8BB9-4F67-A391-FFF4B54A0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VANESSA RADA
POB, SINDANGAN</t>
        </r>
      </text>
    </comment>
    <comment ref="C902" authorId="0" shapeId="0" xr:uid="{D91515D4-071D-4923-88D0-3895B619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LIZA MAE DELACRUZ
POB, SINDANGAN</t>
        </r>
      </text>
    </comment>
    <comment ref="C903" authorId="0" shapeId="0" xr:uid="{EB0749A8-4872-4D1D-B333-5E4480701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47" authorId="0" shapeId="0" xr:uid="{E845E55C-58FF-4B4B-A42C-04A6DC2A6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JUN CATIG
GUNYAN, SIAYAN</t>
        </r>
      </text>
    </comment>
    <comment ref="O947" authorId="0" shapeId="0" xr:uid="{40F95725-13BB-4F15-9FFD-1791EBC67E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947" authorId="0" shapeId="0" xr:uid="{73C0D8EB-D253-4E1F-92C6-7026FFDA27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F4D631DB-4F35-421A-9AEB-2DA0F53953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LANIE, SUERTE
POB, SIAYAN</t>
        </r>
      </text>
    </comment>
    <comment ref="O948" authorId="0" shapeId="0" xr:uid="{82386E18-532D-4B50-9C5B-8DB91DDC8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48" authorId="0" shapeId="0" xr:uid="{47B49593-DF4E-43C8-89DA-A0150A41A9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949" authorId="0" shapeId="0" xr:uid="{873067B4-927C-440A-A411-A7ECDAE1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POB, SIAYAN</t>
        </r>
      </text>
    </comment>
    <comment ref="O949" authorId="0" shapeId="0" xr:uid="{75838087-8AFB-44F5-8920-740072C0B1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
UPPER INUMAN, SINDANGAN</t>
        </r>
      </text>
    </comment>
    <comment ref="AA949" authorId="0" shapeId="0" xr:uid="{5A901664-F2A9-4815-8F6E-B80B7905C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950" authorId="0" shapeId="0" xr:uid="{7280F4BB-1721-4EAC-9484-7BA030BC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SABANATE
DAGAO, SIAYAN</t>
        </r>
      </text>
    </comment>
    <comment ref="O950" authorId="0" shapeId="0" xr:uid="{D2A7EEA6-B3A6-4B33-89BF-551626F64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950" authorId="0" shapeId="0" xr:uid="{52ECCD97-E635-4E4C-BCE2-9407FDF904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1" authorId="0" shapeId="0" xr:uid="{F4C3CEC4-E4DF-47D1-A88F-5E184C783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UPPER INUMAN, SINDANGAN</t>
        </r>
      </text>
    </comment>
    <comment ref="AA951" authorId="0" shapeId="0" xr:uid="{7C770E15-5FB3-4AB6-86E7-4CF31673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O952" authorId="0" shapeId="0" xr:uid="{221E1816-FE58-4360-9033-32A00A3F5F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52" authorId="0" shapeId="0" xr:uid="{60BD9B21-4C72-43E5-B37F-81581B14D2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O953" authorId="0" shapeId="0" xr:uid="{788C3555-2C28-4075-A5D7-489BC0BA5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002" authorId="0" shapeId="0" xr:uid="{E77446CF-D8C8-4BD0-954F-072B338A1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2" authorId="0" shapeId="0" xr:uid="{4A470945-5C7D-4C59-9A0A-7FAB28D32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3" authorId="0" shapeId="0" xr:uid="{8092C57E-AA34-4EFC-8FB8-15E4369E8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1003" authorId="0" shapeId="0" xr:uid="{76C0BE5E-1AA1-495E-A60A-70A39AF28D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1004" authorId="0" shapeId="0" xr:uid="{08CCF192-3EDE-4F96-8EF2-55A6A3994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1004" authorId="0" shapeId="0" xr:uid="{CCCA67FF-73A3-47FE-8377-C1EC00B616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1005" authorId="0" shapeId="0" xr:uid="{F303C98E-EAA9-4ACF-9C76-EF7F34637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5" authorId="0" shapeId="0" xr:uid="{7925FC86-9826-4A69-A42A-DC00CA693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006" authorId="0" shapeId="0" xr:uid="{47499744-430E-4972-9980-EE895ECDAD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006" authorId="0" shapeId="0" xr:uid="{9F7BDD22-57A6-4757-B241-743C806EC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1007" authorId="0" shapeId="0" xr:uid="{9592280C-A1BB-4E84-BEFD-D9FB35070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57" authorId="0" shapeId="0" xr:uid="{39F3C408-271D-45B3-A1E2-3ACDB53DC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57" authorId="0" shapeId="0" xr:uid="{A925A43B-39BF-48CE-A294-DCF00517F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BAGATUN
GOLEO, SINDANGAN</t>
        </r>
      </text>
    </comment>
    <comment ref="C1058" authorId="0" shapeId="0" xr:uid="{3849D043-FBE6-419D-8BFC-5006F493A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58" authorId="0" shapeId="0" xr:uid="{9B6B079E-30BD-4F10-BFE3-A209224F9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059" authorId="0" shapeId="0" xr:uid="{99D11E7A-3E7F-4E68-9C6F-4F551A2CD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059" authorId="0" shapeId="0" xr:uid="{5DDE2059-9D26-44D3-9FCE-16D99AFF3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ALEN STORE
TALINGA, BACUNGAN</t>
        </r>
      </text>
    </comment>
    <comment ref="C1060" authorId="0" shapeId="0" xr:uid="{08B20DEA-405D-4C23-8F69-A39A82A39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
LABAKID, SINDANGAN</t>
        </r>
      </text>
    </comment>
    <comment ref="O1060" authorId="0" shapeId="0" xr:uid="{400EBD3D-1615-4957-9092-9261089B9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1061" authorId="0" shapeId="0" xr:uid="{5F5B4625-2F07-4356-9635-FDF4020C4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CABALLERO
LABAKID, SINDANGAN</t>
        </r>
      </text>
    </comment>
    <comment ref="O1061" authorId="0" shapeId="0" xr:uid="{2BAC261B-BBA8-4E5C-B840-5F93BA99FB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1062" authorId="0" shapeId="0" xr:uid="{A48BA898-903F-434C-B38F-9FBE5EB9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O1062" authorId="0" shapeId="0" xr:uid="{3DDC9BCC-9B9D-4F0C-A165-8FC8BCC0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1063" authorId="0" shapeId="0" xr:uid="{038808FB-3CCE-4327-8879-FDE7C2B60F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64" authorId="0" shapeId="0" xr:uid="{E4ED6BDF-FA3C-4956-B19C-933855CE64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1065" authorId="0" shapeId="0" xr:uid="{993925B7-0D98-41E6-A162-E2E8E800F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NYAH'S STORE
TALINGA, BACUNGAN</t>
        </r>
      </text>
    </comment>
    <comment ref="O1066" authorId="0" shapeId="0" xr:uid="{B6FC2932-1466-451E-8A1C-22D05BFE8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PALABU
MARAS, SINDANGAN</t>
        </r>
      </text>
    </comment>
    <comment ref="O1067" authorId="0" shapeId="0" xr:uid="{4FB09262-8C50-4417-AA1A-E81C0CE3A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O1068" authorId="0" shapeId="0" xr:uid="{743EF015-7910-4B61-975F-E04B0A8D0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O1069" authorId="0" shapeId="0" xr:uid="{D06D8BBC-6CAE-4631-9EAC-CD0D902BE0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1112" authorId="0" shapeId="0" xr:uid="{B5D5BBE0-0E0E-4E1D-9F11-42BAF829F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1112" authorId="0" shapeId="0" xr:uid="{A8F52F2B-F987-4904-8EEA-59741CB4B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112" authorId="0" shapeId="0" xr:uid="{CBBF9564-4B4C-4FA2-AB3C-DA52B1A540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113" authorId="0" shapeId="0" xr:uid="{22AE64D3-FFF4-486F-9BF6-3C3CBBB39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113" authorId="0" shapeId="0" xr:uid="{1D6A3BB9-2DC2-446F-BB9D-62266177A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113" authorId="0" shapeId="0" xr:uid="{704570B0-6A41-471D-B22C-F8CBF305E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 EAST, SALUG</t>
        </r>
      </text>
    </comment>
    <comment ref="C1114" authorId="0" shapeId="0" xr:uid="{1EA2CAC0-ED6D-4E1A-B7C3-4D1350AC6A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1114" authorId="0" shapeId="0" xr:uid="{859A5131-0F34-4C4F-BDAC-1E8A2A1E9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CALIPAYAN
GOLEO, SINDANGAN</t>
        </r>
      </text>
    </comment>
    <comment ref="AA1114" authorId="0" shapeId="0" xr:uid="{C6355960-3C01-415D-9450-679AE83011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115" authorId="0" shapeId="0" xr:uid="{06E0C12E-0F97-42F7-A565-FF0840FE7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ROMWO
RIVERSIDE SIAYAN</t>
        </r>
      </text>
    </comment>
    <comment ref="O1115" authorId="0" shapeId="0" xr:uid="{371F3390-F6A5-4D12-9E6E-95C186C89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NIETEZ
GOLEO, SINDANGAN</t>
        </r>
      </text>
    </comment>
    <comment ref="AA1115" authorId="0" shapeId="0" xr:uid="{F80ABD4A-050F-4C82-ABC2-785F6F6B61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323940DB-C4C2-4466-9A63-DE0FB2EB0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LORENA DEGUIÑON
POB, SIAYAN</t>
        </r>
      </text>
    </comment>
    <comment ref="O1116" authorId="0" shapeId="0" xr:uid="{91EAC5D9-FA66-47EB-AB19-680291899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116" authorId="0" shapeId="0" xr:uid="{4FF4F9FB-CAD9-4D68-B379-9FD950888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BAYBAY, LILOY</t>
        </r>
      </text>
    </comment>
    <comment ref="C1117" authorId="0" shapeId="0" xr:uid="{D5206C39-2B1B-470E-A586-9DC851A8C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1117" authorId="0" shapeId="0" xr:uid="{9EC24845-3E64-4A79-8AC0-A931E3627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117" authorId="0" shapeId="0" xr:uid="{C7BBFE8A-3156-4CC9-9183-891461FE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BAYBAY, LILOY</t>
        </r>
      </text>
    </comment>
    <comment ref="C1118" authorId="0" shapeId="0" xr:uid="{510962D2-87CB-4929-BDBB-1111F15C9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1118" authorId="0" shapeId="0" xr:uid="{A6F8D624-A7F8-4D99-A100-32700D529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118" authorId="0" shapeId="0" xr:uid="{E201B775-268E-4CD0-9319-3FA229090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MGP STORE
KAYOK, LILOY</t>
        </r>
      </text>
    </comment>
    <comment ref="C1119" authorId="0" shapeId="0" xr:uid="{32ABC3D5-C92B-422F-A16A-7105A256C6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MARCILITA
DENOYAN, SIAYAN</t>
        </r>
      </text>
    </comment>
    <comment ref="AA1119" authorId="0" shapeId="0" xr:uid="{897C6369-6572-4EA8-8972-6E04D7C0ED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120" authorId="0" shapeId="0" xr:uid="{81EF4F30-1598-4C8E-B653-AEAFB8A17A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CARPE
DENOYAN, SIAYAN</t>
        </r>
      </text>
    </comment>
    <comment ref="AA1120" authorId="0" shapeId="0" xr:uid="{36D37704-378F-4072-B947-B3980D5BA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121" authorId="0" shapeId="0" xr:uid="{E57980AC-E37C-4C45-A1BD-1DAE58DD0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FELLY BANO
DENOYAN, SIAYAN</t>
        </r>
      </text>
    </comment>
    <comment ref="AA1121" authorId="0" shapeId="0" xr:uid="{399FF0C7-17C5-4EDF-A4C3-1EF254101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122" authorId="0" shapeId="0" xr:uid="{9D33C09A-BFA7-4005-8730-97CF6CB60D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AA1122" authorId="0" shapeId="0" xr:uid="{7F18EB8C-92A8-46C2-8A58-74CFEB2C0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123" authorId="0" shapeId="0" xr:uid="{82274D6B-AB29-4997-8FDE-F0EC7AF97F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
DICOYONG, SINDANGAN</t>
        </r>
      </text>
    </comment>
    <comment ref="C1167" authorId="0" shapeId="0" xr:uid="{7C9DCE8F-3242-44EB-A0B5-9D7F281303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167" authorId="0" shapeId="0" xr:uid="{4FF74E5A-7AE0-43F2-BB31-906207C3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68" authorId="0" shapeId="0" xr:uid="{9B9199C3-B264-4F19-988C-280906B683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AA1168" authorId="0" shapeId="0" xr:uid="{A3BB3B91-D712-4811-B4D2-380CF43B8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POB. BACUNGAN</t>
        </r>
      </text>
    </comment>
    <comment ref="C1169" authorId="0" shapeId="0" xr:uid="{A4DADFEA-E3A3-4E9C-848C-F082B6A22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AA1169" authorId="0" shapeId="0" xr:uid="{8C08BFB1-FE6D-41CB-8CEA-888C0F67C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1170" authorId="0" shapeId="0" xr:uid="{B2C8D2AD-036C-49C2-BF28-6F90EF72D3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AA1170" authorId="0" shapeId="0" xr:uid="{1C771C0F-4926-4BD0-954B-908E87818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171" authorId="0" shapeId="0" xr:uid="{41E2C784-B2E4-4134-A1DA-2A854AFEC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A1171" authorId="0" shapeId="0" xr:uid="{9CC10A3C-A22F-4DB6-AE46-786FC76BB7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PHARMACY
POB EAST, SALUG</t>
        </r>
      </text>
    </comment>
    <comment ref="C1172" authorId="0" shapeId="0" xr:uid="{DC636559-5E97-48AA-BF22-F713590EF6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172" authorId="0" shapeId="0" xr:uid="{6694F116-FB87-44A4-8A26-BE65C7641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1173" authorId="0" shapeId="0" xr:uid="{4083258F-B3BB-4E01-B654-EAD9B8F57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AA1174" authorId="0" shapeId="0" xr:uid="{F13A3E9A-8E5D-46DF-A87C-915956D0C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22" authorId="0" shapeId="0" xr:uid="{A97FA73F-FDDD-4A7F-9F5B-AB716BC50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
POB, SINDANGAN</t>
        </r>
      </text>
    </comment>
    <comment ref="O1222" authorId="0" shapeId="0" xr:uid="{A2DD5FFF-F34C-463E-B88F-82EC7C9CFB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223" authorId="0" shapeId="0" xr:uid="{961BE3DD-3C33-4ADB-A301-2EE46A0987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23" authorId="0" shapeId="0" xr:uid="{1E4D3AA5-999F-4B5A-B3A2-0EAE6E84A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224" authorId="0" shapeId="0" xr:uid="{014A7FA1-3FB9-402A-946F-E908D20140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SINDANGAN</t>
        </r>
      </text>
    </comment>
    <comment ref="O1224" authorId="0" shapeId="0" xr:uid="{4B31D6B4-FBCF-4BF0-AF06-61519EA0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225" authorId="0" shapeId="0" xr:uid="{66D1C668-59D0-4BFD-B95D-858AB7FBDE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226" authorId="0" shapeId="0" xr:uid="{98240912-CE3A-4A58-9996-E42E98748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227" authorId="0" shapeId="0" xr:uid="{97453DA8-5DC5-4C6F-A363-01F387A4D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228" authorId="0" shapeId="0" xr:uid="{6D16763C-3EF2-4EF2-A4DE-0A1498AB8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229" authorId="0" shapeId="0" xr:uid="{9C510085-51FE-4D33-ACF0-192BFD91F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O1230" authorId="0" shapeId="0" xr:uid="{16F5A194-FB06-485D-953D-B8090E4F5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TALING, BACUNGAN</t>
        </r>
      </text>
    </comment>
    <comment ref="O1231" authorId="0" shapeId="0" xr:uid="{33507611-7D01-45A8-A5C0-F59D1661A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</commentList>
</comments>
</file>

<file path=xl/sharedStrings.xml><?xml version="1.0" encoding="utf-8"?>
<sst xmlns="http://schemas.openxmlformats.org/spreadsheetml/2006/main" count="1560" uniqueCount="105">
  <si>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</si>
  <si>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</si>
  <si>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</si>
  <si>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</si>
  <si>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</si>
  <si>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</si>
  <si>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</si>
  <si>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</si>
  <si>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</si>
  <si>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</si>
  <si>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</si>
  <si>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</si>
  <si>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</si>
  <si>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</si>
  <si>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</si>
  <si>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</si>
  <si>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</si>
  <si>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</si>
  <si>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</si>
  <si>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</si>
  <si>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</si>
  <si>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</si>
  <si>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</si>
  <si>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</si>
  <si>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</si>
  <si>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</si>
  <si>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</si>
  <si>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</si>
  <si>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</si>
  <si>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</si>
  <si>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</si>
  <si>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</si>
  <si>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</si>
  <si>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</si>
  <si>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</si>
  <si>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</si>
  <si>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</si>
  <si>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</si>
  <si>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</si>
  <si>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</si>
  <si>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</si>
  <si>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</si>
  <si>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</si>
  <si>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</si>
  <si>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</si>
  <si>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</si>
  <si>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</si>
  <si>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</si>
  <si>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</si>
  <si>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</si>
  <si>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</si>
  <si>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</si>
  <si>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</si>
  <si>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</si>
  <si>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</si>
  <si>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</si>
  <si>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</si>
  <si>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</si>
  <si>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</si>
  <si>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</si>
  <si>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</si>
  <si>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</si>
  <si>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</si>
  <si>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</si>
  <si>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</si>
  <si>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</si>
  <si>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</si>
  <si>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</si>
  <si>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</si>
  <si>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</si>
  <si>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</si>
  <si>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</si>
  <si>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</si>
  <si>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</si>
  <si>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</si>
  <si>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</si>
  <si>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</si>
  <si>
    <t>MARCH 19, 2026</t>
  </si>
  <si>
    <t>03/19/2026</t>
  </si>
  <si>
    <t>MARCH 20, 2026</t>
  </si>
  <si>
    <t>03/20/2026</t>
  </si>
  <si>
    <t>9588-9597/9718-9727/9678-9683</t>
  </si>
  <si>
    <t>9598-9600,9801-9804/9728-9737/9685-9690</t>
  </si>
  <si>
    <t>MARCH 23, 2026</t>
  </si>
  <si>
    <t>03/23/2026</t>
  </si>
  <si>
    <t>9805-9816/9738-9741/9691-9698</t>
  </si>
  <si>
    <t>MARCH 24, 2026</t>
  </si>
  <si>
    <t>03/24/2026</t>
  </si>
  <si>
    <t>LOPEZ, GINA GRACE</t>
  </si>
  <si>
    <t>9817-9820/9742-9748/9752-9757</t>
  </si>
  <si>
    <t>MARCH 25, 2026</t>
  </si>
  <si>
    <t>03/25/2026</t>
  </si>
  <si>
    <t>/9749-9750,9851-9853/9699-9700,9758-9761</t>
  </si>
  <si>
    <t>MARCH 26, 2026</t>
  </si>
  <si>
    <t>03/26/2026</t>
  </si>
  <si>
    <t>9822-9827/9854-9866</t>
  </si>
  <si>
    <t>MARCH 27, 2026</t>
  </si>
  <si>
    <t>03/27/2026</t>
  </si>
  <si>
    <t>9828-9839/9867-9873/9762-9772</t>
  </si>
  <si>
    <t>MARCH 30, 2026</t>
  </si>
  <si>
    <t>03/30/2026</t>
  </si>
  <si>
    <t>9840-9845//9773-9780</t>
  </si>
  <si>
    <t>MARCH 31, 2026</t>
  </si>
  <si>
    <t>03/31/2026</t>
  </si>
  <si>
    <t>9951-9953/9874-9883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</si>
</sst>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8" zoomScaleNormal="100" workbookViewId="0">
      <selection activeCell="F41" sqref="F4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38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29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 t="s">
        <v>81</v>
      </c>
      <c r="D28" s="16">
        <f t="shared" si="3"/>
        <v>976940.5</v>
      </c>
      <c r="F28" s="14">
        <v>383624</v>
      </c>
      <c r="G28" s="14">
        <v>227782.5</v>
      </c>
      <c r="H28" s="14">
        <v>365534</v>
      </c>
      <c r="I28" s="14"/>
      <c r="J28" s="17">
        <f t="shared" si="1"/>
        <v>976940.5</v>
      </c>
    </row>
    <row r="29" spans="1:10" x14ac:dyDescent="0.25">
      <c r="A29" s="10">
        <f t="shared" si="2"/>
        <v>20</v>
      </c>
      <c r="B29" s="43" t="s">
        <v>4</v>
      </c>
      <c r="C29" s="12" t="s">
        <v>82</v>
      </c>
      <c r="D29" s="16">
        <f t="shared" si="3"/>
        <v>851652</v>
      </c>
      <c r="F29" s="14">
        <v>293210.5</v>
      </c>
      <c r="G29" s="14">
        <v>293089.5</v>
      </c>
      <c r="H29" s="14">
        <v>265352</v>
      </c>
      <c r="I29" s="14"/>
      <c r="J29" s="17">
        <f t="shared" si="1"/>
        <v>851652</v>
      </c>
    </row>
    <row r="30" spans="1:10" x14ac:dyDescent="0.25">
      <c r="A30" s="10">
        <f t="shared" si="2"/>
        <v>21</v>
      </c>
      <c r="B30" s="56" t="s">
        <v>5</v>
      </c>
      <c r="C30" s="44" t="s">
        <v>64</v>
      </c>
      <c r="D30" s="55" t="s">
        <v>64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85</v>
      </c>
      <c r="D32" s="16">
        <f t="shared" ref="D32:D39" si="4">J32</f>
        <v>997685.5</v>
      </c>
      <c r="E32" s="15"/>
      <c r="F32" s="15">
        <v>377761</v>
      </c>
      <c r="G32" s="14">
        <v>301093.5</v>
      </c>
      <c r="H32" s="14">
        <v>318831</v>
      </c>
      <c r="I32" s="54"/>
      <c r="J32" s="17">
        <f t="shared" si="1"/>
        <v>997685.5</v>
      </c>
    </row>
    <row r="33" spans="1:10" x14ac:dyDescent="0.25">
      <c r="A33" s="10">
        <f t="shared" si="2"/>
        <v>24</v>
      </c>
      <c r="B33" s="43" t="s">
        <v>8</v>
      </c>
      <c r="C33" s="12" t="s">
        <v>89</v>
      </c>
      <c r="D33" s="16">
        <f t="shared" si="4"/>
        <v>856084.5</v>
      </c>
      <c r="E33" s="15"/>
      <c r="F33" s="15">
        <v>300133</v>
      </c>
      <c r="G33" s="14">
        <v>246541.5</v>
      </c>
      <c r="H33" s="14">
        <v>309410</v>
      </c>
      <c r="I33" s="14"/>
      <c r="J33" s="17">
        <f t="shared" si="1"/>
        <v>856084.5</v>
      </c>
    </row>
    <row r="34" spans="1:10" x14ac:dyDescent="0.25">
      <c r="A34" s="10">
        <f>A33+1</f>
        <v>25</v>
      </c>
      <c r="B34" s="56" t="s">
        <v>9</v>
      </c>
      <c r="C34" s="12" t="s">
        <v>92</v>
      </c>
      <c r="D34" s="16">
        <f t="shared" si="4"/>
        <v>561524</v>
      </c>
      <c r="E34" s="14"/>
      <c r="F34" s="15"/>
      <c r="G34" s="14">
        <v>196855</v>
      </c>
      <c r="H34" s="14">
        <v>364669</v>
      </c>
      <c r="I34" s="14"/>
      <c r="J34" s="17">
        <f t="shared" si="1"/>
        <v>561524</v>
      </c>
    </row>
    <row r="35" spans="1:10" x14ac:dyDescent="0.25">
      <c r="A35" s="10">
        <f t="shared" si="2"/>
        <v>26</v>
      </c>
      <c r="B35" s="11" t="s">
        <v>30</v>
      </c>
      <c r="C35" s="12" t="s">
        <v>95</v>
      </c>
      <c r="D35" s="16">
        <f t="shared" si="4"/>
        <v>590217</v>
      </c>
      <c r="E35" s="14"/>
      <c r="F35" s="14">
        <v>374471</v>
      </c>
      <c r="G35" s="14">
        <v>215746</v>
      </c>
      <c r="H35" s="14"/>
      <c r="I35" s="14"/>
      <c r="J35" s="17">
        <f t="shared" si="1"/>
        <v>590217</v>
      </c>
    </row>
    <row r="36" spans="1:10" x14ac:dyDescent="0.25">
      <c r="A36" s="10">
        <f t="shared" si="2"/>
        <v>27</v>
      </c>
      <c r="B36" s="43" t="s">
        <v>4</v>
      </c>
      <c r="C36" s="12" t="s">
        <v>98</v>
      </c>
      <c r="D36" s="16">
        <f t="shared" si="4"/>
        <v>938712</v>
      </c>
      <c r="E36" s="14"/>
      <c r="F36" s="14">
        <v>200588.5</v>
      </c>
      <c r="G36" s="14">
        <v>324215</v>
      </c>
      <c r="H36" s="14">
        <v>413908.5</v>
      </c>
      <c r="I36" s="14"/>
      <c r="J36" s="17">
        <f t="shared" si="1"/>
        <v>938712</v>
      </c>
    </row>
    <row r="37" spans="1:10" x14ac:dyDescent="0.25">
      <c r="A37" s="10">
        <f t="shared" si="2"/>
        <v>28</v>
      </c>
      <c r="B37" s="56" t="s">
        <v>5</v>
      </c>
      <c r="C37" s="44" t="s">
        <v>64</v>
      </c>
      <c r="D37" s="55" t="s">
        <v>64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 t="s">
        <v>101</v>
      </c>
      <c r="D39" s="16">
        <f t="shared" si="4"/>
        <v>929928.5</v>
      </c>
      <c r="E39" s="14"/>
      <c r="F39" s="14">
        <v>602166</v>
      </c>
      <c r="G39" s="14"/>
      <c r="H39" s="14">
        <v>327762.5</v>
      </c>
      <c r="I39" s="14"/>
      <c r="J39" s="17">
        <f t="shared" si="1"/>
        <v>929928.5</v>
      </c>
    </row>
    <row r="40" spans="1:10" x14ac:dyDescent="0.25">
      <c r="A40" s="10">
        <f t="shared" si="2"/>
        <v>31</v>
      </c>
      <c r="B40" s="56" t="s">
        <v>8</v>
      </c>
      <c r="C40" s="12" t="s">
        <v>104</v>
      </c>
      <c r="D40" s="16">
        <f t="shared" ref="D40" si="5">J40</f>
        <v>877558.5</v>
      </c>
      <c r="E40" s="14"/>
      <c r="F40" s="14">
        <v>609769</v>
      </c>
      <c r="G40" s="14">
        <v>267789.5</v>
      </c>
      <c r="H40" s="14"/>
      <c r="I40" s="14"/>
      <c r="J40" s="17">
        <f t="shared" si="1"/>
        <v>877558.5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18954360.07</v>
      </c>
      <c r="J42" s="49">
        <f>SUM(J10:J41)</f>
        <v>18954360.07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214" zoomScaleNormal="100" workbookViewId="0">
      <selection activeCell="C1229" sqref="C122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5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46056</v>
      </c>
      <c r="C12" s="82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2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2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2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2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2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2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2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2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2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2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2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89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89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89"/>
      <c r="AE65" s="27"/>
      <c r="AG65" s="119" t="s">
        <v>18</v>
      </c>
      <c r="AH65" s="120"/>
      <c r="AI65" s="117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8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2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5"/>
      <c r="AN67" s="123"/>
      <c r="AO67" s="123"/>
      <c r="AP67" s="85"/>
      <c r="AQ67" s="62"/>
      <c r="AR67" s="123"/>
      <c r="AS67" s="123"/>
      <c r="AT67" s="12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2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2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2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2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2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2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2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2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2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2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2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2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2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0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90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90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2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2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2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7"/>
      <c r="AA167" s="87"/>
      <c r="AB167" s="87"/>
      <c r="AC167" s="87"/>
      <c r="AD167" s="87"/>
      <c r="AE167" s="87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7"/>
      <c r="AA168" s="87"/>
      <c r="AB168" s="87"/>
      <c r="AC168" s="87"/>
      <c r="AD168" s="87"/>
      <c r="AE168" s="87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7"/>
      <c r="AA169" s="87"/>
      <c r="AB169" s="87"/>
      <c r="AC169" s="87"/>
      <c r="AD169" s="87"/>
      <c r="AE169" s="87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7"/>
      <c r="AA170" s="87"/>
      <c r="AB170" s="87"/>
      <c r="AC170" s="87"/>
      <c r="AD170" s="87"/>
      <c r="AE170" s="87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7"/>
      <c r="AA171" s="87"/>
      <c r="AB171" s="87"/>
      <c r="AC171" s="87"/>
      <c r="AD171" s="87"/>
      <c r="AE171" s="87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7"/>
      <c r="AA172" s="87"/>
      <c r="AB172" s="87"/>
      <c r="AC172" s="87"/>
      <c r="AD172" s="87"/>
      <c r="AE172" s="87"/>
      <c r="AF172" s="62"/>
      <c r="AG172" s="87"/>
      <c r="AH172" s="87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7"/>
      <c r="AA173" s="87"/>
      <c r="AB173" s="87"/>
      <c r="AC173" s="87"/>
      <c r="AD173" s="87"/>
      <c r="AE173" s="87"/>
      <c r="AF173" s="62"/>
      <c r="AG173" s="65"/>
      <c r="AH173" s="65"/>
      <c r="AI173" s="62"/>
      <c r="AJ173" s="62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7"/>
      <c r="AA174" s="87"/>
      <c r="AB174" s="87"/>
      <c r="AC174" s="87"/>
      <c r="AD174" s="87"/>
      <c r="AE174" s="87"/>
      <c r="AF174" s="62"/>
      <c r="AG174" s="62"/>
      <c r="AH174" s="62"/>
      <c r="AI174" s="62"/>
      <c r="AJ174" s="62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1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91"/>
      <c r="S175" s="27"/>
      <c r="U175" s="119" t="s">
        <v>18</v>
      </c>
      <c r="V175" s="120"/>
      <c r="W175" s="117" t="s">
        <v>19</v>
      </c>
      <c r="Y175" s="62"/>
      <c r="Z175" s="65"/>
      <c r="AA175" s="87"/>
      <c r="AB175" s="123"/>
      <c r="AC175" s="123"/>
      <c r="AD175" s="87"/>
      <c r="AE175" s="87"/>
      <c r="AF175" s="62"/>
      <c r="AG175" s="123"/>
      <c r="AH175" s="123"/>
      <c r="AI175" s="122"/>
      <c r="AJ175" s="62"/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8"/>
      <c r="Y176" s="62"/>
      <c r="Z176" s="87"/>
      <c r="AA176" s="87"/>
      <c r="AB176" s="79"/>
      <c r="AC176" s="81"/>
      <c r="AD176" s="81"/>
      <c r="AE176" s="81"/>
      <c r="AF176" s="62"/>
      <c r="AG176" s="86"/>
      <c r="AH176" s="86"/>
      <c r="AI176" s="122"/>
      <c r="AJ176" s="62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2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7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2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7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2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7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2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7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7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5"/>
      <c r="AN181" s="123"/>
      <c r="AO181" s="123"/>
      <c r="AP181" s="85"/>
      <c r="AQ181" s="62"/>
      <c r="AR181" s="123"/>
      <c r="AS181" s="123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5"/>
      <c r="AM182" s="85"/>
      <c r="AN182" s="85"/>
      <c r="AO182" s="84"/>
      <c r="AP182" s="84"/>
      <c r="AQ182" s="62"/>
      <c r="AR182" s="84"/>
      <c r="AS182" s="84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7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7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7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7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7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7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7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7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7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2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7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7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7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7"/>
      <c r="AB197" s="67"/>
      <c r="AC197" s="87"/>
      <c r="AD197" s="87"/>
      <c r="AE197" s="60"/>
      <c r="AF197" s="62"/>
      <c r="AG197" s="62"/>
      <c r="AH197" s="62"/>
      <c r="AI197" s="61"/>
      <c r="AJ197" s="62"/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7"/>
      <c r="AB198" s="68"/>
      <c r="AC198" s="87"/>
      <c r="AD198" s="87"/>
      <c r="AE198" s="60"/>
      <c r="AF198" s="62"/>
      <c r="AG198" s="62"/>
      <c r="AH198" s="62"/>
      <c r="AI198" s="61"/>
      <c r="AJ198" s="62"/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7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7"/>
      <c r="AB200" s="69"/>
      <c r="AC200" s="87"/>
      <c r="AD200" s="87"/>
      <c r="AE200" s="60"/>
      <c r="AF200" s="62"/>
      <c r="AG200" s="62"/>
      <c r="AH200" s="62"/>
      <c r="AI200" s="61"/>
      <c r="AJ200" s="62"/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7"/>
      <c r="AB201" s="69"/>
      <c r="AC201" s="87"/>
      <c r="AD201" s="87"/>
      <c r="AE201" s="60"/>
      <c r="AF201" s="62"/>
      <c r="AG201" s="62"/>
      <c r="AH201" s="62"/>
      <c r="AI201" s="61"/>
      <c r="AJ201" s="62"/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7"/>
      <c r="AB202" s="69"/>
      <c r="AC202" s="87"/>
      <c r="AD202" s="87"/>
      <c r="AE202" s="60"/>
      <c r="AF202" s="62"/>
      <c r="AG202" s="62"/>
      <c r="AH202" s="62"/>
      <c r="AI202" s="61"/>
      <c r="AJ202" s="62"/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7"/>
      <c r="AB203" s="69"/>
      <c r="AC203" s="87"/>
      <c r="AD203" s="87"/>
      <c r="AE203" s="60"/>
      <c r="AF203" s="62"/>
      <c r="AG203" s="62"/>
      <c r="AH203" s="62"/>
      <c r="AI203" s="61"/>
      <c r="AJ203" s="62"/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7"/>
      <c r="AB204" s="69"/>
      <c r="AC204" s="87"/>
      <c r="AD204" s="87"/>
      <c r="AE204" s="60"/>
      <c r="AF204" s="62"/>
      <c r="AG204" s="62"/>
      <c r="AH204" s="62"/>
      <c r="AI204" s="61"/>
      <c r="AJ204" s="62"/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7"/>
      <c r="AB205" s="69"/>
      <c r="AC205" s="87"/>
      <c r="AD205" s="87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7"/>
      <c r="AB206" s="69"/>
      <c r="AC206" s="87"/>
      <c r="AD206" s="87"/>
      <c r="AE206" s="60"/>
      <c r="AF206" s="62"/>
      <c r="AG206" s="62"/>
      <c r="AH206" s="62"/>
      <c r="AI206" s="61"/>
      <c r="AJ206" s="62"/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7"/>
      <c r="AB207" s="69"/>
      <c r="AC207" s="87"/>
      <c r="AD207" s="87"/>
      <c r="AE207" s="60"/>
      <c r="AF207" s="62"/>
      <c r="AG207" s="62"/>
      <c r="AH207" s="62"/>
      <c r="AI207" s="61"/>
      <c r="AJ207" s="62"/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7"/>
      <c r="AB208" s="69"/>
      <c r="AC208" s="87"/>
      <c r="AD208" s="87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7"/>
      <c r="AB209" s="69"/>
      <c r="AC209" s="87"/>
      <c r="AD209" s="87"/>
      <c r="AE209" s="60"/>
      <c r="AF209" s="62"/>
      <c r="AG209" s="62"/>
      <c r="AH209" s="62"/>
      <c r="AI209" s="61"/>
      <c r="AJ209" s="62"/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7"/>
      <c r="AB210" s="69"/>
      <c r="AC210" s="87"/>
      <c r="AD210" s="87"/>
      <c r="AE210" s="60"/>
      <c r="AF210" s="62"/>
      <c r="AG210" s="62"/>
      <c r="AH210" s="62"/>
      <c r="AI210" s="61"/>
      <c r="AJ210" s="62"/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7"/>
      <c r="AB211" s="69"/>
      <c r="AC211" s="87"/>
      <c r="AD211" s="87"/>
      <c r="AE211" s="60"/>
      <c r="AF211" s="62"/>
      <c r="AG211" s="62"/>
      <c r="AH211" s="62"/>
      <c r="AI211" s="61"/>
      <c r="AJ211" s="62"/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7"/>
      <c r="AB212" s="69"/>
      <c r="AC212" s="87"/>
      <c r="AD212" s="87"/>
      <c r="AE212" s="60"/>
      <c r="AF212" s="62"/>
      <c r="AG212" s="62"/>
      <c r="AH212" s="62"/>
      <c r="AI212" s="61"/>
      <c r="AJ212" s="62"/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7"/>
      <c r="AB213" s="69"/>
      <c r="AC213" s="87"/>
      <c r="AD213" s="87"/>
      <c r="AE213" s="60"/>
      <c r="AF213" s="62"/>
      <c r="AG213" s="62"/>
      <c r="AH213" s="62"/>
      <c r="AI213" s="61"/>
      <c r="AJ213" s="62"/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7"/>
      <c r="AB214" s="69"/>
      <c r="AC214" s="87"/>
      <c r="AD214" s="87"/>
      <c r="AE214" s="60"/>
      <c r="AF214" s="62"/>
      <c r="AG214" s="62"/>
      <c r="AH214" s="62"/>
      <c r="AI214" s="61"/>
      <c r="AJ214" s="62"/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7"/>
      <c r="AB215" s="69"/>
      <c r="AC215" s="87"/>
      <c r="AD215" s="87"/>
      <c r="AE215" s="60"/>
      <c r="AF215" s="62"/>
      <c r="AG215" s="62"/>
      <c r="AH215" s="62"/>
      <c r="AI215" s="61"/>
      <c r="AJ215" s="62"/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7"/>
      <c r="AD216" s="87"/>
      <c r="AE216" s="60"/>
      <c r="AF216" s="62"/>
      <c r="AG216" s="62"/>
      <c r="AH216" s="62"/>
      <c r="AI216" s="61"/>
      <c r="AJ216" s="62"/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7"/>
      <c r="AB217" s="69"/>
      <c r="AC217" s="87"/>
      <c r="AD217" s="87"/>
      <c r="AE217" s="60"/>
      <c r="AF217" s="62"/>
      <c r="AG217" s="62"/>
      <c r="AH217" s="62"/>
      <c r="AI217" s="61"/>
      <c r="AJ217" s="62"/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7"/>
      <c r="AA218" s="87"/>
      <c r="AB218" s="87"/>
      <c r="AC218" s="87"/>
      <c r="AD218" s="87"/>
      <c r="AE218" s="87"/>
      <c r="AF218" s="62"/>
      <c r="AG218" s="62"/>
      <c r="AH218" s="62"/>
      <c r="AI218" s="61"/>
      <c r="AJ218" s="62"/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7"/>
      <c r="AA219" s="87"/>
      <c r="AB219" s="87"/>
      <c r="AC219" s="87"/>
      <c r="AD219" s="87"/>
      <c r="AE219" s="87"/>
      <c r="AF219" s="62"/>
      <c r="AG219" s="62"/>
      <c r="AH219" s="62"/>
      <c r="AI219" s="62"/>
      <c r="AJ219" s="62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7"/>
      <c r="AA220" s="87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7"/>
      <c r="C222" s="87"/>
      <c r="D222" s="87"/>
      <c r="E222" s="87"/>
      <c r="F222" s="87"/>
      <c r="G222" s="87"/>
      <c r="H222" s="62"/>
      <c r="I222" s="62"/>
      <c r="J222" s="62"/>
      <c r="K222" s="62"/>
      <c r="L222" s="62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7"/>
      <c r="C223" s="87"/>
      <c r="D223" s="87"/>
      <c r="E223" s="87"/>
      <c r="F223" s="87"/>
      <c r="G223" s="87"/>
      <c r="H223" s="62"/>
      <c r="I223" s="62"/>
      <c r="J223" s="62"/>
      <c r="K223" s="62"/>
      <c r="L223" s="62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7"/>
      <c r="C224" s="87"/>
      <c r="D224" s="87"/>
      <c r="E224" s="87"/>
      <c r="F224" s="87"/>
      <c r="G224" s="87"/>
      <c r="H224" s="62"/>
      <c r="I224" s="62"/>
      <c r="J224" s="62"/>
      <c r="K224" s="62"/>
      <c r="L224" s="62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7"/>
      <c r="C225" s="87"/>
      <c r="D225" s="87"/>
      <c r="E225" s="87"/>
      <c r="F225" s="87"/>
      <c r="G225" s="87"/>
      <c r="H225" s="62"/>
      <c r="I225" s="62"/>
      <c r="J225" s="62"/>
      <c r="K225" s="62"/>
      <c r="L225" s="62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7"/>
      <c r="C226" s="87"/>
      <c r="D226" s="87"/>
      <c r="E226" s="87"/>
      <c r="F226" s="87"/>
      <c r="G226" s="87"/>
      <c r="H226" s="62"/>
      <c r="I226" s="62"/>
      <c r="J226" s="62"/>
      <c r="K226" s="62"/>
      <c r="L226" s="62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7"/>
      <c r="C227" s="87"/>
      <c r="D227" s="87"/>
      <c r="E227" s="87"/>
      <c r="F227" s="87"/>
      <c r="G227" s="87"/>
      <c r="H227" s="62"/>
      <c r="I227" s="87"/>
      <c r="J227" s="73"/>
      <c r="K227" s="62"/>
      <c r="L227" s="62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7"/>
      <c r="C228" s="87"/>
      <c r="D228" s="87"/>
      <c r="E228" s="87"/>
      <c r="F228" s="87"/>
      <c r="G228" s="87"/>
      <c r="H228" s="62"/>
      <c r="I228" s="65"/>
      <c r="J228" s="65"/>
      <c r="K228" s="62"/>
      <c r="L228" s="62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7"/>
      <c r="C229" s="87"/>
      <c r="D229" s="87"/>
      <c r="E229" s="87"/>
      <c r="F229" s="87"/>
      <c r="G229" s="87"/>
      <c r="H229" s="62"/>
      <c r="I229" s="62"/>
      <c r="J229" s="62"/>
      <c r="K229" s="62"/>
      <c r="L229" s="62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7"/>
      <c r="D230" s="123"/>
      <c r="E230" s="123"/>
      <c r="F230" s="87"/>
      <c r="G230" s="87"/>
      <c r="H230" s="62"/>
      <c r="I230" s="123"/>
      <c r="J230" s="123"/>
      <c r="K230" s="122"/>
      <c r="L230" s="62"/>
      <c r="M230" s="62"/>
      <c r="N230" s="65"/>
      <c r="O230" s="87"/>
      <c r="P230" s="123"/>
      <c r="Q230" s="123"/>
      <c r="R230" s="87"/>
      <c r="S230" s="87"/>
      <c r="T230" s="62"/>
      <c r="U230" s="123"/>
      <c r="V230" s="123"/>
      <c r="W230" s="122"/>
      <c r="Z230" s="25"/>
      <c r="AA230" s="26"/>
      <c r="AB230" s="121" t="s">
        <v>17</v>
      </c>
      <c r="AC230" s="121"/>
      <c r="AD230" s="92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7"/>
      <c r="C231" s="87"/>
      <c r="D231" s="79"/>
      <c r="E231" s="80"/>
      <c r="F231" s="81"/>
      <c r="G231" s="81"/>
      <c r="H231" s="62"/>
      <c r="I231" s="86"/>
      <c r="J231" s="86"/>
      <c r="K231" s="122"/>
      <c r="L231" s="62"/>
      <c r="M231" s="62"/>
      <c r="N231" s="87"/>
      <c r="O231" s="87"/>
      <c r="P231" s="79"/>
      <c r="Q231" s="81"/>
      <c r="R231" s="81"/>
      <c r="S231" s="81"/>
      <c r="T231" s="62"/>
      <c r="U231" s="86"/>
      <c r="V231" s="86"/>
      <c r="W231" s="122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3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3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3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3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7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3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3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3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7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3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3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7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3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7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7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7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3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3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7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3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7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7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3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3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3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3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7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7"/>
      <c r="P252" s="88"/>
      <c r="Q252" s="87"/>
      <c r="R252" s="87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3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7"/>
      <c r="P253" s="88"/>
      <c r="Q253" s="87"/>
      <c r="R253" s="87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3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7"/>
      <c r="P254" s="69"/>
      <c r="Q254" s="87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3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7"/>
      <c r="R255" s="87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3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3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7"/>
      <c r="R257" s="87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3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3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7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7"/>
      <c r="P260" s="69"/>
      <c r="Q260" s="87"/>
      <c r="R260" s="87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3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7"/>
      <c r="R261" s="87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3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3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7"/>
      <c r="P263" s="69"/>
      <c r="Q263" s="87"/>
      <c r="R263" s="87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3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3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3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3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7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7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7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7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7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7"/>
      <c r="C274" s="87"/>
      <c r="D274" s="87"/>
      <c r="E274" s="87"/>
      <c r="F274" s="87"/>
      <c r="G274" s="87"/>
      <c r="H274" s="62"/>
      <c r="I274" s="62"/>
      <c r="J274" s="62"/>
      <c r="K274" s="62"/>
      <c r="L274" s="62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7"/>
      <c r="C275" s="87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3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3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3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2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2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2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2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2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2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2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4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5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95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2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2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2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2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2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2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2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2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2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2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2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96"/>
      <c r="G395" s="27"/>
      <c r="I395" s="119" t="s">
        <v>18</v>
      </c>
      <c r="J395" s="120"/>
      <c r="K395" s="117" t="s">
        <v>19</v>
      </c>
      <c r="N395" s="25"/>
      <c r="O395" s="26"/>
      <c r="P395" s="121" t="s">
        <v>17</v>
      </c>
      <c r="Q395" s="121"/>
      <c r="R395" s="96"/>
      <c r="S395" s="27"/>
      <c r="U395" s="119" t="s">
        <v>18</v>
      </c>
      <c r="V395" s="120"/>
      <c r="W395" s="117" t="s">
        <v>19</v>
      </c>
      <c r="Z395" s="25"/>
      <c r="AA395" s="26"/>
      <c r="AB395" s="121" t="s">
        <v>17</v>
      </c>
      <c r="AC395" s="121"/>
      <c r="AD395" s="96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2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2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2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2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2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2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2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2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2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2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2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2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2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2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97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97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97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2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2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2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2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2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2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2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98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98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98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2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2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2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2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2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2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2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2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2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2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2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2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1" t="s">
        <v>17</v>
      </c>
      <c r="E560" s="121"/>
      <c r="F560" s="99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99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99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2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2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2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2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2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2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2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2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2"/>
      <c r="C607" s="102"/>
      <c r="D607" s="102"/>
      <c r="E607" s="102"/>
      <c r="F607" s="102"/>
      <c r="G607" s="102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2"/>
      <c r="C608" s="102"/>
      <c r="D608" s="102"/>
      <c r="E608" s="102"/>
      <c r="F608" s="102"/>
      <c r="G608" s="102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2"/>
      <c r="C609" s="102"/>
      <c r="D609" s="102"/>
      <c r="E609" s="102"/>
      <c r="F609" s="102"/>
      <c r="G609" s="102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2"/>
      <c r="C610" s="102"/>
      <c r="D610" s="102"/>
      <c r="E610" s="102"/>
      <c r="F610" s="102"/>
      <c r="G610" s="102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2"/>
      <c r="C611" s="102"/>
      <c r="D611" s="102"/>
      <c r="E611" s="102"/>
      <c r="F611" s="102"/>
      <c r="G611" s="102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2"/>
      <c r="C612" s="102"/>
      <c r="D612" s="102"/>
      <c r="E612" s="102"/>
      <c r="F612" s="102"/>
      <c r="G612" s="102"/>
      <c r="H612" s="62"/>
      <c r="I612" s="102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2"/>
      <c r="C613" s="102"/>
      <c r="D613" s="102"/>
      <c r="E613" s="102"/>
      <c r="F613" s="102"/>
      <c r="G613" s="102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2"/>
      <c r="C614" s="102"/>
      <c r="D614" s="102"/>
      <c r="E614" s="102"/>
      <c r="F614" s="102"/>
      <c r="G614" s="102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2"/>
      <c r="D615" s="123"/>
      <c r="E615" s="123"/>
      <c r="F615" s="102"/>
      <c r="G615" s="102"/>
      <c r="H615" s="62"/>
      <c r="I615" s="123"/>
      <c r="J615" s="123"/>
      <c r="K615" s="122"/>
      <c r="N615" s="25"/>
      <c r="O615" s="26"/>
      <c r="P615" s="121" t="s">
        <v>17</v>
      </c>
      <c r="Q615" s="121"/>
      <c r="R615" s="100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100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2"/>
      <c r="C616" s="102"/>
      <c r="D616" s="79"/>
      <c r="E616" s="80"/>
      <c r="F616" s="81"/>
      <c r="G616" s="81"/>
      <c r="H616" s="62"/>
      <c r="I616" s="101"/>
      <c r="J616" s="101"/>
      <c r="K616" s="122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3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3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3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3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3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3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3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3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3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3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2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3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3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3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3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3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3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3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3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2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3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3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3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3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3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3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3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3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3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3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3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3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3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3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2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2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2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2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2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2"/>
      <c r="C659" s="102"/>
      <c r="D659" s="102"/>
      <c r="E659" s="102"/>
      <c r="F659" s="102"/>
      <c r="G659" s="102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2"/>
      <c r="C660" s="102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3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3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3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2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2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2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2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2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2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2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2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2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4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4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4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2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60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60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2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65" si="201">SUM(P728:Q728)</f>
        <v>31939</v>
      </c>
      <c r="T728" s="12"/>
      <c r="U728" s="12">
        <f>36+81</f>
        <v>117</v>
      </c>
      <c r="V728" s="12"/>
      <c r="W728" s="12">
        <f t="shared" ref="W728:W768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65" si="203">SUM(AB728:AC728)</f>
        <v>1978.5</v>
      </c>
      <c r="AF728" s="12"/>
      <c r="AG728" s="12"/>
      <c r="AH728" s="12"/>
      <c r="AI728" s="12">
        <f t="shared" ref="AI728:AI768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2">
        <f t="shared" ref="C729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1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42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2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2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2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2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2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2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2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2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2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F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77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5"/>
      <c r="G780" s="27"/>
      <c r="I780" s="119" t="s">
        <v>18</v>
      </c>
      <c r="J780" s="120"/>
      <c r="K780" s="117" t="s">
        <v>19</v>
      </c>
      <c r="N780" s="25"/>
      <c r="O780" s="26"/>
      <c r="P780" s="121" t="s">
        <v>17</v>
      </c>
      <c r="Q780" s="121"/>
      <c r="R780" s="105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5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78</v>
      </c>
      <c r="C782" s="82">
        <v>9588</v>
      </c>
      <c r="D782" s="32">
        <f>650*3+670+9.5*8</f>
        <v>2696</v>
      </c>
      <c r="E782" s="32"/>
      <c r="F782" s="32"/>
      <c r="G782" s="32">
        <f t="shared" ref="G782:G815" si="213">SUM(D782:E782)</f>
        <v>2696</v>
      </c>
      <c r="H782" s="12"/>
      <c r="I782" s="12"/>
      <c r="J782" s="12"/>
      <c r="K782" s="12">
        <f t="shared" ref="K782:K815" si="214">SUM(G782:J782)</f>
        <v>2696</v>
      </c>
      <c r="M782" s="10">
        <v>1</v>
      </c>
      <c r="N782" s="30" t="s">
        <v>78</v>
      </c>
      <c r="O782" s="31">
        <v>9718</v>
      </c>
      <c r="P782" s="32">
        <f>650*58+229*2</f>
        <v>38158</v>
      </c>
      <c r="Q782" s="32"/>
      <c r="R782" s="32"/>
      <c r="S782" s="32">
        <f>SUM(P782:Q782)</f>
        <v>38158</v>
      </c>
      <c r="T782" s="12"/>
      <c r="U782" s="12"/>
      <c r="V782" s="12"/>
      <c r="W782" s="12">
        <f>SUM(S782:V782)</f>
        <v>38158</v>
      </c>
      <c r="Y782" s="10">
        <v>1</v>
      </c>
      <c r="Z782" s="30" t="s">
        <v>78</v>
      </c>
      <c r="AA782" s="31">
        <v>9678</v>
      </c>
      <c r="AB782" s="32">
        <f>650*58+622*50+229*6</f>
        <v>70174</v>
      </c>
      <c r="AC782" s="32">
        <f>-108*6</f>
        <v>-648</v>
      </c>
      <c r="AD782" s="32"/>
      <c r="AE782" s="32">
        <f>SUM(AB782:AC782)</f>
        <v>69526</v>
      </c>
      <c r="AF782" s="12"/>
      <c r="AG782" s="12"/>
      <c r="AH782" s="12">
        <f>-111*214+-78*10</f>
        <v>-24534</v>
      </c>
      <c r="AI782" s="12">
        <f>SUM(AE782:AH782)</f>
        <v>44992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78</v>
      </c>
      <c r="C783" s="82">
        <f>C782+1</f>
        <v>9589</v>
      </c>
      <c r="D783" s="32">
        <f>650*3+670*2+622+9.5*4</f>
        <v>3950</v>
      </c>
      <c r="E783" s="32"/>
      <c r="F783" s="32"/>
      <c r="G783" s="32">
        <f t="shared" si="213"/>
        <v>3950</v>
      </c>
      <c r="H783" s="12"/>
      <c r="I783" s="12">
        <v>18</v>
      </c>
      <c r="J783" s="12"/>
      <c r="K783" s="12">
        <f t="shared" si="214"/>
        <v>3968</v>
      </c>
      <c r="M783" s="10">
        <v>2</v>
      </c>
      <c r="N783" s="30" t="s">
        <v>78</v>
      </c>
      <c r="O783" s="31">
        <f>O782+1</f>
        <v>9719</v>
      </c>
      <c r="P783" s="32">
        <f>650*83+670*4+622*17+229*2</f>
        <v>67662</v>
      </c>
      <c r="Q783" s="32">
        <f>-104*6</f>
        <v>-624</v>
      </c>
      <c r="R783" s="32"/>
      <c r="S783" s="32">
        <f t="shared" ref="S783:S820" si="215">SUM(P783:Q783)</f>
        <v>67038</v>
      </c>
      <c r="T783" s="12"/>
      <c r="U783" s="12">
        <v>72</v>
      </c>
      <c r="V783" s="12"/>
      <c r="W783" s="12">
        <f t="shared" ref="W783:W823" si="216">SUM(S783:V783)</f>
        <v>67110</v>
      </c>
      <c r="Y783" s="10">
        <v>2</v>
      </c>
      <c r="Z783" s="30" t="s">
        <v>78</v>
      </c>
      <c r="AA783" s="31">
        <f>AA782+1</f>
        <v>9679</v>
      </c>
      <c r="AB783" s="32">
        <f>650*75+229*3</f>
        <v>49437</v>
      </c>
      <c r="AC783" s="32">
        <f>-75*6</f>
        <v>-450</v>
      </c>
      <c r="AD783" s="32"/>
      <c r="AE783" s="32">
        <f t="shared" ref="AE783:AE820" si="217">SUM(AB783:AC783)</f>
        <v>48987</v>
      </c>
      <c r="AF783" s="12"/>
      <c r="AG783" s="12"/>
      <c r="AH783" s="12"/>
      <c r="AI783" s="12">
        <f t="shared" ref="AI783:AI823" si="218">SUM(AE783:AH783)</f>
        <v>48987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78</v>
      </c>
      <c r="C784" s="82">
        <f t="shared" ref="C784:C790" si="219">C783+1</f>
        <v>9590</v>
      </c>
      <c r="D784" s="33">
        <f>650*100+670*2+622*14</f>
        <v>75048</v>
      </c>
      <c r="E784" s="33"/>
      <c r="F784" s="33"/>
      <c r="G784" s="33">
        <f t="shared" si="213"/>
        <v>75048</v>
      </c>
      <c r="H784" s="34"/>
      <c r="I784" s="34"/>
      <c r="J784" s="34"/>
      <c r="K784" s="34">
        <f t="shared" si="214"/>
        <v>75048</v>
      </c>
      <c r="M784" s="10">
        <v>3</v>
      </c>
      <c r="N784" s="30" t="s">
        <v>78</v>
      </c>
      <c r="O784" s="31">
        <f t="shared" ref="O784:O791" si="220">O783+1</f>
        <v>9720</v>
      </c>
      <c r="P784" s="32">
        <f>650*25+229</f>
        <v>16479</v>
      </c>
      <c r="Q784" s="32"/>
      <c r="R784" s="32"/>
      <c r="S784" s="32">
        <f t="shared" si="215"/>
        <v>16479</v>
      </c>
      <c r="T784" s="12"/>
      <c r="U784" s="12"/>
      <c r="V784" s="12">
        <v>-777</v>
      </c>
      <c r="W784" s="12">
        <f t="shared" si="216"/>
        <v>15702</v>
      </c>
      <c r="Y784" s="10">
        <v>3</v>
      </c>
      <c r="Z784" s="30" t="s">
        <v>78</v>
      </c>
      <c r="AA784" s="31">
        <v>9681</v>
      </c>
      <c r="AB784" s="33">
        <f>650*280+670*5+622*60+1050*10+229*10</f>
        <v>235460</v>
      </c>
      <c r="AC784" s="33">
        <f>-355*6</f>
        <v>-2130</v>
      </c>
      <c r="AD784" s="32"/>
      <c r="AE784" s="32">
        <f t="shared" si="217"/>
        <v>233330</v>
      </c>
      <c r="AF784" s="12"/>
      <c r="AG784" s="12"/>
      <c r="AH784" s="12"/>
      <c r="AI784" s="12">
        <f t="shared" si="218"/>
        <v>233330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78</v>
      </c>
      <c r="C785" s="82">
        <f t="shared" si="219"/>
        <v>9591</v>
      </c>
      <c r="D785" s="32">
        <f>650*8+622*2+9.5*10</f>
        <v>6539</v>
      </c>
      <c r="E785" s="32"/>
      <c r="F785" s="32"/>
      <c r="G785" s="32">
        <f t="shared" si="213"/>
        <v>6539</v>
      </c>
      <c r="H785" s="12"/>
      <c r="I785" s="12"/>
      <c r="J785" s="12"/>
      <c r="K785" s="12">
        <f t="shared" si="214"/>
        <v>6539</v>
      </c>
      <c r="M785" s="10">
        <v>4</v>
      </c>
      <c r="N785" s="30" t="s">
        <v>78</v>
      </c>
      <c r="O785" s="31">
        <f t="shared" si="220"/>
        <v>9721</v>
      </c>
      <c r="P785" s="32">
        <f>650*3+9.5*3</f>
        <v>1978.5</v>
      </c>
      <c r="Q785" s="32"/>
      <c r="R785" s="32"/>
      <c r="S785" s="32">
        <f t="shared" si="215"/>
        <v>1978.5</v>
      </c>
      <c r="T785" s="12"/>
      <c r="U785" s="12"/>
      <c r="V785" s="12">
        <v>-240</v>
      </c>
      <c r="W785" s="12">
        <f t="shared" si="216"/>
        <v>1738.5</v>
      </c>
      <c r="Y785" s="10">
        <v>4</v>
      </c>
      <c r="Z785" s="30" t="s">
        <v>78</v>
      </c>
      <c r="AA785" s="31">
        <f t="shared" ref="AA785:AA786" si="221">AA784+1</f>
        <v>9682</v>
      </c>
      <c r="AB785" s="32">
        <f>650*13+670*2</f>
        <v>9790</v>
      </c>
      <c r="AC785" s="32"/>
      <c r="AD785" s="32"/>
      <c r="AE785" s="32">
        <f t="shared" si="217"/>
        <v>9790</v>
      </c>
      <c r="AF785" s="12"/>
      <c r="AG785" s="58"/>
      <c r="AH785" s="12"/>
      <c r="AI785" s="12">
        <f t="shared" si="218"/>
        <v>9790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78</v>
      </c>
      <c r="C786" s="82">
        <f t="shared" si="219"/>
        <v>9592</v>
      </c>
      <c r="D786" s="32">
        <f>650*324+229*13</f>
        <v>213577</v>
      </c>
      <c r="E786" s="32">
        <f>-324*6</f>
        <v>-1944</v>
      </c>
      <c r="F786" s="32"/>
      <c r="G786" s="32">
        <f t="shared" si="213"/>
        <v>211633</v>
      </c>
      <c r="H786" s="12"/>
      <c r="I786" s="12">
        <f>156+1.5*216</f>
        <v>480</v>
      </c>
      <c r="J786" s="12">
        <f>-120+-12210+-7140</f>
        <v>-19470</v>
      </c>
      <c r="K786" s="12">
        <f t="shared" si="214"/>
        <v>192643</v>
      </c>
      <c r="M786" s="10">
        <v>5</v>
      </c>
      <c r="N786" s="30" t="s">
        <v>78</v>
      </c>
      <c r="O786" s="31">
        <f t="shared" si="220"/>
        <v>9722</v>
      </c>
      <c r="P786" s="32">
        <f>650*93+229*3</f>
        <v>61137</v>
      </c>
      <c r="Q786" s="32"/>
      <c r="R786" s="32"/>
      <c r="S786" s="32">
        <f t="shared" si="215"/>
        <v>61137</v>
      </c>
      <c r="T786" s="12"/>
      <c r="U786" s="12">
        <f>108+162</f>
        <v>270</v>
      </c>
      <c r="V786" s="12"/>
      <c r="W786" s="12">
        <f t="shared" si="216"/>
        <v>61407</v>
      </c>
      <c r="Y786" s="10">
        <v>5</v>
      </c>
      <c r="Z786" s="30" t="s">
        <v>78</v>
      </c>
      <c r="AA786" s="31">
        <f t="shared" si="221"/>
        <v>9683</v>
      </c>
      <c r="AB786" s="32">
        <f>650*4+622*2+9.5*6</f>
        <v>3901</v>
      </c>
      <c r="AC786" s="32"/>
      <c r="AD786" s="32"/>
      <c r="AE786" s="32">
        <f t="shared" si="217"/>
        <v>3901</v>
      </c>
      <c r="AF786" s="12"/>
      <c r="AG786" s="12"/>
      <c r="AH786" s="12"/>
      <c r="AI786" s="12">
        <f t="shared" si="218"/>
        <v>3901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78</v>
      </c>
      <c r="C787" s="82">
        <f t="shared" si="219"/>
        <v>9593</v>
      </c>
      <c r="D787" s="32">
        <f>622*2+9.5*2</f>
        <v>1263</v>
      </c>
      <c r="E787" s="32"/>
      <c r="F787" s="32"/>
      <c r="G787" s="32">
        <f t="shared" si="213"/>
        <v>1263</v>
      </c>
      <c r="H787" s="12"/>
      <c r="I787" s="12"/>
      <c r="J787" s="12"/>
      <c r="K787" s="12">
        <f t="shared" si="214"/>
        <v>1263</v>
      </c>
      <c r="M787" s="10">
        <v>6</v>
      </c>
      <c r="N787" s="30" t="s">
        <v>78</v>
      </c>
      <c r="O787" s="31">
        <f t="shared" si="220"/>
        <v>9723</v>
      </c>
      <c r="P787" s="32">
        <f>650*20+9.5*20</f>
        <v>13190</v>
      </c>
      <c r="Q787" s="32"/>
      <c r="R787" s="32"/>
      <c r="S787" s="32">
        <f t="shared" si="215"/>
        <v>13190</v>
      </c>
      <c r="T787" s="12"/>
      <c r="U787" s="12">
        <v>189</v>
      </c>
      <c r="V787" s="10"/>
      <c r="W787" s="12">
        <f t="shared" si="216"/>
        <v>13379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17"/>
        <v>0</v>
      </c>
      <c r="AF787" s="12"/>
      <c r="AG787" s="12"/>
      <c r="AH787" s="10"/>
      <c r="AI787" s="12">
        <f t="shared" si="21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78</v>
      </c>
      <c r="C788" s="82">
        <f t="shared" si="219"/>
        <v>9594</v>
      </c>
      <c r="D788" s="32">
        <f>650*18</f>
        <v>11700</v>
      </c>
      <c r="E788" s="32"/>
      <c r="F788" s="32"/>
      <c r="G788" s="32">
        <f t="shared" si="213"/>
        <v>11700</v>
      </c>
      <c r="H788" s="12"/>
      <c r="I788" s="12"/>
      <c r="J788" s="12"/>
      <c r="K788" s="12">
        <f t="shared" si="214"/>
        <v>11700</v>
      </c>
      <c r="M788" s="10">
        <v>7</v>
      </c>
      <c r="N788" s="30" t="s">
        <v>78</v>
      </c>
      <c r="O788" s="31">
        <f t="shared" si="220"/>
        <v>9724</v>
      </c>
      <c r="P788" s="32">
        <f>650*18</f>
        <v>11700</v>
      </c>
      <c r="Q788" s="32"/>
      <c r="R788" s="32"/>
      <c r="S788" s="32">
        <f t="shared" si="215"/>
        <v>11700</v>
      </c>
      <c r="T788" s="12"/>
      <c r="U788" s="12">
        <v>18</v>
      </c>
      <c r="V788" s="12"/>
      <c r="W788" s="12">
        <f t="shared" si="216"/>
        <v>11718</v>
      </c>
      <c r="Y788" s="10">
        <v>7</v>
      </c>
      <c r="Z788" s="30"/>
      <c r="AA788" s="31"/>
      <c r="AB788" s="32"/>
      <c r="AC788" s="32"/>
      <c r="AD788" s="32"/>
      <c r="AE788" s="32">
        <f t="shared" si="217"/>
        <v>0</v>
      </c>
      <c r="AF788" s="12"/>
      <c r="AG788" s="58"/>
      <c r="AH788" s="12"/>
      <c r="AI788" s="12">
        <f t="shared" si="21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78</v>
      </c>
      <c r="C789" s="82">
        <v>9596</v>
      </c>
      <c r="D789" s="32">
        <f>973*65+912*2+872*2+500</f>
        <v>67313</v>
      </c>
      <c r="E789" s="32"/>
      <c r="F789" s="32"/>
      <c r="G789" s="32">
        <f t="shared" si="213"/>
        <v>67313</v>
      </c>
      <c r="H789" s="12"/>
      <c r="I789" s="12"/>
      <c r="J789" s="12"/>
      <c r="K789" s="12">
        <f t="shared" si="214"/>
        <v>67313</v>
      </c>
      <c r="M789" s="10">
        <v>8</v>
      </c>
      <c r="N789" s="30" t="s">
        <v>78</v>
      </c>
      <c r="O789" s="31">
        <f t="shared" si="220"/>
        <v>9725</v>
      </c>
      <c r="P789" s="32">
        <f>650*9+973</f>
        <v>6823</v>
      </c>
      <c r="Q789" s="32"/>
      <c r="R789" s="32"/>
      <c r="S789" s="32">
        <f t="shared" si="215"/>
        <v>6823</v>
      </c>
      <c r="T789" s="12"/>
      <c r="U789" s="12"/>
      <c r="V789" s="12"/>
      <c r="W789" s="12">
        <f t="shared" si="216"/>
        <v>6823</v>
      </c>
      <c r="Y789" s="10">
        <v>8</v>
      </c>
      <c r="Z789" s="30"/>
      <c r="AA789" s="31"/>
      <c r="AB789" s="32"/>
      <c r="AC789" s="32"/>
      <c r="AE789" s="32">
        <f t="shared" si="217"/>
        <v>0</v>
      </c>
      <c r="AF789" s="12"/>
      <c r="AG789" s="12"/>
      <c r="AH789" s="12"/>
      <c r="AI789" s="12">
        <f t="shared" si="21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78</v>
      </c>
      <c r="C790" s="82">
        <f t="shared" si="219"/>
        <v>9597</v>
      </c>
      <c r="D790" s="32">
        <f>700*2+1582+500</f>
        <v>3482</v>
      </c>
      <c r="E790" s="32"/>
      <c r="F790" s="32"/>
      <c r="G790" s="32">
        <f t="shared" si="213"/>
        <v>3482</v>
      </c>
      <c r="H790" s="12"/>
      <c r="I790" s="12">
        <f>240+222</f>
        <v>462</v>
      </c>
      <c r="J790" s="12"/>
      <c r="K790" s="12">
        <f t="shared" si="214"/>
        <v>3944</v>
      </c>
      <c r="M790" s="10">
        <v>9</v>
      </c>
      <c r="N790" s="30" t="s">
        <v>78</v>
      </c>
      <c r="O790" s="31">
        <f t="shared" si="220"/>
        <v>9726</v>
      </c>
      <c r="P790" s="32">
        <f>650*14+229</f>
        <v>9329</v>
      </c>
      <c r="Q790" s="32"/>
      <c r="R790" s="32"/>
      <c r="S790" s="32">
        <f t="shared" si="215"/>
        <v>9329</v>
      </c>
      <c r="T790" s="12"/>
      <c r="U790" s="12"/>
      <c r="V790" s="12"/>
      <c r="W790" s="12">
        <f t="shared" si="216"/>
        <v>9329</v>
      </c>
      <c r="Y790" s="10">
        <v>9</v>
      </c>
      <c r="Z790" s="30"/>
      <c r="AA790" s="31"/>
      <c r="AB790" s="32"/>
      <c r="AC790" s="32"/>
      <c r="AD790" s="32"/>
      <c r="AE790" s="32">
        <f t="shared" si="217"/>
        <v>0</v>
      </c>
      <c r="AF790" s="12"/>
      <c r="AH790" s="12"/>
      <c r="AI790" s="12">
        <f t="shared" si="21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11" t="s">
        <v>27</v>
      </c>
      <c r="D791" s="32"/>
      <c r="E791" s="32"/>
      <c r="F791" s="32"/>
      <c r="G791" s="32">
        <f t="shared" si="213"/>
        <v>0</v>
      </c>
      <c r="H791" s="12"/>
      <c r="I791" s="12"/>
      <c r="J791" s="12"/>
      <c r="K791" s="12">
        <f t="shared" si="214"/>
        <v>0</v>
      </c>
      <c r="M791" s="10">
        <v>10</v>
      </c>
      <c r="N791" s="30" t="s">
        <v>78</v>
      </c>
      <c r="O791" s="31">
        <f t="shared" si="220"/>
        <v>9727</v>
      </c>
      <c r="P791" s="32">
        <f>650*3</f>
        <v>1950</v>
      </c>
      <c r="Q791" s="32"/>
      <c r="R791" s="32"/>
      <c r="S791" s="32">
        <f t="shared" si="215"/>
        <v>1950</v>
      </c>
      <c r="T791" s="12"/>
      <c r="U791" s="12"/>
      <c r="V791" s="12"/>
      <c r="W791" s="12">
        <f t="shared" si="216"/>
        <v>1950</v>
      </c>
      <c r="Y791" s="10">
        <v>10</v>
      </c>
      <c r="Z791" s="30"/>
      <c r="AA791" s="31"/>
      <c r="AB791" s="32"/>
      <c r="AC791" s="32"/>
      <c r="AD791" s="32"/>
      <c r="AE791" s="32">
        <f t="shared" si="217"/>
        <v>0</v>
      </c>
      <c r="AF791" s="12"/>
      <c r="AG791" s="12"/>
      <c r="AH791" s="12"/>
      <c r="AI791" s="12">
        <f t="shared" si="21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2"/>
      <c r="D792" s="32"/>
      <c r="E792" s="32"/>
      <c r="F792" s="32"/>
      <c r="G792" s="32">
        <f t="shared" si="213"/>
        <v>0</v>
      </c>
      <c r="H792" s="12"/>
      <c r="I792" s="12"/>
      <c r="J792" s="12"/>
      <c r="K792" s="12">
        <f t="shared" si="214"/>
        <v>0</v>
      </c>
      <c r="M792" s="10">
        <v>11</v>
      </c>
      <c r="N792" s="30"/>
      <c r="O792" s="11" t="s">
        <v>27</v>
      </c>
      <c r="P792" s="32"/>
      <c r="Q792" s="32"/>
      <c r="R792" s="32"/>
      <c r="S792" s="32">
        <f t="shared" si="215"/>
        <v>0</v>
      </c>
      <c r="T792" s="12"/>
      <c r="U792" s="12"/>
      <c r="V792" s="12"/>
      <c r="W792" s="12">
        <f t="shared" si="216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17"/>
        <v>0</v>
      </c>
      <c r="AF792" s="12"/>
      <c r="AG792" s="12"/>
      <c r="AH792" s="12"/>
      <c r="AI792" s="12">
        <f t="shared" si="21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2"/>
      <c r="D793" s="32"/>
      <c r="E793" s="32"/>
      <c r="F793" s="32"/>
      <c r="G793" s="32">
        <f t="shared" si="213"/>
        <v>0</v>
      </c>
      <c r="H793" s="12"/>
      <c r="I793" s="12"/>
      <c r="J793" s="10"/>
      <c r="K793" s="12">
        <f t="shared" si="214"/>
        <v>0</v>
      </c>
      <c r="M793" s="10">
        <v>12</v>
      </c>
      <c r="N793" s="30"/>
      <c r="O793" s="31"/>
      <c r="P793" s="32"/>
      <c r="Q793" s="32"/>
      <c r="R793" s="32"/>
      <c r="S793" s="32">
        <f t="shared" si="215"/>
        <v>0</v>
      </c>
      <c r="T793" s="12"/>
      <c r="U793" s="12"/>
      <c r="V793" s="12"/>
      <c r="W793" s="12">
        <f t="shared" si="216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7"/>
        <v>0</v>
      </c>
      <c r="AF793" s="12"/>
      <c r="AG793" s="12"/>
      <c r="AH793" s="12"/>
      <c r="AI793" s="12">
        <f t="shared" si="21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2"/>
      <c r="D794" s="32"/>
      <c r="E794" s="32"/>
      <c r="F794" s="32"/>
      <c r="G794" s="32">
        <f t="shared" si="213"/>
        <v>0</v>
      </c>
      <c r="H794" s="12"/>
      <c r="I794" s="12"/>
      <c r="J794" s="12"/>
      <c r="K794" s="12">
        <f t="shared" si="214"/>
        <v>0</v>
      </c>
      <c r="M794" s="10">
        <v>13</v>
      </c>
      <c r="N794" s="30"/>
      <c r="O794" s="31"/>
      <c r="P794" s="32"/>
      <c r="Q794" s="32"/>
      <c r="R794" s="32"/>
      <c r="S794" s="32">
        <f t="shared" si="215"/>
        <v>0</v>
      </c>
      <c r="T794" s="12"/>
      <c r="U794" s="12"/>
      <c r="V794" s="12"/>
      <c r="W794" s="12">
        <f t="shared" si="216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7"/>
        <v>0</v>
      </c>
      <c r="AF794" s="12"/>
      <c r="AG794" s="12"/>
      <c r="AH794" s="12"/>
      <c r="AI794" s="12">
        <f t="shared" si="21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2"/>
      <c r="D795" s="32"/>
      <c r="E795" s="32"/>
      <c r="F795" s="32"/>
      <c r="G795" s="32">
        <f t="shared" si="213"/>
        <v>0</v>
      </c>
      <c r="H795" s="12"/>
      <c r="I795" s="12"/>
      <c r="J795" s="12"/>
      <c r="K795" s="12">
        <f t="shared" si="214"/>
        <v>0</v>
      </c>
      <c r="M795" s="10">
        <v>14</v>
      </c>
      <c r="N795" s="30"/>
      <c r="O795" s="31"/>
      <c r="P795" s="32"/>
      <c r="Q795" s="32"/>
      <c r="R795" s="32"/>
      <c r="S795" s="32">
        <f t="shared" si="215"/>
        <v>0</v>
      </c>
      <c r="T795" s="12"/>
      <c r="U795" s="12"/>
      <c r="V795" s="12"/>
      <c r="W795" s="12">
        <f t="shared" si="216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7"/>
        <v>0</v>
      </c>
      <c r="AF795" s="12"/>
      <c r="AG795" s="12"/>
      <c r="AH795" s="12"/>
      <c r="AI795" s="12">
        <f t="shared" si="21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2"/>
      <c r="D796" s="32"/>
      <c r="E796" s="32"/>
      <c r="F796" s="32"/>
      <c r="G796" s="32">
        <f t="shared" si="213"/>
        <v>0</v>
      </c>
      <c r="H796" s="12"/>
      <c r="I796" s="12"/>
      <c r="J796" s="12"/>
      <c r="K796" s="12">
        <f t="shared" si="214"/>
        <v>0</v>
      </c>
      <c r="M796" s="10">
        <v>15</v>
      </c>
      <c r="N796" s="30"/>
      <c r="O796" s="31"/>
      <c r="P796" s="32"/>
      <c r="Q796" s="32"/>
      <c r="R796" s="32"/>
      <c r="S796" s="32">
        <f t="shared" si="215"/>
        <v>0</v>
      </c>
      <c r="T796" s="12"/>
      <c r="U796" s="12"/>
      <c r="V796" s="12"/>
      <c r="W796" s="12">
        <f t="shared" si="216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7"/>
        <v>0</v>
      </c>
      <c r="AF796" s="12"/>
      <c r="AG796" s="12"/>
      <c r="AH796" s="12"/>
      <c r="AI796" s="12">
        <f t="shared" si="21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2"/>
      <c r="D797" s="32"/>
      <c r="E797" s="32"/>
      <c r="F797" s="32"/>
      <c r="G797" s="32">
        <f t="shared" si="213"/>
        <v>0</v>
      </c>
      <c r="H797" s="12"/>
      <c r="I797" s="12"/>
      <c r="J797" s="12"/>
      <c r="K797" s="12">
        <f t="shared" si="214"/>
        <v>0</v>
      </c>
      <c r="M797" s="10">
        <v>16</v>
      </c>
      <c r="N797" s="30"/>
      <c r="O797" s="11"/>
      <c r="P797" s="32"/>
      <c r="Q797" s="32"/>
      <c r="R797" s="32"/>
      <c r="S797" s="32">
        <f t="shared" si="215"/>
        <v>0</v>
      </c>
      <c r="T797" s="12"/>
      <c r="U797" s="12"/>
      <c r="V797" s="12"/>
      <c r="W797" s="12">
        <f t="shared" si="216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17"/>
        <v>0</v>
      </c>
      <c r="AF797" s="12"/>
      <c r="AG797" s="12"/>
      <c r="AH797" s="12"/>
      <c r="AI797" s="12">
        <f t="shared" si="21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2"/>
      <c r="D798" s="32"/>
      <c r="E798" s="32"/>
      <c r="F798" s="32"/>
      <c r="G798" s="32">
        <f t="shared" si="213"/>
        <v>0</v>
      </c>
      <c r="H798" s="12"/>
      <c r="I798" s="12"/>
      <c r="J798" s="12"/>
      <c r="K798" s="12">
        <f t="shared" si="214"/>
        <v>0</v>
      </c>
      <c r="M798" s="10">
        <v>17</v>
      </c>
      <c r="N798" s="30"/>
      <c r="O798" s="31"/>
      <c r="P798" s="35"/>
      <c r="Q798" s="32"/>
      <c r="R798" s="32"/>
      <c r="S798" s="32">
        <f t="shared" si="215"/>
        <v>0</v>
      </c>
      <c r="T798" s="12"/>
      <c r="U798" s="12"/>
      <c r="V798" s="12"/>
      <c r="W798" s="12">
        <f t="shared" si="216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7"/>
        <v>0</v>
      </c>
      <c r="AF798" s="12"/>
      <c r="AG798" s="12"/>
      <c r="AH798" s="12"/>
      <c r="AI798" s="12">
        <f t="shared" si="21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2"/>
      <c r="D799" s="32"/>
      <c r="E799" s="32"/>
      <c r="F799" s="32"/>
      <c r="G799" s="32">
        <f t="shared" si="213"/>
        <v>0</v>
      </c>
      <c r="H799" s="12"/>
      <c r="I799" s="12"/>
      <c r="J799" s="12"/>
      <c r="K799" s="12">
        <f t="shared" si="214"/>
        <v>0</v>
      </c>
      <c r="M799" s="10">
        <v>18</v>
      </c>
      <c r="N799" s="30"/>
      <c r="O799" s="31"/>
      <c r="P799" s="32"/>
      <c r="Q799" s="32"/>
      <c r="R799" s="32"/>
      <c r="S799" s="32">
        <f t="shared" si="215"/>
        <v>0</v>
      </c>
      <c r="T799" s="12"/>
      <c r="U799" s="12"/>
      <c r="V799" s="12"/>
      <c r="W799" s="12">
        <f t="shared" si="216"/>
        <v>0</v>
      </c>
      <c r="Y799" s="10">
        <v>18</v>
      </c>
      <c r="Z799" s="30"/>
      <c r="AB799" s="32"/>
      <c r="AC799" s="32"/>
      <c r="AD799" s="32"/>
      <c r="AE799" s="32">
        <f t="shared" si="217"/>
        <v>0</v>
      </c>
      <c r="AF799" s="12"/>
      <c r="AG799" s="12"/>
      <c r="AH799" s="12"/>
      <c r="AI799" s="12">
        <f t="shared" si="21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2"/>
      <c r="D800" s="32"/>
      <c r="E800" s="32"/>
      <c r="F800" s="32"/>
      <c r="G800" s="32">
        <f t="shared" si="213"/>
        <v>0</v>
      </c>
      <c r="H800" s="12"/>
      <c r="I800" s="12"/>
      <c r="J800" s="12"/>
      <c r="K800" s="12">
        <f t="shared" si="214"/>
        <v>0</v>
      </c>
      <c r="M800" s="10">
        <v>19</v>
      </c>
      <c r="N800" s="30"/>
      <c r="O800" s="31"/>
      <c r="P800" s="32"/>
      <c r="Q800" s="32"/>
      <c r="R800" s="32"/>
      <c r="S800" s="32">
        <f t="shared" si="215"/>
        <v>0</v>
      </c>
      <c r="T800" s="12"/>
      <c r="U800" s="12"/>
      <c r="V800" s="12"/>
      <c r="W800" s="12">
        <f t="shared" si="216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7"/>
        <v>0</v>
      </c>
      <c r="AF800" s="12"/>
      <c r="AG800" s="12"/>
      <c r="AH800" s="12"/>
      <c r="AI800" s="12">
        <f t="shared" si="21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2"/>
      <c r="D801" s="32"/>
      <c r="E801" s="32"/>
      <c r="F801" s="32"/>
      <c r="G801" s="32">
        <f t="shared" si="213"/>
        <v>0</v>
      </c>
      <c r="H801" s="12"/>
      <c r="I801" s="12"/>
      <c r="J801" s="12"/>
      <c r="K801" s="12">
        <f t="shared" si="214"/>
        <v>0</v>
      </c>
      <c r="M801" s="10">
        <v>20</v>
      </c>
      <c r="N801" s="30"/>
      <c r="O801" s="31"/>
      <c r="P801" s="32"/>
      <c r="Q801" s="32"/>
      <c r="R801" s="32"/>
      <c r="S801" s="32">
        <f t="shared" si="215"/>
        <v>0</v>
      </c>
      <c r="T801" s="12"/>
      <c r="U801" s="12"/>
      <c r="V801" s="12"/>
      <c r="W801" s="12">
        <f t="shared" si="216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7"/>
        <v>0</v>
      </c>
      <c r="AF801" s="12"/>
      <c r="AG801" s="12"/>
      <c r="AH801" s="12"/>
      <c r="AI801" s="12">
        <f t="shared" si="21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D802" s="32"/>
      <c r="E802" s="32"/>
      <c r="F802" s="32"/>
      <c r="G802" s="32">
        <f t="shared" si="213"/>
        <v>0</v>
      </c>
      <c r="H802" s="10"/>
      <c r="I802" s="10"/>
      <c r="J802" s="10"/>
      <c r="K802" s="12">
        <f t="shared" si="214"/>
        <v>0</v>
      </c>
      <c r="M802" s="10">
        <v>21</v>
      </c>
      <c r="N802" s="30"/>
      <c r="O802" s="31"/>
      <c r="P802" s="46"/>
      <c r="Q802" s="31"/>
      <c r="R802" s="31"/>
      <c r="S802" s="32">
        <f t="shared" si="215"/>
        <v>0</v>
      </c>
      <c r="T802" s="10"/>
      <c r="U802" s="10"/>
      <c r="V802" s="10"/>
      <c r="W802" s="12">
        <f t="shared" si="216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17"/>
        <v>0</v>
      </c>
      <c r="AF802" s="10"/>
      <c r="AG802" s="10"/>
      <c r="AH802" s="10"/>
      <c r="AI802" s="12">
        <f t="shared" si="21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13"/>
        <v>0</v>
      </c>
      <c r="H803" s="10"/>
      <c r="I803" s="10"/>
      <c r="J803" s="10"/>
      <c r="K803" s="12">
        <f t="shared" si="214"/>
        <v>0</v>
      </c>
      <c r="M803" s="10">
        <v>22</v>
      </c>
      <c r="N803" s="30"/>
      <c r="O803" s="31"/>
      <c r="P803" s="45"/>
      <c r="Q803" s="31"/>
      <c r="R803" s="31"/>
      <c r="S803" s="32">
        <f t="shared" si="215"/>
        <v>0</v>
      </c>
      <c r="T803" s="10"/>
      <c r="U803" s="10"/>
      <c r="V803" s="10"/>
      <c r="W803" s="12">
        <f t="shared" si="216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7"/>
        <v>0</v>
      </c>
      <c r="AF803" s="10"/>
      <c r="AG803" s="10"/>
      <c r="AH803" s="10"/>
      <c r="AI803" s="12">
        <f t="shared" si="21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2"/>
      <c r="D804" s="32"/>
      <c r="E804" s="32"/>
      <c r="F804" s="32"/>
      <c r="G804" s="32">
        <f t="shared" si="213"/>
        <v>0</v>
      </c>
      <c r="H804" s="10"/>
      <c r="I804" s="10"/>
      <c r="J804" s="12"/>
      <c r="K804" s="12">
        <f t="shared" si="214"/>
        <v>0</v>
      </c>
      <c r="M804" s="10">
        <v>23</v>
      </c>
      <c r="N804" s="30"/>
      <c r="O804" s="31"/>
      <c r="P804" s="47"/>
      <c r="Q804" s="31"/>
      <c r="S804" s="32">
        <f t="shared" si="215"/>
        <v>0</v>
      </c>
      <c r="T804" s="10"/>
      <c r="U804" s="10"/>
      <c r="V804" s="10"/>
      <c r="W804" s="12">
        <f t="shared" si="216"/>
        <v>0</v>
      </c>
      <c r="Y804" s="10">
        <v>23</v>
      </c>
      <c r="Z804" s="30"/>
      <c r="AA804" s="31"/>
      <c r="AB804" s="47"/>
      <c r="AE804" s="32">
        <f t="shared" si="217"/>
        <v>0</v>
      </c>
      <c r="AF804" s="10"/>
      <c r="AG804" s="10"/>
      <c r="AH804" s="10"/>
      <c r="AI804" s="12">
        <f t="shared" si="21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2"/>
      <c r="D805" s="32"/>
      <c r="E805" s="32"/>
      <c r="F805" s="32"/>
      <c r="G805" s="32">
        <f t="shared" si="213"/>
        <v>0</v>
      </c>
      <c r="H805" s="10"/>
      <c r="I805" s="10"/>
      <c r="J805" s="10"/>
      <c r="K805" s="12">
        <f t="shared" si="214"/>
        <v>0</v>
      </c>
      <c r="M805" s="10">
        <v>24</v>
      </c>
      <c r="N805" s="30"/>
      <c r="O805" s="31"/>
      <c r="P805" s="47"/>
      <c r="Q805" s="31"/>
      <c r="R805" s="31"/>
      <c r="S805" s="32">
        <f t="shared" si="215"/>
        <v>0</v>
      </c>
      <c r="T805" s="10"/>
      <c r="U805" s="10"/>
      <c r="V805" s="10"/>
      <c r="W805" s="12">
        <f t="shared" si="216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7"/>
        <v>0</v>
      </c>
      <c r="AF805" s="10"/>
      <c r="AG805" s="10"/>
      <c r="AH805" s="10"/>
      <c r="AI805" s="12">
        <f t="shared" si="21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2"/>
      <c r="D806" s="32"/>
      <c r="E806" s="32"/>
      <c r="F806" s="32"/>
      <c r="G806" s="32">
        <f t="shared" si="213"/>
        <v>0</v>
      </c>
      <c r="H806" s="10"/>
      <c r="I806" s="10"/>
      <c r="J806" s="10"/>
      <c r="K806" s="12">
        <f t="shared" si="214"/>
        <v>0</v>
      </c>
      <c r="M806" s="10">
        <v>25</v>
      </c>
      <c r="N806" s="30"/>
      <c r="O806" s="31"/>
      <c r="P806" s="47"/>
      <c r="Q806" s="31"/>
      <c r="R806" s="31"/>
      <c r="S806" s="32">
        <f t="shared" si="215"/>
        <v>0</v>
      </c>
      <c r="T806" s="10"/>
      <c r="U806" s="10"/>
      <c r="V806" s="10"/>
      <c r="W806" s="12">
        <f t="shared" si="216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17"/>
        <v>0</v>
      </c>
      <c r="AF806" s="10"/>
      <c r="AG806" s="10"/>
      <c r="AH806" s="10"/>
      <c r="AI806" s="12">
        <f t="shared" si="21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2"/>
      <c r="D807" s="32"/>
      <c r="E807" s="32"/>
      <c r="F807" s="32"/>
      <c r="G807" s="32">
        <f t="shared" si="213"/>
        <v>0</v>
      </c>
      <c r="H807" s="10"/>
      <c r="I807" s="10"/>
      <c r="J807" s="10"/>
      <c r="K807" s="12">
        <f t="shared" si="214"/>
        <v>0</v>
      </c>
      <c r="M807" s="10">
        <v>26</v>
      </c>
      <c r="N807" s="30"/>
      <c r="O807" s="31"/>
      <c r="P807" s="47"/>
      <c r="Q807" s="31"/>
      <c r="R807" s="31"/>
      <c r="S807" s="32">
        <f t="shared" si="215"/>
        <v>0</v>
      </c>
      <c r="T807" s="10"/>
      <c r="U807" s="10"/>
      <c r="V807" s="10"/>
      <c r="W807" s="12">
        <f t="shared" si="216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17"/>
        <v>0</v>
      </c>
      <c r="AF807" s="10"/>
      <c r="AG807" s="10"/>
      <c r="AH807" s="10"/>
      <c r="AI807" s="12">
        <f t="shared" si="21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2"/>
      <c r="D808" s="32"/>
      <c r="E808" s="32"/>
      <c r="F808" s="32"/>
      <c r="G808" s="32">
        <f t="shared" si="213"/>
        <v>0</v>
      </c>
      <c r="H808" s="10"/>
      <c r="I808" s="10"/>
      <c r="J808" s="10"/>
      <c r="K808" s="12">
        <f t="shared" si="214"/>
        <v>0</v>
      </c>
      <c r="M808" s="10">
        <v>27</v>
      </c>
      <c r="N808" s="30"/>
      <c r="O808" s="31"/>
      <c r="P808" s="47"/>
      <c r="Q808" s="31"/>
      <c r="R808" s="31"/>
      <c r="S808" s="32">
        <f t="shared" si="215"/>
        <v>0</v>
      </c>
      <c r="T808" s="10"/>
      <c r="U808" s="10"/>
      <c r="V808" s="10"/>
      <c r="W808" s="12">
        <f t="shared" si="216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7"/>
        <v>0</v>
      </c>
      <c r="AF808" s="10"/>
      <c r="AG808" s="10"/>
      <c r="AH808" s="10"/>
      <c r="AI808" s="12">
        <f t="shared" si="21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2"/>
      <c r="D809" s="32"/>
      <c r="E809" s="32"/>
      <c r="F809" s="32"/>
      <c r="G809" s="32">
        <f t="shared" si="213"/>
        <v>0</v>
      </c>
      <c r="H809" s="10"/>
      <c r="I809" s="10"/>
      <c r="J809" s="10"/>
      <c r="K809" s="12">
        <f t="shared" si="214"/>
        <v>0</v>
      </c>
      <c r="M809" s="10">
        <v>28</v>
      </c>
      <c r="N809" s="30"/>
      <c r="O809" s="31"/>
      <c r="P809" s="47"/>
      <c r="Q809" s="31"/>
      <c r="R809" s="31"/>
      <c r="S809" s="32">
        <f t="shared" si="215"/>
        <v>0</v>
      </c>
      <c r="T809" s="10"/>
      <c r="U809" s="10"/>
      <c r="V809" s="10"/>
      <c r="W809" s="12">
        <f t="shared" si="216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7"/>
        <v>0</v>
      </c>
      <c r="AF809" s="10"/>
      <c r="AG809" s="10"/>
      <c r="AH809" s="10"/>
      <c r="AI809" s="12">
        <f t="shared" si="21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2"/>
      <c r="D810" s="32"/>
      <c r="E810" s="32"/>
      <c r="F810" s="32"/>
      <c r="G810" s="32">
        <f t="shared" si="213"/>
        <v>0</v>
      </c>
      <c r="H810" s="10"/>
      <c r="I810" s="10"/>
      <c r="J810" s="10"/>
      <c r="K810" s="12">
        <f t="shared" si="214"/>
        <v>0</v>
      </c>
      <c r="M810" s="10">
        <v>29</v>
      </c>
      <c r="N810" s="30"/>
      <c r="O810" s="31"/>
      <c r="P810" s="47"/>
      <c r="Q810" s="31"/>
      <c r="R810" s="31"/>
      <c r="S810" s="32">
        <f t="shared" si="215"/>
        <v>0</v>
      </c>
      <c r="T810" s="10"/>
      <c r="U810" s="10"/>
      <c r="V810" s="10"/>
      <c r="W810" s="12">
        <f t="shared" si="216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7"/>
        <v>0</v>
      </c>
      <c r="AF810" s="10"/>
      <c r="AG810" s="10"/>
      <c r="AH810" s="10"/>
      <c r="AI810" s="12">
        <f t="shared" si="21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2"/>
      <c r="D811" s="32"/>
      <c r="E811" s="32"/>
      <c r="F811" s="32"/>
      <c r="G811" s="32">
        <f t="shared" si="213"/>
        <v>0</v>
      </c>
      <c r="H811" s="10"/>
      <c r="I811" s="10"/>
      <c r="J811" s="10"/>
      <c r="K811" s="12">
        <f t="shared" si="214"/>
        <v>0</v>
      </c>
      <c r="M811" s="10">
        <v>30</v>
      </c>
      <c r="N811" s="30"/>
      <c r="O811" s="31"/>
      <c r="P811" s="47"/>
      <c r="Q811" s="31"/>
      <c r="R811" s="31"/>
      <c r="S811" s="32">
        <f t="shared" si="215"/>
        <v>0</v>
      </c>
      <c r="T811" s="10"/>
      <c r="U811" s="10"/>
      <c r="V811" s="10"/>
      <c r="W811" s="12">
        <f t="shared" si="216"/>
        <v>0</v>
      </c>
      <c r="Y811" s="10">
        <v>30</v>
      </c>
      <c r="Z811" s="30"/>
      <c r="AB811" s="47"/>
      <c r="AC811" s="31"/>
      <c r="AD811" s="31"/>
      <c r="AE811" s="32">
        <f t="shared" si="217"/>
        <v>0</v>
      </c>
      <c r="AF811" s="10"/>
      <c r="AG811" s="10"/>
      <c r="AH811" s="10"/>
      <c r="AI811" s="12">
        <f t="shared" si="21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2"/>
      <c r="D812" s="32"/>
      <c r="E812" s="32"/>
      <c r="F812" s="32"/>
      <c r="G812" s="32">
        <f t="shared" si="213"/>
        <v>0</v>
      </c>
      <c r="H812" s="10"/>
      <c r="I812" s="10"/>
      <c r="J812" s="10"/>
      <c r="K812" s="12">
        <f t="shared" si="214"/>
        <v>0</v>
      </c>
      <c r="M812" s="10">
        <v>31</v>
      </c>
      <c r="N812" s="30"/>
      <c r="O812" s="31"/>
      <c r="P812" s="47"/>
      <c r="Q812" s="31"/>
      <c r="R812" s="31"/>
      <c r="S812" s="32">
        <f t="shared" si="215"/>
        <v>0</v>
      </c>
      <c r="T812" s="10"/>
      <c r="U812" s="10"/>
      <c r="V812" s="10"/>
      <c r="W812" s="12">
        <f t="shared" si="216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7"/>
        <v>0</v>
      </c>
      <c r="AF812" s="10"/>
      <c r="AG812" s="10"/>
      <c r="AH812" s="10"/>
      <c r="AI812" s="12">
        <f t="shared" si="21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2"/>
      <c r="D813" s="32"/>
      <c r="E813" s="32"/>
      <c r="F813" s="32"/>
      <c r="G813" s="32">
        <f t="shared" si="213"/>
        <v>0</v>
      </c>
      <c r="H813" s="10"/>
      <c r="I813" s="10"/>
      <c r="J813" s="10"/>
      <c r="K813" s="12">
        <f t="shared" si="214"/>
        <v>0</v>
      </c>
      <c r="M813" s="10">
        <v>32</v>
      </c>
      <c r="N813" s="30"/>
      <c r="O813" s="31"/>
      <c r="P813" s="47"/>
      <c r="Q813" s="31"/>
      <c r="R813" s="31"/>
      <c r="S813" s="32">
        <f t="shared" si="215"/>
        <v>0</v>
      </c>
      <c r="T813" s="10"/>
      <c r="U813" s="10"/>
      <c r="V813" s="10"/>
      <c r="W813" s="12">
        <f t="shared" si="216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7"/>
        <v>0</v>
      </c>
      <c r="AF813" s="10"/>
      <c r="AG813" s="10"/>
      <c r="AH813" s="10"/>
      <c r="AI813" s="12">
        <f t="shared" si="21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2"/>
      <c r="D814" s="32"/>
      <c r="E814" s="32"/>
      <c r="F814" s="32"/>
      <c r="G814" s="32">
        <f t="shared" si="213"/>
        <v>0</v>
      </c>
      <c r="H814" s="10"/>
      <c r="I814" s="10"/>
      <c r="J814" s="10"/>
      <c r="K814" s="12">
        <f t="shared" si="214"/>
        <v>0</v>
      </c>
      <c r="M814" s="10">
        <v>33</v>
      </c>
      <c r="N814" s="30"/>
      <c r="O814" s="31"/>
      <c r="P814" s="47"/>
      <c r="Q814" s="31"/>
      <c r="R814" s="31"/>
      <c r="S814" s="32">
        <f t="shared" si="215"/>
        <v>0</v>
      </c>
      <c r="T814" s="10"/>
      <c r="U814" s="10"/>
      <c r="V814" s="10"/>
      <c r="W814" s="12">
        <f t="shared" si="216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7"/>
        <v>0</v>
      </c>
      <c r="AF814" s="10"/>
      <c r="AG814" s="10"/>
      <c r="AH814" s="10"/>
      <c r="AI814" s="12">
        <f t="shared" si="21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2"/>
      <c r="D815" s="32"/>
      <c r="E815" s="32"/>
      <c r="F815" s="32"/>
      <c r="G815" s="32">
        <f t="shared" si="213"/>
        <v>0</v>
      </c>
      <c r="H815" s="10"/>
      <c r="I815" s="10"/>
      <c r="J815" s="10"/>
      <c r="K815" s="12">
        <f t="shared" si="214"/>
        <v>0</v>
      </c>
      <c r="M815" s="10">
        <v>34</v>
      </c>
      <c r="N815" s="30"/>
      <c r="O815" s="31"/>
      <c r="P815" s="47"/>
      <c r="Q815" s="31"/>
      <c r="R815" s="31"/>
      <c r="S815" s="32">
        <f t="shared" si="215"/>
        <v>0</v>
      </c>
      <c r="T815" s="10"/>
      <c r="U815" s="10"/>
      <c r="V815" s="10"/>
      <c r="W815" s="12">
        <f t="shared" si="216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17"/>
        <v>0</v>
      </c>
      <c r="AF815" s="10"/>
      <c r="AG815" s="10"/>
      <c r="AH815" s="10"/>
      <c r="AI815" s="12">
        <f t="shared" si="21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P816" s="47"/>
      <c r="Q816" s="31"/>
      <c r="R816" s="31"/>
      <c r="S816" s="32">
        <f t="shared" si="215"/>
        <v>0</v>
      </c>
      <c r="T816" s="10"/>
      <c r="U816" s="10"/>
      <c r="V816" s="10"/>
      <c r="W816" s="12">
        <f t="shared" si="216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7"/>
        <v>0</v>
      </c>
      <c r="AF816" s="10"/>
      <c r="AG816" s="10"/>
      <c r="AH816" s="10"/>
      <c r="AI816" s="12">
        <f t="shared" si="21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5"/>
        <v>0</v>
      </c>
      <c r="T817" s="10"/>
      <c r="U817" s="10"/>
      <c r="V817" s="10"/>
      <c r="W817" s="12">
        <f t="shared" si="216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7"/>
        <v>0</v>
      </c>
      <c r="AF817" s="10"/>
      <c r="AG817" s="10"/>
      <c r="AH817" s="10"/>
      <c r="AI817" s="12">
        <f t="shared" si="21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O818" s="31"/>
      <c r="P818" s="47"/>
      <c r="Q818" s="31"/>
      <c r="R818" s="31"/>
      <c r="S818" s="32">
        <f t="shared" si="215"/>
        <v>0</v>
      </c>
      <c r="T818" s="10"/>
      <c r="U818" s="10"/>
      <c r="V818" s="10"/>
      <c r="W818" s="12">
        <f t="shared" si="216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7"/>
        <v>0</v>
      </c>
      <c r="AF818" s="10"/>
      <c r="AG818" s="10"/>
      <c r="AH818" s="10"/>
      <c r="AI818" s="12">
        <f t="shared" si="21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5"/>
        <v>0</v>
      </c>
      <c r="T819" s="10"/>
      <c r="U819" s="10"/>
      <c r="V819" s="10"/>
      <c r="W819" s="12">
        <f t="shared" si="216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7"/>
        <v>0</v>
      </c>
      <c r="AF819" s="10"/>
      <c r="AG819" s="10"/>
      <c r="AH819" s="10"/>
      <c r="AI819" s="12">
        <f t="shared" si="21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5"/>
        <v>0</v>
      </c>
      <c r="T820" s="10"/>
      <c r="U820" s="10"/>
      <c r="V820" s="10"/>
      <c r="W820" s="12">
        <f t="shared" si="216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7"/>
        <v>0</v>
      </c>
      <c r="AF820" s="10"/>
      <c r="AG820" s="10"/>
      <c r="AH820" s="10"/>
      <c r="AI820" s="12">
        <f t="shared" si="21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6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2">SUM(D822:E822)</f>
        <v>0</v>
      </c>
      <c r="H822" s="10"/>
      <c r="I822" s="10"/>
      <c r="J822" s="10"/>
      <c r="K822" s="12">
        <f t="shared" ref="K822" si="223">SUM(G822:J822)</f>
        <v>0</v>
      </c>
      <c r="M822" s="10"/>
      <c r="N822" s="30"/>
      <c r="O822" s="31"/>
      <c r="P822" s="47"/>
      <c r="Q822" s="31"/>
      <c r="R822" s="31"/>
      <c r="S822" s="32">
        <f t="shared" ref="S822" si="224">SUM(P822:Q822)</f>
        <v>0</v>
      </c>
      <c r="T822" s="10"/>
      <c r="U822" s="10"/>
      <c r="V822" s="10"/>
      <c r="W822" s="12">
        <f t="shared" si="216"/>
        <v>0</v>
      </c>
      <c r="Y822" s="10"/>
      <c r="Z822" s="30"/>
      <c r="AA822" s="31"/>
      <c r="AB822" s="47"/>
      <c r="AC822" s="31"/>
      <c r="AD822" s="31"/>
      <c r="AE822" s="32">
        <f t="shared" ref="AE822" si="225">SUM(AB822:AC822)</f>
        <v>0</v>
      </c>
      <c r="AF822" s="10"/>
      <c r="AG822" s="10"/>
      <c r="AH822" s="10"/>
      <c r="AI822" s="12">
        <f t="shared" si="21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6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385568</v>
      </c>
      <c r="E825" s="38">
        <f t="shared" ref="E825:F825" si="226">SUM(E782:E822)</f>
        <v>-1944</v>
      </c>
      <c r="F825" s="38">
        <f t="shared" si="226"/>
        <v>0</v>
      </c>
      <c r="G825" s="38">
        <f>SUM(G782:G824)</f>
        <v>383624</v>
      </c>
      <c r="H825" s="4"/>
      <c r="I825" s="39">
        <f>SUM(I782:I824)</f>
        <v>960</v>
      </c>
      <c r="J825" s="39">
        <f>SUM(J782:J824)</f>
        <v>-19470</v>
      </c>
      <c r="K825" s="40">
        <f>SUM(K782:K824)</f>
        <v>365114</v>
      </c>
      <c r="N825" s="57"/>
      <c r="O825" s="57"/>
      <c r="P825" s="38">
        <f>SUM(P782:P824)</f>
        <v>228406.5</v>
      </c>
      <c r="Q825" s="38">
        <f>SUM(Q782:Q806)</f>
        <v>-624</v>
      </c>
      <c r="R825" s="38">
        <f>SUM(R782:R806)</f>
        <v>0</v>
      </c>
      <c r="S825" s="38">
        <f>SUM(S782:S824)</f>
        <v>227782.5</v>
      </c>
      <c r="T825" s="4"/>
      <c r="U825" s="41">
        <f>SUM(U782:U824)</f>
        <v>549</v>
      </c>
      <c r="V825" s="41">
        <f>SUM(V782:V806)</f>
        <v>-1017</v>
      </c>
      <c r="W825" s="42">
        <f>SUM(W782:W824)</f>
        <v>227314.5</v>
      </c>
      <c r="Z825" s="57"/>
      <c r="AA825" s="57"/>
      <c r="AB825" s="38">
        <f>SUM(AB782:AB824)</f>
        <v>368762</v>
      </c>
      <c r="AC825" s="38">
        <f>SUM(AC782:AC806)</f>
        <v>-3228</v>
      </c>
      <c r="AD825" s="38">
        <f>SUM(AD782:AD806)</f>
        <v>0</v>
      </c>
      <c r="AE825" s="38">
        <f>SUM(AE782:AE824)</f>
        <v>365534</v>
      </c>
      <c r="AF825" s="4"/>
      <c r="AG825" s="41">
        <f>SUM(AG782:AG824)</f>
        <v>0</v>
      </c>
      <c r="AH825" s="41">
        <f>SUM(AH782:AH806)</f>
        <v>-24534</v>
      </c>
      <c r="AI825" s="42">
        <f>SUM(AI782:AI824)</f>
        <v>341000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50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79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79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79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05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05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05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80</v>
      </c>
      <c r="C837" s="82">
        <v>9598</v>
      </c>
      <c r="D837" s="32">
        <f>650*20+229</f>
        <v>13229</v>
      </c>
      <c r="E837" s="32"/>
      <c r="F837" s="32"/>
      <c r="G837" s="32">
        <f t="shared" ref="G837:G870" si="227">SUM(D837:E837)</f>
        <v>13229</v>
      </c>
      <c r="H837" s="12"/>
      <c r="I837" s="12"/>
      <c r="J837" s="12"/>
      <c r="K837" s="12">
        <f t="shared" ref="K837:K870" si="228">SUM(G837:J837)</f>
        <v>13229</v>
      </c>
      <c r="M837" s="10">
        <v>1</v>
      </c>
      <c r="N837" s="30" t="s">
        <v>80</v>
      </c>
      <c r="O837" s="31">
        <v>9728</v>
      </c>
      <c r="P837" s="32">
        <f>650*103+670*4+622*20+229*3</f>
        <v>82757</v>
      </c>
      <c r="Q837" s="32"/>
      <c r="R837" s="32"/>
      <c r="S837" s="32">
        <f>SUM(P837:Q837)</f>
        <v>82757</v>
      </c>
      <c r="T837" s="12"/>
      <c r="U837" s="12">
        <v>405</v>
      </c>
      <c r="V837" s="12"/>
      <c r="W837" s="12">
        <f>SUM(S837:V837)</f>
        <v>83162</v>
      </c>
      <c r="Y837" s="10">
        <v>1</v>
      </c>
      <c r="Z837" s="30" t="s">
        <v>80</v>
      </c>
      <c r="AA837" s="31">
        <v>9685</v>
      </c>
      <c r="AB837" s="32">
        <f>650*50</f>
        <v>32500</v>
      </c>
      <c r="AC837" s="32">
        <f>-50*6</f>
        <v>-300</v>
      </c>
      <c r="AD837" s="32"/>
      <c r="AE837" s="32">
        <f>SUM(AB837:AC837)</f>
        <v>32200</v>
      </c>
      <c r="AF837" s="12"/>
      <c r="AG837" s="12"/>
      <c r="AH837" s="12"/>
      <c r="AI837" s="12">
        <f>SUM(AE837:AH837)</f>
        <v>32200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80</v>
      </c>
      <c r="C838" s="82">
        <f>C837+1</f>
        <v>9599</v>
      </c>
      <c r="D838" s="32">
        <f>650*2</f>
        <v>1300</v>
      </c>
      <c r="E838" s="32"/>
      <c r="F838" s="32"/>
      <c r="G838" s="32">
        <f t="shared" si="227"/>
        <v>1300</v>
      </c>
      <c r="H838" s="12"/>
      <c r="I838" s="12"/>
      <c r="J838" s="12"/>
      <c r="K838" s="12">
        <f t="shared" si="228"/>
        <v>1300</v>
      </c>
      <c r="M838" s="10">
        <v>2</v>
      </c>
      <c r="N838" s="30" t="s">
        <v>80</v>
      </c>
      <c r="O838" s="31">
        <f>O837+1</f>
        <v>9729</v>
      </c>
      <c r="P838" s="32">
        <f>108*650+229*3</f>
        <v>70887</v>
      </c>
      <c r="Q838" s="32">
        <f>-108*6</f>
        <v>-648</v>
      </c>
      <c r="R838" s="32"/>
      <c r="S838" s="32">
        <f t="shared" ref="S838:S875" si="229">SUM(P838:Q838)</f>
        <v>70239</v>
      </c>
      <c r="T838" s="12"/>
      <c r="U838" s="12">
        <v>108</v>
      </c>
      <c r="V838" s="12"/>
      <c r="W838" s="12">
        <f t="shared" ref="W838:W878" si="230">SUM(S838:V838)</f>
        <v>70347</v>
      </c>
      <c r="Y838" s="10">
        <v>2</v>
      </c>
      <c r="Z838" s="30" t="s">
        <v>80</v>
      </c>
      <c r="AA838" s="31">
        <f>AA837+1</f>
        <v>9686</v>
      </c>
      <c r="AB838" s="32">
        <f>650*53+872+229</f>
        <v>35551</v>
      </c>
      <c r="AC838" s="32"/>
      <c r="AD838" s="32"/>
      <c r="AE838" s="32">
        <f t="shared" ref="AE838:AE875" si="231">SUM(AB838:AC838)</f>
        <v>35551</v>
      </c>
      <c r="AF838" s="12"/>
      <c r="AG838" s="12">
        <v>12</v>
      </c>
      <c r="AH838" s="12"/>
      <c r="AI838" s="12">
        <f t="shared" ref="AI838:AI878" si="232">SUM(AE838:AH838)</f>
        <v>35563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80</v>
      </c>
      <c r="C839" s="82">
        <f t="shared" ref="C839:C843" si="233">C838+1</f>
        <v>9600</v>
      </c>
      <c r="D839" s="33">
        <f>650*40+229</f>
        <v>26229</v>
      </c>
      <c r="E839" s="33"/>
      <c r="F839" s="33"/>
      <c r="G839" s="33">
        <f t="shared" si="227"/>
        <v>26229</v>
      </c>
      <c r="H839" s="34"/>
      <c r="I839" s="34"/>
      <c r="J839" s="34"/>
      <c r="K839" s="34">
        <f t="shared" si="228"/>
        <v>26229</v>
      </c>
      <c r="M839" s="10">
        <v>3</v>
      </c>
      <c r="N839" s="30" t="s">
        <v>80</v>
      </c>
      <c r="O839" s="31">
        <f t="shared" ref="O839:O846" si="234">O838+1</f>
        <v>9730</v>
      </c>
      <c r="P839" s="32">
        <f>650*22+622*10</f>
        <v>20520</v>
      </c>
      <c r="Q839" s="32"/>
      <c r="R839" s="32"/>
      <c r="S839" s="32">
        <f t="shared" si="229"/>
        <v>20520</v>
      </c>
      <c r="T839" s="12"/>
      <c r="U839" s="12">
        <v>27</v>
      </c>
      <c r="V839" s="12"/>
      <c r="W839" s="12">
        <f t="shared" si="230"/>
        <v>20547</v>
      </c>
      <c r="Y839" s="10">
        <v>3</v>
      </c>
      <c r="Z839" s="30" t="s">
        <v>80</v>
      </c>
      <c r="AA839" s="31">
        <f t="shared" ref="AA839:AA842" si="235">AA838+1</f>
        <v>9687</v>
      </c>
      <c r="AB839" s="33">
        <f>650*108+670*7+229*4</f>
        <v>75806</v>
      </c>
      <c r="AC839" s="33">
        <f>-115*6</f>
        <v>-690</v>
      </c>
      <c r="AD839" s="32"/>
      <c r="AE839" s="32">
        <f t="shared" si="231"/>
        <v>75116</v>
      </c>
      <c r="AF839" s="12"/>
      <c r="AG839" s="12"/>
      <c r="AH839" s="12"/>
      <c r="AI839" s="12">
        <f t="shared" si="232"/>
        <v>75116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80</v>
      </c>
      <c r="C840" s="82">
        <v>9801</v>
      </c>
      <c r="D840" s="32">
        <f>650*16+9.5*16</f>
        <v>10552</v>
      </c>
      <c r="E840" s="32"/>
      <c r="F840" s="32"/>
      <c r="G840" s="32">
        <f t="shared" si="227"/>
        <v>10552</v>
      </c>
      <c r="H840" s="12"/>
      <c r="I840" s="12"/>
      <c r="J840" s="12">
        <v>-2442</v>
      </c>
      <c r="K840" s="12">
        <f t="shared" si="228"/>
        <v>8110</v>
      </c>
      <c r="M840" s="10">
        <v>4</v>
      </c>
      <c r="N840" s="30" t="s">
        <v>80</v>
      </c>
      <c r="O840" s="31">
        <f t="shared" si="234"/>
        <v>9731</v>
      </c>
      <c r="P840" s="32">
        <f>650*4+622*2+9.5*6</f>
        <v>3901</v>
      </c>
      <c r="Q840" s="32"/>
      <c r="R840" s="32"/>
      <c r="S840" s="32">
        <f t="shared" si="229"/>
        <v>3901</v>
      </c>
      <c r="T840" s="12"/>
      <c r="U840" s="12"/>
      <c r="V840" s="12">
        <f>-555+-78</f>
        <v>-633</v>
      </c>
      <c r="W840" s="12">
        <f t="shared" si="230"/>
        <v>3268</v>
      </c>
      <c r="Y840" s="10">
        <v>4</v>
      </c>
      <c r="Z840" s="30" t="s">
        <v>80</v>
      </c>
      <c r="AA840" s="31">
        <f t="shared" si="235"/>
        <v>9688</v>
      </c>
      <c r="AB840" s="32">
        <f>650*150+622*20+872*2+229*7</f>
        <v>113287</v>
      </c>
      <c r="AC840" s="32">
        <f>-172*6</f>
        <v>-1032</v>
      </c>
      <c r="AD840" s="32"/>
      <c r="AE840" s="32">
        <f t="shared" si="231"/>
        <v>112255</v>
      </c>
      <c r="AF840" s="12"/>
      <c r="AG840" s="58"/>
      <c r="AH840" s="12"/>
      <c r="AI840" s="12">
        <f t="shared" si="232"/>
        <v>112255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80</v>
      </c>
      <c r="C841" s="82">
        <f t="shared" si="233"/>
        <v>9802</v>
      </c>
      <c r="D841" s="32">
        <f>650*127+622*10+229*4</f>
        <v>89686</v>
      </c>
      <c r="E841" s="32"/>
      <c r="F841" s="32"/>
      <c r="G841" s="32">
        <f t="shared" si="227"/>
        <v>89686</v>
      </c>
      <c r="H841" s="12"/>
      <c r="I841" s="12"/>
      <c r="J841" s="12"/>
      <c r="K841" s="12">
        <f t="shared" si="228"/>
        <v>89686</v>
      </c>
      <c r="M841" s="10">
        <v>5</v>
      </c>
      <c r="N841" s="30" t="s">
        <v>80</v>
      </c>
      <c r="O841" s="31">
        <f t="shared" si="234"/>
        <v>9732</v>
      </c>
      <c r="P841" s="32">
        <f>650*2+9.5*2</f>
        <v>1319</v>
      </c>
      <c r="Q841" s="32"/>
      <c r="R841" s="32"/>
      <c r="S841" s="32">
        <f t="shared" si="229"/>
        <v>1319</v>
      </c>
      <c r="T841" s="12"/>
      <c r="U841" s="12"/>
      <c r="V841" s="12"/>
      <c r="W841" s="12">
        <f t="shared" si="230"/>
        <v>1319</v>
      </c>
      <c r="Y841" s="10">
        <v>5</v>
      </c>
      <c r="Z841" s="30" t="s">
        <v>80</v>
      </c>
      <c r="AA841" s="31">
        <f t="shared" si="235"/>
        <v>9689</v>
      </c>
      <c r="AB841" s="32">
        <f>650*6+622*5</f>
        <v>7010</v>
      </c>
      <c r="AC841" s="32"/>
      <c r="AD841" s="32"/>
      <c r="AE841" s="32">
        <f t="shared" si="231"/>
        <v>7010</v>
      </c>
      <c r="AF841" s="12"/>
      <c r="AG841" s="12"/>
      <c r="AH841" s="12">
        <v>-1776</v>
      </c>
      <c r="AI841" s="12">
        <f t="shared" si="232"/>
        <v>5234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80</v>
      </c>
      <c r="C842" s="82">
        <f t="shared" si="233"/>
        <v>9803</v>
      </c>
      <c r="D842" s="32">
        <f>650*216+1050+872</f>
        <v>142322</v>
      </c>
      <c r="E842" s="32"/>
      <c r="F842" s="32"/>
      <c r="G842" s="32">
        <f t="shared" si="227"/>
        <v>142322</v>
      </c>
      <c r="H842" s="12"/>
      <c r="I842" s="12"/>
      <c r="J842" s="12">
        <v>-468</v>
      </c>
      <c r="K842" s="12">
        <f t="shared" si="228"/>
        <v>141854</v>
      </c>
      <c r="M842" s="10">
        <v>6</v>
      </c>
      <c r="N842" s="30" t="s">
        <v>80</v>
      </c>
      <c r="O842" s="31">
        <f t="shared" si="234"/>
        <v>9733</v>
      </c>
      <c r="P842" s="32">
        <f>650+622+9.5*2</f>
        <v>1291</v>
      </c>
      <c r="Q842" s="32"/>
      <c r="R842" s="32"/>
      <c r="S842" s="32">
        <f t="shared" si="229"/>
        <v>1291</v>
      </c>
      <c r="T842" s="12"/>
      <c r="U842" s="12"/>
      <c r="V842" s="10"/>
      <c r="W842" s="12">
        <f t="shared" si="230"/>
        <v>1291</v>
      </c>
      <c r="Y842" s="10">
        <v>6</v>
      </c>
      <c r="Z842" s="30" t="s">
        <v>80</v>
      </c>
      <c r="AA842" s="31">
        <f t="shared" si="235"/>
        <v>9690</v>
      </c>
      <c r="AB842" s="32">
        <f>650*5</f>
        <v>3250</v>
      </c>
      <c r="AC842" s="32">
        <f>-5*6</f>
        <v>-30</v>
      </c>
      <c r="AD842" s="32"/>
      <c r="AE842" s="32">
        <f t="shared" si="231"/>
        <v>3220</v>
      </c>
      <c r="AF842" s="12"/>
      <c r="AG842" s="12"/>
      <c r="AH842" s="10"/>
      <c r="AI842" s="12">
        <f t="shared" si="232"/>
        <v>3220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80</v>
      </c>
      <c r="C843" s="82">
        <f t="shared" si="233"/>
        <v>9804</v>
      </c>
      <c r="D843" s="32">
        <f>650*15+9.5*15</f>
        <v>9892.5</v>
      </c>
      <c r="E843" s="32"/>
      <c r="F843" s="32"/>
      <c r="G843" s="32">
        <f t="shared" si="227"/>
        <v>9892.5</v>
      </c>
      <c r="H843" s="12"/>
      <c r="I843" s="12"/>
      <c r="J843" s="12"/>
      <c r="K843" s="12">
        <f t="shared" si="228"/>
        <v>9892.5</v>
      </c>
      <c r="M843" s="10">
        <v>7</v>
      </c>
      <c r="N843" s="30" t="s">
        <v>80</v>
      </c>
      <c r="O843" s="31">
        <f t="shared" si="234"/>
        <v>9734</v>
      </c>
      <c r="P843" s="32">
        <f>650*2+9.5*2</f>
        <v>1319</v>
      </c>
      <c r="Q843" s="32"/>
      <c r="R843" s="32"/>
      <c r="S843" s="32">
        <f t="shared" si="229"/>
        <v>1319</v>
      </c>
      <c r="T843" s="12"/>
      <c r="U843" s="12"/>
      <c r="V843" s="12"/>
      <c r="W843" s="12">
        <f t="shared" si="230"/>
        <v>1319</v>
      </c>
      <c r="Y843" s="10">
        <v>7</v>
      </c>
      <c r="Z843" s="30"/>
      <c r="AA843" s="11" t="s">
        <v>27</v>
      </c>
      <c r="AB843" s="32"/>
      <c r="AC843" s="32"/>
      <c r="AD843" s="32"/>
      <c r="AE843" s="32">
        <f t="shared" si="231"/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27"/>
        <v>0</v>
      </c>
      <c r="H844" s="12"/>
      <c r="I844" s="12"/>
      <c r="J844" s="12"/>
      <c r="K844" s="12">
        <f t="shared" si="228"/>
        <v>0</v>
      </c>
      <c r="M844" s="10">
        <v>8</v>
      </c>
      <c r="N844" s="30" t="s">
        <v>80</v>
      </c>
      <c r="O844" s="31">
        <f t="shared" si="234"/>
        <v>9735</v>
      </c>
      <c r="P844" s="32">
        <f>650*6+622+9.5*7</f>
        <v>4588.5</v>
      </c>
      <c r="Q844" s="32"/>
      <c r="R844" s="32"/>
      <c r="S844" s="32">
        <f t="shared" si="229"/>
        <v>4588.5</v>
      </c>
      <c r="T844" s="12"/>
      <c r="U844" s="12"/>
      <c r="V844" s="12">
        <v>-1260</v>
      </c>
      <c r="W844" s="12">
        <f t="shared" si="230"/>
        <v>3328.5</v>
      </c>
      <c r="Y844" s="10">
        <v>8</v>
      </c>
      <c r="Z844" s="30"/>
      <c r="AA844" s="31"/>
      <c r="AB844" s="32"/>
      <c r="AC844" s="32"/>
      <c r="AE844" s="32">
        <f t="shared" si="231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2"/>
      <c r="D845" s="32"/>
      <c r="E845" s="32"/>
      <c r="F845" s="32"/>
      <c r="G845" s="32">
        <f t="shared" si="227"/>
        <v>0</v>
      </c>
      <c r="H845" s="12"/>
      <c r="I845" s="12"/>
      <c r="J845" s="12"/>
      <c r="K845" s="12">
        <f t="shared" si="228"/>
        <v>0</v>
      </c>
      <c r="M845" s="10">
        <v>9</v>
      </c>
      <c r="N845" s="30" t="s">
        <v>80</v>
      </c>
      <c r="O845" s="31">
        <f t="shared" si="234"/>
        <v>9736</v>
      </c>
      <c r="P845" s="32">
        <f>650*124+670*5+700*5+622*2+1050+872*3+229*5</f>
        <v>93505</v>
      </c>
      <c r="Q845" s="32"/>
      <c r="R845" s="32"/>
      <c r="S845" s="32">
        <f t="shared" si="229"/>
        <v>93505</v>
      </c>
      <c r="T845" s="12"/>
      <c r="U845" s="12">
        <v>1053</v>
      </c>
      <c r="V845" s="12"/>
      <c r="W845" s="12">
        <f t="shared" si="230"/>
        <v>94558</v>
      </c>
      <c r="Y845" s="10">
        <v>9</v>
      </c>
      <c r="Z845" s="30"/>
      <c r="AA845" s="31"/>
      <c r="AB845" s="32"/>
      <c r="AC845" s="32"/>
      <c r="AD845" s="32"/>
      <c r="AE845" s="32">
        <f t="shared" si="231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2"/>
      <c r="D846" s="32"/>
      <c r="E846" s="32"/>
      <c r="F846" s="32"/>
      <c r="G846" s="32">
        <f t="shared" si="227"/>
        <v>0</v>
      </c>
      <c r="H846" s="12"/>
      <c r="I846" s="12"/>
      <c r="J846" s="12"/>
      <c r="K846" s="12">
        <f t="shared" si="228"/>
        <v>0</v>
      </c>
      <c r="M846" s="10">
        <v>10</v>
      </c>
      <c r="N846" s="30" t="s">
        <v>80</v>
      </c>
      <c r="O846" s="31">
        <f t="shared" si="234"/>
        <v>9737</v>
      </c>
      <c r="P846" s="32">
        <f>650*21</f>
        <v>13650</v>
      </c>
      <c r="Q846" s="32"/>
      <c r="R846" s="32"/>
      <c r="S846" s="32">
        <f t="shared" si="229"/>
        <v>13650</v>
      </c>
      <c r="T846" s="12"/>
      <c r="U846" s="12"/>
      <c r="V846" s="12"/>
      <c r="W846" s="12">
        <f t="shared" si="230"/>
        <v>13650</v>
      </c>
      <c r="Y846" s="10">
        <v>10</v>
      </c>
      <c r="Z846" s="30"/>
      <c r="AA846" s="31"/>
      <c r="AB846" s="32"/>
      <c r="AC846" s="32"/>
      <c r="AD846" s="32"/>
      <c r="AE846" s="32">
        <f t="shared" si="231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2"/>
      <c r="D847" s="32"/>
      <c r="E847" s="32"/>
      <c r="F847" s="32"/>
      <c r="G847" s="32">
        <f t="shared" si="227"/>
        <v>0</v>
      </c>
      <c r="H847" s="12"/>
      <c r="I847" s="12"/>
      <c r="J847" s="12"/>
      <c r="K847" s="12">
        <f t="shared" si="228"/>
        <v>0</v>
      </c>
      <c r="M847" s="10">
        <v>11</v>
      </c>
      <c r="N847" s="30"/>
      <c r="O847" s="11" t="s">
        <v>27</v>
      </c>
      <c r="P847" s="32"/>
      <c r="Q847" s="32"/>
      <c r="R847" s="32"/>
      <c r="S847" s="32">
        <f t="shared" si="229"/>
        <v>0</v>
      </c>
      <c r="T847" s="12"/>
      <c r="U847" s="12"/>
      <c r="V847" s="12"/>
      <c r="W847" s="12">
        <f t="shared" si="230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31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27"/>
        <v>0</v>
      </c>
      <c r="H848" s="12"/>
      <c r="I848" s="12"/>
      <c r="J848" s="10"/>
      <c r="K848" s="12">
        <f t="shared" si="228"/>
        <v>0</v>
      </c>
      <c r="M848" s="10">
        <v>12</v>
      </c>
      <c r="N848" s="30"/>
      <c r="O848" s="31"/>
      <c r="P848" s="32"/>
      <c r="Q848" s="32"/>
      <c r="R848" s="32"/>
      <c r="S848" s="32">
        <f t="shared" si="229"/>
        <v>0</v>
      </c>
      <c r="T848" s="12"/>
      <c r="U848" s="12"/>
      <c r="V848" s="12"/>
      <c r="W848" s="12">
        <f t="shared" si="23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1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27"/>
        <v>0</v>
      </c>
      <c r="H849" s="12"/>
      <c r="I849" s="12"/>
      <c r="J849" s="12"/>
      <c r="K849" s="12">
        <f t="shared" si="228"/>
        <v>0</v>
      </c>
      <c r="M849" s="10">
        <v>13</v>
      </c>
      <c r="N849" s="30"/>
      <c r="O849" s="31"/>
      <c r="P849" s="32"/>
      <c r="Q849" s="32"/>
      <c r="R849" s="32"/>
      <c r="S849" s="32">
        <f t="shared" si="229"/>
        <v>0</v>
      </c>
      <c r="T849" s="12"/>
      <c r="U849" s="12"/>
      <c r="V849" s="12"/>
      <c r="W849" s="12">
        <f t="shared" si="23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1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27"/>
        <v>0</v>
      </c>
      <c r="H850" s="12"/>
      <c r="I850" s="12"/>
      <c r="J850" s="12"/>
      <c r="K850" s="12">
        <f t="shared" si="228"/>
        <v>0</v>
      </c>
      <c r="M850" s="10">
        <v>14</v>
      </c>
      <c r="N850" s="30"/>
      <c r="O850" s="31"/>
      <c r="P850" s="32"/>
      <c r="Q850" s="32"/>
      <c r="R850" s="32"/>
      <c r="S850" s="32">
        <f t="shared" si="229"/>
        <v>0</v>
      </c>
      <c r="T850" s="12"/>
      <c r="U850" s="12"/>
      <c r="V850" s="12"/>
      <c r="W850" s="12">
        <f t="shared" si="23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1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27"/>
        <v>0</v>
      </c>
      <c r="H851" s="12"/>
      <c r="I851" s="12"/>
      <c r="J851" s="12"/>
      <c r="K851" s="12">
        <f t="shared" si="228"/>
        <v>0</v>
      </c>
      <c r="M851" s="10">
        <v>15</v>
      </c>
      <c r="N851" s="30"/>
      <c r="O851" s="31"/>
      <c r="P851" s="32"/>
      <c r="Q851" s="32"/>
      <c r="R851" s="32"/>
      <c r="S851" s="32">
        <f t="shared" si="229"/>
        <v>0</v>
      </c>
      <c r="T851" s="12"/>
      <c r="U851" s="12"/>
      <c r="V851" s="12"/>
      <c r="W851" s="12">
        <f t="shared" si="23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1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27"/>
        <v>0</v>
      </c>
      <c r="H852" s="12"/>
      <c r="I852" s="12"/>
      <c r="J852" s="12"/>
      <c r="K852" s="12">
        <f t="shared" si="228"/>
        <v>0</v>
      </c>
      <c r="M852" s="10">
        <v>16</v>
      </c>
      <c r="N852" s="30"/>
      <c r="O852" s="11"/>
      <c r="P852" s="32"/>
      <c r="Q852" s="32"/>
      <c r="R852" s="32"/>
      <c r="S852" s="32">
        <f t="shared" si="229"/>
        <v>0</v>
      </c>
      <c r="T852" s="12"/>
      <c r="U852" s="12"/>
      <c r="V852" s="12"/>
      <c r="W852" s="12">
        <f t="shared" si="23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1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27"/>
        <v>0</v>
      </c>
      <c r="H853" s="12"/>
      <c r="I853" s="12"/>
      <c r="J853" s="12"/>
      <c r="K853" s="12">
        <f t="shared" si="228"/>
        <v>0</v>
      </c>
      <c r="M853" s="10">
        <v>17</v>
      </c>
      <c r="N853" s="30"/>
      <c r="O853" s="31"/>
      <c r="P853" s="35"/>
      <c r="Q853" s="32"/>
      <c r="R853" s="32"/>
      <c r="S853" s="32">
        <f t="shared" si="229"/>
        <v>0</v>
      </c>
      <c r="T853" s="12"/>
      <c r="U853" s="12"/>
      <c r="V853" s="12"/>
      <c r="W853" s="12">
        <f t="shared" si="23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1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27"/>
        <v>0</v>
      </c>
      <c r="H854" s="12"/>
      <c r="I854" s="12"/>
      <c r="J854" s="12"/>
      <c r="K854" s="12">
        <f t="shared" si="228"/>
        <v>0</v>
      </c>
      <c r="M854" s="10">
        <v>18</v>
      </c>
      <c r="N854" s="30"/>
      <c r="O854" s="31"/>
      <c r="P854" s="32"/>
      <c r="Q854" s="32"/>
      <c r="R854" s="32"/>
      <c r="S854" s="32">
        <f t="shared" si="229"/>
        <v>0</v>
      </c>
      <c r="T854" s="12"/>
      <c r="U854" s="12"/>
      <c r="V854" s="12"/>
      <c r="W854" s="12">
        <f t="shared" si="230"/>
        <v>0</v>
      </c>
      <c r="Y854" s="10">
        <v>18</v>
      </c>
      <c r="Z854" s="30"/>
      <c r="AB854" s="32"/>
      <c r="AC854" s="32"/>
      <c r="AD854" s="32"/>
      <c r="AE854" s="32">
        <f t="shared" si="231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27"/>
        <v>0</v>
      </c>
      <c r="H855" s="12"/>
      <c r="I855" s="12"/>
      <c r="J855" s="12"/>
      <c r="K855" s="12">
        <f t="shared" si="228"/>
        <v>0</v>
      </c>
      <c r="M855" s="10">
        <v>19</v>
      </c>
      <c r="N855" s="30"/>
      <c r="O855" s="31"/>
      <c r="P855" s="32"/>
      <c r="Q855" s="32"/>
      <c r="R855" s="32"/>
      <c r="S855" s="32">
        <f t="shared" si="229"/>
        <v>0</v>
      </c>
      <c r="T855" s="12"/>
      <c r="U855" s="12"/>
      <c r="V855" s="12"/>
      <c r="W855" s="12">
        <f t="shared" si="23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1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27"/>
        <v>0</v>
      </c>
      <c r="H856" s="12"/>
      <c r="I856" s="12"/>
      <c r="J856" s="12"/>
      <c r="K856" s="12">
        <f t="shared" si="228"/>
        <v>0</v>
      </c>
      <c r="M856" s="10">
        <v>20</v>
      </c>
      <c r="N856" s="30"/>
      <c r="O856" s="31"/>
      <c r="P856" s="32"/>
      <c r="Q856" s="32"/>
      <c r="R856" s="32"/>
      <c r="S856" s="32">
        <f t="shared" si="229"/>
        <v>0</v>
      </c>
      <c r="T856" s="12"/>
      <c r="U856" s="12"/>
      <c r="V856" s="12"/>
      <c r="W856" s="12">
        <f t="shared" si="230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1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57"/>
      <c r="D857" s="32"/>
      <c r="E857" s="32"/>
      <c r="F857" s="32"/>
      <c r="G857" s="32">
        <f t="shared" si="227"/>
        <v>0</v>
      </c>
      <c r="H857" s="10"/>
      <c r="I857" s="10"/>
      <c r="J857" s="10"/>
      <c r="K857" s="12">
        <f t="shared" si="228"/>
        <v>0</v>
      </c>
      <c r="M857" s="10">
        <v>21</v>
      </c>
      <c r="N857" s="30"/>
      <c r="O857" s="31"/>
      <c r="P857" s="46"/>
      <c r="Q857" s="31"/>
      <c r="R857" s="31"/>
      <c r="S857" s="32">
        <f t="shared" si="229"/>
        <v>0</v>
      </c>
      <c r="T857" s="10"/>
      <c r="U857" s="10"/>
      <c r="V857" s="10"/>
      <c r="W857" s="12">
        <f t="shared" si="23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31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27"/>
        <v>0</v>
      </c>
      <c r="H858" s="10"/>
      <c r="I858" s="10"/>
      <c r="J858" s="10"/>
      <c r="K858" s="12">
        <f t="shared" si="228"/>
        <v>0</v>
      </c>
      <c r="M858" s="10">
        <v>22</v>
      </c>
      <c r="N858" s="30"/>
      <c r="O858" s="31"/>
      <c r="P858" s="45"/>
      <c r="Q858" s="31"/>
      <c r="R858" s="31"/>
      <c r="S858" s="32">
        <f t="shared" si="229"/>
        <v>0</v>
      </c>
      <c r="T858" s="10"/>
      <c r="U858" s="10"/>
      <c r="V858" s="10"/>
      <c r="W858" s="12">
        <f t="shared" si="23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1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27"/>
        <v>0</v>
      </c>
      <c r="H859" s="10"/>
      <c r="I859" s="10"/>
      <c r="J859" s="12"/>
      <c r="K859" s="12">
        <f t="shared" si="228"/>
        <v>0</v>
      </c>
      <c r="M859" s="10">
        <v>23</v>
      </c>
      <c r="N859" s="30"/>
      <c r="O859" s="31"/>
      <c r="P859" s="47"/>
      <c r="Q859" s="31"/>
      <c r="S859" s="32">
        <f t="shared" si="229"/>
        <v>0</v>
      </c>
      <c r="T859" s="10"/>
      <c r="U859" s="10"/>
      <c r="V859" s="10"/>
      <c r="W859" s="12">
        <f t="shared" si="230"/>
        <v>0</v>
      </c>
      <c r="Y859" s="10">
        <v>23</v>
      </c>
      <c r="Z859" s="30"/>
      <c r="AA859" s="31"/>
      <c r="AB859" s="47"/>
      <c r="AE859" s="32">
        <f t="shared" si="231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27"/>
        <v>0</v>
      </c>
      <c r="H860" s="10"/>
      <c r="I860" s="10"/>
      <c r="J860" s="10"/>
      <c r="K860" s="12">
        <f t="shared" si="228"/>
        <v>0</v>
      </c>
      <c r="M860" s="10">
        <v>24</v>
      </c>
      <c r="N860" s="30"/>
      <c r="O860" s="31"/>
      <c r="P860" s="47"/>
      <c r="Q860" s="31"/>
      <c r="R860" s="31"/>
      <c r="S860" s="32">
        <f t="shared" si="229"/>
        <v>0</v>
      </c>
      <c r="T860" s="10"/>
      <c r="U860" s="10"/>
      <c r="V860" s="10"/>
      <c r="W860" s="12">
        <f t="shared" si="23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1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27"/>
        <v>0</v>
      </c>
      <c r="H861" s="10"/>
      <c r="I861" s="10"/>
      <c r="J861" s="10"/>
      <c r="K861" s="12">
        <f t="shared" si="228"/>
        <v>0</v>
      </c>
      <c r="M861" s="10">
        <v>25</v>
      </c>
      <c r="N861" s="30"/>
      <c r="O861" s="31"/>
      <c r="P861" s="47"/>
      <c r="Q861" s="31"/>
      <c r="R861" s="31"/>
      <c r="S861" s="32">
        <f t="shared" si="229"/>
        <v>0</v>
      </c>
      <c r="T861" s="10"/>
      <c r="U861" s="10"/>
      <c r="V861" s="10"/>
      <c r="W861" s="12">
        <f t="shared" si="23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1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27"/>
        <v>0</v>
      </c>
      <c r="H862" s="10"/>
      <c r="I862" s="10"/>
      <c r="J862" s="10"/>
      <c r="K862" s="12">
        <f t="shared" si="228"/>
        <v>0</v>
      </c>
      <c r="M862" s="10">
        <v>26</v>
      </c>
      <c r="N862" s="30"/>
      <c r="O862" s="31"/>
      <c r="P862" s="47"/>
      <c r="Q862" s="31"/>
      <c r="R862" s="31"/>
      <c r="S862" s="32">
        <f t="shared" si="229"/>
        <v>0</v>
      </c>
      <c r="T862" s="10"/>
      <c r="U862" s="10"/>
      <c r="V862" s="10"/>
      <c r="W862" s="12">
        <f t="shared" si="23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1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27"/>
        <v>0</v>
      </c>
      <c r="H863" s="10"/>
      <c r="I863" s="10"/>
      <c r="J863" s="10"/>
      <c r="K863" s="12">
        <f t="shared" si="228"/>
        <v>0</v>
      </c>
      <c r="M863" s="10">
        <v>27</v>
      </c>
      <c r="N863" s="30"/>
      <c r="O863" s="31"/>
      <c r="P863" s="47"/>
      <c r="Q863" s="31"/>
      <c r="R863" s="31"/>
      <c r="S863" s="32">
        <f t="shared" si="229"/>
        <v>0</v>
      </c>
      <c r="T863" s="10"/>
      <c r="U863" s="10"/>
      <c r="V863" s="10"/>
      <c r="W863" s="12">
        <f t="shared" si="23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1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27"/>
        <v>0</v>
      </c>
      <c r="H864" s="10"/>
      <c r="I864" s="10"/>
      <c r="J864" s="10"/>
      <c r="K864" s="12">
        <f t="shared" si="228"/>
        <v>0</v>
      </c>
      <c r="M864" s="10">
        <v>28</v>
      </c>
      <c r="N864" s="30"/>
      <c r="O864" s="31"/>
      <c r="P864" s="47"/>
      <c r="Q864" s="31"/>
      <c r="R864" s="31"/>
      <c r="S864" s="32">
        <f t="shared" si="229"/>
        <v>0</v>
      </c>
      <c r="T864" s="10"/>
      <c r="U864" s="10"/>
      <c r="V864" s="10"/>
      <c r="W864" s="12">
        <f t="shared" si="23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1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27"/>
        <v>0</v>
      </c>
      <c r="H865" s="10"/>
      <c r="I865" s="10"/>
      <c r="J865" s="10"/>
      <c r="K865" s="12">
        <f t="shared" si="228"/>
        <v>0</v>
      </c>
      <c r="M865" s="10">
        <v>29</v>
      </c>
      <c r="N865" s="30"/>
      <c r="O865" s="31"/>
      <c r="P865" s="47"/>
      <c r="Q865" s="31"/>
      <c r="R865" s="31"/>
      <c r="S865" s="32">
        <f t="shared" si="229"/>
        <v>0</v>
      </c>
      <c r="T865" s="10"/>
      <c r="U865" s="10"/>
      <c r="V865" s="10"/>
      <c r="W865" s="12">
        <f t="shared" si="23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1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2"/>
      <c r="D866" s="32"/>
      <c r="E866" s="32"/>
      <c r="F866" s="32"/>
      <c r="G866" s="32">
        <f t="shared" si="227"/>
        <v>0</v>
      </c>
      <c r="H866" s="10"/>
      <c r="I866" s="10"/>
      <c r="J866" s="10"/>
      <c r="K866" s="12">
        <f t="shared" si="228"/>
        <v>0</v>
      </c>
      <c r="M866" s="10">
        <v>30</v>
      </c>
      <c r="N866" s="30"/>
      <c r="O866" s="31"/>
      <c r="P866" s="47"/>
      <c r="Q866" s="31"/>
      <c r="R866" s="31"/>
      <c r="S866" s="32">
        <f t="shared" si="229"/>
        <v>0</v>
      </c>
      <c r="T866" s="10"/>
      <c r="U866" s="10"/>
      <c r="V866" s="10"/>
      <c r="W866" s="12">
        <f t="shared" si="230"/>
        <v>0</v>
      </c>
      <c r="Y866" s="10">
        <v>30</v>
      </c>
      <c r="Z866" s="30"/>
      <c r="AB866" s="47"/>
      <c r="AC866" s="31"/>
      <c r="AD866" s="31"/>
      <c r="AE866" s="32">
        <f t="shared" si="231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2"/>
      <c r="D867" s="32"/>
      <c r="E867" s="32"/>
      <c r="F867" s="32"/>
      <c r="G867" s="32">
        <f t="shared" si="227"/>
        <v>0</v>
      </c>
      <c r="H867" s="10"/>
      <c r="I867" s="10"/>
      <c r="J867" s="10"/>
      <c r="K867" s="12">
        <f t="shared" si="228"/>
        <v>0</v>
      </c>
      <c r="M867" s="10">
        <v>31</v>
      </c>
      <c r="N867" s="30"/>
      <c r="O867" s="31"/>
      <c r="P867" s="47"/>
      <c r="Q867" s="31"/>
      <c r="R867" s="31"/>
      <c r="S867" s="32">
        <f t="shared" si="229"/>
        <v>0</v>
      </c>
      <c r="T867" s="10"/>
      <c r="U867" s="10"/>
      <c r="V867" s="10"/>
      <c r="W867" s="12">
        <f t="shared" si="23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1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27"/>
        <v>0</v>
      </c>
      <c r="H868" s="10"/>
      <c r="I868" s="10"/>
      <c r="J868" s="10"/>
      <c r="K868" s="12">
        <f t="shared" si="228"/>
        <v>0</v>
      </c>
      <c r="M868" s="10">
        <v>32</v>
      </c>
      <c r="N868" s="30"/>
      <c r="O868" s="31"/>
      <c r="P868" s="47"/>
      <c r="Q868" s="31"/>
      <c r="R868" s="31"/>
      <c r="S868" s="32">
        <f t="shared" si="229"/>
        <v>0</v>
      </c>
      <c r="T868" s="10"/>
      <c r="U868" s="10"/>
      <c r="V868" s="10"/>
      <c r="W868" s="12">
        <f t="shared" si="23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1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27"/>
        <v>0</v>
      </c>
      <c r="H869" s="10"/>
      <c r="I869" s="10"/>
      <c r="J869" s="10"/>
      <c r="K869" s="12">
        <f t="shared" si="228"/>
        <v>0</v>
      </c>
      <c r="M869" s="10">
        <v>33</v>
      </c>
      <c r="N869" s="30"/>
      <c r="O869" s="31"/>
      <c r="P869" s="47"/>
      <c r="Q869" s="31"/>
      <c r="R869" s="31"/>
      <c r="S869" s="32">
        <f t="shared" si="229"/>
        <v>0</v>
      </c>
      <c r="T869" s="10"/>
      <c r="U869" s="10"/>
      <c r="V869" s="10"/>
      <c r="W869" s="12">
        <f t="shared" si="23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1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27"/>
        <v>0</v>
      </c>
      <c r="H870" s="10"/>
      <c r="I870" s="10"/>
      <c r="J870" s="10"/>
      <c r="K870" s="12">
        <f t="shared" si="228"/>
        <v>0</v>
      </c>
      <c r="M870" s="10">
        <v>34</v>
      </c>
      <c r="N870" s="30"/>
      <c r="O870" s="31"/>
      <c r="P870" s="47"/>
      <c r="Q870" s="31"/>
      <c r="R870" s="31"/>
      <c r="S870" s="32">
        <f t="shared" si="229"/>
        <v>0</v>
      </c>
      <c r="T870" s="10"/>
      <c r="U870" s="10"/>
      <c r="V870" s="10"/>
      <c r="W870" s="12">
        <f t="shared" si="230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1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P871" s="47"/>
      <c r="Q871" s="31"/>
      <c r="R871" s="31"/>
      <c r="S871" s="32">
        <f t="shared" si="229"/>
        <v>0</v>
      </c>
      <c r="T871" s="10"/>
      <c r="U871" s="10"/>
      <c r="V871" s="10"/>
      <c r="W871" s="12">
        <f t="shared" si="23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1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29"/>
        <v>0</v>
      </c>
      <c r="T872" s="10"/>
      <c r="U872" s="10"/>
      <c r="V872" s="10"/>
      <c r="W872" s="12">
        <f t="shared" si="23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1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O873" s="31"/>
      <c r="P873" s="47"/>
      <c r="Q873" s="31"/>
      <c r="R873" s="31"/>
      <c r="S873" s="32">
        <f t="shared" si="229"/>
        <v>0</v>
      </c>
      <c r="T873" s="10"/>
      <c r="U873" s="10"/>
      <c r="V873" s="10"/>
      <c r="W873" s="12">
        <f t="shared" si="23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1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29"/>
        <v>0</v>
      </c>
      <c r="T874" s="10"/>
      <c r="U874" s="10"/>
      <c r="V874" s="10"/>
      <c r="W874" s="12">
        <f t="shared" si="23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1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29"/>
        <v>0</v>
      </c>
      <c r="T875" s="10"/>
      <c r="U875" s="10"/>
      <c r="V875" s="10"/>
      <c r="W875" s="12">
        <f t="shared" si="23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1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10"/>
      <c r="N877" s="30"/>
      <c r="O877" s="31"/>
      <c r="P877" s="47"/>
      <c r="Q877" s="31"/>
      <c r="R877" s="31"/>
      <c r="S877" s="32">
        <f t="shared" ref="S877" si="238">SUM(P877:Q877)</f>
        <v>0</v>
      </c>
      <c r="T877" s="10"/>
      <c r="U877" s="10"/>
      <c r="V877" s="10"/>
      <c r="W877" s="12">
        <f t="shared" si="230"/>
        <v>0</v>
      </c>
      <c r="Y877" s="10"/>
      <c r="Z877" s="30"/>
      <c r="AA877" s="31"/>
      <c r="AB877" s="47"/>
      <c r="AC877" s="31"/>
      <c r="AD877" s="31"/>
      <c r="AE877" s="32">
        <f t="shared" ref="AE877" si="239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293210.5</v>
      </c>
      <c r="E880" s="38">
        <f t="shared" ref="E880:F880" si="240">SUM(E837:E877)</f>
        <v>0</v>
      </c>
      <c r="F880" s="38">
        <f t="shared" si="240"/>
        <v>0</v>
      </c>
      <c r="G880" s="38">
        <f>SUM(G837:G879)</f>
        <v>293210.5</v>
      </c>
      <c r="H880" s="4"/>
      <c r="I880" s="39">
        <f>SUM(I837:I879)</f>
        <v>0</v>
      </c>
      <c r="J880" s="39">
        <f>SUM(J837:J879)</f>
        <v>-2910</v>
      </c>
      <c r="K880" s="40">
        <f>SUM(K837:K879)</f>
        <v>290300.5</v>
      </c>
      <c r="N880" s="57"/>
      <c r="O880" s="57"/>
      <c r="P880" s="38">
        <f>SUM(P837:P879)</f>
        <v>293737.5</v>
      </c>
      <c r="Q880" s="38">
        <f>SUM(Q837:Q861)</f>
        <v>-648</v>
      </c>
      <c r="R880" s="38">
        <f>SUM(R837:R861)</f>
        <v>0</v>
      </c>
      <c r="S880" s="38">
        <f>SUM(S837:S879)</f>
        <v>293089.5</v>
      </c>
      <c r="T880" s="4"/>
      <c r="U880" s="41">
        <f>SUM(U837:U879)</f>
        <v>1593</v>
      </c>
      <c r="V880" s="41">
        <f>SUM(V837:V861)</f>
        <v>-1893</v>
      </c>
      <c r="W880" s="42">
        <f>SUM(W837:W879)</f>
        <v>292789.5</v>
      </c>
      <c r="Z880" s="57"/>
      <c r="AA880" s="57"/>
      <c r="AB880" s="38">
        <f>SUM(AB837:AB879)</f>
        <v>267404</v>
      </c>
      <c r="AC880" s="38">
        <f>SUM(AC837:AC861)</f>
        <v>-2052</v>
      </c>
      <c r="AD880" s="38">
        <f>SUM(AD837:AD861)</f>
        <v>0</v>
      </c>
      <c r="AE880" s="38">
        <f>SUM(AE837:AE879)</f>
        <v>265352</v>
      </c>
      <c r="AF880" s="4"/>
      <c r="AG880" s="41">
        <f>SUM(AG837:AG879)</f>
        <v>12</v>
      </c>
      <c r="AH880" s="41">
        <f>SUM(AH837:AH861)</f>
        <v>-1776</v>
      </c>
      <c r="AI880" s="42">
        <f>SUM(AI837:AI879)</f>
        <v>263588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34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34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34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06"/>
      <c r="G890" s="27"/>
      <c r="I890" s="119" t="s">
        <v>18</v>
      </c>
      <c r="J890" s="120"/>
      <c r="K890" s="117" t="s">
        <v>19</v>
      </c>
      <c r="N890" s="25"/>
      <c r="O890" s="26"/>
      <c r="P890" s="121" t="s">
        <v>17</v>
      </c>
      <c r="Q890" s="121"/>
      <c r="R890" s="106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06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8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2">
        <v>9805</v>
      </c>
      <c r="D892" s="32">
        <f>650*60</f>
        <v>39000</v>
      </c>
      <c r="E892" s="32"/>
      <c r="F892" s="32"/>
      <c r="G892" s="32">
        <f t="shared" ref="G892:G925" si="241">SUM(D892:E892)</f>
        <v>39000</v>
      </c>
      <c r="H892" s="12"/>
      <c r="I892" s="12"/>
      <c r="J892" s="12"/>
      <c r="K892" s="12">
        <f t="shared" ref="K892:K925" si="242">SUM(G892:J892)</f>
        <v>39000</v>
      </c>
      <c r="M892" s="10">
        <v>1</v>
      </c>
      <c r="N892" s="30" t="s">
        <v>84</v>
      </c>
      <c r="O892" s="31">
        <v>9738</v>
      </c>
      <c r="P892" s="32">
        <f>650*324+622*108+872+229*18+650*2</f>
        <v>284070</v>
      </c>
      <c r="Q892" s="32">
        <f>-433*6</f>
        <v>-2598</v>
      </c>
      <c r="R892" s="32"/>
      <c r="S892" s="32">
        <f>SUM(P892:Q892)</f>
        <v>281472</v>
      </c>
      <c r="T892" s="12"/>
      <c r="U892" s="12">
        <f>120+936</f>
        <v>1056</v>
      </c>
      <c r="V892" s="12">
        <v>-588</v>
      </c>
      <c r="W892" s="12">
        <f>SUM(S892:V892)</f>
        <v>281940</v>
      </c>
      <c r="Y892" s="10">
        <v>1</v>
      </c>
      <c r="Z892" s="30" t="s">
        <v>84</v>
      </c>
      <c r="AA892" s="31">
        <v>9691</v>
      </c>
      <c r="AB892" s="32">
        <f>650*20+670+622*6+229+650</f>
        <v>18281</v>
      </c>
      <c r="AC892" s="32"/>
      <c r="AD892" s="32"/>
      <c r="AE892" s="32">
        <f>SUM(AB892:AC892)</f>
        <v>18281</v>
      </c>
      <c r="AF892" s="12"/>
      <c r="AG892" s="12">
        <f>4.5*3+2.25+1.5*4</f>
        <v>21.75</v>
      </c>
      <c r="AH892" s="12"/>
      <c r="AI892" s="12">
        <f>SUM(AE892:AH892)</f>
        <v>18302.75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2">
        <f>C892+1</f>
        <v>9806</v>
      </c>
      <c r="D893" s="32">
        <f>650*45</f>
        <v>29250</v>
      </c>
      <c r="E893" s="32"/>
      <c r="F893" s="32"/>
      <c r="G893" s="32">
        <f t="shared" si="241"/>
        <v>29250</v>
      </c>
      <c r="H893" s="12"/>
      <c r="I893" s="12"/>
      <c r="J893" s="12"/>
      <c r="K893" s="12">
        <f t="shared" si="242"/>
        <v>29250</v>
      </c>
      <c r="M893" s="10">
        <v>2</v>
      </c>
      <c r="N893" s="30" t="s">
        <v>84</v>
      </c>
      <c r="O893" s="31">
        <f>O892+1</f>
        <v>9739</v>
      </c>
      <c r="P893" s="32">
        <f>650*5+670+9.5*5</f>
        <v>3967.5</v>
      </c>
      <c r="Q893" s="32"/>
      <c r="R893" s="32"/>
      <c r="S893" s="32">
        <f t="shared" ref="S893:S930" si="243">SUM(P893:Q893)</f>
        <v>3967.5</v>
      </c>
      <c r="T893" s="12"/>
      <c r="U893" s="12"/>
      <c r="V893" s="12"/>
      <c r="W893" s="12">
        <f t="shared" ref="W893:W933" si="244">SUM(S893:V893)</f>
        <v>3967.5</v>
      </c>
      <c r="Y893" s="10">
        <v>2</v>
      </c>
      <c r="Z893" s="30" t="s">
        <v>84</v>
      </c>
      <c r="AA893" s="31">
        <f>AA892+1</f>
        <v>9692</v>
      </c>
      <c r="AB893" s="32">
        <f>650*50+622*10+229</f>
        <v>38949</v>
      </c>
      <c r="AC893" s="32"/>
      <c r="AD893" s="32"/>
      <c r="AE893" s="32">
        <f t="shared" ref="AE893:AE930" si="245">SUM(AB893:AC893)</f>
        <v>38949</v>
      </c>
      <c r="AF893" s="12"/>
      <c r="AG893" s="12">
        <f>94.5+16.5</f>
        <v>111</v>
      </c>
      <c r="AH893" s="12"/>
      <c r="AI893" s="12">
        <f t="shared" ref="AI893:AI933" si="246">SUM(AE893:AH893)</f>
        <v>39060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2">
        <f t="shared" ref="C894:C903" si="247">C893+1</f>
        <v>9807</v>
      </c>
      <c r="D894" s="33">
        <f>1946+1175+2736+2100+2616+1175+1000+1300</f>
        <v>14048</v>
      </c>
      <c r="E894" s="33"/>
      <c r="F894" s="33"/>
      <c r="G894" s="33">
        <f t="shared" si="241"/>
        <v>14048</v>
      </c>
      <c r="H894" s="34"/>
      <c r="I894" s="34">
        <f>135*1.5</f>
        <v>202.5</v>
      </c>
      <c r="J894" s="34"/>
      <c r="K894" s="34">
        <f t="shared" si="242"/>
        <v>14250.5</v>
      </c>
      <c r="M894" s="10">
        <v>3</v>
      </c>
      <c r="N894" s="30" t="s">
        <v>84</v>
      </c>
      <c r="O894" s="31">
        <f t="shared" ref="O894:O895" si="248">O893+1</f>
        <v>9740</v>
      </c>
      <c r="P894" s="32">
        <f>650*15+622*2+872+500+650</f>
        <v>13016</v>
      </c>
      <c r="Q894" s="32"/>
      <c r="R894" s="32"/>
      <c r="S894" s="32">
        <f t="shared" si="243"/>
        <v>13016</v>
      </c>
      <c r="T894" s="12"/>
      <c r="U894" s="12"/>
      <c r="V894" s="12">
        <v>-111</v>
      </c>
      <c r="W894" s="12">
        <f t="shared" si="244"/>
        <v>12905</v>
      </c>
      <c r="Y894" s="10">
        <v>3</v>
      </c>
      <c r="Z894" s="30" t="s">
        <v>84</v>
      </c>
      <c r="AA894" s="31">
        <f t="shared" ref="AA894:AA899" si="249">AA893+1</f>
        <v>9693</v>
      </c>
      <c r="AB894" s="33">
        <f>650*216+229*6</f>
        <v>141774</v>
      </c>
      <c r="AC894" s="33">
        <f>-216*6</f>
        <v>-1296</v>
      </c>
      <c r="AD894" s="32"/>
      <c r="AE894" s="32">
        <f t="shared" si="245"/>
        <v>140478</v>
      </c>
      <c r="AF894" s="12"/>
      <c r="AG894" s="12"/>
      <c r="AH894" s="12">
        <f>-720+-111*77</f>
        <v>-9267</v>
      </c>
      <c r="AI894" s="12">
        <f t="shared" si="246"/>
        <v>131211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2">
        <f t="shared" si="247"/>
        <v>9808</v>
      </c>
      <c r="D895" s="32">
        <f>650*21+229</f>
        <v>13879</v>
      </c>
      <c r="E895" s="32"/>
      <c r="F895" s="32"/>
      <c r="G895" s="32">
        <f t="shared" si="241"/>
        <v>13879</v>
      </c>
      <c r="H895" s="12"/>
      <c r="I895" s="12"/>
      <c r="J895" s="12"/>
      <c r="K895" s="12">
        <f t="shared" si="242"/>
        <v>13879</v>
      </c>
      <c r="M895" s="10">
        <v>4</v>
      </c>
      <c r="N895" s="30" t="s">
        <v>84</v>
      </c>
      <c r="O895" s="31">
        <f t="shared" si="248"/>
        <v>9741</v>
      </c>
      <c r="P895" s="32">
        <f>650*4+9.5*4</f>
        <v>2638</v>
      </c>
      <c r="Q895" s="32"/>
      <c r="R895" s="32"/>
      <c r="S895" s="32">
        <f t="shared" si="243"/>
        <v>2638</v>
      </c>
      <c r="T895" s="12"/>
      <c r="U895" s="12"/>
      <c r="V895" s="12"/>
      <c r="W895" s="12">
        <f t="shared" si="244"/>
        <v>2638</v>
      </c>
      <c r="Y895" s="10">
        <v>4</v>
      </c>
      <c r="Z895" s="30" t="s">
        <v>84</v>
      </c>
      <c r="AA895" s="31">
        <f t="shared" si="249"/>
        <v>9694</v>
      </c>
      <c r="AB895" s="32">
        <f>650*50+229*2</f>
        <v>32958</v>
      </c>
      <c r="AC895" s="32">
        <f>-50*6</f>
        <v>-300</v>
      </c>
      <c r="AD895" s="32"/>
      <c r="AE895" s="32">
        <f t="shared" si="245"/>
        <v>32658</v>
      </c>
      <c r="AF895" s="12"/>
      <c r="AG895" s="58"/>
      <c r="AH895" s="12"/>
      <c r="AI895" s="12">
        <f t="shared" si="246"/>
        <v>32658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2">
        <f t="shared" si="247"/>
        <v>9809</v>
      </c>
      <c r="D896" s="32">
        <f>650*10</f>
        <v>6500</v>
      </c>
      <c r="E896" s="32"/>
      <c r="F896" s="32"/>
      <c r="G896" s="32">
        <f t="shared" si="241"/>
        <v>6500</v>
      </c>
      <c r="H896" s="12"/>
      <c r="I896" s="12"/>
      <c r="J896" s="12"/>
      <c r="K896" s="12">
        <f t="shared" si="242"/>
        <v>6500</v>
      </c>
      <c r="M896" s="10">
        <v>5</v>
      </c>
      <c r="N896" s="30"/>
      <c r="O896" s="11" t="s">
        <v>27</v>
      </c>
      <c r="P896" s="32"/>
      <c r="Q896" s="32"/>
      <c r="R896" s="32"/>
      <c r="S896" s="32">
        <f t="shared" si="243"/>
        <v>0</v>
      </c>
      <c r="T896" s="12"/>
      <c r="U896" s="12"/>
      <c r="V896" s="12"/>
      <c r="W896" s="12">
        <f t="shared" si="244"/>
        <v>0</v>
      </c>
      <c r="Y896" s="10">
        <v>5</v>
      </c>
      <c r="Z896" s="30" t="s">
        <v>84</v>
      </c>
      <c r="AA896" s="31">
        <f t="shared" si="249"/>
        <v>9695</v>
      </c>
      <c r="AB896" s="32">
        <f>650*100+670*8+622*10+229*3</f>
        <v>77267</v>
      </c>
      <c r="AC896" s="32">
        <v>-708</v>
      </c>
      <c r="AD896" s="32"/>
      <c r="AE896" s="32">
        <f t="shared" si="245"/>
        <v>76559</v>
      </c>
      <c r="AF896" s="12"/>
      <c r="AG896" s="12">
        <f>111*12+4.5*4</f>
        <v>1350</v>
      </c>
      <c r="AH896" s="12"/>
      <c r="AI896" s="12">
        <f t="shared" si="246"/>
        <v>77909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2">
        <f t="shared" si="247"/>
        <v>9810</v>
      </c>
      <c r="D897" s="32">
        <f>650*2</f>
        <v>1300</v>
      </c>
      <c r="E897" s="32"/>
      <c r="F897" s="32"/>
      <c r="G897" s="32">
        <f t="shared" si="241"/>
        <v>1300</v>
      </c>
      <c r="H897" s="12"/>
      <c r="I897" s="12"/>
      <c r="J897" s="12"/>
      <c r="K897" s="12">
        <f t="shared" si="242"/>
        <v>1300</v>
      </c>
      <c r="M897" s="10">
        <v>6</v>
      </c>
      <c r="N897" s="30"/>
      <c r="O897" s="31"/>
      <c r="P897" s="32"/>
      <c r="Q897" s="32"/>
      <c r="R897" s="32"/>
      <c r="S897" s="32">
        <f t="shared" si="243"/>
        <v>0</v>
      </c>
      <c r="T897" s="12"/>
      <c r="U897" s="12"/>
      <c r="V897" s="10"/>
      <c r="W897" s="12">
        <f t="shared" si="244"/>
        <v>0</v>
      </c>
      <c r="Y897" s="10">
        <v>6</v>
      </c>
      <c r="Z897" s="30" t="s">
        <v>84</v>
      </c>
      <c r="AA897" s="31">
        <f t="shared" si="249"/>
        <v>9696</v>
      </c>
      <c r="AB897" s="32">
        <f>650*5+622*2</f>
        <v>4494</v>
      </c>
      <c r="AC897" s="32"/>
      <c r="AD897" s="32"/>
      <c r="AE897" s="32">
        <f t="shared" si="245"/>
        <v>4494</v>
      </c>
      <c r="AF897" s="12"/>
      <c r="AG897" s="12"/>
      <c r="AH897" s="10"/>
      <c r="AI897" s="12">
        <f t="shared" si="246"/>
        <v>4494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2">
        <f t="shared" si="247"/>
        <v>9811</v>
      </c>
      <c r="D898" s="32">
        <f>650*5</f>
        <v>3250</v>
      </c>
      <c r="E898" s="32"/>
      <c r="F898" s="32"/>
      <c r="G898" s="32">
        <f t="shared" si="241"/>
        <v>3250</v>
      </c>
      <c r="H898" s="12"/>
      <c r="I898" s="12"/>
      <c r="J898" s="12"/>
      <c r="K898" s="12">
        <f t="shared" si="242"/>
        <v>3250</v>
      </c>
      <c r="M898" s="10">
        <v>7</v>
      </c>
      <c r="N898" s="30"/>
      <c r="O898" s="31"/>
      <c r="P898" s="32"/>
      <c r="Q898" s="32"/>
      <c r="R898" s="32"/>
      <c r="S898" s="32">
        <f t="shared" si="243"/>
        <v>0</v>
      </c>
      <c r="T898" s="12"/>
      <c r="U898" s="12"/>
      <c r="V898" s="12"/>
      <c r="W898" s="12">
        <f t="shared" si="244"/>
        <v>0</v>
      </c>
      <c r="Y898" s="10">
        <v>7</v>
      </c>
      <c r="Z898" s="30" t="s">
        <v>84</v>
      </c>
      <c r="AA898" s="31">
        <f t="shared" si="249"/>
        <v>9697</v>
      </c>
      <c r="AB898" s="32">
        <f>650*10</f>
        <v>6500</v>
      </c>
      <c r="AC898" s="32"/>
      <c r="AD898" s="32"/>
      <c r="AE898" s="32">
        <f t="shared" si="245"/>
        <v>6500</v>
      </c>
      <c r="AF898" s="12"/>
      <c r="AG898" s="58"/>
      <c r="AH898" s="12"/>
      <c r="AI898" s="12">
        <f t="shared" si="246"/>
        <v>6500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2">
        <f t="shared" si="247"/>
        <v>9812</v>
      </c>
      <c r="D899" s="32">
        <f>650*5</f>
        <v>3250</v>
      </c>
      <c r="E899" s="32"/>
      <c r="F899" s="32"/>
      <c r="G899" s="32">
        <f t="shared" si="241"/>
        <v>3250</v>
      </c>
      <c r="H899" s="12"/>
      <c r="I899" s="12"/>
      <c r="J899" s="12"/>
      <c r="K899" s="12">
        <f t="shared" si="242"/>
        <v>3250</v>
      </c>
      <c r="M899" s="10">
        <v>8</v>
      </c>
      <c r="N899" s="30"/>
      <c r="O899" s="31"/>
      <c r="P899" s="32"/>
      <c r="Q899" s="32"/>
      <c r="R899" s="32"/>
      <c r="S899" s="32">
        <f t="shared" si="243"/>
        <v>0</v>
      </c>
      <c r="T899" s="12"/>
      <c r="U899" s="12"/>
      <c r="V899" s="12"/>
      <c r="W899" s="12">
        <f t="shared" si="244"/>
        <v>0</v>
      </c>
      <c r="Y899" s="10">
        <v>8</v>
      </c>
      <c r="Z899" s="30" t="s">
        <v>84</v>
      </c>
      <c r="AA899" s="31">
        <f t="shared" si="249"/>
        <v>9698</v>
      </c>
      <c r="AB899" s="32">
        <f>912</f>
        <v>912</v>
      </c>
      <c r="AC899" s="32"/>
      <c r="AE899" s="32">
        <f t="shared" si="245"/>
        <v>912</v>
      </c>
      <c r="AF899" s="12"/>
      <c r="AG899" s="12"/>
      <c r="AH899" s="12"/>
      <c r="AI899" s="12">
        <f t="shared" si="246"/>
        <v>912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2">
        <f t="shared" si="247"/>
        <v>9813</v>
      </c>
      <c r="D900" s="32">
        <f>650*5</f>
        <v>3250</v>
      </c>
      <c r="E900" s="32"/>
      <c r="F900" s="32"/>
      <c r="G900" s="32">
        <f t="shared" si="241"/>
        <v>3250</v>
      </c>
      <c r="H900" s="12"/>
      <c r="I900" s="12"/>
      <c r="J900" s="12"/>
      <c r="K900" s="12">
        <f t="shared" si="242"/>
        <v>3250</v>
      </c>
      <c r="M900" s="10">
        <v>9</v>
      </c>
      <c r="N900" s="30"/>
      <c r="O900" s="31"/>
      <c r="P900" s="32"/>
      <c r="Q900" s="32"/>
      <c r="R900" s="32"/>
      <c r="S900" s="32">
        <f t="shared" si="243"/>
        <v>0</v>
      </c>
      <c r="T900" s="12"/>
      <c r="U900" s="12"/>
      <c r="V900" s="12"/>
      <c r="W900" s="12">
        <f t="shared" si="244"/>
        <v>0</v>
      </c>
      <c r="Y900" s="10">
        <v>9</v>
      </c>
      <c r="Z900" s="30"/>
      <c r="AA900" s="11" t="s">
        <v>27</v>
      </c>
      <c r="AB900" s="32"/>
      <c r="AC900" s="32"/>
      <c r="AD900" s="32"/>
      <c r="AE900" s="32">
        <f t="shared" si="245"/>
        <v>0</v>
      </c>
      <c r="AF900" s="12"/>
      <c r="AH900" s="12"/>
      <c r="AI900" s="12">
        <f t="shared" si="24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2">
        <f t="shared" si="247"/>
        <v>9814</v>
      </c>
      <c r="D901" s="32">
        <f>650*10</f>
        <v>6500</v>
      </c>
      <c r="E901" s="32"/>
      <c r="F901" s="32"/>
      <c r="G901" s="32">
        <f t="shared" si="241"/>
        <v>6500</v>
      </c>
      <c r="H901" s="12"/>
      <c r="I901" s="12"/>
      <c r="J901" s="12"/>
      <c r="K901" s="12">
        <f t="shared" si="242"/>
        <v>6500</v>
      </c>
      <c r="M901" s="10">
        <v>10</v>
      </c>
      <c r="N901" s="30"/>
      <c r="O901" s="31"/>
      <c r="P901" s="32"/>
      <c r="Q901" s="32"/>
      <c r="R901" s="32"/>
      <c r="S901" s="32">
        <f t="shared" si="243"/>
        <v>0</v>
      </c>
      <c r="T901" s="12"/>
      <c r="U901" s="12"/>
      <c r="V901" s="12"/>
      <c r="W901" s="12">
        <f t="shared" si="244"/>
        <v>0</v>
      </c>
      <c r="Y901" s="10">
        <v>10</v>
      </c>
      <c r="Z901" s="30"/>
      <c r="AA901" s="31"/>
      <c r="AB901" s="32"/>
      <c r="AC901" s="32"/>
      <c r="AD901" s="32"/>
      <c r="AE901" s="32">
        <f t="shared" si="245"/>
        <v>0</v>
      </c>
      <c r="AF901" s="12"/>
      <c r="AG901" s="12"/>
      <c r="AH901" s="12"/>
      <c r="AI901" s="12">
        <f t="shared" si="24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2">
        <f t="shared" si="247"/>
        <v>9815</v>
      </c>
      <c r="D902" s="32">
        <f>650*5</f>
        <v>3250</v>
      </c>
      <c r="E902" s="32"/>
      <c r="F902" s="32"/>
      <c r="G902" s="32">
        <f t="shared" si="241"/>
        <v>3250</v>
      </c>
      <c r="H902" s="12"/>
      <c r="I902" s="12"/>
      <c r="J902" s="12"/>
      <c r="K902" s="12">
        <f t="shared" si="242"/>
        <v>3250</v>
      </c>
      <c r="M902" s="10">
        <v>11</v>
      </c>
      <c r="N902" s="30"/>
      <c r="O902" s="11"/>
      <c r="P902" s="32"/>
      <c r="Q902" s="32"/>
      <c r="R902" s="32"/>
      <c r="S902" s="32">
        <f t="shared" si="243"/>
        <v>0</v>
      </c>
      <c r="T902" s="12"/>
      <c r="U902" s="12"/>
      <c r="V902" s="12"/>
      <c r="W902" s="12">
        <f t="shared" si="244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45"/>
        <v>0</v>
      </c>
      <c r="AF902" s="12"/>
      <c r="AG902" s="12"/>
      <c r="AH902" s="12"/>
      <c r="AI902" s="12">
        <f t="shared" si="24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84</v>
      </c>
      <c r="C903" s="82">
        <f t="shared" si="247"/>
        <v>9816</v>
      </c>
      <c r="D903" s="32">
        <f>650*312+670*10+622*72</f>
        <v>254284</v>
      </c>
      <c r="E903" s="32"/>
      <c r="F903" s="32"/>
      <c r="G903" s="32">
        <f t="shared" si="241"/>
        <v>254284</v>
      </c>
      <c r="H903" s="12"/>
      <c r="I903" s="12">
        <f>111*121</f>
        <v>13431</v>
      </c>
      <c r="J903" s="10">
        <f>-720+-84+-1.5+-18</f>
        <v>-823.5</v>
      </c>
      <c r="K903" s="12">
        <f t="shared" si="242"/>
        <v>266891.5</v>
      </c>
      <c r="M903" s="10">
        <v>12</v>
      </c>
      <c r="N903" s="30"/>
      <c r="O903" s="31"/>
      <c r="P903" s="32"/>
      <c r="Q903" s="32"/>
      <c r="R903" s="32"/>
      <c r="S903" s="32">
        <f t="shared" si="243"/>
        <v>0</v>
      </c>
      <c r="T903" s="12"/>
      <c r="U903" s="12"/>
      <c r="V903" s="12"/>
      <c r="W903" s="12">
        <f t="shared" si="24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5"/>
        <v>0</v>
      </c>
      <c r="AF903" s="12"/>
      <c r="AG903" s="12"/>
      <c r="AH903" s="12"/>
      <c r="AI903" s="12">
        <f t="shared" si="24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11" t="s">
        <v>27</v>
      </c>
      <c r="D904" s="32"/>
      <c r="E904" s="32"/>
      <c r="F904" s="32"/>
      <c r="G904" s="32">
        <f t="shared" si="241"/>
        <v>0</v>
      </c>
      <c r="H904" s="12"/>
      <c r="I904" s="12"/>
      <c r="J904" s="12"/>
      <c r="K904" s="12">
        <f t="shared" si="242"/>
        <v>0</v>
      </c>
      <c r="M904" s="10">
        <v>13</v>
      </c>
      <c r="N904" s="30"/>
      <c r="O904" s="31"/>
      <c r="P904" s="32"/>
      <c r="Q904" s="32"/>
      <c r="R904" s="32"/>
      <c r="S904" s="32">
        <f t="shared" si="243"/>
        <v>0</v>
      </c>
      <c r="T904" s="12"/>
      <c r="U904" s="12"/>
      <c r="V904" s="12"/>
      <c r="W904" s="12">
        <f t="shared" si="244"/>
        <v>0</v>
      </c>
      <c r="Y904" s="10">
        <v>13</v>
      </c>
      <c r="Z904" s="30"/>
      <c r="AB904" s="32"/>
      <c r="AC904" s="32"/>
      <c r="AD904" s="32"/>
      <c r="AE904" s="32">
        <f t="shared" si="245"/>
        <v>0</v>
      </c>
      <c r="AF904" s="12"/>
      <c r="AG904" s="12"/>
      <c r="AH904" s="12"/>
      <c r="AI904" s="12">
        <f t="shared" si="24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41"/>
        <v>0</v>
      </c>
      <c r="H905" s="12"/>
      <c r="I905" s="12"/>
      <c r="J905" s="12"/>
      <c r="K905" s="12">
        <f t="shared" si="242"/>
        <v>0</v>
      </c>
      <c r="M905" s="10">
        <v>14</v>
      </c>
      <c r="N905" s="30"/>
      <c r="O905" s="31"/>
      <c r="P905" s="32"/>
      <c r="Q905" s="32"/>
      <c r="R905" s="32"/>
      <c r="S905" s="32">
        <f t="shared" si="243"/>
        <v>0</v>
      </c>
      <c r="T905" s="12"/>
      <c r="U905" s="12"/>
      <c r="V905" s="12"/>
      <c r="W905" s="12">
        <f t="shared" si="24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5"/>
        <v>0</v>
      </c>
      <c r="AF905" s="12"/>
      <c r="AG905" s="12"/>
      <c r="AH905" s="12"/>
      <c r="AI905" s="12">
        <f t="shared" si="24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41"/>
        <v>0</v>
      </c>
      <c r="H906" s="12"/>
      <c r="I906" s="12"/>
      <c r="J906" s="12"/>
      <c r="K906" s="12">
        <f t="shared" si="242"/>
        <v>0</v>
      </c>
      <c r="M906" s="10">
        <v>15</v>
      </c>
      <c r="N906" s="30"/>
      <c r="O906" s="31"/>
      <c r="P906" s="32"/>
      <c r="Q906" s="32"/>
      <c r="R906" s="32"/>
      <c r="S906" s="32">
        <f t="shared" si="243"/>
        <v>0</v>
      </c>
      <c r="T906" s="12"/>
      <c r="U906" s="12"/>
      <c r="V906" s="12"/>
      <c r="W906" s="12">
        <f t="shared" si="24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5"/>
        <v>0</v>
      </c>
      <c r="AF906" s="12"/>
      <c r="AG906" s="12"/>
      <c r="AH906" s="12"/>
      <c r="AI906" s="12">
        <f t="shared" si="24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1"/>
        <v>0</v>
      </c>
      <c r="H907" s="12"/>
      <c r="I907" s="12"/>
      <c r="J907" s="12"/>
      <c r="K907" s="12">
        <f t="shared" si="242"/>
        <v>0</v>
      </c>
      <c r="M907" s="10">
        <v>16</v>
      </c>
      <c r="N907" s="30"/>
      <c r="O907" s="11"/>
      <c r="P907" s="32"/>
      <c r="Q907" s="32"/>
      <c r="R907" s="32"/>
      <c r="S907" s="32">
        <f t="shared" si="243"/>
        <v>0</v>
      </c>
      <c r="T907" s="12"/>
      <c r="U907" s="12"/>
      <c r="V907" s="12"/>
      <c r="W907" s="12">
        <f t="shared" si="244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5"/>
        <v>0</v>
      </c>
      <c r="AF907" s="12"/>
      <c r="AG907" s="12"/>
      <c r="AH907" s="12"/>
      <c r="AI907" s="12">
        <f t="shared" si="24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41"/>
        <v>0</v>
      </c>
      <c r="H908" s="12"/>
      <c r="I908" s="12"/>
      <c r="J908" s="12"/>
      <c r="K908" s="12">
        <f t="shared" si="242"/>
        <v>0</v>
      </c>
      <c r="M908" s="10">
        <v>17</v>
      </c>
      <c r="N908" s="30"/>
      <c r="O908" s="31"/>
      <c r="P908" s="35"/>
      <c r="Q908" s="32"/>
      <c r="R908" s="32"/>
      <c r="S908" s="32">
        <f t="shared" si="243"/>
        <v>0</v>
      </c>
      <c r="T908" s="12"/>
      <c r="U908" s="12"/>
      <c r="V908" s="12"/>
      <c r="W908" s="12">
        <f t="shared" si="24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5"/>
        <v>0</v>
      </c>
      <c r="AF908" s="12"/>
      <c r="AG908" s="12"/>
      <c r="AH908" s="12"/>
      <c r="AI908" s="12">
        <f t="shared" si="24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41"/>
        <v>0</v>
      </c>
      <c r="H909" s="12"/>
      <c r="I909" s="12"/>
      <c r="J909" s="12"/>
      <c r="K909" s="12">
        <f t="shared" si="242"/>
        <v>0</v>
      </c>
      <c r="M909" s="10">
        <v>18</v>
      </c>
      <c r="N909" s="30"/>
      <c r="O909" s="31"/>
      <c r="P909" s="32"/>
      <c r="Q909" s="32"/>
      <c r="R909" s="32"/>
      <c r="S909" s="32">
        <f t="shared" si="243"/>
        <v>0</v>
      </c>
      <c r="T909" s="12"/>
      <c r="U909" s="12"/>
      <c r="V909" s="12"/>
      <c r="W909" s="12">
        <f t="shared" si="244"/>
        <v>0</v>
      </c>
      <c r="Y909" s="10">
        <v>18</v>
      </c>
      <c r="Z909" s="30"/>
      <c r="AB909" s="32"/>
      <c r="AC909" s="32"/>
      <c r="AD909" s="32"/>
      <c r="AE909" s="32">
        <f t="shared" si="245"/>
        <v>0</v>
      </c>
      <c r="AF909" s="12"/>
      <c r="AG909" s="12"/>
      <c r="AH909" s="12"/>
      <c r="AI909" s="12">
        <f t="shared" si="24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41"/>
        <v>0</v>
      </c>
      <c r="H910" s="12"/>
      <c r="I910" s="12"/>
      <c r="J910" s="12"/>
      <c r="K910" s="12">
        <f t="shared" si="242"/>
        <v>0</v>
      </c>
      <c r="M910" s="10">
        <v>19</v>
      </c>
      <c r="N910" s="30"/>
      <c r="O910" s="31"/>
      <c r="P910" s="32"/>
      <c r="Q910" s="32"/>
      <c r="R910" s="32"/>
      <c r="S910" s="32">
        <f t="shared" si="243"/>
        <v>0</v>
      </c>
      <c r="T910" s="12"/>
      <c r="U910" s="12"/>
      <c r="V910" s="12"/>
      <c r="W910" s="12">
        <f t="shared" si="24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5"/>
        <v>0</v>
      </c>
      <c r="AF910" s="12"/>
      <c r="AG910" s="12"/>
      <c r="AH910" s="12"/>
      <c r="AI910" s="12">
        <f t="shared" si="24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41"/>
        <v>0</v>
      </c>
      <c r="H911" s="12"/>
      <c r="I911" s="12"/>
      <c r="J911" s="12"/>
      <c r="K911" s="12">
        <f t="shared" si="242"/>
        <v>0</v>
      </c>
      <c r="M911" s="10">
        <v>20</v>
      </c>
      <c r="N911" s="30"/>
      <c r="O911" s="31"/>
      <c r="P911" s="32"/>
      <c r="Q911" s="32"/>
      <c r="R911" s="32"/>
      <c r="S911" s="32">
        <f t="shared" si="243"/>
        <v>0</v>
      </c>
      <c r="T911" s="12"/>
      <c r="U911" s="12"/>
      <c r="V911" s="12"/>
      <c r="W911" s="12">
        <f t="shared" si="24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45"/>
        <v>0</v>
      </c>
      <c r="AF911" s="12"/>
      <c r="AG911" s="12"/>
      <c r="AH911" s="12"/>
      <c r="AI911" s="12">
        <f t="shared" si="24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57"/>
      <c r="D912" s="32"/>
      <c r="E912" s="32"/>
      <c r="F912" s="32"/>
      <c r="G912" s="32">
        <f t="shared" si="241"/>
        <v>0</v>
      </c>
      <c r="H912" s="10"/>
      <c r="I912" s="10"/>
      <c r="J912" s="10"/>
      <c r="K912" s="12">
        <f t="shared" si="242"/>
        <v>0</v>
      </c>
      <c r="M912" s="10">
        <v>21</v>
      </c>
      <c r="N912" s="30"/>
      <c r="O912" s="31"/>
      <c r="P912" s="46"/>
      <c r="Q912" s="31"/>
      <c r="R912" s="31"/>
      <c r="S912" s="32">
        <f t="shared" si="243"/>
        <v>0</v>
      </c>
      <c r="T912" s="10"/>
      <c r="U912" s="10"/>
      <c r="V912" s="10"/>
      <c r="W912" s="12">
        <f t="shared" si="24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5"/>
        <v>0</v>
      </c>
      <c r="AF912" s="10"/>
      <c r="AG912" s="10"/>
      <c r="AH912" s="10"/>
      <c r="AI912" s="12">
        <f t="shared" si="24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57"/>
      <c r="D913" s="32"/>
      <c r="E913" s="32"/>
      <c r="F913" s="32"/>
      <c r="G913" s="32">
        <f t="shared" si="241"/>
        <v>0</v>
      </c>
      <c r="H913" s="10"/>
      <c r="I913" s="10"/>
      <c r="J913" s="10"/>
      <c r="K913" s="12">
        <f t="shared" si="242"/>
        <v>0</v>
      </c>
      <c r="M913" s="10">
        <v>22</v>
      </c>
      <c r="N913" s="30"/>
      <c r="O913" s="31"/>
      <c r="P913" s="45"/>
      <c r="Q913" s="31"/>
      <c r="R913" s="31"/>
      <c r="S913" s="32">
        <f t="shared" si="243"/>
        <v>0</v>
      </c>
      <c r="T913" s="10"/>
      <c r="U913" s="10"/>
      <c r="V913" s="10"/>
      <c r="W913" s="12">
        <f t="shared" si="24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5"/>
        <v>0</v>
      </c>
      <c r="AF913" s="10"/>
      <c r="AG913" s="10"/>
      <c r="AH913" s="10"/>
      <c r="AI913" s="12">
        <f t="shared" si="24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41"/>
        <v>0</v>
      </c>
      <c r="H914" s="10"/>
      <c r="I914" s="10"/>
      <c r="J914" s="12"/>
      <c r="K914" s="12">
        <f t="shared" si="242"/>
        <v>0</v>
      </c>
      <c r="M914" s="10">
        <v>23</v>
      </c>
      <c r="N914" s="30"/>
      <c r="O914" s="31"/>
      <c r="P914" s="47"/>
      <c r="Q914" s="31"/>
      <c r="S914" s="32">
        <f t="shared" si="243"/>
        <v>0</v>
      </c>
      <c r="T914" s="10"/>
      <c r="U914" s="10"/>
      <c r="V914" s="10"/>
      <c r="W914" s="12">
        <f t="shared" si="244"/>
        <v>0</v>
      </c>
      <c r="Y914" s="10">
        <v>23</v>
      </c>
      <c r="Z914" s="30"/>
      <c r="AA914" s="31"/>
      <c r="AB914" s="47"/>
      <c r="AE914" s="32">
        <f t="shared" si="245"/>
        <v>0</v>
      </c>
      <c r="AF914" s="10"/>
      <c r="AG914" s="10"/>
      <c r="AH914" s="10"/>
      <c r="AI914" s="12">
        <f t="shared" si="24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41"/>
        <v>0</v>
      </c>
      <c r="H915" s="10"/>
      <c r="I915" s="10"/>
      <c r="J915" s="10"/>
      <c r="K915" s="12">
        <f t="shared" si="242"/>
        <v>0</v>
      </c>
      <c r="M915" s="10">
        <v>24</v>
      </c>
      <c r="N915" s="30"/>
      <c r="O915" s="31"/>
      <c r="P915" s="47"/>
      <c r="Q915" s="31"/>
      <c r="R915" s="31"/>
      <c r="S915" s="32">
        <f t="shared" si="243"/>
        <v>0</v>
      </c>
      <c r="T915" s="10"/>
      <c r="U915" s="10"/>
      <c r="V915" s="10"/>
      <c r="W915" s="12">
        <f t="shared" si="24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5"/>
        <v>0</v>
      </c>
      <c r="AF915" s="10"/>
      <c r="AG915" s="10"/>
      <c r="AH915" s="10"/>
      <c r="AI915" s="12">
        <f t="shared" si="24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41"/>
        <v>0</v>
      </c>
      <c r="H916" s="10"/>
      <c r="I916" s="10"/>
      <c r="J916" s="10"/>
      <c r="K916" s="12">
        <f t="shared" si="242"/>
        <v>0</v>
      </c>
      <c r="M916" s="10">
        <v>25</v>
      </c>
      <c r="N916" s="30"/>
      <c r="O916" s="31"/>
      <c r="P916" s="47"/>
      <c r="Q916" s="31"/>
      <c r="R916" s="31"/>
      <c r="S916" s="32">
        <f t="shared" si="243"/>
        <v>0</v>
      </c>
      <c r="T916" s="10"/>
      <c r="U916" s="10"/>
      <c r="V916" s="10"/>
      <c r="W916" s="12">
        <f t="shared" si="24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5"/>
        <v>0</v>
      </c>
      <c r="AF916" s="10"/>
      <c r="AG916" s="10"/>
      <c r="AH916" s="10"/>
      <c r="AI916" s="12">
        <f t="shared" si="24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41"/>
        <v>0</v>
      </c>
      <c r="H917" s="10"/>
      <c r="I917" s="10"/>
      <c r="J917" s="10"/>
      <c r="K917" s="12">
        <f t="shared" si="242"/>
        <v>0</v>
      </c>
      <c r="M917" s="10">
        <v>26</v>
      </c>
      <c r="N917" s="30"/>
      <c r="O917" s="31"/>
      <c r="P917" s="47"/>
      <c r="Q917" s="31"/>
      <c r="R917" s="31"/>
      <c r="S917" s="32">
        <f t="shared" si="243"/>
        <v>0</v>
      </c>
      <c r="T917" s="10"/>
      <c r="U917" s="10"/>
      <c r="V917" s="10"/>
      <c r="W917" s="12">
        <f t="shared" si="24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5"/>
        <v>0</v>
      </c>
      <c r="AF917" s="10"/>
      <c r="AG917" s="10"/>
      <c r="AH917" s="10"/>
      <c r="AI917" s="12">
        <f t="shared" si="24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41"/>
        <v>0</v>
      </c>
      <c r="H918" s="10"/>
      <c r="I918" s="10"/>
      <c r="J918" s="10"/>
      <c r="K918" s="12">
        <f t="shared" si="242"/>
        <v>0</v>
      </c>
      <c r="M918" s="10">
        <v>27</v>
      </c>
      <c r="N918" s="30"/>
      <c r="O918" s="31"/>
      <c r="P918" s="47"/>
      <c r="Q918" s="31"/>
      <c r="R918" s="31"/>
      <c r="S918" s="32">
        <f t="shared" si="243"/>
        <v>0</v>
      </c>
      <c r="T918" s="10"/>
      <c r="U918" s="10"/>
      <c r="V918" s="10"/>
      <c r="W918" s="12">
        <f t="shared" si="24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5"/>
        <v>0</v>
      </c>
      <c r="AF918" s="10"/>
      <c r="AG918" s="10"/>
      <c r="AH918" s="10"/>
      <c r="AI918" s="12">
        <f t="shared" si="24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41"/>
        <v>0</v>
      </c>
      <c r="H919" s="10"/>
      <c r="I919" s="10"/>
      <c r="J919" s="10"/>
      <c r="K919" s="12">
        <f t="shared" si="242"/>
        <v>0</v>
      </c>
      <c r="M919" s="10">
        <v>28</v>
      </c>
      <c r="N919" s="30"/>
      <c r="O919" s="31"/>
      <c r="P919" s="47"/>
      <c r="Q919" s="31"/>
      <c r="R919" s="31"/>
      <c r="S919" s="32">
        <f t="shared" si="243"/>
        <v>0</v>
      </c>
      <c r="T919" s="10"/>
      <c r="U919" s="10"/>
      <c r="V919" s="10"/>
      <c r="W919" s="12">
        <f t="shared" si="24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5"/>
        <v>0</v>
      </c>
      <c r="AF919" s="10"/>
      <c r="AG919" s="10"/>
      <c r="AH919" s="10"/>
      <c r="AI919" s="12">
        <f t="shared" si="24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41"/>
        <v>0</v>
      </c>
      <c r="H920" s="10"/>
      <c r="I920" s="10"/>
      <c r="J920" s="10"/>
      <c r="K920" s="12">
        <f t="shared" si="242"/>
        <v>0</v>
      </c>
      <c r="M920" s="10">
        <v>29</v>
      </c>
      <c r="N920" s="30"/>
      <c r="O920" s="31"/>
      <c r="P920" s="47"/>
      <c r="Q920" s="31"/>
      <c r="R920" s="31"/>
      <c r="S920" s="32">
        <f t="shared" si="243"/>
        <v>0</v>
      </c>
      <c r="T920" s="10"/>
      <c r="U920" s="10"/>
      <c r="V920" s="10"/>
      <c r="W920" s="12">
        <f t="shared" si="24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5"/>
        <v>0</v>
      </c>
      <c r="AF920" s="10"/>
      <c r="AG920" s="10"/>
      <c r="AH920" s="10"/>
      <c r="AI920" s="12">
        <f t="shared" si="24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2"/>
      <c r="D921" s="32"/>
      <c r="E921" s="32"/>
      <c r="F921" s="32"/>
      <c r="G921" s="32">
        <f t="shared" si="241"/>
        <v>0</v>
      </c>
      <c r="H921" s="10"/>
      <c r="I921" s="10"/>
      <c r="J921" s="10"/>
      <c r="K921" s="12">
        <f t="shared" si="242"/>
        <v>0</v>
      </c>
      <c r="M921" s="10">
        <v>30</v>
      </c>
      <c r="N921" s="30"/>
      <c r="O921" s="31"/>
      <c r="P921" s="47"/>
      <c r="Q921" s="31"/>
      <c r="R921" s="31"/>
      <c r="S921" s="32">
        <f t="shared" si="243"/>
        <v>0</v>
      </c>
      <c r="T921" s="10"/>
      <c r="U921" s="10"/>
      <c r="V921" s="10"/>
      <c r="W921" s="12">
        <f t="shared" si="244"/>
        <v>0</v>
      </c>
      <c r="Y921" s="10">
        <v>30</v>
      </c>
      <c r="Z921" s="30"/>
      <c r="AB921" s="47"/>
      <c r="AC921" s="31"/>
      <c r="AD921" s="31"/>
      <c r="AE921" s="32">
        <f t="shared" si="245"/>
        <v>0</v>
      </c>
      <c r="AF921" s="10"/>
      <c r="AG921" s="10"/>
      <c r="AH921" s="10"/>
      <c r="AI921" s="12">
        <f t="shared" si="24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2"/>
      <c r="D922" s="32"/>
      <c r="E922" s="32"/>
      <c r="F922" s="32"/>
      <c r="G922" s="32">
        <f t="shared" si="241"/>
        <v>0</v>
      </c>
      <c r="H922" s="10"/>
      <c r="I922" s="10"/>
      <c r="J922" s="10"/>
      <c r="K922" s="12">
        <f t="shared" si="242"/>
        <v>0</v>
      </c>
      <c r="M922" s="10">
        <v>31</v>
      </c>
      <c r="N922" s="30"/>
      <c r="O922" s="31"/>
      <c r="P922" s="47"/>
      <c r="Q922" s="31"/>
      <c r="R922" s="31"/>
      <c r="S922" s="32">
        <f t="shared" si="243"/>
        <v>0</v>
      </c>
      <c r="T922" s="10"/>
      <c r="U922" s="10"/>
      <c r="V922" s="10"/>
      <c r="W922" s="12">
        <f t="shared" si="24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5"/>
        <v>0</v>
      </c>
      <c r="AF922" s="10"/>
      <c r="AG922" s="10"/>
      <c r="AH922" s="10"/>
      <c r="AI922" s="12">
        <f t="shared" si="24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41"/>
        <v>0</v>
      </c>
      <c r="H923" s="10"/>
      <c r="I923" s="10"/>
      <c r="J923" s="10"/>
      <c r="K923" s="12">
        <f t="shared" si="242"/>
        <v>0</v>
      </c>
      <c r="M923" s="10">
        <v>32</v>
      </c>
      <c r="N923" s="30"/>
      <c r="O923" s="31"/>
      <c r="P923" s="47"/>
      <c r="Q923" s="31"/>
      <c r="R923" s="31"/>
      <c r="S923" s="32">
        <f t="shared" si="243"/>
        <v>0</v>
      </c>
      <c r="T923" s="10"/>
      <c r="U923" s="10"/>
      <c r="V923" s="10"/>
      <c r="W923" s="12">
        <f t="shared" si="24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5"/>
        <v>0</v>
      </c>
      <c r="AF923" s="10"/>
      <c r="AG923" s="10"/>
      <c r="AH923" s="10"/>
      <c r="AI923" s="12">
        <f t="shared" si="24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41"/>
        <v>0</v>
      </c>
      <c r="H924" s="10"/>
      <c r="I924" s="10"/>
      <c r="J924" s="10"/>
      <c r="K924" s="12">
        <f t="shared" si="242"/>
        <v>0</v>
      </c>
      <c r="M924" s="10">
        <v>33</v>
      </c>
      <c r="N924" s="30"/>
      <c r="O924" s="31"/>
      <c r="P924" s="47"/>
      <c r="Q924" s="31"/>
      <c r="R924" s="31"/>
      <c r="S924" s="32">
        <f t="shared" si="243"/>
        <v>0</v>
      </c>
      <c r="T924" s="10"/>
      <c r="U924" s="10"/>
      <c r="V924" s="10"/>
      <c r="W924" s="12">
        <f t="shared" si="24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5"/>
        <v>0</v>
      </c>
      <c r="AF924" s="10"/>
      <c r="AG924" s="10"/>
      <c r="AH924" s="10"/>
      <c r="AI924" s="12">
        <f t="shared" si="24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41"/>
        <v>0</v>
      </c>
      <c r="H925" s="10"/>
      <c r="I925" s="10"/>
      <c r="J925" s="10"/>
      <c r="K925" s="12">
        <f t="shared" si="242"/>
        <v>0</v>
      </c>
      <c r="M925" s="10">
        <v>34</v>
      </c>
      <c r="N925" s="30"/>
      <c r="O925" s="31"/>
      <c r="P925" s="47"/>
      <c r="Q925" s="31"/>
      <c r="R925" s="31"/>
      <c r="S925" s="32">
        <f t="shared" si="243"/>
        <v>0</v>
      </c>
      <c r="T925" s="10"/>
      <c r="U925" s="10"/>
      <c r="V925" s="10"/>
      <c r="W925" s="12">
        <f t="shared" si="244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45"/>
        <v>0</v>
      </c>
      <c r="AF925" s="10"/>
      <c r="AG925" s="10"/>
      <c r="AH925" s="10"/>
      <c r="AI925" s="12">
        <f t="shared" si="24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P926" s="47"/>
      <c r="Q926" s="31"/>
      <c r="R926" s="31"/>
      <c r="S926" s="32">
        <f t="shared" si="243"/>
        <v>0</v>
      </c>
      <c r="T926" s="10"/>
      <c r="U926" s="10"/>
      <c r="V926" s="10"/>
      <c r="W926" s="12">
        <f t="shared" si="24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5"/>
        <v>0</v>
      </c>
      <c r="AF926" s="10"/>
      <c r="AG926" s="10"/>
      <c r="AH926" s="10"/>
      <c r="AI926" s="12">
        <f t="shared" si="24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3"/>
        <v>0</v>
      </c>
      <c r="T927" s="10"/>
      <c r="U927" s="10"/>
      <c r="V927" s="10"/>
      <c r="W927" s="12">
        <f t="shared" si="24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5"/>
        <v>0</v>
      </c>
      <c r="AF927" s="10"/>
      <c r="AG927" s="10"/>
      <c r="AH927" s="10"/>
      <c r="AI927" s="12">
        <f t="shared" si="24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O928" s="31"/>
      <c r="P928" s="47"/>
      <c r="Q928" s="31"/>
      <c r="R928" s="31"/>
      <c r="S928" s="32">
        <f t="shared" si="243"/>
        <v>0</v>
      </c>
      <c r="T928" s="10"/>
      <c r="U928" s="10"/>
      <c r="V928" s="10"/>
      <c r="W928" s="12">
        <f t="shared" si="24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5"/>
        <v>0</v>
      </c>
      <c r="AF928" s="10"/>
      <c r="AG928" s="10"/>
      <c r="AH928" s="10"/>
      <c r="AI928" s="12">
        <f t="shared" si="24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3"/>
        <v>0</v>
      </c>
      <c r="T929" s="10"/>
      <c r="U929" s="10"/>
      <c r="V929" s="10"/>
      <c r="W929" s="12">
        <f t="shared" si="24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5"/>
        <v>0</v>
      </c>
      <c r="AF929" s="10"/>
      <c r="AG929" s="10"/>
      <c r="AH929" s="10"/>
      <c r="AI929" s="12">
        <f t="shared" si="24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3"/>
        <v>0</v>
      </c>
      <c r="T930" s="10"/>
      <c r="U930" s="10"/>
      <c r="V930" s="10"/>
      <c r="W930" s="12">
        <f t="shared" si="24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5"/>
        <v>0</v>
      </c>
      <c r="AF930" s="10"/>
      <c r="AG930" s="10"/>
      <c r="AH930" s="10"/>
      <c r="AI930" s="12">
        <f t="shared" si="24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4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377761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377761</v>
      </c>
      <c r="H935" s="4"/>
      <c r="I935" s="39">
        <f>SUM(I892:I934)</f>
        <v>13633.5</v>
      </c>
      <c r="J935" s="39">
        <f>SUM(J892:J934)</f>
        <v>-823.5</v>
      </c>
      <c r="K935" s="40">
        <f>SUM(K892:K934)</f>
        <v>390571</v>
      </c>
      <c r="N935" s="57"/>
      <c r="O935" s="57"/>
      <c r="P935" s="38">
        <f>SUM(P892:P934)</f>
        <v>303691.5</v>
      </c>
      <c r="Q935" s="38">
        <f>SUM(Q892:Q916)</f>
        <v>-2598</v>
      </c>
      <c r="R935" s="38">
        <f>SUM(R892:R916)</f>
        <v>0</v>
      </c>
      <c r="S935" s="38">
        <f>SUM(S892:S934)</f>
        <v>301093.5</v>
      </c>
      <c r="T935" s="4"/>
      <c r="U935" s="41">
        <f>SUM(U892:U934)</f>
        <v>1056</v>
      </c>
      <c r="V935" s="41">
        <f>SUM(V892:V916)</f>
        <v>-699</v>
      </c>
      <c r="W935" s="42">
        <f>SUM(W892:W934)</f>
        <v>301450.5</v>
      </c>
      <c r="Z935" s="57"/>
      <c r="AA935" s="57"/>
      <c r="AB935" s="38">
        <f>SUM(AB892:AB934)</f>
        <v>321135</v>
      </c>
      <c r="AC935" s="38">
        <f>SUM(AC892:AC916)</f>
        <v>-2304</v>
      </c>
      <c r="AD935" s="38">
        <f>SUM(AD892:AD916)</f>
        <v>0</v>
      </c>
      <c r="AE935" s="38">
        <f>SUM(AE892:AE934)</f>
        <v>318831</v>
      </c>
      <c r="AF935" s="4"/>
      <c r="AG935" s="41">
        <f>SUM(AG892:AG934)</f>
        <v>1482.75</v>
      </c>
      <c r="AH935" s="41">
        <f>SUM(AH892:AH916)</f>
        <v>-9267</v>
      </c>
      <c r="AI935" s="42">
        <f>SUM(AI892:AI934)</f>
        <v>311046.75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5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5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42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42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42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85"/>
      <c r="AT942" s="85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88</v>
      </c>
      <c r="AI943" s="24"/>
      <c r="AK943" s="64"/>
      <c r="AL943" s="85"/>
      <c r="AM943" s="85"/>
      <c r="AN943" s="85"/>
      <c r="AO943" s="85"/>
      <c r="AP943" s="85"/>
      <c r="AQ943" s="85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5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07"/>
      <c r="G945" s="27"/>
      <c r="I945" s="119" t="s">
        <v>18</v>
      </c>
      <c r="J945" s="120"/>
      <c r="K945" s="117" t="s">
        <v>19</v>
      </c>
      <c r="N945" s="25"/>
      <c r="O945" s="26"/>
      <c r="P945" s="121" t="s">
        <v>17</v>
      </c>
      <c r="Q945" s="121"/>
      <c r="R945" s="107"/>
      <c r="S945" s="27"/>
      <c r="U945" s="119" t="s">
        <v>18</v>
      </c>
      <c r="V945" s="120"/>
      <c r="W945" s="117" t="s">
        <v>19</v>
      </c>
      <c r="Z945" s="25"/>
      <c r="AA945" s="26"/>
      <c r="AB945" s="121" t="s">
        <v>17</v>
      </c>
      <c r="AC945" s="121"/>
      <c r="AD945" s="107"/>
      <c r="AE945" s="27"/>
      <c r="AG945" s="119" t="s">
        <v>18</v>
      </c>
      <c r="AH945" s="120"/>
      <c r="AI945" s="117" t="s">
        <v>19</v>
      </c>
      <c r="AK945" s="62"/>
      <c r="AL945" s="65"/>
      <c r="AM945" s="85"/>
      <c r="AN945" s="123"/>
      <c r="AO945" s="123"/>
      <c r="AP945" s="85"/>
      <c r="AQ945" s="85"/>
      <c r="AR945" s="62"/>
      <c r="AS945" s="123"/>
      <c r="AT945" s="123"/>
      <c r="AU945" s="122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8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8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8"/>
      <c r="AK946" s="62"/>
      <c r="AL946" s="85"/>
      <c r="AM946" s="85"/>
      <c r="AN946" s="79"/>
      <c r="AO946" s="81"/>
      <c r="AP946" s="81"/>
      <c r="AQ946" s="81"/>
      <c r="AR946" s="62"/>
      <c r="AS946" s="84"/>
      <c r="AT946" s="84"/>
      <c r="AU946" s="122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2">
        <v>9817</v>
      </c>
      <c r="D947" s="32">
        <f>650*432+229*13</f>
        <v>283777</v>
      </c>
      <c r="E947" s="32">
        <f>-432*6</f>
        <v>-2592</v>
      </c>
      <c r="F947" s="32"/>
      <c r="G947" s="32">
        <f t="shared" ref="G947:G980" si="255">SUM(D947:E947)</f>
        <v>281185</v>
      </c>
      <c r="H947" s="12"/>
      <c r="I947" s="12">
        <f>27*111+312*1.5+4.5*66</f>
        <v>3762</v>
      </c>
      <c r="J947" s="12"/>
      <c r="K947" s="12">
        <f t="shared" ref="K947:K980" si="256">SUM(G947:J947)</f>
        <v>284947</v>
      </c>
      <c r="M947" s="10">
        <v>1</v>
      </c>
      <c r="N947" s="30" t="s">
        <v>87</v>
      </c>
      <c r="O947" s="31">
        <v>9742</v>
      </c>
      <c r="P947" s="32">
        <f>650*8+700*2+622</f>
        <v>7222</v>
      </c>
      <c r="Q947" s="32"/>
      <c r="R947" s="32"/>
      <c r="S947" s="32">
        <f>SUM(P947:Q947)</f>
        <v>7222</v>
      </c>
      <c r="T947" s="12"/>
      <c r="U947" s="12"/>
      <c r="V947" s="12"/>
      <c r="W947" s="12">
        <f>SUM(S947:V947)</f>
        <v>7222</v>
      </c>
      <c r="Y947" s="10">
        <v>1</v>
      </c>
      <c r="Z947" s="30" t="s">
        <v>87</v>
      </c>
      <c r="AA947" s="31">
        <v>9752</v>
      </c>
      <c r="AB947" s="32">
        <f>650*324+229*13</f>
        <v>213577</v>
      </c>
      <c r="AC947" s="32"/>
      <c r="AD947" s="32"/>
      <c r="AE947" s="32">
        <f>SUM(AB947:AC947)</f>
        <v>213577</v>
      </c>
      <c r="AF947" s="12"/>
      <c r="AG947" s="12"/>
      <c r="AH947" s="12"/>
      <c r="AI947" s="12">
        <f>SUM(AE947:AH947)</f>
        <v>213577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2">
        <f>C947+1</f>
        <v>9818</v>
      </c>
      <c r="D948" s="32">
        <f>650*16</f>
        <v>10400</v>
      </c>
      <c r="E948" s="32"/>
      <c r="F948" s="32"/>
      <c r="G948" s="32">
        <f t="shared" si="255"/>
        <v>10400</v>
      </c>
      <c r="H948" s="12"/>
      <c r="I948" s="12"/>
      <c r="J948" s="12"/>
      <c r="K948" s="12">
        <f t="shared" si="256"/>
        <v>10400</v>
      </c>
      <c r="M948" s="10">
        <v>2</v>
      </c>
      <c r="N948" s="30" t="s">
        <v>87</v>
      </c>
      <c r="O948" s="31">
        <f>O947+1</f>
        <v>9743</v>
      </c>
      <c r="P948" s="32">
        <f>650*16+9.5*16</f>
        <v>10552</v>
      </c>
      <c r="Q948" s="32"/>
      <c r="R948" s="32"/>
      <c r="S948" s="32">
        <f t="shared" ref="S948:S985" si="257">SUM(P948:Q948)</f>
        <v>10552</v>
      </c>
      <c r="T948" s="12"/>
      <c r="U948" s="12"/>
      <c r="V948" s="12">
        <v>-444</v>
      </c>
      <c r="W948" s="12">
        <f t="shared" ref="W948:W988" si="258">SUM(S948:V948)</f>
        <v>10108</v>
      </c>
      <c r="Y948" s="10">
        <v>2</v>
      </c>
      <c r="Z948" s="30" t="s">
        <v>87</v>
      </c>
      <c r="AA948" s="31">
        <f>AA947+1</f>
        <v>9753</v>
      </c>
      <c r="AB948" s="32">
        <f>650*40+670+973*2+622*7+912+1050*2+229*2+500*2</f>
        <v>37440</v>
      </c>
      <c r="AC948" s="32"/>
      <c r="AD948" s="32"/>
      <c r="AE948" s="32">
        <f t="shared" ref="AE948:AE985" si="259">SUM(AB948:AC948)</f>
        <v>37440</v>
      </c>
      <c r="AF948" s="12"/>
      <c r="AG948" s="12"/>
      <c r="AH948" s="12"/>
      <c r="AI948" s="12">
        <f t="shared" ref="AI948:AI988" si="260">SUM(AE948:AH948)</f>
        <v>37440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2">
        <f t="shared" ref="C949:C950" si="261">C948+1</f>
        <v>9819</v>
      </c>
      <c r="D949" s="33">
        <f>650*4+9.5*4</f>
        <v>2638</v>
      </c>
      <c r="E949" s="33"/>
      <c r="F949" s="33"/>
      <c r="G949" s="33">
        <f t="shared" si="255"/>
        <v>2638</v>
      </c>
      <c r="H949" s="34"/>
      <c r="I949" s="34"/>
      <c r="J949" s="34"/>
      <c r="K949" s="34">
        <f t="shared" si="256"/>
        <v>2638</v>
      </c>
      <c r="M949" s="10">
        <v>3</v>
      </c>
      <c r="N949" s="30" t="s">
        <v>87</v>
      </c>
      <c r="O949" s="31">
        <f t="shared" ref="O949:O953" si="262">O948+1</f>
        <v>9744</v>
      </c>
      <c r="P949" s="32">
        <f>650*2+622+9.5*3</f>
        <v>1950.5</v>
      </c>
      <c r="Q949" s="32"/>
      <c r="R949" s="32"/>
      <c r="S949" s="32">
        <f t="shared" si="257"/>
        <v>1950.5</v>
      </c>
      <c r="T949" s="12"/>
      <c r="U949" s="12">
        <v>4.5</v>
      </c>
      <c r="V949" s="12">
        <v>-444</v>
      </c>
      <c r="W949" s="12">
        <f t="shared" si="258"/>
        <v>1511</v>
      </c>
      <c r="Y949" s="10">
        <v>3</v>
      </c>
      <c r="Z949" s="30" t="s">
        <v>87</v>
      </c>
      <c r="AA949" s="31">
        <f t="shared" ref="AA949:AA952" si="263">AA948+1</f>
        <v>9754</v>
      </c>
      <c r="AB949" s="33">
        <f>650*50+229*2</f>
        <v>32958</v>
      </c>
      <c r="AC949" s="33"/>
      <c r="AD949" s="32"/>
      <c r="AE949" s="32">
        <f t="shared" si="259"/>
        <v>32958</v>
      </c>
      <c r="AF949" s="12"/>
      <c r="AG949" s="12">
        <v>156</v>
      </c>
      <c r="AH949" s="12"/>
      <c r="AI949" s="12">
        <f t="shared" si="260"/>
        <v>33114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2">
        <f t="shared" si="261"/>
        <v>9820</v>
      </c>
      <c r="D950" s="32">
        <f>650*6+670*3</f>
        <v>5910</v>
      </c>
      <c r="E950" s="32"/>
      <c r="F950" s="32"/>
      <c r="G950" s="32">
        <f t="shared" si="255"/>
        <v>5910</v>
      </c>
      <c r="H950" s="12"/>
      <c r="I950" s="12"/>
      <c r="J950" s="12">
        <f>-111*29</f>
        <v>-3219</v>
      </c>
      <c r="K950" s="12">
        <f t="shared" si="256"/>
        <v>2691</v>
      </c>
      <c r="M950" s="10">
        <v>4</v>
      </c>
      <c r="N950" s="30" t="s">
        <v>87</v>
      </c>
      <c r="O950" s="31">
        <f t="shared" si="262"/>
        <v>9745</v>
      </c>
      <c r="P950" s="32">
        <f>650+9.5</f>
        <v>659.5</v>
      </c>
      <c r="Q950" s="32"/>
      <c r="R950" s="32"/>
      <c r="S950" s="32">
        <f t="shared" si="257"/>
        <v>659.5</v>
      </c>
      <c r="T950" s="12"/>
      <c r="U950" s="12"/>
      <c r="V950" s="12"/>
      <c r="W950" s="12">
        <f t="shared" si="258"/>
        <v>659.5</v>
      </c>
      <c r="Y950" s="10">
        <v>4</v>
      </c>
      <c r="Z950" s="30" t="s">
        <v>87</v>
      </c>
      <c r="AA950" s="31">
        <f t="shared" si="263"/>
        <v>9755</v>
      </c>
      <c r="AB950" s="32">
        <f>650*5+670*2+622*3</f>
        <v>6456</v>
      </c>
      <c r="AC950" s="32"/>
      <c r="AD950" s="32"/>
      <c r="AE950" s="32">
        <f t="shared" si="259"/>
        <v>6456</v>
      </c>
      <c r="AF950" s="12"/>
      <c r="AG950" s="58">
        <v>840</v>
      </c>
      <c r="AH950" s="12"/>
      <c r="AI950" s="12">
        <f t="shared" si="260"/>
        <v>7296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55"/>
        <v>0</v>
      </c>
      <c r="H951" s="12"/>
      <c r="I951" s="12"/>
      <c r="J951" s="12"/>
      <c r="K951" s="12">
        <f t="shared" si="256"/>
        <v>0</v>
      </c>
      <c r="M951" s="10">
        <v>5</v>
      </c>
      <c r="N951" s="30" t="s">
        <v>87</v>
      </c>
      <c r="O951" s="31">
        <f t="shared" si="262"/>
        <v>9746</v>
      </c>
      <c r="P951" s="32">
        <f>650*4+622+9.5*5</f>
        <v>3269.5</v>
      </c>
      <c r="Q951" s="32"/>
      <c r="R951" s="32"/>
      <c r="S951" s="32">
        <f t="shared" si="257"/>
        <v>3269.5</v>
      </c>
      <c r="T951" s="12"/>
      <c r="U951" s="12"/>
      <c r="V951" s="12"/>
      <c r="W951" s="12">
        <f t="shared" si="258"/>
        <v>3269.5</v>
      </c>
      <c r="Y951" s="10">
        <v>5</v>
      </c>
      <c r="Z951" s="30" t="s">
        <v>87</v>
      </c>
      <c r="AA951" s="31">
        <f t="shared" si="263"/>
        <v>9756</v>
      </c>
      <c r="AB951" s="32">
        <f>650*7+670</f>
        <v>5220</v>
      </c>
      <c r="AC951" s="32"/>
      <c r="AD951" s="32"/>
      <c r="AE951" s="32">
        <f t="shared" si="259"/>
        <v>5220</v>
      </c>
      <c r="AF951" s="12"/>
      <c r="AG951" s="12"/>
      <c r="AH951" s="12"/>
      <c r="AI951" s="12">
        <f t="shared" si="260"/>
        <v>5220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2"/>
      <c r="D952" s="32"/>
      <c r="E952" s="32"/>
      <c r="F952" s="32"/>
      <c r="G952" s="32">
        <f t="shared" si="255"/>
        <v>0</v>
      </c>
      <c r="H952" s="12"/>
      <c r="I952" s="12"/>
      <c r="J952" s="12"/>
      <c r="K952" s="12">
        <f t="shared" si="256"/>
        <v>0</v>
      </c>
      <c r="M952" s="10">
        <v>6</v>
      </c>
      <c r="N952" s="30" t="s">
        <v>87</v>
      </c>
      <c r="O952" s="31">
        <f t="shared" si="262"/>
        <v>9747</v>
      </c>
      <c r="P952" s="32">
        <f>650*140+670*4+229*2</f>
        <v>94138</v>
      </c>
      <c r="Q952" s="32">
        <f>-144*6</f>
        <v>-864</v>
      </c>
      <c r="R952" s="32"/>
      <c r="S952" s="32">
        <f t="shared" si="257"/>
        <v>93274</v>
      </c>
      <c r="T952" s="12"/>
      <c r="U952" s="12">
        <f>48*1.5</f>
        <v>72</v>
      </c>
      <c r="V952" s="10"/>
      <c r="W952" s="12">
        <f t="shared" si="258"/>
        <v>93346</v>
      </c>
      <c r="Y952" s="10">
        <v>6</v>
      </c>
      <c r="Z952" s="30" t="s">
        <v>87</v>
      </c>
      <c r="AA952" s="31">
        <f t="shared" si="263"/>
        <v>9757</v>
      </c>
      <c r="AB952" s="32">
        <f>650*15+670+622*5+229</f>
        <v>13759</v>
      </c>
      <c r="AC952" s="32"/>
      <c r="AD952" s="32"/>
      <c r="AE952" s="32">
        <f t="shared" si="259"/>
        <v>13759</v>
      </c>
      <c r="AF952" s="12"/>
      <c r="AG952" s="12"/>
      <c r="AH952" s="10"/>
      <c r="AI952" s="12">
        <f t="shared" si="260"/>
        <v>13759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2"/>
      <c r="D953" s="32"/>
      <c r="E953" s="32"/>
      <c r="F953" s="32"/>
      <c r="G953" s="32">
        <f t="shared" si="255"/>
        <v>0</v>
      </c>
      <c r="H953" s="12"/>
      <c r="I953" s="12"/>
      <c r="J953" s="12"/>
      <c r="K953" s="12">
        <f t="shared" si="256"/>
        <v>0</v>
      </c>
      <c r="M953" s="10">
        <v>7</v>
      </c>
      <c r="N953" s="30" t="s">
        <v>87</v>
      </c>
      <c r="O953" s="31">
        <f t="shared" si="262"/>
        <v>9748</v>
      </c>
      <c r="P953" s="32">
        <f>650*180+622*20+229*6</f>
        <v>130814</v>
      </c>
      <c r="Q953" s="32">
        <f>-200*6</f>
        <v>-1200</v>
      </c>
      <c r="R953" s="32"/>
      <c r="S953" s="32">
        <f t="shared" si="257"/>
        <v>129614</v>
      </c>
      <c r="T953" s="12"/>
      <c r="U953" s="12">
        <v>312</v>
      </c>
      <c r="V953" s="12">
        <f>-3996+-336</f>
        <v>-4332</v>
      </c>
      <c r="W953" s="12">
        <f t="shared" si="258"/>
        <v>125594</v>
      </c>
      <c r="Y953" s="10">
        <v>7</v>
      </c>
      <c r="Z953" s="30"/>
      <c r="AA953" s="11" t="s">
        <v>27</v>
      </c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2"/>
      <c r="D954" s="32"/>
      <c r="E954" s="32"/>
      <c r="F954" s="32"/>
      <c r="G954" s="32">
        <f t="shared" si="255"/>
        <v>0</v>
      </c>
      <c r="H954" s="12"/>
      <c r="I954" s="12"/>
      <c r="J954" s="12"/>
      <c r="K954" s="12">
        <f t="shared" si="256"/>
        <v>0</v>
      </c>
      <c r="M954" s="10">
        <v>8</v>
      </c>
      <c r="N954" s="30"/>
      <c r="O954" s="11" t="s">
        <v>27</v>
      </c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2"/>
      <c r="D955" s="32"/>
      <c r="E955" s="32"/>
      <c r="F955" s="32"/>
      <c r="G955" s="32">
        <f t="shared" si="255"/>
        <v>0</v>
      </c>
      <c r="H955" s="12"/>
      <c r="I955" s="12"/>
      <c r="J955" s="12"/>
      <c r="K955" s="12">
        <f t="shared" si="256"/>
        <v>0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11"/>
      <c r="AB955" s="32"/>
      <c r="AC955" s="32"/>
      <c r="AD955" s="32"/>
      <c r="AE955" s="32">
        <f t="shared" si="259"/>
        <v>0</v>
      </c>
      <c r="AF955" s="12"/>
      <c r="AH955" s="12"/>
      <c r="AI955" s="12">
        <f t="shared" si="260"/>
        <v>0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2"/>
      <c r="D956" s="32"/>
      <c r="E956" s="32"/>
      <c r="F956" s="32"/>
      <c r="G956" s="32">
        <f t="shared" si="255"/>
        <v>0</v>
      </c>
      <c r="H956" s="12"/>
      <c r="I956" s="12"/>
      <c r="J956" s="12"/>
      <c r="K956" s="12">
        <f t="shared" si="256"/>
        <v>0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2"/>
      <c r="D957" s="32"/>
      <c r="E957" s="32"/>
      <c r="F957" s="32"/>
      <c r="G957" s="32">
        <f t="shared" si="255"/>
        <v>0</v>
      </c>
      <c r="H957" s="12"/>
      <c r="I957" s="12"/>
      <c r="J957" s="12"/>
      <c r="K957" s="12">
        <f t="shared" si="256"/>
        <v>0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2"/>
      <c r="D958" s="32"/>
      <c r="E958" s="32"/>
      <c r="F958" s="32"/>
      <c r="G958" s="32">
        <f t="shared" si="255"/>
        <v>0</v>
      </c>
      <c r="H958" s="12"/>
      <c r="I958" s="12"/>
      <c r="J958" s="10"/>
      <c r="K958" s="12">
        <f t="shared" si="256"/>
        <v>0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11"/>
      <c r="D959" s="32"/>
      <c r="E959" s="32"/>
      <c r="F959" s="32"/>
      <c r="G959" s="32">
        <f t="shared" si="255"/>
        <v>0</v>
      </c>
      <c r="H959" s="12"/>
      <c r="I959" s="12"/>
      <c r="J959" s="12"/>
      <c r="K959" s="12">
        <f t="shared" si="256"/>
        <v>0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O960" s="31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2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1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2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O976" s="31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2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O977" s="31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O980" s="31"/>
      <c r="P980" s="47"/>
      <c r="Q980" s="31"/>
      <c r="R980" s="31"/>
      <c r="S980" s="32">
        <f t="shared" si="257"/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P981" s="47"/>
      <c r="Q981" s="31"/>
      <c r="R981" s="31"/>
      <c r="S981" s="32">
        <f t="shared" si="257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57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O983" s="31"/>
      <c r="P983" s="47"/>
      <c r="Q983" s="31"/>
      <c r="R983" s="31"/>
      <c r="S983" s="32">
        <f t="shared" si="257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57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57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4">SUM(D987:E987)</f>
        <v>0</v>
      </c>
      <c r="H987" s="10"/>
      <c r="I987" s="10"/>
      <c r="J987" s="10"/>
      <c r="K987" s="12">
        <f t="shared" ref="K987" si="265">SUM(G987:J987)</f>
        <v>0</v>
      </c>
      <c r="M987" s="10"/>
      <c r="N987" s="30"/>
      <c r="O987" s="31"/>
      <c r="P987" s="47"/>
      <c r="Q987" s="31"/>
      <c r="R987" s="31"/>
      <c r="S987" s="32">
        <f t="shared" ref="S987" si="266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7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5"/>
      <c r="AM988" s="85"/>
      <c r="AN988" s="85"/>
      <c r="AO988" s="85"/>
      <c r="AP988" s="85"/>
      <c r="AQ988" s="85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5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302725</v>
      </c>
      <c r="E990" s="38">
        <f t="shared" ref="E990:F990" si="268">SUM(E947:E987)</f>
        <v>-2592</v>
      </c>
      <c r="F990" s="38">
        <f t="shared" si="268"/>
        <v>0</v>
      </c>
      <c r="G990" s="38">
        <f>SUM(G947:G989)</f>
        <v>300133</v>
      </c>
      <c r="H990" s="4"/>
      <c r="I990" s="39">
        <f>SUM(I947:I989)</f>
        <v>3762</v>
      </c>
      <c r="J990" s="39">
        <f>SUM(J947:J989)</f>
        <v>-3219</v>
      </c>
      <c r="K990" s="40">
        <f>SUM(K947:K989)</f>
        <v>300676</v>
      </c>
      <c r="N990" s="57"/>
      <c r="O990" s="57"/>
      <c r="P990" s="38">
        <f>SUM(P947:P989)</f>
        <v>248605.5</v>
      </c>
      <c r="Q990" s="38">
        <f>SUM(Q947:Q971)</f>
        <v>-2064</v>
      </c>
      <c r="R990" s="38">
        <f>SUM(R947:R971)</f>
        <v>0</v>
      </c>
      <c r="S990" s="38">
        <f>SUM(S947:S989)</f>
        <v>246541.5</v>
      </c>
      <c r="T990" s="4"/>
      <c r="U990" s="41">
        <f>SUM(U947:U989)</f>
        <v>388.5</v>
      </c>
      <c r="V990" s="41">
        <f>SUM(V947:V971)</f>
        <v>-5220</v>
      </c>
      <c r="W990" s="42">
        <f>SUM(W947:W989)</f>
        <v>241710</v>
      </c>
      <c r="Z990" s="57"/>
      <c r="AA990" s="57"/>
      <c r="AB990" s="38">
        <f>SUM(AB947:AB989)</f>
        <v>309410</v>
      </c>
      <c r="AC990" s="38">
        <f>SUM(AC947:AC971)</f>
        <v>0</v>
      </c>
      <c r="AD990" s="38">
        <f>SUM(AD947:AD971)</f>
        <v>0</v>
      </c>
      <c r="AE990" s="38">
        <f>SUM(AE947:AE989)</f>
        <v>309410</v>
      </c>
      <c r="AF990" s="4"/>
      <c r="AG990" s="41">
        <f>SUM(AG947:AG989)</f>
        <v>996</v>
      </c>
      <c r="AH990" s="41">
        <f>SUM(AH947:AH971)</f>
        <v>0</v>
      </c>
      <c r="AI990" s="42">
        <f>SUM(AI947:AI989)</f>
        <v>310406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5"/>
      <c r="C995" s="85"/>
      <c r="D995" s="85"/>
      <c r="E995" s="85"/>
      <c r="F995" s="85"/>
      <c r="G995" s="85"/>
      <c r="H995" s="62"/>
      <c r="I995" s="62"/>
      <c r="J995" s="62"/>
      <c r="K995" s="62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5"/>
      <c r="C996" s="85"/>
      <c r="D996" s="85"/>
      <c r="E996" s="85"/>
      <c r="F996" s="85"/>
      <c r="G996" s="85"/>
      <c r="H996" s="62"/>
      <c r="I996" s="62"/>
      <c r="J996" s="62"/>
      <c r="K996" s="62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5"/>
      <c r="C997" s="85"/>
      <c r="D997" s="85"/>
      <c r="E997" s="85"/>
      <c r="F997" s="85"/>
      <c r="G997" s="85"/>
      <c r="H997" s="62"/>
      <c r="I997" s="85"/>
      <c r="J997" s="73"/>
      <c r="K997" s="62"/>
      <c r="M997" t="s">
        <v>44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5"/>
      <c r="C998" s="85"/>
      <c r="D998" s="85"/>
      <c r="E998" s="85"/>
      <c r="F998" s="85"/>
      <c r="G998" s="85"/>
      <c r="H998" s="62"/>
      <c r="I998" s="65"/>
      <c r="J998" s="65"/>
      <c r="K998" s="62"/>
      <c r="M998" s="21" t="s">
        <v>90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90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88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85"/>
      <c r="E999" s="85"/>
      <c r="F999" s="85"/>
      <c r="G999" s="85"/>
      <c r="H999" s="62"/>
      <c r="I999" s="62"/>
      <c r="J999" s="62"/>
      <c r="K999" s="62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5"/>
      <c r="D1000" s="123"/>
      <c r="E1000" s="123"/>
      <c r="F1000" s="85"/>
      <c r="G1000" s="85"/>
      <c r="H1000" s="62"/>
      <c r="I1000" s="123"/>
      <c r="J1000" s="123"/>
      <c r="K1000" s="122"/>
      <c r="N1000" s="25"/>
      <c r="O1000" s="26"/>
      <c r="P1000" s="121" t="s">
        <v>17</v>
      </c>
      <c r="Q1000" s="121"/>
      <c r="R1000" s="108"/>
      <c r="S1000" s="27"/>
      <c r="U1000" s="119" t="s">
        <v>18</v>
      </c>
      <c r="V1000" s="120"/>
      <c r="W1000" s="117" t="s">
        <v>19</v>
      </c>
      <c r="Z1000" s="25"/>
      <c r="AA1000" s="26"/>
      <c r="AB1000" s="121" t="s">
        <v>17</v>
      </c>
      <c r="AC1000" s="121"/>
      <c r="AD1000" s="108"/>
      <c r="AE1000" s="27"/>
      <c r="AG1000" s="119" t="s">
        <v>18</v>
      </c>
      <c r="AH1000" s="120"/>
      <c r="AI1000" s="117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5"/>
      <c r="C1001" s="85"/>
      <c r="D1001" s="79"/>
      <c r="E1001" s="80"/>
      <c r="F1001" s="81"/>
      <c r="G1001" s="81"/>
      <c r="H1001" s="62"/>
      <c r="I1001" s="84"/>
      <c r="J1001" s="84"/>
      <c r="K1001" s="122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8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3"/>
      <c r="D1002" s="60"/>
      <c r="E1002" s="60"/>
      <c r="F1002" s="60"/>
      <c r="G1002" s="60"/>
      <c r="H1002" s="61"/>
      <c r="I1002" s="61"/>
      <c r="J1002" s="61"/>
      <c r="K1002" s="61"/>
      <c r="M1002" s="10">
        <v>1</v>
      </c>
      <c r="N1002" s="30" t="s">
        <v>91</v>
      </c>
      <c r="O1002" s="31">
        <v>9749</v>
      </c>
      <c r="P1002" s="32">
        <f>650*216+229*9</f>
        <v>142461</v>
      </c>
      <c r="Q1002" s="32">
        <f>-216*6</f>
        <v>-1296</v>
      </c>
      <c r="R1002" s="32"/>
      <c r="S1002" s="32">
        <f>SUM(P1002:Q1002)</f>
        <v>141165</v>
      </c>
      <c r="T1002" s="12"/>
      <c r="U1002" s="12">
        <f>71*111+78*8</f>
        <v>8505</v>
      </c>
      <c r="V1002" s="12">
        <v>-1680</v>
      </c>
      <c r="W1002" s="12">
        <f>SUM(S1002:V1002)</f>
        <v>147990</v>
      </c>
      <c r="Y1002" s="10">
        <v>1</v>
      </c>
      <c r="Z1002" s="30" t="s">
        <v>91</v>
      </c>
      <c r="AA1002" s="31">
        <v>9699</v>
      </c>
      <c r="AB1002" s="32">
        <f>650*166+622*50+229*10</f>
        <v>141290</v>
      </c>
      <c r="AC1002" s="32"/>
      <c r="AD1002" s="32"/>
      <c r="AE1002" s="32">
        <f>SUM(AB1002:AC1002)</f>
        <v>141290</v>
      </c>
      <c r="AF1002" s="12"/>
      <c r="AG1002" s="12">
        <f>54*111+1.5*206+4.5*84</f>
        <v>6681</v>
      </c>
      <c r="AH1002" s="12"/>
      <c r="AI1002" s="12">
        <f>SUM(AE1002:AH1002)</f>
        <v>147971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M1003" s="10">
        <v>2</v>
      </c>
      <c r="N1003" s="30" t="s">
        <v>91</v>
      </c>
      <c r="O1003" s="31">
        <f>O1002+1</f>
        <v>9750</v>
      </c>
      <c r="P1003" s="32">
        <f>650*39+670*2</f>
        <v>26690</v>
      </c>
      <c r="Q1003" s="32"/>
      <c r="R1003" s="32"/>
      <c r="S1003" s="32">
        <f t="shared" ref="S1003:S1040" si="269">SUM(P1003:Q1003)</f>
        <v>26690</v>
      </c>
      <c r="T1003" s="12"/>
      <c r="U1003" s="12">
        <f>4.5*19+2.25*3</f>
        <v>92.25</v>
      </c>
      <c r="V1003" s="12"/>
      <c r="W1003" s="12">
        <f t="shared" ref="W1003:W1043" si="270">SUM(S1003:V1003)</f>
        <v>26782.25</v>
      </c>
      <c r="Y1003" s="10">
        <v>2</v>
      </c>
      <c r="Z1003" s="30" t="s">
        <v>91</v>
      </c>
      <c r="AA1003" s="31">
        <f>AA1002+1</f>
        <v>9700</v>
      </c>
      <c r="AB1003" s="32">
        <f>650*245+622*25+229*7</f>
        <v>176403</v>
      </c>
      <c r="AC1003" s="32">
        <f>-270*6</f>
        <v>-1620</v>
      </c>
      <c r="AD1003" s="32"/>
      <c r="AE1003" s="32">
        <f t="shared" ref="AE1003:AE1040" si="271">SUM(AB1003:AC1003)</f>
        <v>174783</v>
      </c>
      <c r="AF1003" s="12"/>
      <c r="AG1003" s="12">
        <f>78*2+1.5*61</f>
        <v>247.5</v>
      </c>
      <c r="AH1003" s="12"/>
      <c r="AI1003" s="12">
        <f t="shared" ref="AI1003:AI1043" si="272">SUM(AE1003:AH1003)</f>
        <v>175030.5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M1004" s="10">
        <v>3</v>
      </c>
      <c r="N1004" s="30" t="s">
        <v>91</v>
      </c>
      <c r="O1004" s="31">
        <v>9851</v>
      </c>
      <c r="P1004" s="32">
        <f>650*20+9.5*20</f>
        <v>13190</v>
      </c>
      <c r="Q1004" s="32"/>
      <c r="R1004" s="32"/>
      <c r="S1004" s="32">
        <f t="shared" si="269"/>
        <v>13190</v>
      </c>
      <c r="T1004" s="12"/>
      <c r="U1004" s="12">
        <v>30</v>
      </c>
      <c r="V1004" s="12"/>
      <c r="W1004" s="12">
        <f t="shared" si="270"/>
        <v>13220</v>
      </c>
      <c r="Y1004" s="10">
        <v>3</v>
      </c>
      <c r="Z1004" s="30" t="s">
        <v>91</v>
      </c>
      <c r="AA1004" s="31">
        <v>9758</v>
      </c>
      <c r="AB1004" s="33">
        <f>650*29+872</f>
        <v>19722</v>
      </c>
      <c r="AC1004" s="33"/>
      <c r="AD1004" s="32"/>
      <c r="AE1004" s="32">
        <f t="shared" si="271"/>
        <v>19722</v>
      </c>
      <c r="AF1004" s="12"/>
      <c r="AG1004" s="12"/>
      <c r="AH1004" s="12"/>
      <c r="AI1004" s="12">
        <f t="shared" si="272"/>
        <v>19722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M1005" s="10">
        <v>4</v>
      </c>
      <c r="N1005" s="30" t="s">
        <v>91</v>
      </c>
      <c r="O1005" s="31">
        <f t="shared" ref="O1005:O1006" si="273">O1004+1</f>
        <v>9852</v>
      </c>
      <c r="P1005" s="32">
        <f>650*20+9.5*20</f>
        <v>13190</v>
      </c>
      <c r="Q1005" s="32"/>
      <c r="R1005" s="32"/>
      <c r="S1005" s="32">
        <f t="shared" si="269"/>
        <v>13190</v>
      </c>
      <c r="T1005" s="12"/>
      <c r="U1005" s="12"/>
      <c r="V1005" s="12">
        <v>-777</v>
      </c>
      <c r="W1005" s="12">
        <f t="shared" si="270"/>
        <v>12413</v>
      </c>
      <c r="Y1005" s="10">
        <v>4</v>
      </c>
      <c r="Z1005" s="30" t="s">
        <v>91</v>
      </c>
      <c r="AA1005" s="31">
        <f t="shared" ref="AA1005:AA1007" si="274">AA1004+1</f>
        <v>9759</v>
      </c>
      <c r="AB1005" s="32">
        <f>650*14+670</f>
        <v>9770</v>
      </c>
      <c r="AC1005" s="32"/>
      <c r="AD1005" s="32"/>
      <c r="AE1005" s="32">
        <f t="shared" si="271"/>
        <v>9770</v>
      </c>
      <c r="AF1005" s="12"/>
      <c r="AG1005" s="58"/>
      <c r="AH1005" s="12"/>
      <c r="AI1005" s="12">
        <f t="shared" si="272"/>
        <v>9770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M1006" s="10">
        <v>5</v>
      </c>
      <c r="N1006" s="30" t="s">
        <v>91</v>
      </c>
      <c r="O1006" s="31">
        <f t="shared" si="273"/>
        <v>9853</v>
      </c>
      <c r="P1006" s="32">
        <f>650*3+670</f>
        <v>2620</v>
      </c>
      <c r="Q1006" s="32"/>
      <c r="R1006" s="32"/>
      <c r="S1006" s="32">
        <f t="shared" si="269"/>
        <v>2620</v>
      </c>
      <c r="T1006" s="12"/>
      <c r="U1006" s="12"/>
      <c r="V1006" s="12"/>
      <c r="W1006" s="12">
        <f t="shared" si="270"/>
        <v>2620</v>
      </c>
      <c r="Y1006" s="10">
        <v>5</v>
      </c>
      <c r="Z1006" s="30" t="s">
        <v>91</v>
      </c>
      <c r="AA1006" s="31">
        <f t="shared" si="274"/>
        <v>9760</v>
      </c>
      <c r="AB1006" s="32">
        <f>650*15+670+872*2+500</f>
        <v>12664</v>
      </c>
      <c r="AC1006" s="32"/>
      <c r="AD1006" s="32"/>
      <c r="AE1006" s="32">
        <f t="shared" si="271"/>
        <v>12664</v>
      </c>
      <c r="AF1006" s="12"/>
      <c r="AG1006" s="12"/>
      <c r="AH1006" s="12">
        <v>-1776</v>
      </c>
      <c r="AI1006" s="12">
        <f t="shared" si="272"/>
        <v>10888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M1007" s="10">
        <v>6</v>
      </c>
      <c r="N1007" s="30"/>
      <c r="O1007" s="11" t="s">
        <v>27</v>
      </c>
      <c r="P1007" s="32"/>
      <c r="Q1007" s="32"/>
      <c r="R1007" s="32"/>
      <c r="S1007" s="32">
        <f t="shared" si="269"/>
        <v>0</v>
      </c>
      <c r="T1007" s="12"/>
      <c r="U1007" s="12"/>
      <c r="V1007" s="10"/>
      <c r="W1007" s="12">
        <f t="shared" si="270"/>
        <v>0</v>
      </c>
      <c r="Y1007" s="10">
        <v>6</v>
      </c>
      <c r="Z1007" s="30" t="s">
        <v>91</v>
      </c>
      <c r="AA1007" s="31">
        <f t="shared" si="274"/>
        <v>9761</v>
      </c>
      <c r="AB1007" s="32">
        <f>650*10</f>
        <v>6500</v>
      </c>
      <c r="AC1007" s="32">
        <f>-10*6</f>
        <v>-60</v>
      </c>
      <c r="AD1007" s="32"/>
      <c r="AE1007" s="32">
        <f t="shared" si="271"/>
        <v>6440</v>
      </c>
      <c r="AF1007" s="12"/>
      <c r="AG1007" s="12"/>
      <c r="AH1007" s="10"/>
      <c r="AI1007" s="12">
        <f t="shared" si="272"/>
        <v>6440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M1008" s="10">
        <v>7</v>
      </c>
      <c r="N1008" s="30"/>
      <c r="O1008" s="31"/>
      <c r="P1008" s="32"/>
      <c r="Q1008" s="32"/>
      <c r="R1008" s="32"/>
      <c r="S1008" s="32">
        <f t="shared" si="269"/>
        <v>0</v>
      </c>
      <c r="T1008" s="12"/>
      <c r="U1008" s="12"/>
      <c r="V1008" s="12"/>
      <c r="W1008" s="12">
        <f t="shared" si="270"/>
        <v>0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1"/>
        <v>0</v>
      </c>
      <c r="AF1008" s="12"/>
      <c r="AG1008" s="58"/>
      <c r="AH1008" s="12"/>
      <c r="AI1008" s="12">
        <f t="shared" si="272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M1009" s="10">
        <v>8</v>
      </c>
      <c r="N1009" s="30"/>
      <c r="O1009" s="11"/>
      <c r="P1009" s="32"/>
      <c r="Q1009" s="32"/>
      <c r="R1009" s="32"/>
      <c r="S1009" s="32">
        <f t="shared" si="269"/>
        <v>0</v>
      </c>
      <c r="T1009" s="12"/>
      <c r="U1009" s="12"/>
      <c r="V1009" s="12"/>
      <c r="W1009" s="12">
        <f t="shared" si="270"/>
        <v>0</v>
      </c>
      <c r="Y1009" s="10">
        <v>8</v>
      </c>
      <c r="Z1009" s="30"/>
      <c r="AA1009" s="31"/>
      <c r="AB1009" s="32"/>
      <c r="AC1009" s="32"/>
      <c r="AE1009" s="32">
        <f t="shared" si="271"/>
        <v>0</v>
      </c>
      <c r="AF1009" s="12"/>
      <c r="AG1009" s="12"/>
      <c r="AH1009" s="12"/>
      <c r="AI1009" s="12">
        <f t="shared" si="272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M1010" s="10">
        <v>9</v>
      </c>
      <c r="N1010" s="30"/>
      <c r="O1010" s="31"/>
      <c r="P1010" s="32"/>
      <c r="Q1010" s="32"/>
      <c r="R1010" s="32"/>
      <c r="S1010" s="32">
        <f t="shared" si="269"/>
        <v>0</v>
      </c>
      <c r="T1010" s="12"/>
      <c r="U1010" s="12"/>
      <c r="V1010" s="12"/>
      <c r="W1010" s="12">
        <f t="shared" si="270"/>
        <v>0</v>
      </c>
      <c r="Y1010" s="10">
        <v>9</v>
      </c>
      <c r="Z1010" s="30"/>
      <c r="AA1010" s="11"/>
      <c r="AB1010" s="32"/>
      <c r="AC1010" s="32"/>
      <c r="AD1010" s="32"/>
      <c r="AE1010" s="32">
        <f t="shared" si="271"/>
        <v>0</v>
      </c>
      <c r="AF1010" s="12"/>
      <c r="AH1010" s="12"/>
      <c r="AI1010" s="12">
        <f t="shared" si="27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1"/>
      <c r="K1011" s="61"/>
      <c r="M1011" s="10">
        <v>10</v>
      </c>
      <c r="N1011" s="30"/>
      <c r="O1011" s="31"/>
      <c r="P1011" s="32"/>
      <c r="Q1011" s="32"/>
      <c r="R1011" s="32"/>
      <c r="S1011" s="32">
        <f t="shared" si="269"/>
        <v>0</v>
      </c>
      <c r="T1011" s="12"/>
      <c r="U1011" s="12"/>
      <c r="V1011" s="12"/>
      <c r="W1011" s="12">
        <f t="shared" si="27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71"/>
        <v>0</v>
      </c>
      <c r="AF1011" s="12"/>
      <c r="AG1011" s="12"/>
      <c r="AH1011" s="12"/>
      <c r="AI1011" s="12">
        <f t="shared" si="27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M1012" s="10">
        <v>11</v>
      </c>
      <c r="N1012" s="30"/>
      <c r="O1012" s="31"/>
      <c r="P1012" s="32"/>
      <c r="Q1012" s="32"/>
      <c r="R1012" s="32"/>
      <c r="S1012" s="32">
        <f t="shared" si="269"/>
        <v>0</v>
      </c>
      <c r="T1012" s="12"/>
      <c r="U1012" s="12"/>
      <c r="V1012" s="12"/>
      <c r="W1012" s="12">
        <f t="shared" si="27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71"/>
        <v>0</v>
      </c>
      <c r="AF1012" s="12"/>
      <c r="AG1012" s="12"/>
      <c r="AH1012" s="12"/>
      <c r="AI1012" s="12">
        <f t="shared" si="27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2"/>
      <c r="K1013" s="61"/>
      <c r="M1013" s="10">
        <v>12</v>
      </c>
      <c r="N1013" s="30"/>
      <c r="O1013" s="31"/>
      <c r="P1013" s="32"/>
      <c r="Q1013" s="32"/>
      <c r="R1013" s="32"/>
      <c r="S1013" s="32">
        <f t="shared" si="269"/>
        <v>0</v>
      </c>
      <c r="T1013" s="12"/>
      <c r="U1013" s="12"/>
      <c r="V1013" s="12"/>
      <c r="W1013" s="12">
        <f t="shared" si="270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1"/>
        <v>0</v>
      </c>
      <c r="AF1013" s="12"/>
      <c r="AG1013" s="12"/>
      <c r="AH1013" s="12"/>
      <c r="AI1013" s="12">
        <f t="shared" si="27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5"/>
      <c r="D1014" s="60"/>
      <c r="E1014" s="60"/>
      <c r="F1014" s="60"/>
      <c r="G1014" s="60"/>
      <c r="H1014" s="61"/>
      <c r="I1014" s="61"/>
      <c r="J1014" s="61"/>
      <c r="K1014" s="61"/>
      <c r="M1014" s="10">
        <v>13</v>
      </c>
      <c r="N1014" s="30"/>
      <c r="O1014" s="31"/>
      <c r="P1014" s="32"/>
      <c r="Q1014" s="32"/>
      <c r="R1014" s="32"/>
      <c r="S1014" s="32">
        <f t="shared" si="269"/>
        <v>0</v>
      </c>
      <c r="T1014" s="12"/>
      <c r="U1014" s="12"/>
      <c r="V1014" s="12"/>
      <c r="W1014" s="12">
        <f t="shared" si="270"/>
        <v>0</v>
      </c>
      <c r="Y1014" s="10">
        <v>13</v>
      </c>
      <c r="Z1014" s="30"/>
      <c r="AB1014" s="32"/>
      <c r="AC1014" s="32"/>
      <c r="AD1014" s="32"/>
      <c r="AE1014" s="32">
        <f t="shared" si="271"/>
        <v>0</v>
      </c>
      <c r="AF1014" s="12"/>
      <c r="AG1014" s="12"/>
      <c r="AH1014" s="12"/>
      <c r="AI1014" s="12">
        <f t="shared" si="27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M1015" s="10">
        <v>14</v>
      </c>
      <c r="N1015" s="30"/>
      <c r="O1015" s="31"/>
      <c r="P1015" s="32"/>
      <c r="Q1015" s="32"/>
      <c r="R1015" s="32"/>
      <c r="S1015" s="32">
        <f t="shared" si="269"/>
        <v>0</v>
      </c>
      <c r="T1015" s="12"/>
      <c r="U1015" s="12"/>
      <c r="V1015" s="12"/>
      <c r="W1015" s="12">
        <f t="shared" si="27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1"/>
        <v>0</v>
      </c>
      <c r="AF1015" s="12"/>
      <c r="AG1015" s="12"/>
      <c r="AH1015" s="12"/>
      <c r="AI1015" s="12">
        <f t="shared" si="27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M1016" s="10">
        <v>15</v>
      </c>
      <c r="N1016" s="30"/>
      <c r="O1016" s="31"/>
      <c r="P1016" s="32"/>
      <c r="Q1016" s="32"/>
      <c r="R1016" s="32"/>
      <c r="S1016" s="32">
        <f t="shared" si="269"/>
        <v>0</v>
      </c>
      <c r="T1016" s="12"/>
      <c r="U1016" s="12"/>
      <c r="V1016" s="12"/>
      <c r="W1016" s="12">
        <f t="shared" si="27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1"/>
        <v>0</v>
      </c>
      <c r="AF1016" s="12"/>
      <c r="AG1016" s="12"/>
      <c r="AH1016" s="12"/>
      <c r="AI1016" s="12">
        <f t="shared" si="27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M1017" s="10">
        <v>16</v>
      </c>
      <c r="N1017" s="30"/>
      <c r="O1017" s="11"/>
      <c r="P1017" s="32"/>
      <c r="Q1017" s="32"/>
      <c r="R1017" s="32"/>
      <c r="S1017" s="32">
        <f t="shared" si="269"/>
        <v>0</v>
      </c>
      <c r="T1017" s="12"/>
      <c r="U1017" s="12"/>
      <c r="V1017" s="12"/>
      <c r="W1017" s="12">
        <f t="shared" si="27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71"/>
        <v>0</v>
      </c>
      <c r="AF1017" s="12"/>
      <c r="AG1017" s="12"/>
      <c r="AH1017" s="12"/>
      <c r="AI1017" s="12">
        <f t="shared" si="27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M1018" s="10">
        <v>17</v>
      </c>
      <c r="N1018" s="30"/>
      <c r="O1018" s="31"/>
      <c r="P1018" s="35"/>
      <c r="Q1018" s="32"/>
      <c r="R1018" s="32"/>
      <c r="S1018" s="32">
        <f t="shared" si="269"/>
        <v>0</v>
      </c>
      <c r="T1018" s="12"/>
      <c r="U1018" s="12"/>
      <c r="V1018" s="12"/>
      <c r="W1018" s="12">
        <f t="shared" si="27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1"/>
        <v>0</v>
      </c>
      <c r="AF1018" s="12"/>
      <c r="AG1018" s="12"/>
      <c r="AH1018" s="12"/>
      <c r="AI1018" s="12">
        <f t="shared" si="27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M1019" s="10">
        <v>18</v>
      </c>
      <c r="N1019" s="30"/>
      <c r="O1019" s="31"/>
      <c r="P1019" s="32"/>
      <c r="Q1019" s="32"/>
      <c r="R1019" s="32"/>
      <c r="S1019" s="32">
        <f t="shared" si="269"/>
        <v>0</v>
      </c>
      <c r="T1019" s="12"/>
      <c r="U1019" s="12"/>
      <c r="V1019" s="12"/>
      <c r="W1019" s="12">
        <f t="shared" si="270"/>
        <v>0</v>
      </c>
      <c r="Y1019" s="10">
        <v>18</v>
      </c>
      <c r="Z1019" s="30"/>
      <c r="AB1019" s="32"/>
      <c r="AC1019" s="32"/>
      <c r="AD1019" s="32"/>
      <c r="AE1019" s="32">
        <f t="shared" si="271"/>
        <v>0</v>
      </c>
      <c r="AF1019" s="12"/>
      <c r="AG1019" s="12"/>
      <c r="AH1019" s="12"/>
      <c r="AI1019" s="12">
        <f t="shared" si="27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1"/>
      <c r="I1020" s="61"/>
      <c r="J1020" s="61"/>
      <c r="K1020" s="61"/>
      <c r="M1020" s="10">
        <v>19</v>
      </c>
      <c r="N1020" s="30"/>
      <c r="O1020" s="31"/>
      <c r="P1020" s="32"/>
      <c r="Q1020" s="32"/>
      <c r="R1020" s="32"/>
      <c r="S1020" s="32">
        <f t="shared" si="269"/>
        <v>0</v>
      </c>
      <c r="T1020" s="12"/>
      <c r="U1020" s="12"/>
      <c r="V1020" s="12"/>
      <c r="W1020" s="12">
        <f t="shared" si="27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1"/>
        <v>0</v>
      </c>
      <c r="AF1020" s="12"/>
      <c r="AG1020" s="12"/>
      <c r="AH1020" s="12"/>
      <c r="AI1020" s="12">
        <f t="shared" si="27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1"/>
      <c r="I1021" s="61"/>
      <c r="J1021" s="61"/>
      <c r="K1021" s="61"/>
      <c r="M1021" s="10">
        <v>20</v>
      </c>
      <c r="N1021" s="30"/>
      <c r="O1021" s="31"/>
      <c r="P1021" s="32"/>
      <c r="Q1021" s="32"/>
      <c r="R1021" s="32"/>
      <c r="S1021" s="32">
        <f t="shared" si="269"/>
        <v>0</v>
      </c>
      <c r="T1021" s="12"/>
      <c r="U1021" s="12"/>
      <c r="V1021" s="12"/>
      <c r="W1021" s="12">
        <f t="shared" si="270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1"/>
        <v>0</v>
      </c>
      <c r="AF1021" s="12"/>
      <c r="AG1021" s="12"/>
      <c r="AH1021" s="12"/>
      <c r="AI1021" s="12">
        <f t="shared" si="27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2"/>
      <c r="K1022" s="61"/>
      <c r="M1022" s="10">
        <v>21</v>
      </c>
      <c r="N1022" s="30"/>
      <c r="O1022" s="31"/>
      <c r="P1022" s="46"/>
      <c r="Q1022" s="31"/>
      <c r="R1022" s="31"/>
      <c r="S1022" s="32">
        <f t="shared" si="269"/>
        <v>0</v>
      </c>
      <c r="T1022" s="10"/>
      <c r="U1022" s="10"/>
      <c r="V1022" s="10"/>
      <c r="W1022" s="12">
        <f t="shared" si="27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71"/>
        <v>0</v>
      </c>
      <c r="AF1022" s="10"/>
      <c r="AG1022" s="10"/>
      <c r="AH1022" s="10"/>
      <c r="AI1022" s="12">
        <f t="shared" si="27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M1023" s="10">
        <v>22</v>
      </c>
      <c r="N1023" s="30"/>
      <c r="O1023" s="31"/>
      <c r="P1023" s="45"/>
      <c r="Q1023" s="31"/>
      <c r="R1023" s="31"/>
      <c r="S1023" s="32">
        <f t="shared" si="269"/>
        <v>0</v>
      </c>
      <c r="T1023" s="10"/>
      <c r="U1023" s="10"/>
      <c r="V1023" s="10"/>
      <c r="W1023" s="12">
        <f t="shared" si="27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1"/>
        <v>0</v>
      </c>
      <c r="AF1023" s="10"/>
      <c r="AG1023" s="10"/>
      <c r="AH1023" s="10"/>
      <c r="AI1023" s="12">
        <f t="shared" si="27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1"/>
      <c r="K1024" s="61"/>
      <c r="M1024" s="10">
        <v>23</v>
      </c>
      <c r="N1024" s="30"/>
      <c r="O1024" s="31"/>
      <c r="P1024" s="47"/>
      <c r="Q1024" s="31"/>
      <c r="S1024" s="32">
        <f t="shared" si="269"/>
        <v>0</v>
      </c>
      <c r="T1024" s="10"/>
      <c r="U1024" s="10"/>
      <c r="V1024" s="10"/>
      <c r="W1024" s="12">
        <f t="shared" si="270"/>
        <v>0</v>
      </c>
      <c r="Y1024" s="10">
        <v>23</v>
      </c>
      <c r="Z1024" s="30"/>
      <c r="AA1024" s="31"/>
      <c r="AB1024" s="47"/>
      <c r="AE1024" s="32">
        <f t="shared" si="271"/>
        <v>0</v>
      </c>
      <c r="AF1024" s="10"/>
      <c r="AG1024" s="10"/>
      <c r="AH1024" s="10"/>
      <c r="AI1024" s="12">
        <f t="shared" si="27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M1025" s="10">
        <v>24</v>
      </c>
      <c r="N1025" s="30"/>
      <c r="O1025" s="31"/>
      <c r="P1025" s="47"/>
      <c r="Q1025" s="31"/>
      <c r="R1025" s="31"/>
      <c r="S1025" s="32">
        <f t="shared" si="269"/>
        <v>0</v>
      </c>
      <c r="T1025" s="10"/>
      <c r="U1025" s="10"/>
      <c r="V1025" s="10"/>
      <c r="W1025" s="12">
        <f t="shared" si="27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1"/>
        <v>0</v>
      </c>
      <c r="AF1025" s="10"/>
      <c r="AG1025" s="10"/>
      <c r="AH1025" s="10"/>
      <c r="AI1025" s="12">
        <f t="shared" si="27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M1026" s="10">
        <v>25</v>
      </c>
      <c r="N1026" s="30"/>
      <c r="O1026" s="31"/>
      <c r="P1026" s="47"/>
      <c r="Q1026" s="31"/>
      <c r="R1026" s="31"/>
      <c r="S1026" s="32">
        <f t="shared" si="269"/>
        <v>0</v>
      </c>
      <c r="T1026" s="10"/>
      <c r="U1026" s="10"/>
      <c r="V1026" s="10"/>
      <c r="W1026" s="12">
        <f t="shared" si="27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1"/>
        <v>0</v>
      </c>
      <c r="AF1026" s="10"/>
      <c r="AG1026" s="10"/>
      <c r="AH1026" s="10"/>
      <c r="AI1026" s="12">
        <f t="shared" si="27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M1027" s="10">
        <v>26</v>
      </c>
      <c r="N1027" s="30"/>
      <c r="O1027" s="31"/>
      <c r="P1027" s="47"/>
      <c r="Q1027" s="31"/>
      <c r="R1027" s="31"/>
      <c r="S1027" s="32">
        <f t="shared" si="269"/>
        <v>0</v>
      </c>
      <c r="T1027" s="10"/>
      <c r="U1027" s="10"/>
      <c r="V1027" s="10"/>
      <c r="W1027" s="12">
        <f t="shared" si="27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1"/>
        <v>0</v>
      </c>
      <c r="AF1027" s="10"/>
      <c r="AG1027" s="10"/>
      <c r="AH1027" s="10"/>
      <c r="AI1027" s="12">
        <f t="shared" si="27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M1028" s="10">
        <v>27</v>
      </c>
      <c r="N1028" s="30"/>
      <c r="O1028" s="31"/>
      <c r="P1028" s="47"/>
      <c r="Q1028" s="31"/>
      <c r="R1028" s="31"/>
      <c r="S1028" s="32">
        <f t="shared" si="269"/>
        <v>0</v>
      </c>
      <c r="T1028" s="10"/>
      <c r="U1028" s="10"/>
      <c r="V1028" s="10"/>
      <c r="W1028" s="12">
        <f t="shared" si="27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1"/>
        <v>0</v>
      </c>
      <c r="AF1028" s="10"/>
      <c r="AG1028" s="10"/>
      <c r="AH1028" s="10"/>
      <c r="AI1028" s="12">
        <f t="shared" si="27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M1029" s="10">
        <v>28</v>
      </c>
      <c r="N1029" s="30"/>
      <c r="O1029" s="31"/>
      <c r="P1029" s="47"/>
      <c r="Q1029" s="31"/>
      <c r="R1029" s="31"/>
      <c r="S1029" s="32">
        <f t="shared" si="269"/>
        <v>0</v>
      </c>
      <c r="T1029" s="10"/>
      <c r="U1029" s="10"/>
      <c r="V1029" s="10"/>
      <c r="W1029" s="12">
        <f t="shared" si="27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1"/>
        <v>0</v>
      </c>
      <c r="AF1029" s="10"/>
      <c r="AG1029" s="10"/>
      <c r="AH1029" s="10"/>
      <c r="AI1029" s="12">
        <f t="shared" si="27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5"/>
      <c r="D1030" s="60"/>
      <c r="E1030" s="60"/>
      <c r="F1030" s="60"/>
      <c r="G1030" s="60"/>
      <c r="H1030" s="62"/>
      <c r="I1030" s="62"/>
      <c r="J1030" s="62"/>
      <c r="K1030" s="61"/>
      <c r="M1030" s="10">
        <v>29</v>
      </c>
      <c r="N1030" s="30"/>
      <c r="O1030" s="31"/>
      <c r="P1030" s="47"/>
      <c r="Q1030" s="31"/>
      <c r="R1030" s="31"/>
      <c r="S1030" s="32">
        <f t="shared" si="269"/>
        <v>0</v>
      </c>
      <c r="T1030" s="10"/>
      <c r="U1030" s="10"/>
      <c r="V1030" s="10"/>
      <c r="W1030" s="12">
        <f t="shared" si="27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1"/>
        <v>0</v>
      </c>
      <c r="AF1030" s="10"/>
      <c r="AG1030" s="10"/>
      <c r="AH1030" s="10"/>
      <c r="AI1030" s="12">
        <f t="shared" si="27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M1031" s="10">
        <v>30</v>
      </c>
      <c r="N1031" s="30"/>
      <c r="O1031" s="31"/>
      <c r="P1031" s="47"/>
      <c r="Q1031" s="31"/>
      <c r="R1031" s="31"/>
      <c r="S1031" s="32">
        <f t="shared" si="269"/>
        <v>0</v>
      </c>
      <c r="T1031" s="10"/>
      <c r="U1031" s="10"/>
      <c r="V1031" s="10"/>
      <c r="W1031" s="12">
        <f t="shared" si="270"/>
        <v>0</v>
      </c>
      <c r="Y1031" s="10">
        <v>30</v>
      </c>
      <c r="Z1031" s="30"/>
      <c r="AB1031" s="47"/>
      <c r="AC1031" s="31"/>
      <c r="AD1031" s="31"/>
      <c r="AE1031" s="32">
        <f t="shared" si="271"/>
        <v>0</v>
      </c>
      <c r="AF1031" s="10"/>
      <c r="AG1031" s="10"/>
      <c r="AH1031" s="10"/>
      <c r="AI1031" s="12">
        <f t="shared" si="27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M1032" s="10">
        <v>31</v>
      </c>
      <c r="N1032" s="30"/>
      <c r="O1032" s="31"/>
      <c r="P1032" s="47"/>
      <c r="Q1032" s="31"/>
      <c r="R1032" s="31"/>
      <c r="S1032" s="32">
        <f t="shared" si="269"/>
        <v>0</v>
      </c>
      <c r="T1032" s="10"/>
      <c r="U1032" s="10"/>
      <c r="V1032" s="10"/>
      <c r="W1032" s="12">
        <f t="shared" si="27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71"/>
        <v>0</v>
      </c>
      <c r="AF1032" s="10"/>
      <c r="AG1032" s="10"/>
      <c r="AH1032" s="10"/>
      <c r="AI1032" s="12">
        <f t="shared" si="27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5"/>
      <c r="D1033" s="60"/>
      <c r="E1033" s="60"/>
      <c r="F1033" s="60"/>
      <c r="G1033" s="60"/>
      <c r="H1033" s="62"/>
      <c r="I1033" s="62"/>
      <c r="J1033" s="62"/>
      <c r="K1033" s="61"/>
      <c r="M1033" s="10">
        <v>32</v>
      </c>
      <c r="N1033" s="30"/>
      <c r="O1033" s="31"/>
      <c r="P1033" s="47"/>
      <c r="Q1033" s="31"/>
      <c r="R1033" s="31"/>
      <c r="S1033" s="32">
        <f t="shared" si="269"/>
        <v>0</v>
      </c>
      <c r="T1033" s="10"/>
      <c r="U1033" s="10"/>
      <c r="V1033" s="10"/>
      <c r="W1033" s="12">
        <f t="shared" si="27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1"/>
        <v>0</v>
      </c>
      <c r="AF1033" s="10"/>
      <c r="AG1033" s="10"/>
      <c r="AH1033" s="10"/>
      <c r="AI1033" s="12">
        <f t="shared" si="27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M1034" s="10">
        <v>33</v>
      </c>
      <c r="N1034" s="30"/>
      <c r="O1034" s="31"/>
      <c r="P1034" s="47"/>
      <c r="Q1034" s="31"/>
      <c r="R1034" s="31"/>
      <c r="S1034" s="32">
        <f t="shared" si="269"/>
        <v>0</v>
      </c>
      <c r="T1034" s="10"/>
      <c r="U1034" s="10"/>
      <c r="V1034" s="10"/>
      <c r="W1034" s="12">
        <f t="shared" si="27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1"/>
        <v>0</v>
      </c>
      <c r="AF1034" s="10"/>
      <c r="AG1034" s="10"/>
      <c r="AH1034" s="10"/>
      <c r="AI1034" s="12">
        <f t="shared" si="27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M1035" s="10">
        <v>34</v>
      </c>
      <c r="N1035" s="30"/>
      <c r="O1035" s="31"/>
      <c r="P1035" s="47"/>
      <c r="Q1035" s="31"/>
      <c r="R1035" s="31"/>
      <c r="S1035" s="32">
        <f t="shared" si="269"/>
        <v>0</v>
      </c>
      <c r="T1035" s="10"/>
      <c r="U1035" s="10"/>
      <c r="V1035" s="10"/>
      <c r="W1035" s="12">
        <f t="shared" si="27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71"/>
        <v>0</v>
      </c>
      <c r="AF1035" s="10"/>
      <c r="AG1035" s="10"/>
      <c r="AH1035" s="10"/>
      <c r="AI1035" s="12">
        <f t="shared" si="27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3"/>
      <c r="D1036" s="60"/>
      <c r="E1036" s="60"/>
      <c r="F1036" s="60"/>
      <c r="G1036" s="60"/>
      <c r="H1036" s="62"/>
      <c r="I1036" s="62"/>
      <c r="J1036" s="62"/>
      <c r="K1036" s="61"/>
      <c r="M1036" s="10">
        <v>35</v>
      </c>
      <c r="N1036" s="30"/>
      <c r="P1036" s="47"/>
      <c r="Q1036" s="31"/>
      <c r="R1036" s="31"/>
      <c r="S1036" s="32">
        <f t="shared" si="269"/>
        <v>0</v>
      </c>
      <c r="T1036" s="10"/>
      <c r="U1036" s="10"/>
      <c r="V1036" s="10"/>
      <c r="W1036" s="12">
        <f t="shared" si="27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1"/>
        <v>0</v>
      </c>
      <c r="AF1036" s="10"/>
      <c r="AG1036" s="10"/>
      <c r="AH1036" s="10"/>
      <c r="AI1036" s="12">
        <f t="shared" si="27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3"/>
      <c r="D1037" s="60"/>
      <c r="E1037" s="60"/>
      <c r="F1037" s="60"/>
      <c r="G1037" s="60"/>
      <c r="H1037" s="62"/>
      <c r="I1037" s="62"/>
      <c r="J1037" s="62"/>
      <c r="K1037" s="61"/>
      <c r="M1037" s="10">
        <v>36</v>
      </c>
      <c r="N1037" s="30"/>
      <c r="O1037" s="31"/>
      <c r="P1037" s="47"/>
      <c r="Q1037" s="31"/>
      <c r="R1037" s="31"/>
      <c r="S1037" s="32">
        <f t="shared" si="269"/>
        <v>0</v>
      </c>
      <c r="T1037" s="10"/>
      <c r="U1037" s="10"/>
      <c r="V1037" s="10"/>
      <c r="W1037" s="12">
        <f t="shared" si="27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1"/>
        <v>0</v>
      </c>
      <c r="AF1037" s="10"/>
      <c r="AG1037" s="10"/>
      <c r="AH1037" s="10"/>
      <c r="AI1037" s="12">
        <f t="shared" si="27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M1038" s="10">
        <v>37</v>
      </c>
      <c r="N1038" s="30"/>
      <c r="O1038" s="31"/>
      <c r="P1038" s="47"/>
      <c r="Q1038" s="31"/>
      <c r="R1038" s="31"/>
      <c r="S1038" s="32">
        <f t="shared" si="269"/>
        <v>0</v>
      </c>
      <c r="T1038" s="10"/>
      <c r="U1038" s="10"/>
      <c r="V1038" s="10"/>
      <c r="W1038" s="12">
        <f t="shared" si="27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1"/>
        <v>0</v>
      </c>
      <c r="AF1038" s="10"/>
      <c r="AG1038" s="10"/>
      <c r="AH1038" s="10"/>
      <c r="AI1038" s="12">
        <f t="shared" si="27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M1039" s="10">
        <v>38</v>
      </c>
      <c r="N1039" s="30"/>
      <c r="O1039" s="31"/>
      <c r="P1039" s="47"/>
      <c r="Q1039" s="31"/>
      <c r="R1039" s="31"/>
      <c r="S1039" s="32">
        <f t="shared" si="269"/>
        <v>0</v>
      </c>
      <c r="T1039" s="10"/>
      <c r="U1039" s="10"/>
      <c r="V1039" s="10"/>
      <c r="W1039" s="12">
        <f t="shared" si="27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1"/>
        <v>0</v>
      </c>
      <c r="AF1039" s="10"/>
      <c r="AG1039" s="10"/>
      <c r="AH1039" s="10"/>
      <c r="AI1039" s="12">
        <f t="shared" si="27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M1040" s="10">
        <v>39</v>
      </c>
      <c r="N1040" s="30"/>
      <c r="O1040" s="31"/>
      <c r="P1040" s="47"/>
      <c r="Q1040" s="31"/>
      <c r="R1040" s="31"/>
      <c r="S1040" s="32">
        <f t="shared" si="269"/>
        <v>0</v>
      </c>
      <c r="T1040" s="10"/>
      <c r="U1040" s="10"/>
      <c r="V1040" s="10"/>
      <c r="W1040" s="12">
        <f t="shared" si="27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1"/>
        <v>0</v>
      </c>
      <c r="AF1040" s="10"/>
      <c r="AG1040" s="10"/>
      <c r="AH1040" s="10"/>
      <c r="AI1040" s="12">
        <f t="shared" si="27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5"/>
      <c r="D1041" s="60"/>
      <c r="E1041" s="60"/>
      <c r="F1041" s="60"/>
      <c r="G1041" s="60"/>
      <c r="H1041" s="62"/>
      <c r="I1041" s="62"/>
      <c r="J1041" s="62"/>
      <c r="K1041" s="61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5"/>
      <c r="D1042" s="60"/>
      <c r="E1042" s="60"/>
      <c r="F1042" s="60"/>
      <c r="G1042" s="60"/>
      <c r="H1042" s="62"/>
      <c r="I1042" s="62"/>
      <c r="J1042" s="62"/>
      <c r="K1042" s="61"/>
      <c r="M1042" s="10"/>
      <c r="N1042" s="30"/>
      <c r="O1042" s="31"/>
      <c r="P1042" s="47"/>
      <c r="Q1042" s="31"/>
      <c r="R1042" s="31"/>
      <c r="S1042" s="32">
        <f t="shared" ref="S1042" si="275">SUM(P1042:Q1042)</f>
        <v>0</v>
      </c>
      <c r="T1042" s="10"/>
      <c r="U1042" s="10"/>
      <c r="V1042" s="10"/>
      <c r="W1042" s="12">
        <f t="shared" si="270"/>
        <v>0</v>
      </c>
      <c r="Y1042" s="10"/>
      <c r="Z1042" s="30"/>
      <c r="AA1042" s="31"/>
      <c r="AB1042" s="47"/>
      <c r="AC1042" s="31"/>
      <c r="AD1042" s="31"/>
      <c r="AE1042" s="32">
        <f t="shared" ref="AE1042" si="276">SUM(AB1042:AC1042)</f>
        <v>0</v>
      </c>
      <c r="AF1042" s="10"/>
      <c r="AG1042" s="10"/>
      <c r="AH1042" s="10"/>
      <c r="AI1042" s="12">
        <f t="shared" si="27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5"/>
      <c r="C1044" s="85"/>
      <c r="D1044" s="85"/>
      <c r="E1044" s="85"/>
      <c r="F1044" s="85"/>
      <c r="G1044" s="85"/>
      <c r="H1044" s="62"/>
      <c r="I1044" s="62"/>
      <c r="J1044" s="62"/>
      <c r="K1044" s="62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70"/>
      <c r="E1045" s="70"/>
      <c r="F1045" s="70"/>
      <c r="G1045" s="70"/>
      <c r="H1045" s="63"/>
      <c r="I1045" s="70"/>
      <c r="J1045" s="70"/>
      <c r="K1045" s="70"/>
      <c r="N1045" s="57"/>
      <c r="O1045" s="57"/>
      <c r="P1045" s="38">
        <f>SUM(P1002:P1044)</f>
        <v>198151</v>
      </c>
      <c r="Q1045" s="38">
        <f>SUM(Q1002:Q1026)</f>
        <v>-1296</v>
      </c>
      <c r="R1045" s="38">
        <f>SUM(R1002:R1026)</f>
        <v>0</v>
      </c>
      <c r="S1045" s="38">
        <f>SUM(S1002:S1044)</f>
        <v>196855</v>
      </c>
      <c r="T1045" s="4"/>
      <c r="U1045" s="41">
        <f>SUM(U1002:U1044)</f>
        <v>8627.25</v>
      </c>
      <c r="V1045" s="41">
        <f>SUM(V1002:V1026)</f>
        <v>-2457</v>
      </c>
      <c r="W1045" s="42">
        <f>SUM(W1002:W1044)</f>
        <v>203025.25</v>
      </c>
      <c r="Z1045" s="57"/>
      <c r="AA1045" s="57"/>
      <c r="AB1045" s="38">
        <f>SUM(AB1002:AB1044)</f>
        <v>366349</v>
      </c>
      <c r="AC1045" s="38">
        <f>SUM(AC1002:AC1026)</f>
        <v>-1680</v>
      </c>
      <c r="AD1045" s="38">
        <f>SUM(AD1002:AD1026)</f>
        <v>0</v>
      </c>
      <c r="AE1045" s="38">
        <f>SUM(AE1002:AE1044)</f>
        <v>364669</v>
      </c>
      <c r="AF1045" s="4"/>
      <c r="AG1045" s="41">
        <f>SUM(AG1002:AG1044)</f>
        <v>6928.5</v>
      </c>
      <c r="AH1045" s="41">
        <f>SUM(AH1002:AH1026)</f>
        <v>-1776</v>
      </c>
      <c r="AI1045" s="42">
        <f>SUM(AI1002:AI1044)</f>
        <v>369821.5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5"/>
      <c r="AA1047" s="85"/>
      <c r="AB1047" s="85"/>
      <c r="AC1047" s="85"/>
      <c r="AD1047" s="85"/>
      <c r="AE1047" s="85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5"/>
      <c r="AA1048" s="85"/>
      <c r="AB1048" s="85"/>
      <c r="AC1048" s="85"/>
      <c r="AD1048" s="85"/>
      <c r="AE1048" s="85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5"/>
      <c r="AA1049" s="85"/>
      <c r="AB1049" s="85"/>
      <c r="AC1049" s="85"/>
      <c r="AD1049" s="85"/>
      <c r="AE1049" s="85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5"/>
      <c r="AA1050" s="85"/>
      <c r="AB1050" s="85"/>
      <c r="AC1050" s="85"/>
      <c r="AD1050" s="85"/>
      <c r="AE1050" s="85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5"/>
      <c r="AA1051" s="85"/>
      <c r="AB1051" s="85"/>
      <c r="AC1051" s="85"/>
      <c r="AD1051" s="85"/>
      <c r="AE1051" s="85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5"/>
      <c r="AA1052" s="85"/>
      <c r="AB1052" s="85"/>
      <c r="AC1052" s="85"/>
      <c r="AD1052" s="85"/>
      <c r="AE1052" s="85"/>
      <c r="AF1052" s="62"/>
      <c r="AG1052" s="85"/>
      <c r="AH1052" s="8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5"/>
      <c r="AA1053" s="85"/>
      <c r="AB1053" s="85"/>
      <c r="AC1053" s="85"/>
      <c r="AD1053" s="85"/>
      <c r="AE1053" s="85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5"/>
      <c r="AA1054" s="85"/>
      <c r="AB1054" s="85"/>
      <c r="AC1054" s="85"/>
      <c r="AD1054" s="85"/>
      <c r="AE1054" s="85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1" t="s">
        <v>17</v>
      </c>
      <c r="E1055" s="121"/>
      <c r="F1055" s="109"/>
      <c r="G1055" s="27"/>
      <c r="I1055" s="119" t="s">
        <v>18</v>
      </c>
      <c r="J1055" s="120"/>
      <c r="K1055" s="117" t="s">
        <v>19</v>
      </c>
      <c r="N1055" s="25"/>
      <c r="O1055" s="26"/>
      <c r="P1055" s="121" t="s">
        <v>17</v>
      </c>
      <c r="Q1055" s="121"/>
      <c r="R1055" s="109"/>
      <c r="S1055" s="27"/>
      <c r="U1055" s="119" t="s">
        <v>18</v>
      </c>
      <c r="V1055" s="120"/>
      <c r="W1055" s="117" t="s">
        <v>19</v>
      </c>
      <c r="Y1055" s="62"/>
      <c r="Z1055" s="65"/>
      <c r="AA1055" s="85"/>
      <c r="AB1055" s="123"/>
      <c r="AC1055" s="123"/>
      <c r="AD1055" s="85"/>
      <c r="AE1055" s="85"/>
      <c r="AF1055" s="62"/>
      <c r="AG1055" s="123"/>
      <c r="AH1055" s="123"/>
      <c r="AI1055" s="12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8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8"/>
      <c r="Y1056" s="62"/>
      <c r="Z1056" s="85"/>
      <c r="AA1056" s="85"/>
      <c r="AB1056" s="79"/>
      <c r="AC1056" s="81"/>
      <c r="AD1056" s="81"/>
      <c r="AE1056" s="81"/>
      <c r="AF1056" s="62"/>
      <c r="AG1056" s="84"/>
      <c r="AH1056" s="84"/>
      <c r="AI1056" s="12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82">
        <v>9822</v>
      </c>
      <c r="D1057" s="32">
        <f>650*431+670*40+912*10+229*15</f>
        <v>319505</v>
      </c>
      <c r="E1057" s="32">
        <f>-481*6</f>
        <v>-2886</v>
      </c>
      <c r="F1057" s="32"/>
      <c r="G1057" s="32">
        <f t="shared" ref="G1057:G1090" si="277">SUM(D1057:E1057)</f>
        <v>316619</v>
      </c>
      <c r="H1057" s="12"/>
      <c r="I1057" s="12">
        <f>120*4+111*7+78*11</f>
        <v>2115</v>
      </c>
      <c r="J1057" s="12">
        <v>-840</v>
      </c>
      <c r="K1057" s="12">
        <f t="shared" ref="K1057:K1090" si="278">SUM(G1057:J1057)</f>
        <v>317894</v>
      </c>
      <c r="M1057" s="10">
        <v>1</v>
      </c>
      <c r="N1057" s="30" t="s">
        <v>94</v>
      </c>
      <c r="O1057" s="31">
        <v>9854</v>
      </c>
      <c r="P1057" s="32">
        <f>650*3+229</f>
        <v>2179</v>
      </c>
      <c r="Q1057" s="32"/>
      <c r="R1057" s="32"/>
      <c r="S1057" s="32">
        <f>SUM(P1057:Q1057)</f>
        <v>2179</v>
      </c>
      <c r="T1057" s="12"/>
      <c r="U1057" s="12"/>
      <c r="V1057" s="12"/>
      <c r="W1057" s="12">
        <f>SUM(S1057:V1057)</f>
        <v>2179</v>
      </c>
      <c r="Y1057" s="62"/>
      <c r="Z1057" s="66"/>
      <c r="AA1057" s="85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82">
        <f>C1057+1</f>
        <v>9823</v>
      </c>
      <c r="D1058" s="32">
        <f>650*30+622*5+912+872*2+650*2</f>
        <v>26566</v>
      </c>
      <c r="E1058" s="32"/>
      <c r="F1058" s="32"/>
      <c r="G1058" s="32">
        <f t="shared" si="277"/>
        <v>26566</v>
      </c>
      <c r="H1058" s="12"/>
      <c r="I1058" s="12"/>
      <c r="J1058" s="12"/>
      <c r="K1058" s="12">
        <f t="shared" si="278"/>
        <v>26566</v>
      </c>
      <c r="M1058" s="10">
        <v>2</v>
      </c>
      <c r="N1058" s="30" t="s">
        <v>94</v>
      </c>
      <c r="O1058" s="31">
        <f>O1057+1</f>
        <v>9855</v>
      </c>
      <c r="P1058" s="32">
        <f>650*6+229</f>
        <v>4129</v>
      </c>
      <c r="Q1058" s="32"/>
      <c r="R1058" s="32"/>
      <c r="S1058" s="32">
        <f t="shared" ref="S1058:S1095" si="279">SUM(P1058:Q1058)</f>
        <v>4129</v>
      </c>
      <c r="T1058" s="12"/>
      <c r="U1058" s="12"/>
      <c r="V1058" s="12"/>
      <c r="W1058" s="12">
        <f t="shared" ref="W1058:W1098" si="280">SUM(S1058:V1058)</f>
        <v>4129</v>
      </c>
      <c r="Y1058" s="62"/>
      <c r="Z1058" s="66"/>
      <c r="AA1058" s="85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82">
        <f t="shared" ref="C1059:C1062" si="281">C1058+1</f>
        <v>9824</v>
      </c>
      <c r="D1059" s="33">
        <f>650*24</f>
        <v>15600</v>
      </c>
      <c r="E1059" s="33"/>
      <c r="F1059" s="33"/>
      <c r="G1059" s="33">
        <f t="shared" si="277"/>
        <v>15600</v>
      </c>
      <c r="H1059" s="34"/>
      <c r="I1059" s="34"/>
      <c r="J1059" s="34">
        <v>-5772</v>
      </c>
      <c r="K1059" s="34">
        <f t="shared" si="278"/>
        <v>9828</v>
      </c>
      <c r="M1059" s="10">
        <v>3</v>
      </c>
      <c r="N1059" s="30" t="s">
        <v>94</v>
      </c>
      <c r="O1059" s="31">
        <f t="shared" ref="O1059:O1069" si="282">O1058+1</f>
        <v>9856</v>
      </c>
      <c r="P1059" s="32">
        <f>650*14+670+622*4</f>
        <v>12258</v>
      </c>
      <c r="Q1059" s="32"/>
      <c r="R1059" s="32"/>
      <c r="S1059" s="32">
        <f t="shared" si="279"/>
        <v>12258</v>
      </c>
      <c r="T1059" s="12"/>
      <c r="U1059" s="12"/>
      <c r="V1059" s="12"/>
      <c r="W1059" s="12">
        <f t="shared" si="280"/>
        <v>12258</v>
      </c>
      <c r="Y1059" s="62"/>
      <c r="Z1059" s="66"/>
      <c r="AA1059" s="85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82">
        <f t="shared" si="281"/>
        <v>9825</v>
      </c>
      <c r="D1060" s="32">
        <f>650*11</f>
        <v>7150</v>
      </c>
      <c r="E1060" s="32"/>
      <c r="F1060" s="32"/>
      <c r="G1060" s="32">
        <f t="shared" si="277"/>
        <v>7150</v>
      </c>
      <c r="H1060" s="12"/>
      <c r="I1060" s="12"/>
      <c r="J1060" s="12"/>
      <c r="K1060" s="12">
        <f t="shared" si="278"/>
        <v>7150</v>
      </c>
      <c r="M1060" s="10">
        <v>4</v>
      </c>
      <c r="N1060" s="30" t="s">
        <v>94</v>
      </c>
      <c r="O1060" s="31">
        <f t="shared" si="282"/>
        <v>9857</v>
      </c>
      <c r="P1060" s="32">
        <f>650*9+9.5*3</f>
        <v>5878.5</v>
      </c>
      <c r="Q1060" s="32"/>
      <c r="R1060" s="32"/>
      <c r="S1060" s="32">
        <f t="shared" si="279"/>
        <v>5878.5</v>
      </c>
      <c r="T1060" s="12"/>
      <c r="U1060" s="12"/>
      <c r="V1060" s="12"/>
      <c r="W1060" s="12">
        <f t="shared" si="280"/>
        <v>5878.5</v>
      </c>
      <c r="Y1060" s="62"/>
      <c r="Z1060" s="66"/>
      <c r="AA1060" s="8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82">
        <f t="shared" si="281"/>
        <v>9826</v>
      </c>
      <c r="D1061" s="32">
        <f>650*12+9.5*12</f>
        <v>7914</v>
      </c>
      <c r="E1061" s="32"/>
      <c r="F1061" s="32"/>
      <c r="G1061" s="32">
        <f t="shared" si="277"/>
        <v>7914</v>
      </c>
      <c r="H1061" s="12"/>
      <c r="I1061" s="12"/>
      <c r="J1061" s="12"/>
      <c r="K1061" s="12">
        <f t="shared" si="278"/>
        <v>7914</v>
      </c>
      <c r="M1061" s="10">
        <v>5</v>
      </c>
      <c r="N1061" s="30" t="s">
        <v>94</v>
      </c>
      <c r="O1061" s="31">
        <f t="shared" si="282"/>
        <v>9858</v>
      </c>
      <c r="P1061" s="32">
        <f>650*22+670*2+622*3+9.5*5</f>
        <v>17553.5</v>
      </c>
      <c r="Q1061" s="32"/>
      <c r="R1061" s="32"/>
      <c r="S1061" s="32">
        <f t="shared" si="279"/>
        <v>17553.5</v>
      </c>
      <c r="T1061" s="12"/>
      <c r="U1061" s="12">
        <v>555</v>
      </c>
      <c r="V1061" s="12"/>
      <c r="W1061" s="12">
        <f t="shared" si="280"/>
        <v>18108.5</v>
      </c>
      <c r="Y1061" s="62"/>
      <c r="Z1061" s="66"/>
      <c r="AA1061" s="8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82">
        <f t="shared" si="281"/>
        <v>9827</v>
      </c>
      <c r="D1062" s="32">
        <f>622</f>
        <v>622</v>
      </c>
      <c r="E1062" s="32"/>
      <c r="F1062" s="32"/>
      <c r="G1062" s="32">
        <f t="shared" si="277"/>
        <v>622</v>
      </c>
      <c r="H1062" s="12"/>
      <c r="I1062" s="12"/>
      <c r="J1062" s="12"/>
      <c r="K1062" s="12">
        <f t="shared" si="278"/>
        <v>622</v>
      </c>
      <c r="M1062" s="10">
        <v>6</v>
      </c>
      <c r="N1062" s="30" t="s">
        <v>94</v>
      </c>
      <c r="O1062" s="31">
        <f t="shared" si="282"/>
        <v>9859</v>
      </c>
      <c r="P1062" s="32">
        <f>622*7+872</f>
        <v>5226</v>
      </c>
      <c r="Q1062" s="32"/>
      <c r="R1062" s="32"/>
      <c r="S1062" s="32">
        <f t="shared" si="279"/>
        <v>5226</v>
      </c>
      <c r="T1062" s="12"/>
      <c r="U1062" s="12"/>
      <c r="V1062" s="10"/>
      <c r="W1062" s="12">
        <f t="shared" si="280"/>
        <v>5226</v>
      </c>
      <c r="Y1062" s="62"/>
      <c r="Z1062" s="66"/>
      <c r="AA1062" s="8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11" t="s">
        <v>27</v>
      </c>
      <c r="D1063" s="32"/>
      <c r="E1063" s="32"/>
      <c r="F1063" s="32"/>
      <c r="G1063" s="32">
        <f t="shared" si="277"/>
        <v>0</v>
      </c>
      <c r="H1063" s="12"/>
      <c r="I1063" s="12"/>
      <c r="J1063" s="12"/>
      <c r="K1063" s="12">
        <f t="shared" si="278"/>
        <v>0</v>
      </c>
      <c r="M1063" s="10">
        <v>7</v>
      </c>
      <c r="N1063" s="30" t="s">
        <v>94</v>
      </c>
      <c r="O1063" s="31">
        <f t="shared" si="282"/>
        <v>9860</v>
      </c>
      <c r="P1063" s="32">
        <f>650*14+670+622+9.5*15</f>
        <v>10534.5</v>
      </c>
      <c r="Q1063" s="32"/>
      <c r="R1063" s="32"/>
      <c r="S1063" s="32">
        <f t="shared" si="279"/>
        <v>10534.5</v>
      </c>
      <c r="T1063" s="12"/>
      <c r="U1063" s="12">
        <v>35</v>
      </c>
      <c r="V1063" s="12"/>
      <c r="W1063" s="12">
        <f t="shared" si="280"/>
        <v>10569.5</v>
      </c>
      <c r="Y1063" s="62"/>
      <c r="Z1063" s="66"/>
      <c r="AA1063" s="85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2"/>
      <c r="D1064" s="32"/>
      <c r="E1064" s="32"/>
      <c r="F1064" s="32"/>
      <c r="G1064" s="32">
        <f t="shared" si="277"/>
        <v>0</v>
      </c>
      <c r="H1064" s="12"/>
      <c r="I1064" s="12"/>
      <c r="J1064" s="12"/>
      <c r="K1064" s="12">
        <f t="shared" si="278"/>
        <v>0</v>
      </c>
      <c r="M1064" s="10">
        <v>8</v>
      </c>
      <c r="N1064" s="30" t="s">
        <v>94</v>
      </c>
      <c r="O1064" s="31">
        <f t="shared" si="282"/>
        <v>9861</v>
      </c>
      <c r="P1064" s="32">
        <f>650*4+9.5*4</f>
        <v>2638</v>
      </c>
      <c r="Q1064" s="32"/>
      <c r="R1064" s="32"/>
      <c r="S1064" s="32">
        <f t="shared" si="279"/>
        <v>2638</v>
      </c>
      <c r="T1064" s="12"/>
      <c r="U1064" s="12"/>
      <c r="V1064" s="12"/>
      <c r="W1064" s="12">
        <f t="shared" si="280"/>
        <v>2638</v>
      </c>
      <c r="Y1064" s="62"/>
      <c r="Z1064" s="66"/>
      <c r="AA1064" s="85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2"/>
      <c r="D1065" s="32"/>
      <c r="E1065" s="32"/>
      <c r="F1065" s="32"/>
      <c r="G1065" s="32">
        <f t="shared" si="277"/>
        <v>0</v>
      </c>
      <c r="H1065" s="12"/>
      <c r="I1065" s="12"/>
      <c r="J1065" s="12"/>
      <c r="K1065" s="12">
        <f t="shared" si="278"/>
        <v>0</v>
      </c>
      <c r="M1065" s="10">
        <v>9</v>
      </c>
      <c r="N1065" s="30" t="s">
        <v>94</v>
      </c>
      <c r="O1065" s="31">
        <f t="shared" si="282"/>
        <v>9862</v>
      </c>
      <c r="P1065" s="32">
        <f>650*3+9.5*3</f>
        <v>1978.5</v>
      </c>
      <c r="Q1065" s="32"/>
      <c r="R1065" s="32"/>
      <c r="S1065" s="32">
        <f t="shared" si="279"/>
        <v>1978.5</v>
      </c>
      <c r="T1065" s="12"/>
      <c r="U1065" s="12"/>
      <c r="V1065" s="12">
        <v>-222</v>
      </c>
      <c r="W1065" s="12">
        <f t="shared" si="280"/>
        <v>1756.5</v>
      </c>
      <c r="Y1065" s="62"/>
      <c r="Z1065" s="66"/>
      <c r="AA1065" s="85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2"/>
      <c r="D1066" s="32"/>
      <c r="E1066" s="32"/>
      <c r="F1066" s="32"/>
      <c r="G1066" s="32">
        <f t="shared" si="277"/>
        <v>0</v>
      </c>
      <c r="H1066" s="12"/>
      <c r="I1066" s="12"/>
      <c r="J1066" s="12"/>
      <c r="K1066" s="12">
        <f t="shared" si="278"/>
        <v>0</v>
      </c>
      <c r="M1066" s="10">
        <v>10</v>
      </c>
      <c r="N1066" s="30" t="s">
        <v>94</v>
      </c>
      <c r="O1066" s="31">
        <f t="shared" si="282"/>
        <v>9863</v>
      </c>
      <c r="P1066" s="32">
        <f>650*8+622*2+525+436+9.5*10</f>
        <v>7500</v>
      </c>
      <c r="Q1066" s="32"/>
      <c r="R1066" s="32"/>
      <c r="S1066" s="32">
        <f t="shared" si="279"/>
        <v>7500</v>
      </c>
      <c r="T1066" s="12"/>
      <c r="U1066" s="12">
        <v>333</v>
      </c>
      <c r="V1066" s="12"/>
      <c r="W1066" s="12">
        <f t="shared" si="280"/>
        <v>7833</v>
      </c>
      <c r="Y1066" s="62"/>
      <c r="Z1066" s="66"/>
      <c r="AA1066" s="8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2"/>
      <c r="D1067" s="32"/>
      <c r="E1067" s="32"/>
      <c r="F1067" s="32"/>
      <c r="G1067" s="32">
        <f t="shared" si="277"/>
        <v>0</v>
      </c>
      <c r="H1067" s="12"/>
      <c r="I1067" s="12"/>
      <c r="J1067" s="12"/>
      <c r="K1067" s="12">
        <f t="shared" si="278"/>
        <v>0</v>
      </c>
      <c r="M1067" s="10">
        <v>11</v>
      </c>
      <c r="N1067" s="30" t="s">
        <v>94</v>
      </c>
      <c r="O1067" s="31">
        <f t="shared" si="282"/>
        <v>9864</v>
      </c>
      <c r="P1067" s="32">
        <f>650+622+9.5*2</f>
        <v>1291</v>
      </c>
      <c r="Q1067" s="32"/>
      <c r="R1067" s="32"/>
      <c r="S1067" s="32">
        <f t="shared" si="279"/>
        <v>1291</v>
      </c>
      <c r="T1067" s="12"/>
      <c r="U1067" s="12">
        <v>13.5</v>
      </c>
      <c r="V1067" s="12"/>
      <c r="W1067" s="12">
        <f t="shared" si="280"/>
        <v>1304.5</v>
      </c>
      <c r="Y1067" s="62"/>
      <c r="Z1067" s="66"/>
      <c r="AA1067" s="8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82"/>
      <c r="D1068" s="32"/>
      <c r="E1068" s="32"/>
      <c r="F1068" s="32"/>
      <c r="G1068" s="32">
        <f t="shared" si="277"/>
        <v>0</v>
      </c>
      <c r="H1068" s="12"/>
      <c r="I1068" s="12"/>
      <c r="J1068" s="10"/>
      <c r="K1068" s="12">
        <f t="shared" si="278"/>
        <v>0</v>
      </c>
      <c r="M1068" s="10">
        <v>12</v>
      </c>
      <c r="N1068" s="30" t="s">
        <v>94</v>
      </c>
      <c r="O1068" s="31">
        <f t="shared" si="282"/>
        <v>9865</v>
      </c>
      <c r="P1068" s="32">
        <f>650*216+229*4</f>
        <v>141316</v>
      </c>
      <c r="Q1068" s="32">
        <f>-216*6</f>
        <v>-1296</v>
      </c>
      <c r="R1068" s="32"/>
      <c r="S1068" s="32">
        <f t="shared" si="279"/>
        <v>140020</v>
      </c>
      <c r="T1068" s="12"/>
      <c r="U1068" s="12">
        <f>2886+312</f>
        <v>3198</v>
      </c>
      <c r="V1068" s="12">
        <f>-240+-336+-126</f>
        <v>-702</v>
      </c>
      <c r="W1068" s="12">
        <f t="shared" si="280"/>
        <v>142516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2"/>
      <c r="D1069" s="32"/>
      <c r="E1069" s="32"/>
      <c r="F1069" s="32"/>
      <c r="G1069" s="32">
        <f t="shared" si="277"/>
        <v>0</v>
      </c>
      <c r="H1069" s="12"/>
      <c r="I1069" s="12"/>
      <c r="J1069" s="12"/>
      <c r="K1069" s="12">
        <f t="shared" si="278"/>
        <v>0</v>
      </c>
      <c r="M1069" s="10">
        <v>13</v>
      </c>
      <c r="N1069" s="30" t="s">
        <v>94</v>
      </c>
      <c r="O1069" s="31">
        <f t="shared" si="282"/>
        <v>9866</v>
      </c>
      <c r="P1069" s="32">
        <f>650*6+622+9.5*4</f>
        <v>4560</v>
      </c>
      <c r="Q1069" s="32"/>
      <c r="R1069" s="32"/>
      <c r="S1069" s="32">
        <f t="shared" si="279"/>
        <v>4560</v>
      </c>
      <c r="T1069" s="12"/>
      <c r="U1069" s="12"/>
      <c r="V1069" s="12">
        <v>-222</v>
      </c>
      <c r="W1069" s="12">
        <f t="shared" si="280"/>
        <v>4338</v>
      </c>
      <c r="Y1069" s="62"/>
      <c r="Z1069" s="66"/>
      <c r="AA1069" s="85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2"/>
      <c r="D1070" s="32"/>
      <c r="E1070" s="32"/>
      <c r="F1070" s="32"/>
      <c r="G1070" s="32">
        <f t="shared" si="277"/>
        <v>0</v>
      </c>
      <c r="H1070" s="12"/>
      <c r="I1070" s="12"/>
      <c r="J1070" s="12"/>
      <c r="K1070" s="12">
        <f t="shared" si="278"/>
        <v>0</v>
      </c>
      <c r="M1070" s="10">
        <v>14</v>
      </c>
      <c r="N1070" s="30"/>
      <c r="O1070" s="11" t="s">
        <v>27</v>
      </c>
      <c r="P1070" s="32"/>
      <c r="Q1070" s="32"/>
      <c r="R1070" s="32"/>
      <c r="S1070" s="32">
        <f t="shared" si="279"/>
        <v>0</v>
      </c>
      <c r="T1070" s="12"/>
      <c r="U1070" s="12"/>
      <c r="V1070" s="12"/>
      <c r="W1070" s="12">
        <f t="shared" si="280"/>
        <v>0</v>
      </c>
      <c r="Y1070" s="62"/>
      <c r="Z1070" s="66"/>
      <c r="AA1070" s="85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2"/>
      <c r="D1071" s="32"/>
      <c r="E1071" s="32"/>
      <c r="F1071" s="32"/>
      <c r="G1071" s="32">
        <f t="shared" si="277"/>
        <v>0</v>
      </c>
      <c r="H1071" s="12"/>
      <c r="I1071" s="12"/>
      <c r="J1071" s="12"/>
      <c r="K1071" s="12">
        <f t="shared" si="278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279"/>
        <v>0</v>
      </c>
      <c r="T1071" s="12"/>
      <c r="U1071" s="12"/>
      <c r="V1071" s="12"/>
      <c r="W1071" s="12">
        <f t="shared" si="280"/>
        <v>0</v>
      </c>
      <c r="Y1071" s="62"/>
      <c r="Z1071" s="66"/>
      <c r="AA1071" s="85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77"/>
        <v>0</v>
      </c>
      <c r="H1072" s="12"/>
      <c r="I1072" s="12"/>
      <c r="J1072" s="12"/>
      <c r="K1072" s="12">
        <f t="shared" si="278"/>
        <v>0</v>
      </c>
      <c r="M1072" s="10">
        <v>16</v>
      </c>
      <c r="N1072" s="30"/>
      <c r="O1072" s="11"/>
      <c r="P1072" s="32"/>
      <c r="Q1072" s="32"/>
      <c r="R1072" s="32"/>
      <c r="S1072" s="32">
        <f t="shared" si="279"/>
        <v>0</v>
      </c>
      <c r="T1072" s="12"/>
      <c r="U1072" s="12"/>
      <c r="V1072" s="12"/>
      <c r="W1072" s="12">
        <f t="shared" si="280"/>
        <v>0</v>
      </c>
      <c r="Y1072" s="62"/>
      <c r="Z1072" s="66"/>
      <c r="AA1072" s="85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2"/>
      <c r="D1073" s="32"/>
      <c r="E1073" s="32"/>
      <c r="F1073" s="32"/>
      <c r="G1073" s="32">
        <f t="shared" si="277"/>
        <v>0</v>
      </c>
      <c r="H1073" s="12"/>
      <c r="I1073" s="12"/>
      <c r="J1073" s="12"/>
      <c r="K1073" s="12">
        <f t="shared" si="278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279"/>
        <v>0</v>
      </c>
      <c r="T1073" s="12"/>
      <c r="U1073" s="12"/>
      <c r="V1073" s="12"/>
      <c r="W1073" s="12">
        <f t="shared" si="280"/>
        <v>0</v>
      </c>
      <c r="Y1073" s="62"/>
      <c r="Z1073" s="66"/>
      <c r="AA1073" s="85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2"/>
      <c r="D1074" s="32"/>
      <c r="E1074" s="32"/>
      <c r="F1074" s="32"/>
      <c r="G1074" s="32">
        <f t="shared" si="277"/>
        <v>0</v>
      </c>
      <c r="H1074" s="12"/>
      <c r="I1074" s="12"/>
      <c r="J1074" s="12"/>
      <c r="K1074" s="12">
        <f t="shared" si="278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279"/>
        <v>0</v>
      </c>
      <c r="T1074" s="12"/>
      <c r="U1074" s="12"/>
      <c r="V1074" s="12"/>
      <c r="W1074" s="12">
        <f t="shared" si="280"/>
        <v>0</v>
      </c>
      <c r="Y1074" s="62"/>
      <c r="Z1074" s="66"/>
      <c r="AA1074" s="85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2"/>
      <c r="D1075" s="32"/>
      <c r="E1075" s="32"/>
      <c r="F1075" s="32"/>
      <c r="G1075" s="32">
        <f t="shared" si="277"/>
        <v>0</v>
      </c>
      <c r="H1075" s="12"/>
      <c r="I1075" s="12"/>
      <c r="J1075" s="12"/>
      <c r="K1075" s="12">
        <f t="shared" si="278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79"/>
        <v>0</v>
      </c>
      <c r="T1075" s="12"/>
      <c r="U1075" s="12"/>
      <c r="V1075" s="12"/>
      <c r="W1075" s="12">
        <f t="shared" si="280"/>
        <v>0</v>
      </c>
      <c r="Y1075" s="62"/>
      <c r="Z1075" s="66"/>
      <c r="AA1075" s="85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2"/>
      <c r="D1076" s="32"/>
      <c r="E1076" s="32"/>
      <c r="F1076" s="32"/>
      <c r="G1076" s="32">
        <f t="shared" si="277"/>
        <v>0</v>
      </c>
      <c r="H1076" s="12"/>
      <c r="I1076" s="12"/>
      <c r="J1076" s="12"/>
      <c r="K1076" s="12">
        <f t="shared" si="278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79"/>
        <v>0</v>
      </c>
      <c r="T1076" s="12"/>
      <c r="U1076" s="12"/>
      <c r="V1076" s="12"/>
      <c r="W1076" s="12">
        <f t="shared" si="280"/>
        <v>0</v>
      </c>
      <c r="Y1076" s="62"/>
      <c r="Z1076" s="66"/>
      <c r="AA1076" s="85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57"/>
      <c r="D1077" s="32"/>
      <c r="E1077" s="32"/>
      <c r="F1077" s="32"/>
      <c r="G1077" s="32">
        <f t="shared" si="277"/>
        <v>0</v>
      </c>
      <c r="H1077" s="10"/>
      <c r="I1077" s="10"/>
      <c r="J1077" s="10"/>
      <c r="K1077" s="12">
        <f t="shared" si="278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279"/>
        <v>0</v>
      </c>
      <c r="T1077" s="10"/>
      <c r="U1077" s="10"/>
      <c r="V1077" s="10"/>
      <c r="W1077" s="12">
        <f t="shared" si="280"/>
        <v>0</v>
      </c>
      <c r="Y1077" s="62"/>
      <c r="Z1077" s="66"/>
      <c r="AA1077" s="62"/>
      <c r="AB1077" s="67"/>
      <c r="AC1077" s="85"/>
      <c r="AD1077" s="85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57"/>
      <c r="D1078" s="32"/>
      <c r="E1078" s="32"/>
      <c r="F1078" s="32"/>
      <c r="G1078" s="32">
        <f t="shared" si="277"/>
        <v>0</v>
      </c>
      <c r="H1078" s="10"/>
      <c r="I1078" s="10"/>
      <c r="J1078" s="10"/>
      <c r="K1078" s="12">
        <f t="shared" si="278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79"/>
        <v>0</v>
      </c>
      <c r="T1078" s="10"/>
      <c r="U1078" s="10"/>
      <c r="V1078" s="10"/>
      <c r="W1078" s="12">
        <f t="shared" si="280"/>
        <v>0</v>
      </c>
      <c r="Y1078" s="62"/>
      <c r="Z1078" s="66"/>
      <c r="AA1078" s="85"/>
      <c r="AB1078" s="68"/>
      <c r="AC1078" s="85"/>
      <c r="AD1078" s="85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2"/>
      <c r="D1079" s="32"/>
      <c r="E1079" s="32"/>
      <c r="F1079" s="32"/>
      <c r="G1079" s="32">
        <f t="shared" si="277"/>
        <v>0</v>
      </c>
      <c r="H1079" s="10"/>
      <c r="I1079" s="10"/>
      <c r="J1079" s="12"/>
      <c r="K1079" s="12">
        <f t="shared" si="278"/>
        <v>0</v>
      </c>
      <c r="M1079" s="10">
        <v>23</v>
      </c>
      <c r="N1079" s="30"/>
      <c r="O1079" s="31"/>
      <c r="P1079" s="47"/>
      <c r="Q1079" s="31"/>
      <c r="S1079" s="32">
        <f t="shared" si="279"/>
        <v>0</v>
      </c>
      <c r="T1079" s="10"/>
      <c r="U1079" s="10"/>
      <c r="V1079" s="10"/>
      <c r="W1079" s="12">
        <f t="shared" si="280"/>
        <v>0</v>
      </c>
      <c r="Y1079" s="62"/>
      <c r="Z1079" s="66"/>
      <c r="AA1079" s="62"/>
      <c r="AB1079" s="69"/>
      <c r="AC1079" s="85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2"/>
      <c r="D1080" s="32"/>
      <c r="E1080" s="32"/>
      <c r="F1080" s="32"/>
      <c r="G1080" s="32">
        <f t="shared" si="277"/>
        <v>0</v>
      </c>
      <c r="H1080" s="10"/>
      <c r="I1080" s="10"/>
      <c r="J1080" s="10"/>
      <c r="K1080" s="12">
        <f t="shared" si="278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79"/>
        <v>0</v>
      </c>
      <c r="T1080" s="10"/>
      <c r="U1080" s="10"/>
      <c r="V1080" s="10"/>
      <c r="W1080" s="12">
        <f t="shared" si="280"/>
        <v>0</v>
      </c>
      <c r="Y1080" s="62"/>
      <c r="Z1080" s="66"/>
      <c r="AA1080" s="85"/>
      <c r="AB1080" s="69"/>
      <c r="AC1080" s="85"/>
      <c r="AD1080" s="85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2"/>
      <c r="D1081" s="32"/>
      <c r="E1081" s="32"/>
      <c r="F1081" s="32"/>
      <c r="G1081" s="32">
        <f t="shared" si="277"/>
        <v>0</v>
      </c>
      <c r="H1081" s="10"/>
      <c r="I1081" s="10"/>
      <c r="J1081" s="10"/>
      <c r="K1081" s="12">
        <f t="shared" si="278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79"/>
        <v>0</v>
      </c>
      <c r="T1081" s="10"/>
      <c r="U1081" s="10"/>
      <c r="V1081" s="10"/>
      <c r="W1081" s="12">
        <f t="shared" si="280"/>
        <v>0</v>
      </c>
      <c r="Y1081" s="62"/>
      <c r="Z1081" s="66"/>
      <c r="AA1081" s="85"/>
      <c r="AB1081" s="69"/>
      <c r="AC1081" s="85"/>
      <c r="AD1081" s="85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82"/>
      <c r="D1082" s="32"/>
      <c r="E1082" s="32"/>
      <c r="F1082" s="32"/>
      <c r="G1082" s="32">
        <f t="shared" si="277"/>
        <v>0</v>
      </c>
      <c r="H1082" s="10"/>
      <c r="I1082" s="10"/>
      <c r="J1082" s="10"/>
      <c r="K1082" s="12">
        <f t="shared" si="278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79"/>
        <v>0</v>
      </c>
      <c r="T1082" s="10"/>
      <c r="U1082" s="10"/>
      <c r="V1082" s="10"/>
      <c r="W1082" s="12">
        <f t="shared" si="280"/>
        <v>0</v>
      </c>
      <c r="Y1082" s="62"/>
      <c r="Z1082" s="66"/>
      <c r="AA1082" s="85"/>
      <c r="AB1082" s="69"/>
      <c r="AC1082" s="85"/>
      <c r="AD1082" s="85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2"/>
      <c r="D1083" s="32"/>
      <c r="E1083" s="32"/>
      <c r="F1083" s="32"/>
      <c r="G1083" s="32">
        <f t="shared" si="277"/>
        <v>0</v>
      </c>
      <c r="H1083" s="10"/>
      <c r="I1083" s="10"/>
      <c r="J1083" s="10"/>
      <c r="K1083" s="12">
        <f t="shared" si="278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79"/>
        <v>0</v>
      </c>
      <c r="T1083" s="10"/>
      <c r="U1083" s="10"/>
      <c r="V1083" s="10"/>
      <c r="W1083" s="12">
        <f t="shared" si="280"/>
        <v>0</v>
      </c>
      <c r="Y1083" s="62"/>
      <c r="Z1083" s="66"/>
      <c r="AA1083" s="85"/>
      <c r="AB1083" s="69"/>
      <c r="AC1083" s="85"/>
      <c r="AD1083" s="85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2"/>
      <c r="D1084" s="32"/>
      <c r="E1084" s="32"/>
      <c r="F1084" s="32"/>
      <c r="G1084" s="32">
        <f t="shared" si="277"/>
        <v>0</v>
      </c>
      <c r="H1084" s="10"/>
      <c r="I1084" s="10"/>
      <c r="J1084" s="10"/>
      <c r="K1084" s="12">
        <f t="shared" si="278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79"/>
        <v>0</v>
      </c>
      <c r="T1084" s="10"/>
      <c r="U1084" s="10"/>
      <c r="V1084" s="10"/>
      <c r="W1084" s="12">
        <f t="shared" si="280"/>
        <v>0</v>
      </c>
      <c r="Y1084" s="62"/>
      <c r="Z1084" s="66"/>
      <c r="AA1084" s="85"/>
      <c r="AB1084" s="69"/>
      <c r="AC1084" s="85"/>
      <c r="AD1084" s="85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2"/>
      <c r="D1085" s="32"/>
      <c r="E1085" s="32"/>
      <c r="F1085" s="32"/>
      <c r="G1085" s="32">
        <f t="shared" si="277"/>
        <v>0</v>
      </c>
      <c r="H1085" s="10"/>
      <c r="I1085" s="10"/>
      <c r="J1085" s="10"/>
      <c r="K1085" s="12">
        <f t="shared" si="278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79"/>
        <v>0</v>
      </c>
      <c r="T1085" s="10"/>
      <c r="U1085" s="10"/>
      <c r="V1085" s="10"/>
      <c r="W1085" s="12">
        <f t="shared" si="280"/>
        <v>0</v>
      </c>
      <c r="Y1085" s="62"/>
      <c r="Z1085" s="66"/>
      <c r="AA1085" s="85"/>
      <c r="AB1085" s="69"/>
      <c r="AC1085" s="85"/>
      <c r="AD1085" s="85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2"/>
      <c r="D1086" s="32"/>
      <c r="E1086" s="32"/>
      <c r="F1086" s="32"/>
      <c r="G1086" s="32">
        <f t="shared" si="277"/>
        <v>0</v>
      </c>
      <c r="H1086" s="10"/>
      <c r="I1086" s="10"/>
      <c r="J1086" s="10"/>
      <c r="K1086" s="12">
        <f t="shared" si="278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279"/>
        <v>0</v>
      </c>
      <c r="T1086" s="10"/>
      <c r="U1086" s="10"/>
      <c r="V1086" s="10"/>
      <c r="W1086" s="12">
        <f t="shared" si="280"/>
        <v>0</v>
      </c>
      <c r="Y1086" s="62"/>
      <c r="Z1086" s="66"/>
      <c r="AA1086" s="85"/>
      <c r="AB1086" s="69"/>
      <c r="AC1086" s="85"/>
      <c r="AD1086" s="85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2"/>
      <c r="D1087" s="32"/>
      <c r="E1087" s="32"/>
      <c r="F1087" s="32"/>
      <c r="G1087" s="32">
        <f t="shared" si="277"/>
        <v>0</v>
      </c>
      <c r="H1087" s="10"/>
      <c r="I1087" s="10"/>
      <c r="J1087" s="10"/>
      <c r="K1087" s="12">
        <f t="shared" si="278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79"/>
        <v>0</v>
      </c>
      <c r="T1087" s="10"/>
      <c r="U1087" s="10"/>
      <c r="V1087" s="10"/>
      <c r="W1087" s="12">
        <f t="shared" si="280"/>
        <v>0</v>
      </c>
      <c r="Y1087" s="62"/>
      <c r="Z1087" s="66"/>
      <c r="AA1087" s="85"/>
      <c r="AB1087" s="69"/>
      <c r="AC1087" s="85"/>
      <c r="AD1087" s="85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77"/>
        <v>0</v>
      </c>
      <c r="H1088" s="10"/>
      <c r="I1088" s="10"/>
      <c r="J1088" s="10"/>
      <c r="K1088" s="12">
        <f t="shared" si="278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79"/>
        <v>0</v>
      </c>
      <c r="T1088" s="10"/>
      <c r="U1088" s="10"/>
      <c r="V1088" s="10"/>
      <c r="W1088" s="12">
        <f t="shared" si="280"/>
        <v>0</v>
      </c>
      <c r="Y1088" s="62"/>
      <c r="Z1088" s="66"/>
      <c r="AA1088" s="85"/>
      <c r="AB1088" s="69"/>
      <c r="AC1088" s="85"/>
      <c r="AD1088" s="85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77"/>
        <v>0</v>
      </c>
      <c r="H1089" s="10"/>
      <c r="I1089" s="10"/>
      <c r="J1089" s="10"/>
      <c r="K1089" s="12">
        <f t="shared" si="278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79"/>
        <v>0</v>
      </c>
      <c r="T1089" s="10"/>
      <c r="U1089" s="10"/>
      <c r="V1089" s="10"/>
      <c r="W1089" s="12">
        <f t="shared" si="280"/>
        <v>0</v>
      </c>
      <c r="Y1089" s="62"/>
      <c r="Z1089" s="66"/>
      <c r="AA1089" s="85"/>
      <c r="AB1089" s="69"/>
      <c r="AC1089" s="85"/>
      <c r="AD1089" s="85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77"/>
        <v>0</v>
      </c>
      <c r="H1090" s="10"/>
      <c r="I1090" s="10"/>
      <c r="J1090" s="10"/>
      <c r="K1090" s="12">
        <f t="shared" si="278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79"/>
        <v>0</v>
      </c>
      <c r="T1090" s="10"/>
      <c r="U1090" s="10"/>
      <c r="V1090" s="10"/>
      <c r="W1090" s="12">
        <f t="shared" si="280"/>
        <v>0</v>
      </c>
      <c r="Y1090" s="62"/>
      <c r="Z1090" s="66"/>
      <c r="AA1090" s="85"/>
      <c r="AB1090" s="69"/>
      <c r="AC1090" s="85"/>
      <c r="AD1090" s="85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P1091" s="47"/>
      <c r="Q1091" s="31"/>
      <c r="R1091" s="31"/>
      <c r="S1091" s="32">
        <f t="shared" si="279"/>
        <v>0</v>
      </c>
      <c r="T1091" s="10"/>
      <c r="U1091" s="10"/>
      <c r="V1091" s="10"/>
      <c r="W1091" s="12">
        <f t="shared" si="280"/>
        <v>0</v>
      </c>
      <c r="Y1091" s="62"/>
      <c r="Z1091" s="66"/>
      <c r="AA1091" s="85"/>
      <c r="AB1091" s="69"/>
      <c r="AC1091" s="85"/>
      <c r="AD1091" s="85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79"/>
        <v>0</v>
      </c>
      <c r="T1092" s="10"/>
      <c r="U1092" s="10"/>
      <c r="V1092" s="10"/>
      <c r="W1092" s="12">
        <f t="shared" si="280"/>
        <v>0</v>
      </c>
      <c r="Y1092" s="62"/>
      <c r="Z1092" s="66"/>
      <c r="AA1092" s="85"/>
      <c r="AB1092" s="69"/>
      <c r="AC1092" s="85"/>
      <c r="AD1092" s="85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O1093" s="31"/>
      <c r="P1093" s="47"/>
      <c r="Q1093" s="31"/>
      <c r="R1093" s="31"/>
      <c r="S1093" s="32">
        <f t="shared" si="279"/>
        <v>0</v>
      </c>
      <c r="T1093" s="10"/>
      <c r="U1093" s="10"/>
      <c r="V1093" s="10"/>
      <c r="W1093" s="12">
        <f t="shared" si="280"/>
        <v>0</v>
      </c>
      <c r="Y1093" s="62"/>
      <c r="Z1093" s="66"/>
      <c r="AA1093" s="85"/>
      <c r="AB1093" s="69"/>
      <c r="AC1093" s="85"/>
      <c r="AD1093" s="85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79"/>
        <v>0</v>
      </c>
      <c r="T1094" s="10"/>
      <c r="U1094" s="10"/>
      <c r="V1094" s="10"/>
      <c r="W1094" s="12">
        <f t="shared" si="280"/>
        <v>0</v>
      </c>
      <c r="Y1094" s="62"/>
      <c r="Z1094" s="66"/>
      <c r="AA1094" s="85"/>
      <c r="AB1094" s="69"/>
      <c r="AC1094" s="85"/>
      <c r="AD1094" s="85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79"/>
        <v>0</v>
      </c>
      <c r="T1095" s="10"/>
      <c r="U1095" s="10"/>
      <c r="V1095" s="10"/>
      <c r="W1095" s="12">
        <f t="shared" si="280"/>
        <v>0</v>
      </c>
      <c r="Y1095" s="62"/>
      <c r="Z1095" s="66"/>
      <c r="AA1095" s="85"/>
      <c r="AB1095" s="69"/>
      <c r="AC1095" s="85"/>
      <c r="AD1095" s="85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0"/>
        <v>0</v>
      </c>
      <c r="Y1096" s="62"/>
      <c r="Z1096" s="66"/>
      <c r="AA1096" s="62"/>
      <c r="AB1096" s="69"/>
      <c r="AC1096" s="85"/>
      <c r="AD1096" s="85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83">SUM(D1097:E1097)</f>
        <v>0</v>
      </c>
      <c r="H1097" s="10"/>
      <c r="I1097" s="10"/>
      <c r="J1097" s="10"/>
      <c r="K1097" s="12">
        <f t="shared" ref="K1097" si="284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85">SUM(P1097:Q1097)</f>
        <v>0</v>
      </c>
      <c r="T1097" s="10"/>
      <c r="U1097" s="10"/>
      <c r="V1097" s="10"/>
      <c r="W1097" s="12">
        <f t="shared" si="280"/>
        <v>0</v>
      </c>
      <c r="Y1097" s="62"/>
      <c r="Z1097" s="66"/>
      <c r="AA1097" s="85"/>
      <c r="AB1097" s="69"/>
      <c r="AC1097" s="85"/>
      <c r="AD1097" s="85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0"/>
        <v>0</v>
      </c>
      <c r="Y1098" s="62"/>
      <c r="Z1098" s="85"/>
      <c r="AA1098" s="85"/>
      <c r="AB1098" s="85"/>
      <c r="AC1098" s="85"/>
      <c r="AD1098" s="85"/>
      <c r="AE1098" s="85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5"/>
      <c r="AA1099" s="85"/>
      <c r="AB1099" s="85"/>
      <c r="AC1099" s="85"/>
      <c r="AD1099" s="85"/>
      <c r="AE1099" s="85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377357</v>
      </c>
      <c r="E1100" s="38">
        <f t="shared" ref="E1100:F1100" si="286">SUM(E1057:E1097)</f>
        <v>-2886</v>
      </c>
      <c r="F1100" s="38">
        <f t="shared" si="286"/>
        <v>0</v>
      </c>
      <c r="G1100" s="38">
        <f>SUM(G1057:G1099)</f>
        <v>374471</v>
      </c>
      <c r="H1100" s="4"/>
      <c r="I1100" s="39">
        <f>SUM(I1057:I1099)</f>
        <v>2115</v>
      </c>
      <c r="J1100" s="39">
        <f>SUM(J1057:J1099)</f>
        <v>-6612</v>
      </c>
      <c r="K1100" s="40">
        <f>SUM(K1057:K1099)</f>
        <v>369974</v>
      </c>
      <c r="N1100" s="57"/>
      <c r="O1100" s="57"/>
      <c r="P1100" s="38">
        <f>SUM(P1057:P1099)</f>
        <v>217042</v>
      </c>
      <c r="Q1100" s="38">
        <f>SUM(Q1057:Q1081)</f>
        <v>-1296</v>
      </c>
      <c r="R1100" s="38">
        <f>SUM(R1057:R1081)</f>
        <v>0</v>
      </c>
      <c r="S1100" s="38">
        <f>SUM(S1057:S1099)</f>
        <v>215746</v>
      </c>
      <c r="T1100" s="4"/>
      <c r="U1100" s="41">
        <f>SUM(U1057:U1099)</f>
        <v>4134.5</v>
      </c>
      <c r="V1100" s="41">
        <f>SUM(V1057:V1081)</f>
        <v>-1146</v>
      </c>
      <c r="W1100" s="42">
        <f>SUM(W1057:W1099)</f>
        <v>218734.5</v>
      </c>
      <c r="Y1100" s="62"/>
      <c r="Z1100" s="85"/>
      <c r="AA1100" s="85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50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50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50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1" t="s">
        <v>17</v>
      </c>
      <c r="E1110" s="121"/>
      <c r="F1110" s="110"/>
      <c r="G1110" s="27"/>
      <c r="I1110" s="119" t="s">
        <v>18</v>
      </c>
      <c r="J1110" s="120"/>
      <c r="K1110" s="117" t="s">
        <v>19</v>
      </c>
      <c r="N1110" s="25"/>
      <c r="O1110" s="26"/>
      <c r="P1110" s="121" t="s">
        <v>17</v>
      </c>
      <c r="Q1110" s="121"/>
      <c r="R1110" s="110"/>
      <c r="S1110" s="27"/>
      <c r="U1110" s="119" t="s">
        <v>18</v>
      </c>
      <c r="V1110" s="120"/>
      <c r="W1110" s="117" t="s">
        <v>19</v>
      </c>
      <c r="Z1110" s="25"/>
      <c r="AA1110" s="26"/>
      <c r="AB1110" s="121" t="s">
        <v>17</v>
      </c>
      <c r="AC1110" s="121"/>
      <c r="AD1110" s="110"/>
      <c r="AE1110" s="27"/>
      <c r="AG1110" s="119" t="s">
        <v>18</v>
      </c>
      <c r="AH1110" s="120"/>
      <c r="AI1110" s="117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8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8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8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82">
        <v>9828</v>
      </c>
      <c r="D1112" s="32">
        <f>650*80+670*5+622*12</f>
        <v>62814</v>
      </c>
      <c r="E1112" s="32"/>
      <c r="F1112" s="32"/>
      <c r="G1112" s="32">
        <f t="shared" ref="G1112:G1145" si="287">SUM(D1112:E1112)</f>
        <v>62814</v>
      </c>
      <c r="H1112" s="12"/>
      <c r="I1112" s="12"/>
      <c r="J1112" s="12"/>
      <c r="K1112" s="12">
        <f t="shared" ref="K1112:K1145" si="288">SUM(G1112:J1112)</f>
        <v>62814</v>
      </c>
      <c r="M1112" s="10">
        <v>1</v>
      </c>
      <c r="N1112" s="30" t="s">
        <v>97</v>
      </c>
      <c r="O1112" s="31">
        <v>9867</v>
      </c>
      <c r="P1112" s="32">
        <f>650*300+622*30+229*10</f>
        <v>215950</v>
      </c>
      <c r="Q1112" s="32">
        <f>330*6</f>
        <v>1980</v>
      </c>
      <c r="R1112" s="32"/>
      <c r="S1112" s="32">
        <f>SUM(P1112:Q1112)</f>
        <v>217930</v>
      </c>
      <c r="T1112" s="12"/>
      <c r="U1112" s="12">
        <f>2886+780</f>
        <v>3666</v>
      </c>
      <c r="V1112" s="12">
        <f>-480+-336</f>
        <v>-816</v>
      </c>
      <c r="W1112" s="12">
        <f>SUM(S1112:V1112)</f>
        <v>220780</v>
      </c>
      <c r="Y1112" s="10">
        <v>1</v>
      </c>
      <c r="Z1112" s="30" t="s">
        <v>97</v>
      </c>
      <c r="AA1112" s="31">
        <v>9762</v>
      </c>
      <c r="AB1112" s="32">
        <f>650*60+622*10+872</f>
        <v>46092</v>
      </c>
      <c r="AC1112" s="32"/>
      <c r="AD1112" s="32"/>
      <c r="AE1112" s="32">
        <f>SUM(AB1112:AC1112)</f>
        <v>46092</v>
      </c>
      <c r="AF1112" s="12"/>
      <c r="AG1112" s="12">
        <v>234</v>
      </c>
      <c r="AH1112" s="12"/>
      <c r="AI1112" s="12">
        <f>SUM(AE1112:AH1112)</f>
        <v>46326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82">
        <f>C1112+1</f>
        <v>9829</v>
      </c>
      <c r="D1113" s="32">
        <f>650*50+1582</f>
        <v>34082</v>
      </c>
      <c r="E1113" s="32"/>
      <c r="F1113" s="32"/>
      <c r="G1113" s="32">
        <f t="shared" si="287"/>
        <v>34082</v>
      </c>
      <c r="H1113" s="12"/>
      <c r="I1113" s="12"/>
      <c r="J1113" s="12"/>
      <c r="K1113" s="12">
        <f t="shared" si="288"/>
        <v>34082</v>
      </c>
      <c r="M1113" s="10">
        <v>2</v>
      </c>
      <c r="N1113" s="30" t="s">
        <v>97</v>
      </c>
      <c r="O1113" s="31">
        <f>O1112+1</f>
        <v>9868</v>
      </c>
      <c r="P1113" s="32">
        <f>650*51</f>
        <v>33150</v>
      </c>
      <c r="Q1113" s="32"/>
      <c r="R1113" s="32"/>
      <c r="S1113" s="32">
        <f t="shared" ref="S1113:S1150" si="289">SUM(P1113:Q1113)</f>
        <v>33150</v>
      </c>
      <c r="T1113" s="12"/>
      <c r="U1113" s="12"/>
      <c r="V1113" s="12"/>
      <c r="W1113" s="12">
        <f t="shared" ref="W1113:W1153" si="290">SUM(S1113:V1113)</f>
        <v>33150</v>
      </c>
      <c r="Y1113" s="10">
        <v>2</v>
      </c>
      <c r="Z1113" s="30" t="s">
        <v>97</v>
      </c>
      <c r="AA1113" s="31">
        <f>AA1112+1</f>
        <v>9763</v>
      </c>
      <c r="AB1113" s="32">
        <f>650*100+670*5+622*50+912+872*2+229*6+650*2</f>
        <v>104780</v>
      </c>
      <c r="AC1113" s="32">
        <f>-158*6</f>
        <v>-948</v>
      </c>
      <c r="AD1113" s="32"/>
      <c r="AE1113" s="32">
        <f t="shared" ref="AE1113:AE1150" si="291">SUM(AB1113:AC1113)</f>
        <v>103832</v>
      </c>
      <c r="AF1113" s="12"/>
      <c r="AG1113" s="12"/>
      <c r="AH1113" s="12"/>
      <c r="AI1113" s="12">
        <f t="shared" ref="AI1113:AI1153" si="292">SUM(AE1113:AH1113)</f>
        <v>103832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82">
        <f t="shared" ref="C1114:C1123" si="293">C1113+1</f>
        <v>9830</v>
      </c>
      <c r="D1114" s="33">
        <f>650*50</f>
        <v>32500</v>
      </c>
      <c r="E1114" s="33"/>
      <c r="F1114" s="33"/>
      <c r="G1114" s="33">
        <f t="shared" si="287"/>
        <v>32500</v>
      </c>
      <c r="H1114" s="34"/>
      <c r="I1114" s="34"/>
      <c r="J1114" s="34"/>
      <c r="K1114" s="34">
        <f t="shared" si="288"/>
        <v>32500</v>
      </c>
      <c r="M1114" s="10">
        <v>3</v>
      </c>
      <c r="N1114" s="30" t="s">
        <v>97</v>
      </c>
      <c r="O1114" s="31">
        <f t="shared" ref="O1114:O1118" si="294">O1113+1</f>
        <v>9869</v>
      </c>
      <c r="P1114" s="32">
        <f>500+650</f>
        <v>1150</v>
      </c>
      <c r="Q1114" s="32"/>
      <c r="R1114" s="32"/>
      <c r="S1114" s="32">
        <f t="shared" si="289"/>
        <v>1150</v>
      </c>
      <c r="T1114" s="12"/>
      <c r="U1114" s="12"/>
      <c r="V1114" s="12"/>
      <c r="W1114" s="12">
        <f t="shared" si="290"/>
        <v>1150</v>
      </c>
      <c r="Y1114" s="10">
        <v>3</v>
      </c>
      <c r="Z1114" s="30" t="s">
        <v>97</v>
      </c>
      <c r="AA1114" s="31">
        <f t="shared" ref="AA1114:AA1122" si="295">AA1113+1</f>
        <v>9764</v>
      </c>
      <c r="AB1114" s="33">
        <f>650*108+229*4</f>
        <v>71116</v>
      </c>
      <c r="AC1114" s="33">
        <f>-108*6</f>
        <v>-648</v>
      </c>
      <c r="AD1114" s="32"/>
      <c r="AE1114" s="32">
        <f t="shared" si="291"/>
        <v>70468</v>
      </c>
      <c r="AF1114" s="12"/>
      <c r="AG1114" s="12">
        <f>2664+1.5*48</f>
        <v>2736</v>
      </c>
      <c r="AH1114" s="12"/>
      <c r="AI1114" s="12">
        <f t="shared" si="292"/>
        <v>73204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82">
        <f t="shared" si="293"/>
        <v>9831</v>
      </c>
      <c r="D1115" s="32">
        <f>650*50+229</f>
        <v>32729</v>
      </c>
      <c r="E1115" s="32"/>
      <c r="F1115" s="32"/>
      <c r="G1115" s="32">
        <f t="shared" si="287"/>
        <v>32729</v>
      </c>
      <c r="H1115" s="12"/>
      <c r="I1115" s="12">
        <f>111*42+9.5*15</f>
        <v>4804.5</v>
      </c>
      <c r="J1115" s="12"/>
      <c r="K1115" s="12">
        <f t="shared" si="288"/>
        <v>37533.5</v>
      </c>
      <c r="M1115" s="10">
        <v>4</v>
      </c>
      <c r="N1115" s="30" t="s">
        <v>97</v>
      </c>
      <c r="O1115" s="31">
        <f t="shared" si="294"/>
        <v>9870</v>
      </c>
      <c r="P1115" s="32">
        <f>650*4+670</f>
        <v>3270</v>
      </c>
      <c r="Q1115" s="32"/>
      <c r="R1115" s="32"/>
      <c r="S1115" s="32">
        <f t="shared" si="289"/>
        <v>3270</v>
      </c>
      <c r="T1115" s="12"/>
      <c r="U1115" s="12"/>
      <c r="V1115" s="12"/>
      <c r="W1115" s="12">
        <f t="shared" si="290"/>
        <v>3270</v>
      </c>
      <c r="Y1115" s="10">
        <v>4</v>
      </c>
      <c r="Z1115" s="30" t="s">
        <v>97</v>
      </c>
      <c r="AA1115" s="31">
        <f t="shared" si="295"/>
        <v>9765</v>
      </c>
      <c r="AB1115" s="32">
        <f>650*162+229*6</f>
        <v>106674</v>
      </c>
      <c r="AC1115" s="32">
        <f>-162*6</f>
        <v>-972</v>
      </c>
      <c r="AD1115" s="32"/>
      <c r="AE1115" s="32">
        <f t="shared" si="291"/>
        <v>105702</v>
      </c>
      <c r="AF1115" s="12"/>
      <c r="AG1115" s="58"/>
      <c r="AH1115" s="12"/>
      <c r="AI1115" s="12">
        <f t="shared" si="292"/>
        <v>105702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82">
        <f t="shared" si="293"/>
        <v>9832</v>
      </c>
      <c r="D1116" s="32">
        <f>229*3</f>
        <v>687</v>
      </c>
      <c r="E1116" s="32"/>
      <c r="F1116" s="32"/>
      <c r="G1116" s="32">
        <f t="shared" si="287"/>
        <v>687</v>
      </c>
      <c r="H1116" s="12"/>
      <c r="I1116" s="12"/>
      <c r="J1116" s="12">
        <v>-156</v>
      </c>
      <c r="K1116" s="12">
        <f t="shared" si="288"/>
        <v>531</v>
      </c>
      <c r="M1116" s="10">
        <v>5</v>
      </c>
      <c r="N1116" s="30" t="s">
        <v>97</v>
      </c>
      <c r="O1116" s="31">
        <f t="shared" si="294"/>
        <v>9871</v>
      </c>
      <c r="P1116" s="32">
        <f>650*3+670</f>
        <v>2620</v>
      </c>
      <c r="Q1116" s="32"/>
      <c r="R1116" s="32"/>
      <c r="S1116" s="32">
        <f t="shared" si="289"/>
        <v>2620</v>
      </c>
      <c r="T1116" s="12"/>
      <c r="U1116" s="12"/>
      <c r="V1116" s="12"/>
      <c r="W1116" s="12">
        <f t="shared" si="290"/>
        <v>2620</v>
      </c>
      <c r="Y1116" s="10">
        <v>5</v>
      </c>
      <c r="Z1116" s="30" t="s">
        <v>97</v>
      </c>
      <c r="AA1116" s="31">
        <f t="shared" si="295"/>
        <v>9766</v>
      </c>
      <c r="AB1116" s="32">
        <f>650*20+670*4+622*6+229*3</f>
        <v>20099</v>
      </c>
      <c r="AC1116" s="32"/>
      <c r="AD1116" s="32"/>
      <c r="AE1116" s="32">
        <f t="shared" si="291"/>
        <v>20099</v>
      </c>
      <c r="AF1116" s="12"/>
      <c r="AG1116" s="12"/>
      <c r="AH1116" s="12"/>
      <c r="AI1116" s="12">
        <f t="shared" si="292"/>
        <v>20099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82">
        <f t="shared" si="293"/>
        <v>9833</v>
      </c>
      <c r="D1117" s="32">
        <f>650*8+9.5*8</f>
        <v>5276</v>
      </c>
      <c r="E1117" s="32"/>
      <c r="F1117" s="32"/>
      <c r="G1117" s="32">
        <f t="shared" si="287"/>
        <v>5276</v>
      </c>
      <c r="H1117" s="12"/>
      <c r="I1117" s="12"/>
      <c r="J1117" s="12"/>
      <c r="K1117" s="12">
        <f t="shared" si="288"/>
        <v>5276</v>
      </c>
      <c r="M1117" s="10">
        <v>6</v>
      </c>
      <c r="N1117" s="30" t="s">
        <v>97</v>
      </c>
      <c r="O1117" s="31">
        <f t="shared" si="294"/>
        <v>9872</v>
      </c>
      <c r="P1117" s="32">
        <f>650*75+670*7+622*15+229*3</f>
        <v>63457</v>
      </c>
      <c r="Q1117" s="32"/>
      <c r="R1117" s="32"/>
      <c r="S1117" s="32">
        <f t="shared" si="289"/>
        <v>63457</v>
      </c>
      <c r="T1117" s="12"/>
      <c r="U1117" s="12">
        <f>18*111+4.5*36</f>
        <v>2160</v>
      </c>
      <c r="V1117" s="10"/>
      <c r="W1117" s="12">
        <f t="shared" si="290"/>
        <v>65617</v>
      </c>
      <c r="Y1117" s="10">
        <v>6</v>
      </c>
      <c r="Z1117" s="30" t="s">
        <v>97</v>
      </c>
      <c r="AA1117" s="31">
        <f t="shared" si="295"/>
        <v>9767</v>
      </c>
      <c r="AB1117" s="32">
        <f>650*10+622*10</f>
        <v>12720</v>
      </c>
      <c r="AC1117" s="32"/>
      <c r="AD1117" s="32"/>
      <c r="AE1117" s="32">
        <f t="shared" si="291"/>
        <v>12720</v>
      </c>
      <c r="AF1117" s="12"/>
      <c r="AG1117" s="12"/>
      <c r="AH1117" s="10"/>
      <c r="AI1117" s="12">
        <f t="shared" si="292"/>
        <v>12720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82">
        <f t="shared" si="293"/>
        <v>9834</v>
      </c>
      <c r="D1118" s="32">
        <f>650*2+9.5*2</f>
        <v>1319</v>
      </c>
      <c r="E1118" s="32"/>
      <c r="F1118" s="32"/>
      <c r="G1118" s="32">
        <f t="shared" si="287"/>
        <v>1319</v>
      </c>
      <c r="H1118" s="12"/>
      <c r="I1118" s="12"/>
      <c r="J1118" s="12"/>
      <c r="K1118" s="12">
        <f t="shared" si="288"/>
        <v>1319</v>
      </c>
      <c r="M1118" s="10">
        <v>7</v>
      </c>
      <c r="N1118" s="30" t="s">
        <v>97</v>
      </c>
      <c r="O1118" s="31">
        <f t="shared" si="294"/>
        <v>9873</v>
      </c>
      <c r="P1118" s="32">
        <f>650*4+9.5*4</f>
        <v>2638</v>
      </c>
      <c r="Q1118" s="32"/>
      <c r="R1118" s="32"/>
      <c r="S1118" s="32">
        <f t="shared" si="289"/>
        <v>2638</v>
      </c>
      <c r="T1118" s="12"/>
      <c r="U1118" s="12"/>
      <c r="V1118" s="12">
        <f>-333+-126</f>
        <v>-459</v>
      </c>
      <c r="W1118" s="12">
        <f t="shared" si="290"/>
        <v>2179</v>
      </c>
      <c r="Y1118" s="10">
        <v>7</v>
      </c>
      <c r="Z1118" s="30" t="s">
        <v>97</v>
      </c>
      <c r="AA1118" s="31">
        <f t="shared" si="295"/>
        <v>9768</v>
      </c>
      <c r="AB1118" s="32">
        <f>650*2+622+9.5*3</f>
        <v>1950.5</v>
      </c>
      <c r="AC1118" s="32"/>
      <c r="AD1118" s="32"/>
      <c r="AE1118" s="32">
        <f t="shared" si="291"/>
        <v>1950.5</v>
      </c>
      <c r="AF1118" s="12"/>
      <c r="AG1118" s="58"/>
      <c r="AH1118" s="12"/>
      <c r="AI1118" s="12">
        <f t="shared" si="292"/>
        <v>1950.5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82">
        <f t="shared" si="293"/>
        <v>9835</v>
      </c>
      <c r="D1119" s="32">
        <f>650*2+9.5*2</f>
        <v>1319</v>
      </c>
      <c r="E1119" s="32"/>
      <c r="F1119" s="32"/>
      <c r="G1119" s="32">
        <f t="shared" si="287"/>
        <v>1319</v>
      </c>
      <c r="H1119" s="12"/>
      <c r="I1119" s="12"/>
      <c r="J1119" s="12"/>
      <c r="K1119" s="12">
        <f t="shared" si="288"/>
        <v>1319</v>
      </c>
      <c r="M1119" s="10">
        <v>8</v>
      </c>
      <c r="N1119" s="30"/>
      <c r="O1119" s="11" t="s">
        <v>27</v>
      </c>
      <c r="P1119" s="32"/>
      <c r="Q1119" s="32"/>
      <c r="R1119" s="32"/>
      <c r="S1119" s="32">
        <f t="shared" si="289"/>
        <v>0</v>
      </c>
      <c r="T1119" s="12"/>
      <c r="U1119" s="12"/>
      <c r="V1119" s="12"/>
      <c r="W1119" s="12">
        <f t="shared" si="290"/>
        <v>0</v>
      </c>
      <c r="Y1119" s="10">
        <v>8</v>
      </c>
      <c r="Z1119" s="30" t="s">
        <v>97</v>
      </c>
      <c r="AA1119" s="31">
        <f t="shared" si="295"/>
        <v>9769</v>
      </c>
      <c r="AB1119" s="32">
        <f>650*20+622*5+229</f>
        <v>16339</v>
      </c>
      <c r="AC1119" s="32"/>
      <c r="AE1119" s="32">
        <f t="shared" si="291"/>
        <v>16339</v>
      </c>
      <c r="AF1119" s="12"/>
      <c r="AG1119" s="12"/>
      <c r="AH1119" s="12"/>
      <c r="AI1119" s="12">
        <f t="shared" si="292"/>
        <v>16339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82">
        <f t="shared" si="293"/>
        <v>9836</v>
      </c>
      <c r="D1120" s="32">
        <f>650+9.5</f>
        <v>659.5</v>
      </c>
      <c r="E1120" s="32"/>
      <c r="F1120" s="32"/>
      <c r="G1120" s="32">
        <f t="shared" si="287"/>
        <v>659.5</v>
      </c>
      <c r="H1120" s="12"/>
      <c r="I1120" s="12"/>
      <c r="J1120" s="12"/>
      <c r="K1120" s="12">
        <f t="shared" si="288"/>
        <v>659.5</v>
      </c>
      <c r="M1120" s="10">
        <v>9</v>
      </c>
      <c r="N1120" s="30"/>
      <c r="O1120" s="31"/>
      <c r="P1120" s="32"/>
      <c r="Q1120" s="32"/>
      <c r="R1120" s="32"/>
      <c r="S1120" s="32">
        <f t="shared" si="289"/>
        <v>0</v>
      </c>
      <c r="T1120" s="12"/>
      <c r="U1120" s="12"/>
      <c r="V1120" s="12"/>
      <c r="W1120" s="12">
        <f t="shared" si="290"/>
        <v>0</v>
      </c>
      <c r="Y1120" s="10">
        <v>9</v>
      </c>
      <c r="Z1120" s="30" t="s">
        <v>97</v>
      </c>
      <c r="AA1120" s="31">
        <f t="shared" si="295"/>
        <v>9770</v>
      </c>
      <c r="AB1120" s="32">
        <f>650*6+670*4+622*3</f>
        <v>8446</v>
      </c>
      <c r="AC1120" s="32"/>
      <c r="AD1120" s="32"/>
      <c r="AE1120" s="32">
        <f t="shared" si="291"/>
        <v>8446</v>
      </c>
      <c r="AF1120" s="12"/>
      <c r="AG1120">
        <v>40.5</v>
      </c>
      <c r="AH1120" s="12"/>
      <c r="AI1120" s="12">
        <f t="shared" si="292"/>
        <v>8486.5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82">
        <f t="shared" si="293"/>
        <v>9837</v>
      </c>
      <c r="D1121" s="32">
        <f>650*2+9.5*2</f>
        <v>1319</v>
      </c>
      <c r="E1121" s="32"/>
      <c r="F1121" s="32"/>
      <c r="G1121" s="32">
        <f t="shared" si="287"/>
        <v>1319</v>
      </c>
      <c r="H1121" s="12"/>
      <c r="I1121" s="12"/>
      <c r="J1121" s="12"/>
      <c r="K1121" s="12">
        <f t="shared" si="288"/>
        <v>1319</v>
      </c>
      <c r="M1121" s="10">
        <v>10</v>
      </c>
      <c r="N1121" s="30"/>
      <c r="O1121" s="31"/>
      <c r="P1121" s="32"/>
      <c r="Q1121" s="32"/>
      <c r="R1121" s="32"/>
      <c r="S1121" s="32">
        <f t="shared" si="289"/>
        <v>0</v>
      </c>
      <c r="T1121" s="12"/>
      <c r="U1121" s="12"/>
      <c r="V1121" s="12"/>
      <c r="W1121" s="12">
        <f t="shared" si="290"/>
        <v>0</v>
      </c>
      <c r="Y1121" s="10">
        <v>10</v>
      </c>
      <c r="Z1121" s="30" t="s">
        <v>97</v>
      </c>
      <c r="AA1121" s="31">
        <f t="shared" si="295"/>
        <v>9771</v>
      </c>
      <c r="AB1121" s="32">
        <f>650*5+622*15</f>
        <v>12580</v>
      </c>
      <c r="AC1121" s="32"/>
      <c r="AD1121" s="32"/>
      <c r="AE1121" s="32">
        <f t="shared" si="291"/>
        <v>12580</v>
      </c>
      <c r="AF1121" s="12"/>
      <c r="AG1121" s="12"/>
      <c r="AH1121" s="12"/>
      <c r="AI1121" s="12">
        <f t="shared" si="292"/>
        <v>12580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82">
        <f t="shared" si="293"/>
        <v>9838</v>
      </c>
      <c r="D1122" s="32">
        <f>650*8+670+622*8</f>
        <v>10846</v>
      </c>
      <c r="E1122" s="32"/>
      <c r="F1122" s="32"/>
      <c r="G1122" s="32">
        <f t="shared" si="287"/>
        <v>10846</v>
      </c>
      <c r="H1122" s="12"/>
      <c r="I1122" s="12"/>
      <c r="J1122" s="12"/>
      <c r="K1122" s="12">
        <f t="shared" si="288"/>
        <v>10846</v>
      </c>
      <c r="M1122" s="10">
        <v>11</v>
      </c>
      <c r="N1122" s="30"/>
      <c r="O1122" s="31"/>
      <c r="P1122" s="32"/>
      <c r="Q1122" s="32"/>
      <c r="R1122" s="32"/>
      <c r="S1122" s="32">
        <f t="shared" si="289"/>
        <v>0</v>
      </c>
      <c r="T1122" s="12"/>
      <c r="U1122" s="12"/>
      <c r="V1122" s="12"/>
      <c r="W1122" s="12">
        <f t="shared" si="290"/>
        <v>0</v>
      </c>
      <c r="Y1122" s="10">
        <v>11</v>
      </c>
      <c r="Z1122" s="30" t="s">
        <v>97</v>
      </c>
      <c r="AA1122" s="31">
        <f t="shared" si="295"/>
        <v>9772</v>
      </c>
      <c r="AB1122" s="32">
        <f>650*20+670*4</f>
        <v>15680</v>
      </c>
      <c r="AC1122" s="32"/>
      <c r="AD1122" s="32"/>
      <c r="AE1122" s="32">
        <f t="shared" si="291"/>
        <v>15680</v>
      </c>
      <c r="AF1122" s="12"/>
      <c r="AG1122" s="12"/>
      <c r="AH1122" s="12"/>
      <c r="AI1122" s="12">
        <f t="shared" si="292"/>
        <v>15680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82">
        <f t="shared" si="293"/>
        <v>9839</v>
      </c>
      <c r="D1123" s="32">
        <f>650*22+622*3+872</f>
        <v>17038</v>
      </c>
      <c r="E1123" s="32"/>
      <c r="F1123" s="32"/>
      <c r="G1123" s="32">
        <f t="shared" si="287"/>
        <v>17038</v>
      </c>
      <c r="H1123" s="12"/>
      <c r="I1123" s="12"/>
      <c r="J1123" s="10"/>
      <c r="K1123" s="12">
        <f t="shared" si="288"/>
        <v>17038</v>
      </c>
      <c r="M1123" s="10">
        <v>12</v>
      </c>
      <c r="N1123" s="30"/>
      <c r="O1123" s="31"/>
      <c r="P1123" s="32"/>
      <c r="Q1123" s="32"/>
      <c r="R1123" s="32"/>
      <c r="S1123" s="32">
        <f t="shared" si="289"/>
        <v>0</v>
      </c>
      <c r="T1123" s="12"/>
      <c r="U1123" s="12"/>
      <c r="V1123" s="12"/>
      <c r="W1123" s="12">
        <f t="shared" si="290"/>
        <v>0</v>
      </c>
      <c r="Y1123" s="10">
        <v>12</v>
      </c>
      <c r="Z1123" s="30"/>
      <c r="AA1123" s="11" t="s">
        <v>27</v>
      </c>
      <c r="AB1123" s="32"/>
      <c r="AC1123" s="32"/>
      <c r="AD1123" s="32"/>
      <c r="AE1123" s="32">
        <f t="shared" si="291"/>
        <v>0</v>
      </c>
      <c r="AF1123" s="12"/>
      <c r="AG1123" s="12"/>
      <c r="AH1123" s="12"/>
      <c r="AI1123" s="12">
        <f t="shared" si="292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27</v>
      </c>
      <c r="D1124" s="32"/>
      <c r="E1124" s="32"/>
      <c r="F1124" s="32"/>
      <c r="G1124" s="32">
        <f t="shared" si="287"/>
        <v>0</v>
      </c>
      <c r="H1124" s="12"/>
      <c r="I1124" s="12"/>
      <c r="J1124" s="12"/>
      <c r="K1124" s="12">
        <f t="shared" si="288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89"/>
        <v>0</v>
      </c>
      <c r="T1124" s="12"/>
      <c r="U1124" s="12"/>
      <c r="V1124" s="12"/>
      <c r="W1124" s="12">
        <f t="shared" si="290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91"/>
        <v>0</v>
      </c>
      <c r="AF1124" s="12"/>
      <c r="AG1124" s="12"/>
      <c r="AH1124" s="12"/>
      <c r="AI1124" s="12">
        <f t="shared" si="292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287"/>
        <v>0</v>
      </c>
      <c r="H1125" s="12"/>
      <c r="I1125" s="12"/>
      <c r="J1125" s="12"/>
      <c r="K1125" s="12">
        <f t="shared" si="288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89"/>
        <v>0</v>
      </c>
      <c r="T1125" s="12"/>
      <c r="U1125" s="12"/>
      <c r="V1125" s="12"/>
      <c r="W1125" s="12">
        <f t="shared" si="290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91"/>
        <v>0</v>
      </c>
      <c r="AF1125" s="12"/>
      <c r="AG1125" s="12"/>
      <c r="AH1125" s="12"/>
      <c r="AI1125" s="12">
        <f t="shared" si="292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287"/>
        <v>0</v>
      </c>
      <c r="H1126" s="12"/>
      <c r="I1126" s="12"/>
      <c r="J1126" s="12"/>
      <c r="K1126" s="12">
        <f t="shared" si="288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89"/>
        <v>0</v>
      </c>
      <c r="T1126" s="12"/>
      <c r="U1126" s="12"/>
      <c r="V1126" s="12"/>
      <c r="W1126" s="12">
        <f t="shared" si="290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91"/>
        <v>0</v>
      </c>
      <c r="AF1126" s="12"/>
      <c r="AG1126" s="12"/>
      <c r="AH1126" s="12"/>
      <c r="AI1126" s="12">
        <f t="shared" si="292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2"/>
      <c r="D1127" s="32"/>
      <c r="E1127" s="32"/>
      <c r="F1127" s="32"/>
      <c r="G1127" s="32">
        <f t="shared" si="287"/>
        <v>0</v>
      </c>
      <c r="H1127" s="12"/>
      <c r="I1127" s="12"/>
      <c r="J1127" s="12"/>
      <c r="K1127" s="12">
        <f t="shared" si="288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89"/>
        <v>0</v>
      </c>
      <c r="T1127" s="12"/>
      <c r="U1127" s="12"/>
      <c r="V1127" s="12"/>
      <c r="W1127" s="12">
        <f t="shared" si="290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91"/>
        <v>0</v>
      </c>
      <c r="AF1127" s="12"/>
      <c r="AG1127" s="12"/>
      <c r="AH1127" s="12"/>
      <c r="AI1127" s="12">
        <f t="shared" si="292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287"/>
        <v>0</v>
      </c>
      <c r="H1128" s="12"/>
      <c r="I1128" s="12"/>
      <c r="J1128" s="12"/>
      <c r="K1128" s="12">
        <f t="shared" si="288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89"/>
        <v>0</v>
      </c>
      <c r="T1128" s="12"/>
      <c r="U1128" s="12"/>
      <c r="V1128" s="12"/>
      <c r="W1128" s="12">
        <f t="shared" si="290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91"/>
        <v>0</v>
      </c>
      <c r="AF1128" s="12"/>
      <c r="AG1128" s="12"/>
      <c r="AH1128" s="12"/>
      <c r="AI1128" s="12">
        <f t="shared" si="292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287"/>
        <v>0</v>
      </c>
      <c r="H1129" s="12"/>
      <c r="I1129" s="12"/>
      <c r="J1129" s="12"/>
      <c r="K1129" s="12">
        <f t="shared" si="288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89"/>
        <v>0</v>
      </c>
      <c r="T1129" s="12"/>
      <c r="U1129" s="12"/>
      <c r="V1129" s="12"/>
      <c r="W1129" s="12">
        <f t="shared" si="290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91"/>
        <v>0</v>
      </c>
      <c r="AF1129" s="12"/>
      <c r="AG1129" s="12"/>
      <c r="AH1129" s="12"/>
      <c r="AI1129" s="12">
        <f t="shared" si="292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287"/>
        <v>0</v>
      </c>
      <c r="H1130" s="12"/>
      <c r="I1130" s="12"/>
      <c r="J1130" s="12"/>
      <c r="K1130" s="12">
        <f t="shared" si="288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89"/>
        <v>0</v>
      </c>
      <c r="T1130" s="12"/>
      <c r="U1130" s="12"/>
      <c r="V1130" s="12"/>
      <c r="W1130" s="12">
        <f t="shared" si="290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91"/>
        <v>0</v>
      </c>
      <c r="AF1130" s="12"/>
      <c r="AG1130" s="12"/>
      <c r="AH1130" s="12"/>
      <c r="AI1130" s="12">
        <f t="shared" si="292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287"/>
        <v>0</v>
      </c>
      <c r="H1131" s="12"/>
      <c r="I1131" s="12"/>
      <c r="J1131" s="12"/>
      <c r="K1131" s="12">
        <f t="shared" si="288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89"/>
        <v>0</v>
      </c>
      <c r="T1131" s="12"/>
      <c r="U1131" s="12"/>
      <c r="V1131" s="12"/>
      <c r="W1131" s="12">
        <f t="shared" si="290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91"/>
        <v>0</v>
      </c>
      <c r="AF1131" s="12"/>
      <c r="AG1131" s="12"/>
      <c r="AH1131" s="12"/>
      <c r="AI1131" s="12">
        <f t="shared" si="292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11"/>
      <c r="D1132" s="32"/>
      <c r="E1132" s="32"/>
      <c r="F1132" s="32"/>
      <c r="G1132" s="32">
        <f t="shared" si="287"/>
        <v>0</v>
      </c>
      <c r="H1132" s="10"/>
      <c r="I1132" s="10"/>
      <c r="J1132" s="10"/>
      <c r="K1132" s="12">
        <f t="shared" si="288"/>
        <v>0</v>
      </c>
      <c r="M1132" s="10">
        <v>21</v>
      </c>
      <c r="N1132" s="30"/>
      <c r="O1132" s="11"/>
      <c r="P1132" s="46"/>
      <c r="Q1132" s="31"/>
      <c r="R1132" s="31"/>
      <c r="S1132" s="32">
        <f t="shared" si="289"/>
        <v>0</v>
      </c>
      <c r="T1132" s="10"/>
      <c r="U1132" s="10"/>
      <c r="V1132" s="10"/>
      <c r="W1132" s="12">
        <f t="shared" si="290"/>
        <v>0</v>
      </c>
      <c r="Y1132" s="10">
        <v>21</v>
      </c>
      <c r="Z1132" s="30"/>
      <c r="AA1132" s="11"/>
      <c r="AB1132" s="46"/>
      <c r="AC1132" s="31"/>
      <c r="AD1132" s="31"/>
      <c r="AE1132" s="32">
        <f t="shared" si="291"/>
        <v>0</v>
      </c>
      <c r="AF1132" s="10"/>
      <c r="AG1132" s="10"/>
      <c r="AH1132" s="10"/>
      <c r="AI1132" s="12">
        <f t="shared" si="292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57"/>
      <c r="D1133" s="32"/>
      <c r="E1133" s="32"/>
      <c r="F1133" s="32"/>
      <c r="G1133" s="32">
        <f t="shared" si="287"/>
        <v>0</v>
      </c>
      <c r="H1133" s="10"/>
      <c r="I1133" s="10"/>
      <c r="J1133" s="10"/>
      <c r="K1133" s="12">
        <f t="shared" si="288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89"/>
        <v>0</v>
      </c>
      <c r="T1133" s="10"/>
      <c r="U1133" s="10"/>
      <c r="V1133" s="10"/>
      <c r="W1133" s="12">
        <f t="shared" si="290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91"/>
        <v>0</v>
      </c>
      <c r="AF1133" s="10"/>
      <c r="AG1133" s="10"/>
      <c r="AH1133" s="10"/>
      <c r="AI1133" s="12">
        <f t="shared" si="292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287"/>
        <v>0</v>
      </c>
      <c r="H1134" s="10"/>
      <c r="I1134" s="10"/>
      <c r="J1134" s="12"/>
      <c r="K1134" s="12">
        <f t="shared" si="288"/>
        <v>0</v>
      </c>
      <c r="M1134" s="10">
        <v>23</v>
      </c>
      <c r="N1134" s="30"/>
      <c r="O1134" s="31"/>
      <c r="P1134" s="47"/>
      <c r="Q1134" s="31"/>
      <c r="S1134" s="32">
        <f t="shared" si="289"/>
        <v>0</v>
      </c>
      <c r="T1134" s="10"/>
      <c r="U1134" s="10"/>
      <c r="V1134" s="10"/>
      <c r="W1134" s="12">
        <f t="shared" si="290"/>
        <v>0</v>
      </c>
      <c r="Y1134" s="10">
        <v>23</v>
      </c>
      <c r="Z1134" s="30"/>
      <c r="AA1134" s="31"/>
      <c r="AB1134" s="47"/>
      <c r="AE1134" s="32">
        <f t="shared" si="291"/>
        <v>0</v>
      </c>
      <c r="AF1134" s="10"/>
      <c r="AG1134" s="10"/>
      <c r="AH1134" s="10"/>
      <c r="AI1134" s="12">
        <f t="shared" si="292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287"/>
        <v>0</v>
      </c>
      <c r="H1135" s="10"/>
      <c r="I1135" s="10"/>
      <c r="J1135" s="10"/>
      <c r="K1135" s="12">
        <f t="shared" si="288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89"/>
        <v>0</v>
      </c>
      <c r="T1135" s="10"/>
      <c r="U1135" s="10"/>
      <c r="V1135" s="10"/>
      <c r="W1135" s="12">
        <f t="shared" si="290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91"/>
        <v>0</v>
      </c>
      <c r="AF1135" s="10"/>
      <c r="AG1135" s="10"/>
      <c r="AH1135" s="10"/>
      <c r="AI1135" s="12">
        <f t="shared" si="292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287"/>
        <v>0</v>
      </c>
      <c r="H1136" s="10"/>
      <c r="I1136" s="10"/>
      <c r="J1136" s="10"/>
      <c r="K1136" s="12">
        <f t="shared" si="288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89"/>
        <v>0</v>
      </c>
      <c r="T1136" s="10"/>
      <c r="U1136" s="10"/>
      <c r="V1136" s="10"/>
      <c r="W1136" s="12">
        <f t="shared" si="290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91"/>
        <v>0</v>
      </c>
      <c r="AF1136" s="10"/>
      <c r="AG1136" s="10"/>
      <c r="AH1136" s="10"/>
      <c r="AI1136" s="12">
        <f t="shared" si="292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82"/>
      <c r="D1137" s="32"/>
      <c r="E1137" s="32"/>
      <c r="F1137" s="32"/>
      <c r="G1137" s="32">
        <f t="shared" si="287"/>
        <v>0</v>
      </c>
      <c r="H1137" s="10"/>
      <c r="I1137" s="10"/>
      <c r="J1137" s="10"/>
      <c r="K1137" s="12">
        <f t="shared" si="288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289"/>
        <v>0</v>
      </c>
      <c r="T1137" s="10"/>
      <c r="U1137" s="10"/>
      <c r="V1137" s="10"/>
      <c r="W1137" s="12">
        <f t="shared" si="290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91"/>
        <v>0</v>
      </c>
      <c r="AF1137" s="10"/>
      <c r="AG1137" s="10"/>
      <c r="AH1137" s="10"/>
      <c r="AI1137" s="12">
        <f t="shared" si="292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287"/>
        <v>0</v>
      </c>
      <c r="H1138" s="10"/>
      <c r="I1138" s="10"/>
      <c r="J1138" s="10"/>
      <c r="K1138" s="12">
        <f t="shared" si="288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89"/>
        <v>0</v>
      </c>
      <c r="T1138" s="10"/>
      <c r="U1138" s="10"/>
      <c r="V1138" s="10"/>
      <c r="W1138" s="12">
        <f t="shared" si="290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91"/>
        <v>0</v>
      </c>
      <c r="AF1138" s="10"/>
      <c r="AG1138" s="10"/>
      <c r="AH1138" s="10"/>
      <c r="AI1138" s="12">
        <f t="shared" si="292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287"/>
        <v>0</v>
      </c>
      <c r="H1139" s="10"/>
      <c r="I1139" s="10"/>
      <c r="J1139" s="10"/>
      <c r="K1139" s="12">
        <f t="shared" si="288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89"/>
        <v>0</v>
      </c>
      <c r="T1139" s="10"/>
      <c r="U1139" s="10"/>
      <c r="V1139" s="10"/>
      <c r="W1139" s="12">
        <f t="shared" si="290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91"/>
        <v>0</v>
      </c>
      <c r="AF1139" s="10"/>
      <c r="AG1139" s="10"/>
      <c r="AH1139" s="10"/>
      <c r="AI1139" s="12">
        <f t="shared" si="292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287"/>
        <v>0</v>
      </c>
      <c r="H1140" s="10"/>
      <c r="I1140" s="10"/>
      <c r="J1140" s="10"/>
      <c r="K1140" s="12">
        <f t="shared" si="288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89"/>
        <v>0</v>
      </c>
      <c r="T1140" s="10"/>
      <c r="U1140" s="10"/>
      <c r="V1140" s="10"/>
      <c r="W1140" s="12">
        <f t="shared" si="290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91"/>
        <v>0</v>
      </c>
      <c r="AF1140" s="10"/>
      <c r="AG1140" s="10"/>
      <c r="AH1140" s="10"/>
      <c r="AI1140" s="12">
        <f t="shared" si="292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2"/>
      <c r="D1141" s="32"/>
      <c r="E1141" s="32"/>
      <c r="F1141" s="32"/>
      <c r="G1141" s="32">
        <f t="shared" si="287"/>
        <v>0</v>
      </c>
      <c r="H1141" s="10"/>
      <c r="I1141" s="10"/>
      <c r="J1141" s="10"/>
      <c r="K1141" s="12">
        <f t="shared" si="288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289"/>
        <v>0</v>
      </c>
      <c r="T1141" s="10"/>
      <c r="U1141" s="10"/>
      <c r="V1141" s="10"/>
      <c r="W1141" s="12">
        <f t="shared" si="290"/>
        <v>0</v>
      </c>
      <c r="Y1141" s="10">
        <v>30</v>
      </c>
      <c r="Z1141" s="30"/>
      <c r="AB1141" s="47"/>
      <c r="AC1141" s="31"/>
      <c r="AD1141" s="31"/>
      <c r="AE1141" s="32">
        <f t="shared" si="291"/>
        <v>0</v>
      </c>
      <c r="AF1141" s="10"/>
      <c r="AG1141" s="10"/>
      <c r="AH1141" s="10"/>
      <c r="AI1141" s="12">
        <f t="shared" si="292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2"/>
      <c r="D1142" s="32"/>
      <c r="E1142" s="32"/>
      <c r="F1142" s="32"/>
      <c r="G1142" s="32">
        <f t="shared" si="287"/>
        <v>0</v>
      </c>
      <c r="H1142" s="10"/>
      <c r="I1142" s="10"/>
      <c r="J1142" s="10"/>
      <c r="K1142" s="12">
        <f t="shared" si="288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89"/>
        <v>0</v>
      </c>
      <c r="T1142" s="10"/>
      <c r="U1142" s="10"/>
      <c r="V1142" s="10"/>
      <c r="W1142" s="12">
        <f t="shared" si="290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91"/>
        <v>0</v>
      </c>
      <c r="AF1142" s="10"/>
      <c r="AG1142" s="10"/>
      <c r="AH1142" s="10"/>
      <c r="AI1142" s="12">
        <f t="shared" si="292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287"/>
        <v>0</v>
      </c>
      <c r="H1143" s="10"/>
      <c r="I1143" s="10"/>
      <c r="J1143" s="10"/>
      <c r="K1143" s="12">
        <f t="shared" si="288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89"/>
        <v>0</v>
      </c>
      <c r="T1143" s="10"/>
      <c r="U1143" s="10"/>
      <c r="V1143" s="10"/>
      <c r="W1143" s="12">
        <f t="shared" si="290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91"/>
        <v>0</v>
      </c>
      <c r="AF1143" s="10"/>
      <c r="AG1143" s="10"/>
      <c r="AH1143" s="10"/>
      <c r="AI1143" s="12">
        <f t="shared" si="292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287"/>
        <v>0</v>
      </c>
      <c r="H1144" s="10"/>
      <c r="I1144" s="10"/>
      <c r="J1144" s="10"/>
      <c r="K1144" s="12">
        <f t="shared" si="288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89"/>
        <v>0</v>
      </c>
      <c r="T1144" s="10"/>
      <c r="U1144" s="10"/>
      <c r="V1144" s="10"/>
      <c r="W1144" s="12">
        <f t="shared" si="290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91"/>
        <v>0</v>
      </c>
      <c r="AF1144" s="10"/>
      <c r="AG1144" s="10"/>
      <c r="AH1144" s="10"/>
      <c r="AI1144" s="12">
        <f t="shared" si="292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287"/>
        <v>0</v>
      </c>
      <c r="H1145" s="10"/>
      <c r="I1145" s="10"/>
      <c r="J1145" s="10"/>
      <c r="K1145" s="12">
        <f t="shared" si="288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89"/>
        <v>0</v>
      </c>
      <c r="T1145" s="10"/>
      <c r="U1145" s="10"/>
      <c r="V1145" s="10"/>
      <c r="W1145" s="12">
        <f t="shared" si="290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91"/>
        <v>0</v>
      </c>
      <c r="AF1145" s="10"/>
      <c r="AG1145" s="10"/>
      <c r="AH1145" s="10"/>
      <c r="AI1145" s="12">
        <f t="shared" si="292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P1146" s="47"/>
      <c r="Q1146" s="31"/>
      <c r="R1146" s="31"/>
      <c r="S1146" s="32">
        <f t="shared" si="289"/>
        <v>0</v>
      </c>
      <c r="T1146" s="10"/>
      <c r="U1146" s="10"/>
      <c r="V1146" s="10"/>
      <c r="W1146" s="12">
        <f t="shared" si="290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91"/>
        <v>0</v>
      </c>
      <c r="AF1146" s="10"/>
      <c r="AG1146" s="10"/>
      <c r="AH1146" s="10"/>
      <c r="AI1146" s="12">
        <f t="shared" si="292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89"/>
        <v>0</v>
      </c>
      <c r="T1147" s="10"/>
      <c r="U1147" s="10"/>
      <c r="V1147" s="10"/>
      <c r="W1147" s="12">
        <f t="shared" si="290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91"/>
        <v>0</v>
      </c>
      <c r="AF1147" s="10"/>
      <c r="AG1147" s="10"/>
      <c r="AH1147" s="10"/>
      <c r="AI1147" s="12">
        <f t="shared" si="292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O1148" s="31"/>
      <c r="P1148" s="47"/>
      <c r="Q1148" s="31"/>
      <c r="R1148" s="31"/>
      <c r="S1148" s="32">
        <f t="shared" si="289"/>
        <v>0</v>
      </c>
      <c r="T1148" s="10"/>
      <c r="U1148" s="10"/>
      <c r="V1148" s="10"/>
      <c r="W1148" s="12">
        <f t="shared" si="290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91"/>
        <v>0</v>
      </c>
      <c r="AF1148" s="10"/>
      <c r="AG1148" s="10"/>
      <c r="AH1148" s="10"/>
      <c r="AI1148" s="12">
        <f t="shared" si="292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89"/>
        <v>0</v>
      </c>
      <c r="T1149" s="10"/>
      <c r="U1149" s="10"/>
      <c r="V1149" s="10"/>
      <c r="W1149" s="12">
        <f t="shared" si="290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91"/>
        <v>0</v>
      </c>
      <c r="AF1149" s="10"/>
      <c r="AG1149" s="10"/>
      <c r="AH1149" s="10"/>
      <c r="AI1149" s="12">
        <f t="shared" si="292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89"/>
        <v>0</v>
      </c>
      <c r="T1150" s="10"/>
      <c r="U1150" s="10"/>
      <c r="V1150" s="10"/>
      <c r="W1150" s="12">
        <f t="shared" si="290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91"/>
        <v>0</v>
      </c>
      <c r="AF1150" s="10"/>
      <c r="AG1150" s="10"/>
      <c r="AH1150" s="10"/>
      <c r="AI1150" s="12">
        <f t="shared" si="292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90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92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96">SUM(D1152:E1152)</f>
        <v>0</v>
      </c>
      <c r="H1152" s="10"/>
      <c r="I1152" s="10"/>
      <c r="J1152" s="10"/>
      <c r="K1152" s="12">
        <f t="shared" ref="K1152" si="29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98">SUM(P1152:Q1152)</f>
        <v>0</v>
      </c>
      <c r="T1152" s="10"/>
      <c r="U1152" s="10"/>
      <c r="V1152" s="10"/>
      <c r="W1152" s="12">
        <f t="shared" si="290"/>
        <v>0</v>
      </c>
      <c r="Y1152" s="10"/>
      <c r="Z1152" s="30"/>
      <c r="AA1152" s="31"/>
      <c r="AB1152" s="47"/>
      <c r="AC1152" s="31"/>
      <c r="AD1152" s="31"/>
      <c r="AE1152" s="32">
        <f t="shared" ref="AE1152" si="299">SUM(AB1152:AC1152)</f>
        <v>0</v>
      </c>
      <c r="AF1152" s="10"/>
      <c r="AG1152" s="10"/>
      <c r="AH1152" s="10"/>
      <c r="AI1152" s="12">
        <f t="shared" si="292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90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92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200588.5</v>
      </c>
      <c r="E1155" s="38">
        <f t="shared" ref="E1155:F1155" si="300">SUM(E1112:E1152)</f>
        <v>0</v>
      </c>
      <c r="F1155" s="38">
        <f t="shared" si="300"/>
        <v>0</v>
      </c>
      <c r="G1155" s="38">
        <f>SUM(G1112:G1154)</f>
        <v>200588.5</v>
      </c>
      <c r="H1155" s="4"/>
      <c r="I1155" s="39">
        <f>SUM(I1112:I1154)</f>
        <v>4804.5</v>
      </c>
      <c r="J1155" s="39">
        <f>SUM(J1112:J1154)</f>
        <v>-156</v>
      </c>
      <c r="K1155" s="40">
        <f>SUM(K1112:K1154)</f>
        <v>205237</v>
      </c>
      <c r="N1155" s="57"/>
      <c r="O1155" s="57"/>
      <c r="P1155" s="38">
        <f>SUM(P1112:P1154)</f>
        <v>322235</v>
      </c>
      <c r="Q1155" s="38">
        <f>SUM(Q1112:Q1136)</f>
        <v>1980</v>
      </c>
      <c r="R1155" s="38">
        <f>SUM(R1112:R1136)</f>
        <v>0</v>
      </c>
      <c r="S1155" s="38">
        <f>SUM(S1112:S1154)</f>
        <v>324215</v>
      </c>
      <c r="T1155" s="4"/>
      <c r="U1155" s="41">
        <f>SUM(U1112:U1154)</f>
        <v>5826</v>
      </c>
      <c r="V1155" s="41">
        <f>SUM(V1112:V1136)</f>
        <v>-1275</v>
      </c>
      <c r="W1155" s="42">
        <f>SUM(W1112:W1154)</f>
        <v>328766</v>
      </c>
      <c r="Z1155" s="57"/>
      <c r="AA1155" s="57"/>
      <c r="AB1155" s="38">
        <f>SUM(AB1112:AB1154)</f>
        <v>416476.5</v>
      </c>
      <c r="AC1155" s="38">
        <f>SUM(AC1112:AC1136)</f>
        <v>-2568</v>
      </c>
      <c r="AD1155" s="38">
        <f>SUM(AD1112:AD1136)</f>
        <v>0</v>
      </c>
      <c r="AE1155" s="38">
        <f>SUM(AE1112:AE1154)</f>
        <v>413908.5</v>
      </c>
      <c r="AF1155" s="4"/>
      <c r="AG1155" s="41">
        <f>SUM(AG1112:AG1154)</f>
        <v>3010.5</v>
      </c>
      <c r="AH1155" s="41">
        <f>SUM(AH1112:AH1136)</f>
        <v>0</v>
      </c>
      <c r="AI1155" s="42">
        <f>SUM(AI1112:AI1154)</f>
        <v>416919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s="62"/>
      <c r="N1157" s="85"/>
      <c r="O1157" s="85"/>
      <c r="P1157" s="85"/>
      <c r="Q1157" s="85"/>
      <c r="R1157" s="85"/>
      <c r="S1157" s="85"/>
      <c r="T1157" s="62"/>
      <c r="U1157" s="62"/>
      <c r="V1157" s="62"/>
      <c r="W1157" s="62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s="62"/>
      <c r="N1158" s="85"/>
      <c r="O1158" s="85"/>
      <c r="P1158" s="85"/>
      <c r="Q1158" s="85"/>
      <c r="R1158" s="85"/>
      <c r="S1158" s="85"/>
      <c r="T1158" s="62"/>
      <c r="U1158" s="62"/>
      <c r="V1158" s="62"/>
      <c r="W1158" s="62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M1159" s="62"/>
      <c r="N1159" s="85"/>
      <c r="O1159" s="85"/>
      <c r="P1159" s="85"/>
      <c r="Q1159" s="85"/>
      <c r="R1159" s="85"/>
      <c r="S1159" s="85"/>
      <c r="T1159" s="62"/>
      <c r="U1159" s="62"/>
      <c r="V1159" s="62"/>
      <c r="W1159" s="62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63"/>
      <c r="N1160" s="85"/>
      <c r="O1160" s="85"/>
      <c r="P1160" s="85"/>
      <c r="Q1160" s="85"/>
      <c r="R1160" s="85"/>
      <c r="S1160" s="85"/>
      <c r="T1160" s="62"/>
      <c r="U1160" s="62"/>
      <c r="V1160" s="62"/>
      <c r="W1160" s="62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M1161" s="62"/>
      <c r="N1161" s="85"/>
      <c r="O1161" s="85"/>
      <c r="P1161" s="85"/>
      <c r="Q1161" s="85"/>
      <c r="R1161" s="85"/>
      <c r="S1161" s="85"/>
      <c r="T1161" s="62"/>
      <c r="U1161" s="62"/>
      <c r="V1161" s="62"/>
      <c r="W1161" s="62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34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s="62"/>
      <c r="N1162" s="85"/>
      <c r="O1162" s="85"/>
      <c r="P1162" s="85"/>
      <c r="Q1162" s="85"/>
      <c r="R1162" s="85"/>
      <c r="S1162" s="85"/>
      <c r="T1162" s="62"/>
      <c r="U1162" s="85"/>
      <c r="V1162" s="73"/>
      <c r="W1162" s="62"/>
      <c r="Y1162" t="s">
        <v>34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99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64"/>
      <c r="N1163" s="85"/>
      <c r="O1163" s="85"/>
      <c r="P1163" s="85"/>
      <c r="Q1163" s="85"/>
      <c r="R1163" s="85"/>
      <c r="S1163" s="85"/>
      <c r="T1163" s="62"/>
      <c r="U1163" s="65"/>
      <c r="V1163" s="65"/>
      <c r="W1163" s="62"/>
      <c r="Y1163" s="21" t="s">
        <v>99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35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M1164" s="62"/>
      <c r="N1164" s="85"/>
      <c r="O1164" s="85"/>
      <c r="P1164" s="85"/>
      <c r="Q1164" s="85"/>
      <c r="R1164" s="85"/>
      <c r="S1164" s="85"/>
      <c r="T1164" s="62"/>
      <c r="U1164" s="62"/>
      <c r="V1164" s="62"/>
      <c r="W1164" s="62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1" t="s">
        <v>17</v>
      </c>
      <c r="E1165" s="121"/>
      <c r="F1165" s="111"/>
      <c r="G1165" s="27"/>
      <c r="I1165" s="119" t="s">
        <v>18</v>
      </c>
      <c r="J1165" s="120"/>
      <c r="K1165" s="117" t="s">
        <v>19</v>
      </c>
      <c r="M1165" s="62"/>
      <c r="N1165" s="65"/>
      <c r="O1165" s="85"/>
      <c r="P1165" s="123"/>
      <c r="Q1165" s="123"/>
      <c r="R1165" s="85"/>
      <c r="S1165" s="85"/>
      <c r="T1165" s="62"/>
      <c r="U1165" s="123"/>
      <c r="V1165" s="123"/>
      <c r="W1165" s="122"/>
      <c r="Z1165" s="25"/>
      <c r="AA1165" s="26"/>
      <c r="AB1165" s="121" t="s">
        <v>17</v>
      </c>
      <c r="AC1165" s="121"/>
      <c r="AD1165" s="111"/>
      <c r="AE1165" s="27"/>
      <c r="AG1165" s="119" t="s">
        <v>18</v>
      </c>
      <c r="AH1165" s="120"/>
      <c r="AI1165" s="117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18"/>
      <c r="M1166" s="62"/>
      <c r="N1166" s="85"/>
      <c r="O1166" s="85"/>
      <c r="P1166" s="79"/>
      <c r="Q1166" s="81"/>
      <c r="R1166" s="81"/>
      <c r="S1166" s="81"/>
      <c r="T1166" s="62"/>
      <c r="U1166" s="84"/>
      <c r="V1166" s="84"/>
      <c r="W1166" s="122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18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100</v>
      </c>
      <c r="C1167" s="82">
        <v>9840</v>
      </c>
      <c r="D1167" s="32">
        <f>650*10+9.5*10</f>
        <v>6595</v>
      </c>
      <c r="E1167" s="32"/>
      <c r="F1167" s="32"/>
      <c r="G1167" s="32">
        <f t="shared" ref="G1167:G1200" si="301">SUM(D1167:E1167)</f>
        <v>6595</v>
      </c>
      <c r="H1167" s="12"/>
      <c r="I1167" s="12"/>
      <c r="J1167" s="12"/>
      <c r="K1167" s="12">
        <f t="shared" ref="K1167:K1200" si="302">SUM(G1167:J1167)</f>
        <v>6595</v>
      </c>
      <c r="M1167" s="62"/>
      <c r="N1167" s="66"/>
      <c r="O1167" s="85"/>
      <c r="P1167" s="60"/>
      <c r="Q1167" s="60"/>
      <c r="R1167" s="60"/>
      <c r="S1167" s="60"/>
      <c r="T1167" s="61"/>
      <c r="U1167" s="61"/>
      <c r="V1167" s="61"/>
      <c r="W1167" s="61"/>
      <c r="Y1167" s="10">
        <v>1</v>
      </c>
      <c r="Z1167" s="30" t="s">
        <v>100</v>
      </c>
      <c r="AA1167" s="31">
        <v>9774</v>
      </c>
      <c r="AB1167" s="32">
        <f>650*40+622*10+229</f>
        <v>32449</v>
      </c>
      <c r="AC1167" s="32">
        <f>-50*6</f>
        <v>-300</v>
      </c>
      <c r="AD1167" s="32"/>
      <c r="AE1167" s="32">
        <f>SUM(AB1167:AC1167)</f>
        <v>32149</v>
      </c>
      <c r="AF1167" s="12"/>
      <c r="AG1167" s="12"/>
      <c r="AH1167" s="12"/>
      <c r="AI1167" s="12">
        <f>SUM(AE1167:AH1167)</f>
        <v>32149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100</v>
      </c>
      <c r="C1168" s="82">
        <f>C1167+1</f>
        <v>9841</v>
      </c>
      <c r="D1168" s="32">
        <f>650*432+670*20+229*18</f>
        <v>298322</v>
      </c>
      <c r="E1168" s="32">
        <f>-452*6</f>
        <v>-2712</v>
      </c>
      <c r="F1168" s="32"/>
      <c r="G1168" s="32">
        <f t="shared" si="301"/>
        <v>295610</v>
      </c>
      <c r="H1168" s="12"/>
      <c r="I1168" s="12">
        <v>504</v>
      </c>
      <c r="J1168" s="12"/>
      <c r="K1168" s="12">
        <f t="shared" si="302"/>
        <v>296114</v>
      </c>
      <c r="M1168" s="62"/>
      <c r="N1168" s="66"/>
      <c r="O1168" s="85"/>
      <c r="P1168" s="60"/>
      <c r="Q1168" s="60"/>
      <c r="R1168" s="60"/>
      <c r="S1168" s="60"/>
      <c r="T1168" s="61"/>
      <c r="U1168" s="61"/>
      <c r="V1168" s="61"/>
      <c r="W1168" s="61"/>
      <c r="Y1168" s="10">
        <v>2</v>
      </c>
      <c r="Z1168" s="30" t="s">
        <v>100</v>
      </c>
      <c r="AA1168" s="31">
        <v>9773</v>
      </c>
      <c r="AB1168" s="32">
        <f>650*120+622*25+229*2</f>
        <v>94008</v>
      </c>
      <c r="AC1168" s="32">
        <f>-145*6</f>
        <v>-870</v>
      </c>
      <c r="AD1168" s="32"/>
      <c r="AE1168" s="32">
        <f t="shared" ref="AE1168:AE1205" si="303">SUM(AB1168:AC1168)</f>
        <v>93138</v>
      </c>
      <c r="AF1168" s="12"/>
      <c r="AG1168" s="12">
        <v>45</v>
      </c>
      <c r="AH1168" s="12"/>
      <c r="AI1168" s="12">
        <f t="shared" ref="AI1168:AI1208" si="304">SUM(AE1168:AH1168)</f>
        <v>93183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100</v>
      </c>
      <c r="C1169" s="82">
        <f t="shared" ref="C1169:C1172" si="305">C1168+1</f>
        <v>9842</v>
      </c>
      <c r="D1169" s="33">
        <f>650*216+229*8</f>
        <v>142232</v>
      </c>
      <c r="E1169" s="33">
        <f>-216*6</f>
        <v>-1296</v>
      </c>
      <c r="F1169" s="33"/>
      <c r="G1169" s="33">
        <f t="shared" si="301"/>
        <v>140936</v>
      </c>
      <c r="H1169" s="34"/>
      <c r="I1169" s="34">
        <v>180</v>
      </c>
      <c r="J1169" s="34"/>
      <c r="K1169" s="34">
        <f t="shared" si="302"/>
        <v>141116</v>
      </c>
      <c r="M1169" s="62"/>
      <c r="N1169" s="66"/>
      <c r="O1169" s="85"/>
      <c r="P1169" s="60"/>
      <c r="Q1169" s="60"/>
      <c r="R1169" s="60"/>
      <c r="S1169" s="60"/>
      <c r="T1169" s="61"/>
      <c r="U1169" s="61"/>
      <c r="V1169" s="61"/>
      <c r="W1169" s="61"/>
      <c r="Y1169" s="10">
        <v>3</v>
      </c>
      <c r="Z1169" s="30" t="s">
        <v>100</v>
      </c>
      <c r="AA1169" s="31">
        <v>9775</v>
      </c>
      <c r="AB1169" s="33">
        <f>650*28+670*2+622*10</f>
        <v>25760</v>
      </c>
      <c r="AC1169" s="33"/>
      <c r="AD1169" s="32"/>
      <c r="AE1169" s="32">
        <f t="shared" si="303"/>
        <v>25760</v>
      </c>
      <c r="AF1169" s="12"/>
      <c r="AG1169" s="12">
        <v>364.5</v>
      </c>
      <c r="AH1169" s="12"/>
      <c r="AI1169" s="12">
        <f t="shared" si="304"/>
        <v>26124.5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100</v>
      </c>
      <c r="C1170" s="82">
        <f t="shared" si="305"/>
        <v>9843</v>
      </c>
      <c r="D1170" s="32">
        <f>650*12</f>
        <v>7800</v>
      </c>
      <c r="E1170" s="32"/>
      <c r="F1170" s="32"/>
      <c r="G1170" s="32">
        <f t="shared" si="301"/>
        <v>7800</v>
      </c>
      <c r="H1170" s="12"/>
      <c r="I1170" s="12"/>
      <c r="J1170" s="12">
        <f>-111*14+-84*2</f>
        <v>-1722</v>
      </c>
      <c r="K1170" s="12">
        <f t="shared" si="302"/>
        <v>6078</v>
      </c>
      <c r="M1170" s="62"/>
      <c r="N1170" s="66"/>
      <c r="O1170" s="85"/>
      <c r="P1170" s="60"/>
      <c r="Q1170" s="60"/>
      <c r="R1170" s="60"/>
      <c r="S1170" s="60"/>
      <c r="T1170" s="61"/>
      <c r="U1170" s="61"/>
      <c r="V1170" s="61"/>
      <c r="W1170" s="61"/>
      <c r="Y1170" s="10">
        <v>4</v>
      </c>
      <c r="Z1170" s="30" t="s">
        <v>100</v>
      </c>
      <c r="AA1170" s="31">
        <f t="shared" ref="AA1170:AA1174" si="306">AA1169+1</f>
        <v>9776</v>
      </c>
      <c r="AB1170" s="32">
        <f>650*45+622*5</f>
        <v>32360</v>
      </c>
      <c r="AC1170" s="32"/>
      <c r="AD1170" s="32"/>
      <c r="AE1170" s="32">
        <f t="shared" si="303"/>
        <v>32360</v>
      </c>
      <c r="AF1170" s="12"/>
      <c r="AG1170" s="34">
        <v>54</v>
      </c>
      <c r="AH1170" s="12"/>
      <c r="AI1170" s="12">
        <f t="shared" si="304"/>
        <v>32414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100</v>
      </c>
      <c r="C1171" s="82">
        <f t="shared" si="305"/>
        <v>9844</v>
      </c>
      <c r="D1171" s="32">
        <f>650*25+670*2+622*5</f>
        <v>20700</v>
      </c>
      <c r="E1171" s="32"/>
      <c r="F1171" s="32"/>
      <c r="G1171" s="32">
        <f t="shared" si="301"/>
        <v>20700</v>
      </c>
      <c r="H1171" s="12"/>
      <c r="I1171" s="12"/>
      <c r="J1171" s="12"/>
      <c r="K1171" s="12">
        <f t="shared" si="302"/>
        <v>20700</v>
      </c>
      <c r="M1171" s="62"/>
      <c r="N1171" s="66"/>
      <c r="O1171" s="85"/>
      <c r="P1171" s="60"/>
      <c r="Q1171" s="60"/>
      <c r="R1171" s="60"/>
      <c r="S1171" s="60"/>
      <c r="T1171" s="61"/>
      <c r="U1171" s="61"/>
      <c r="V1171" s="61"/>
      <c r="W1171" s="61"/>
      <c r="Y1171" s="10">
        <v>5</v>
      </c>
      <c r="Z1171" s="30" t="s">
        <v>100</v>
      </c>
      <c r="AA1171" s="31">
        <f t="shared" si="306"/>
        <v>9777</v>
      </c>
      <c r="AB1171" s="32">
        <f>650*6+700*2+622*2+872+500*2</f>
        <v>8416</v>
      </c>
      <c r="AC1171" s="32"/>
      <c r="AD1171" s="32"/>
      <c r="AE1171" s="32">
        <f t="shared" si="303"/>
        <v>8416</v>
      </c>
      <c r="AF1171" s="12"/>
      <c r="AG1171" s="58">
        <f>1.5*52</f>
        <v>78</v>
      </c>
      <c r="AH1171" s="12"/>
      <c r="AI1171" s="12">
        <f t="shared" si="304"/>
        <v>8494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100</v>
      </c>
      <c r="C1172" s="82">
        <f t="shared" si="305"/>
        <v>9845</v>
      </c>
      <c r="D1172" s="32">
        <f>650*191+670*5+872*3+229*7</f>
        <v>131719</v>
      </c>
      <c r="E1172" s="32">
        <f>-199*6</f>
        <v>-1194</v>
      </c>
      <c r="F1172" s="32"/>
      <c r="G1172" s="32">
        <f t="shared" si="301"/>
        <v>130525</v>
      </c>
      <c r="H1172" s="12"/>
      <c r="I1172" s="12">
        <v>312</v>
      </c>
      <c r="J1172" s="12"/>
      <c r="K1172" s="12">
        <f t="shared" si="302"/>
        <v>130837</v>
      </c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Y1172" s="10">
        <v>6</v>
      </c>
      <c r="Z1172" s="30" t="s">
        <v>100</v>
      </c>
      <c r="AA1172" s="31">
        <f t="shared" si="306"/>
        <v>9778</v>
      </c>
      <c r="AB1172" s="32">
        <f>650*121+670*10+622*60+229*5</f>
        <v>123815</v>
      </c>
      <c r="AC1172" s="32">
        <f>-191*6</f>
        <v>-1146</v>
      </c>
      <c r="AD1172" s="32"/>
      <c r="AE1172" s="32">
        <f t="shared" si="303"/>
        <v>122669</v>
      </c>
      <c r="AF1172" s="12"/>
      <c r="AG1172" s="12">
        <f>78*5+4.5*66</f>
        <v>687</v>
      </c>
      <c r="AH1172" s="10"/>
      <c r="AI1172" s="12">
        <f t="shared" si="304"/>
        <v>123356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11" t="s">
        <v>27</v>
      </c>
      <c r="D1173" s="32"/>
      <c r="E1173" s="32"/>
      <c r="F1173" s="32"/>
      <c r="G1173" s="32">
        <f t="shared" si="301"/>
        <v>0</v>
      </c>
      <c r="H1173" s="12"/>
      <c r="I1173" s="12"/>
      <c r="J1173" s="12"/>
      <c r="K1173" s="12">
        <f t="shared" si="302"/>
        <v>0</v>
      </c>
      <c r="M1173" s="62"/>
      <c r="N1173" s="66"/>
      <c r="O1173" s="85"/>
      <c r="P1173" s="60"/>
      <c r="Q1173" s="60"/>
      <c r="R1173" s="60"/>
      <c r="S1173" s="60"/>
      <c r="T1173" s="61"/>
      <c r="U1173" s="61"/>
      <c r="V1173" s="61"/>
      <c r="W1173" s="61"/>
      <c r="Y1173" s="10">
        <v>7</v>
      </c>
      <c r="Z1173" s="30" t="s">
        <v>100</v>
      </c>
      <c r="AA1173" s="31">
        <f t="shared" si="306"/>
        <v>9779</v>
      </c>
      <c r="AB1173" s="32">
        <f>650*15+670+872</f>
        <v>11292</v>
      </c>
      <c r="AC1173" s="32"/>
      <c r="AD1173" s="32"/>
      <c r="AE1173" s="32">
        <f t="shared" si="303"/>
        <v>11292</v>
      </c>
      <c r="AF1173" s="12"/>
      <c r="AG1173" s="58"/>
      <c r="AH1173" s="12">
        <v>-888</v>
      </c>
      <c r="AI1173" s="12">
        <f t="shared" si="304"/>
        <v>10404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82"/>
      <c r="D1174" s="32"/>
      <c r="E1174" s="32"/>
      <c r="F1174" s="32"/>
      <c r="G1174" s="32">
        <f t="shared" si="301"/>
        <v>0</v>
      </c>
      <c r="H1174" s="12"/>
      <c r="I1174" s="12"/>
      <c r="J1174" s="12"/>
      <c r="K1174" s="12">
        <f t="shared" si="302"/>
        <v>0</v>
      </c>
      <c r="M1174" s="62"/>
      <c r="N1174" s="66"/>
      <c r="O1174" s="85"/>
      <c r="P1174" s="60"/>
      <c r="Q1174" s="60"/>
      <c r="R1174" s="60"/>
      <c r="S1174" s="60"/>
      <c r="T1174" s="61"/>
      <c r="U1174" s="61"/>
      <c r="V1174" s="61"/>
      <c r="W1174" s="61"/>
      <c r="Y1174" s="10">
        <v>8</v>
      </c>
      <c r="Z1174" s="30" t="s">
        <v>100</v>
      </c>
      <c r="AA1174" s="31">
        <f t="shared" si="306"/>
        <v>9780</v>
      </c>
      <c r="AB1174" s="32">
        <f>650*3+9.5*3</f>
        <v>1978.5</v>
      </c>
      <c r="AC1174" s="32"/>
      <c r="AE1174" s="32">
        <f t="shared" si="303"/>
        <v>1978.5</v>
      </c>
      <c r="AF1174" s="12"/>
      <c r="AG1174" s="12"/>
      <c r="AH1174" s="12"/>
      <c r="AI1174" s="12">
        <f t="shared" si="304"/>
        <v>1978.5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82"/>
      <c r="D1175" s="32"/>
      <c r="E1175" s="32"/>
      <c r="F1175" s="32"/>
      <c r="G1175" s="32">
        <f t="shared" si="301"/>
        <v>0</v>
      </c>
      <c r="H1175" s="12"/>
      <c r="I1175" s="12"/>
      <c r="J1175" s="12"/>
      <c r="K1175" s="12">
        <f t="shared" si="302"/>
        <v>0</v>
      </c>
      <c r="M1175" s="62"/>
      <c r="N1175" s="66"/>
      <c r="O1175" s="85"/>
      <c r="P1175" s="60"/>
      <c r="Q1175" s="60"/>
      <c r="R1175" s="60"/>
      <c r="S1175" s="60"/>
      <c r="T1175" s="61"/>
      <c r="U1175" s="61"/>
      <c r="V1175" s="61"/>
      <c r="W1175" s="61"/>
      <c r="Y1175" s="10">
        <v>9</v>
      </c>
      <c r="Z1175" s="30"/>
      <c r="AA1175" s="11" t="s">
        <v>27</v>
      </c>
      <c r="AB1175" s="32"/>
      <c r="AC1175" s="32"/>
      <c r="AD1175" s="32"/>
      <c r="AE1175" s="32">
        <f t="shared" si="303"/>
        <v>0</v>
      </c>
      <c r="AF1175" s="12"/>
      <c r="AH1175" s="12"/>
      <c r="AI1175" s="12">
        <f t="shared" si="304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82"/>
      <c r="D1176" s="32"/>
      <c r="E1176" s="32"/>
      <c r="F1176" s="32"/>
      <c r="G1176" s="32">
        <f t="shared" si="301"/>
        <v>0</v>
      </c>
      <c r="H1176" s="12"/>
      <c r="I1176" s="12"/>
      <c r="J1176" s="12"/>
      <c r="K1176" s="12">
        <f t="shared" si="302"/>
        <v>0</v>
      </c>
      <c r="M1176" s="62"/>
      <c r="N1176" s="66"/>
      <c r="O1176" s="85"/>
      <c r="P1176" s="60"/>
      <c r="Q1176" s="60"/>
      <c r="R1176" s="60"/>
      <c r="S1176" s="60"/>
      <c r="T1176" s="61"/>
      <c r="U1176" s="61"/>
      <c r="V1176" s="61"/>
      <c r="W1176" s="61"/>
      <c r="Y1176" s="10">
        <v>10</v>
      </c>
      <c r="Z1176" s="30"/>
      <c r="AA1176" s="31"/>
      <c r="AB1176" s="32"/>
      <c r="AC1176" s="32"/>
      <c r="AD1176" s="32"/>
      <c r="AE1176" s="32">
        <f t="shared" si="303"/>
        <v>0</v>
      </c>
      <c r="AF1176" s="12"/>
      <c r="AG1176" s="12"/>
      <c r="AH1176" s="12"/>
      <c r="AI1176" s="12">
        <f t="shared" si="304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2"/>
      <c r="D1177" s="32"/>
      <c r="E1177" s="32"/>
      <c r="F1177" s="32"/>
      <c r="G1177" s="32">
        <f t="shared" si="301"/>
        <v>0</v>
      </c>
      <c r="H1177" s="12"/>
      <c r="I1177" s="12"/>
      <c r="J1177" s="12"/>
      <c r="K1177" s="12">
        <f t="shared" si="302"/>
        <v>0</v>
      </c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Y1177" s="10">
        <v>11</v>
      </c>
      <c r="Z1177" s="30"/>
      <c r="AA1177" s="31"/>
      <c r="AB1177" s="32"/>
      <c r="AC1177" s="32"/>
      <c r="AD1177" s="32"/>
      <c r="AE1177" s="32">
        <f t="shared" si="303"/>
        <v>0</v>
      </c>
      <c r="AF1177" s="12"/>
      <c r="AG1177" s="12"/>
      <c r="AH1177" s="12"/>
      <c r="AI1177" s="12">
        <f t="shared" si="304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82"/>
      <c r="D1178" s="32"/>
      <c r="E1178" s="32"/>
      <c r="F1178" s="32"/>
      <c r="G1178" s="32">
        <f t="shared" si="301"/>
        <v>0</v>
      </c>
      <c r="H1178" s="12"/>
      <c r="I1178" s="12"/>
      <c r="J1178" s="10"/>
      <c r="K1178" s="12">
        <f t="shared" si="302"/>
        <v>0</v>
      </c>
      <c r="M1178" s="62"/>
      <c r="N1178" s="66"/>
      <c r="O1178" s="85"/>
      <c r="P1178" s="60"/>
      <c r="Q1178" s="60"/>
      <c r="R1178" s="60"/>
      <c r="S1178" s="60"/>
      <c r="T1178" s="61"/>
      <c r="U1178" s="61"/>
      <c r="V1178" s="61"/>
      <c r="W1178" s="61"/>
      <c r="Y1178" s="10">
        <v>12</v>
      </c>
      <c r="Z1178" s="30"/>
      <c r="AA1178" s="11"/>
      <c r="AB1178" s="32"/>
      <c r="AC1178" s="32"/>
      <c r="AD1178" s="32"/>
      <c r="AE1178" s="32">
        <f t="shared" si="303"/>
        <v>0</v>
      </c>
      <c r="AF1178" s="12"/>
      <c r="AG1178" s="12"/>
      <c r="AH1178" s="12"/>
      <c r="AI1178" s="12">
        <f t="shared" si="304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01"/>
        <v>0</v>
      </c>
      <c r="H1179" s="12"/>
      <c r="I1179" s="12"/>
      <c r="J1179" s="12"/>
      <c r="K1179" s="12">
        <f t="shared" si="302"/>
        <v>0</v>
      </c>
      <c r="M1179" s="62"/>
      <c r="N1179" s="66"/>
      <c r="O1179" s="85"/>
      <c r="P1179" s="60"/>
      <c r="Q1179" s="60"/>
      <c r="R1179" s="60"/>
      <c r="S1179" s="60"/>
      <c r="T1179" s="61"/>
      <c r="U1179" s="61"/>
      <c r="V1179" s="61"/>
      <c r="W1179" s="61"/>
      <c r="Y1179" s="10">
        <v>13</v>
      </c>
      <c r="Z1179" s="30"/>
      <c r="AA1179" s="31"/>
      <c r="AB1179" s="32"/>
      <c r="AC1179" s="32"/>
      <c r="AD1179" s="32"/>
      <c r="AE1179" s="32">
        <f t="shared" si="303"/>
        <v>0</v>
      </c>
      <c r="AF1179" s="12"/>
      <c r="AG1179" s="12"/>
      <c r="AH1179" s="12"/>
      <c r="AI1179" s="12">
        <f t="shared" si="304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01"/>
        <v>0</v>
      </c>
      <c r="H1180" s="12"/>
      <c r="I1180" s="12"/>
      <c r="J1180" s="12"/>
      <c r="K1180" s="12">
        <f t="shared" si="302"/>
        <v>0</v>
      </c>
      <c r="M1180" s="62"/>
      <c r="N1180" s="66"/>
      <c r="O1180" s="85"/>
      <c r="P1180" s="60"/>
      <c r="Q1180" s="60"/>
      <c r="R1180" s="60"/>
      <c r="S1180" s="60"/>
      <c r="T1180" s="61"/>
      <c r="U1180" s="61"/>
      <c r="V1180" s="61"/>
      <c r="W1180" s="61"/>
      <c r="Y1180" s="10">
        <v>14</v>
      </c>
      <c r="Z1180" s="30"/>
      <c r="AA1180" s="31"/>
      <c r="AB1180" s="32"/>
      <c r="AC1180" s="32"/>
      <c r="AD1180" s="32"/>
      <c r="AE1180" s="32">
        <f t="shared" si="303"/>
        <v>0</v>
      </c>
      <c r="AF1180" s="12"/>
      <c r="AG1180" s="12"/>
      <c r="AH1180" s="12"/>
      <c r="AI1180" s="12">
        <f t="shared" si="304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01"/>
        <v>0</v>
      </c>
      <c r="H1181" s="12"/>
      <c r="I1181" s="12"/>
      <c r="J1181" s="12"/>
      <c r="K1181" s="12">
        <f t="shared" si="302"/>
        <v>0</v>
      </c>
      <c r="M1181" s="62"/>
      <c r="N1181" s="66"/>
      <c r="O1181" s="85"/>
      <c r="P1181" s="60"/>
      <c r="Q1181" s="60"/>
      <c r="R1181" s="60"/>
      <c r="S1181" s="60"/>
      <c r="T1181" s="61"/>
      <c r="U1181" s="61"/>
      <c r="V1181" s="61"/>
      <c r="W1181" s="61"/>
      <c r="Y1181" s="10">
        <v>15</v>
      </c>
      <c r="Z1181" s="30"/>
      <c r="AA1181" s="31"/>
      <c r="AB1181" s="32"/>
      <c r="AC1181" s="32"/>
      <c r="AD1181" s="32"/>
      <c r="AE1181" s="32">
        <f t="shared" si="303"/>
        <v>0</v>
      </c>
      <c r="AF1181" s="12"/>
      <c r="AG1181" s="12"/>
      <c r="AH1181" s="12"/>
      <c r="AI1181" s="12">
        <f t="shared" si="304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11"/>
      <c r="D1182" s="32"/>
      <c r="E1182" s="32"/>
      <c r="F1182" s="32"/>
      <c r="G1182" s="32">
        <f t="shared" si="301"/>
        <v>0</v>
      </c>
      <c r="H1182" s="12"/>
      <c r="I1182" s="12"/>
      <c r="J1182" s="12"/>
      <c r="K1182" s="12">
        <f t="shared" si="302"/>
        <v>0</v>
      </c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Y1182" s="10">
        <v>16</v>
      </c>
      <c r="Z1182" s="30"/>
      <c r="AA1182" s="31"/>
      <c r="AB1182" s="32"/>
      <c r="AC1182" s="32"/>
      <c r="AD1182" s="32"/>
      <c r="AE1182" s="32">
        <f t="shared" si="303"/>
        <v>0</v>
      </c>
      <c r="AF1182" s="12"/>
      <c r="AG1182" s="12"/>
      <c r="AH1182" s="12"/>
      <c r="AI1182" s="12">
        <f t="shared" si="304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01"/>
        <v>0</v>
      </c>
      <c r="H1183" s="12"/>
      <c r="I1183" s="12"/>
      <c r="J1183" s="12"/>
      <c r="K1183" s="12">
        <f t="shared" si="302"/>
        <v>0</v>
      </c>
      <c r="M1183" s="62"/>
      <c r="N1183" s="66"/>
      <c r="O1183" s="85"/>
      <c r="P1183" s="60"/>
      <c r="Q1183" s="60"/>
      <c r="R1183" s="60"/>
      <c r="S1183" s="60"/>
      <c r="T1183" s="61"/>
      <c r="U1183" s="61"/>
      <c r="V1183" s="61"/>
      <c r="W1183" s="61"/>
      <c r="Y1183" s="10">
        <v>17</v>
      </c>
      <c r="Z1183" s="30"/>
      <c r="AA1183" s="31"/>
      <c r="AB1183" s="35"/>
      <c r="AC1183" s="32"/>
      <c r="AD1183" s="32"/>
      <c r="AE1183" s="32">
        <f t="shared" si="303"/>
        <v>0</v>
      </c>
      <c r="AF1183" s="12"/>
      <c r="AG1183" s="12"/>
      <c r="AH1183" s="12"/>
      <c r="AI1183" s="12">
        <f t="shared" si="304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82"/>
      <c r="D1184" s="32"/>
      <c r="E1184" s="32"/>
      <c r="F1184" s="32"/>
      <c r="G1184" s="32">
        <f t="shared" si="301"/>
        <v>0</v>
      </c>
      <c r="H1184" s="12"/>
      <c r="I1184" s="12"/>
      <c r="J1184" s="12"/>
      <c r="K1184" s="12">
        <f t="shared" si="302"/>
        <v>0</v>
      </c>
      <c r="M1184" s="62"/>
      <c r="N1184" s="66"/>
      <c r="O1184" s="85"/>
      <c r="P1184" s="60"/>
      <c r="Q1184" s="60"/>
      <c r="R1184" s="60"/>
      <c r="S1184" s="60"/>
      <c r="T1184" s="61"/>
      <c r="U1184" s="61"/>
      <c r="V1184" s="61"/>
      <c r="W1184" s="61"/>
      <c r="Y1184" s="10">
        <v>18</v>
      </c>
      <c r="Z1184" s="30"/>
      <c r="AA1184" s="31"/>
      <c r="AB1184" s="32"/>
      <c r="AC1184" s="32"/>
      <c r="AD1184" s="32"/>
      <c r="AE1184" s="32">
        <f t="shared" si="303"/>
        <v>0</v>
      </c>
      <c r="AF1184" s="12"/>
      <c r="AG1184" s="12"/>
      <c r="AH1184" s="12"/>
      <c r="AI1184" s="12">
        <f t="shared" si="304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01"/>
        <v>0</v>
      </c>
      <c r="H1185" s="12"/>
      <c r="I1185" s="12"/>
      <c r="J1185" s="12"/>
      <c r="K1185" s="12">
        <f t="shared" si="302"/>
        <v>0</v>
      </c>
      <c r="M1185" s="62"/>
      <c r="N1185" s="66"/>
      <c r="O1185" s="85"/>
      <c r="P1185" s="60"/>
      <c r="Q1185" s="60"/>
      <c r="R1185" s="60"/>
      <c r="S1185" s="60"/>
      <c r="T1185" s="61"/>
      <c r="U1185" s="61"/>
      <c r="V1185" s="61"/>
      <c r="W1185" s="61"/>
      <c r="Y1185" s="10">
        <v>19</v>
      </c>
      <c r="Z1185" s="30"/>
      <c r="AA1185" s="31"/>
      <c r="AB1185" s="32"/>
      <c r="AC1185" s="32"/>
      <c r="AD1185" s="32"/>
      <c r="AE1185" s="32">
        <f t="shared" si="303"/>
        <v>0</v>
      </c>
      <c r="AF1185" s="12"/>
      <c r="AG1185" s="12"/>
      <c r="AH1185" s="12"/>
      <c r="AI1185" s="12">
        <f t="shared" si="304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01"/>
        <v>0</v>
      </c>
      <c r="H1186" s="12"/>
      <c r="I1186" s="12"/>
      <c r="J1186" s="12"/>
      <c r="K1186" s="12">
        <f t="shared" si="302"/>
        <v>0</v>
      </c>
      <c r="M1186" s="62"/>
      <c r="N1186" s="66"/>
      <c r="O1186" s="85"/>
      <c r="P1186" s="60"/>
      <c r="Q1186" s="60"/>
      <c r="R1186" s="60"/>
      <c r="S1186" s="60"/>
      <c r="T1186" s="61"/>
      <c r="U1186" s="61"/>
      <c r="V1186" s="61"/>
      <c r="W1186" s="61"/>
      <c r="Y1186" s="10">
        <v>20</v>
      </c>
      <c r="Z1186" s="30"/>
      <c r="AA1186" s="31"/>
      <c r="AB1186" s="32"/>
      <c r="AC1186" s="32"/>
      <c r="AD1186" s="32"/>
      <c r="AE1186" s="32">
        <f t="shared" si="303"/>
        <v>0</v>
      </c>
      <c r="AF1186" s="12"/>
      <c r="AG1186" s="12"/>
      <c r="AH1186" s="12"/>
      <c r="AI1186" s="12">
        <f t="shared" si="304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11"/>
      <c r="D1187" s="32"/>
      <c r="E1187" s="32"/>
      <c r="F1187" s="32"/>
      <c r="G1187" s="32">
        <f t="shared" si="301"/>
        <v>0</v>
      </c>
      <c r="H1187" s="10"/>
      <c r="I1187" s="10"/>
      <c r="J1187" s="10"/>
      <c r="K1187" s="12">
        <f t="shared" si="302"/>
        <v>0</v>
      </c>
      <c r="M1187" s="62"/>
      <c r="N1187" s="66"/>
      <c r="O1187" s="62"/>
      <c r="P1187" s="67"/>
      <c r="Q1187" s="85"/>
      <c r="R1187" s="85"/>
      <c r="S1187" s="60"/>
      <c r="T1187" s="62"/>
      <c r="U1187" s="62"/>
      <c r="V1187" s="62"/>
      <c r="W1187" s="61"/>
      <c r="Y1187" s="10">
        <v>21</v>
      </c>
      <c r="Z1187" s="30"/>
      <c r="AA1187" s="11"/>
      <c r="AB1187" s="46"/>
      <c r="AC1187" s="31"/>
      <c r="AD1187" s="31"/>
      <c r="AE1187" s="32">
        <f t="shared" si="303"/>
        <v>0</v>
      </c>
      <c r="AF1187" s="10"/>
      <c r="AG1187" s="10"/>
      <c r="AH1187" s="10"/>
      <c r="AI1187" s="12">
        <f t="shared" si="304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57"/>
      <c r="D1188" s="32"/>
      <c r="E1188" s="32"/>
      <c r="F1188" s="32"/>
      <c r="G1188" s="32">
        <f t="shared" si="301"/>
        <v>0</v>
      </c>
      <c r="H1188" s="10"/>
      <c r="I1188" s="10"/>
      <c r="J1188" s="10"/>
      <c r="K1188" s="12">
        <f t="shared" si="302"/>
        <v>0</v>
      </c>
      <c r="M1188" s="62"/>
      <c r="N1188" s="66"/>
      <c r="O1188" s="85"/>
      <c r="P1188" s="68"/>
      <c r="Q1188" s="85"/>
      <c r="R1188" s="85"/>
      <c r="S1188" s="60"/>
      <c r="T1188" s="62"/>
      <c r="U1188" s="62"/>
      <c r="V1188" s="62"/>
      <c r="W1188" s="61"/>
      <c r="Y1188" s="10">
        <v>22</v>
      </c>
      <c r="Z1188" s="30"/>
      <c r="AA1188" s="31"/>
      <c r="AB1188" s="45"/>
      <c r="AC1188" s="31"/>
      <c r="AD1188" s="31"/>
      <c r="AE1188" s="32">
        <f t="shared" si="303"/>
        <v>0</v>
      </c>
      <c r="AF1188" s="10"/>
      <c r="AG1188" s="10"/>
      <c r="AH1188" s="10"/>
      <c r="AI1188" s="12">
        <f t="shared" si="304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01"/>
        <v>0</v>
      </c>
      <c r="H1189" s="10"/>
      <c r="I1189" s="10"/>
      <c r="J1189" s="12"/>
      <c r="K1189" s="12">
        <f t="shared" si="302"/>
        <v>0</v>
      </c>
      <c r="M1189" s="62"/>
      <c r="N1189" s="66"/>
      <c r="O1189" s="85"/>
      <c r="P1189" s="69"/>
      <c r="Q1189" s="85"/>
      <c r="R1189" s="62"/>
      <c r="S1189" s="60"/>
      <c r="T1189" s="62"/>
      <c r="U1189" s="62"/>
      <c r="V1189" s="62"/>
      <c r="W1189" s="61"/>
      <c r="Y1189" s="10">
        <v>23</v>
      </c>
      <c r="Z1189" s="30"/>
      <c r="AA1189" s="31"/>
      <c r="AB1189" s="47"/>
      <c r="AC1189" s="31"/>
      <c r="AE1189" s="32">
        <f t="shared" si="303"/>
        <v>0</v>
      </c>
      <c r="AF1189" s="10"/>
      <c r="AG1189" s="10"/>
      <c r="AH1189" s="10"/>
      <c r="AI1189" s="12">
        <f t="shared" si="304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01"/>
        <v>0</v>
      </c>
      <c r="H1190" s="10"/>
      <c r="I1190" s="10"/>
      <c r="J1190" s="10"/>
      <c r="K1190" s="12">
        <f t="shared" si="302"/>
        <v>0</v>
      </c>
      <c r="M1190" s="62"/>
      <c r="N1190" s="66"/>
      <c r="O1190" s="85"/>
      <c r="P1190" s="69"/>
      <c r="Q1190" s="85"/>
      <c r="R1190" s="85"/>
      <c r="S1190" s="60"/>
      <c r="T1190" s="62"/>
      <c r="U1190" s="62"/>
      <c r="V1190" s="62"/>
      <c r="W1190" s="61"/>
      <c r="Y1190" s="10">
        <v>24</v>
      </c>
      <c r="Z1190" s="30"/>
      <c r="AA1190" s="31"/>
      <c r="AB1190" s="47"/>
      <c r="AC1190" s="31"/>
      <c r="AD1190" s="31"/>
      <c r="AE1190" s="32">
        <f t="shared" si="303"/>
        <v>0</v>
      </c>
      <c r="AF1190" s="10"/>
      <c r="AG1190" s="10"/>
      <c r="AH1190" s="10"/>
      <c r="AI1190" s="12">
        <f t="shared" si="304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01"/>
        <v>0</v>
      </c>
      <c r="H1191" s="10"/>
      <c r="I1191" s="10"/>
      <c r="J1191" s="10"/>
      <c r="K1191" s="12">
        <f t="shared" si="302"/>
        <v>0</v>
      </c>
      <c r="M1191" s="62"/>
      <c r="N1191" s="66"/>
      <c r="O1191" s="85"/>
      <c r="P1191" s="69"/>
      <c r="Q1191" s="85"/>
      <c r="R1191" s="85"/>
      <c r="S1191" s="60"/>
      <c r="T1191" s="62"/>
      <c r="U1191" s="62"/>
      <c r="V1191" s="62"/>
      <c r="W1191" s="61"/>
      <c r="Y1191" s="10">
        <v>25</v>
      </c>
      <c r="Z1191" s="30"/>
      <c r="AA1191" s="31"/>
      <c r="AB1191" s="47"/>
      <c r="AC1191" s="31"/>
      <c r="AD1191" s="31"/>
      <c r="AE1191" s="32">
        <f t="shared" si="303"/>
        <v>0</v>
      </c>
      <c r="AF1191" s="10"/>
      <c r="AG1191" s="10"/>
      <c r="AH1191" s="10"/>
      <c r="AI1191" s="12">
        <f t="shared" si="304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82"/>
      <c r="D1192" s="32"/>
      <c r="E1192" s="32"/>
      <c r="F1192" s="32"/>
      <c r="G1192" s="32">
        <f t="shared" si="301"/>
        <v>0</v>
      </c>
      <c r="H1192" s="10"/>
      <c r="I1192" s="10"/>
      <c r="J1192" s="10"/>
      <c r="K1192" s="12">
        <f t="shared" si="302"/>
        <v>0</v>
      </c>
      <c r="M1192" s="62"/>
      <c r="N1192" s="66"/>
      <c r="O1192" s="62"/>
      <c r="P1192" s="69"/>
      <c r="Q1192" s="85"/>
      <c r="R1192" s="85"/>
      <c r="S1192" s="60"/>
      <c r="T1192" s="62"/>
      <c r="U1192" s="62"/>
      <c r="V1192" s="62"/>
      <c r="W1192" s="61"/>
      <c r="Y1192" s="10">
        <v>26</v>
      </c>
      <c r="Z1192" s="30"/>
      <c r="AA1192" s="31"/>
      <c r="AB1192" s="47"/>
      <c r="AC1192" s="31"/>
      <c r="AD1192" s="31"/>
      <c r="AE1192" s="32">
        <f t="shared" si="303"/>
        <v>0</v>
      </c>
      <c r="AF1192" s="10"/>
      <c r="AG1192" s="10"/>
      <c r="AH1192" s="10"/>
      <c r="AI1192" s="12">
        <f t="shared" si="304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01"/>
        <v>0</v>
      </c>
      <c r="H1193" s="10"/>
      <c r="I1193" s="10"/>
      <c r="J1193" s="10"/>
      <c r="K1193" s="12">
        <f t="shared" si="302"/>
        <v>0</v>
      </c>
      <c r="M1193" s="62"/>
      <c r="N1193" s="66"/>
      <c r="O1193" s="85"/>
      <c r="P1193" s="69"/>
      <c r="Q1193" s="85"/>
      <c r="R1193" s="85"/>
      <c r="S1193" s="60"/>
      <c r="T1193" s="62"/>
      <c r="U1193" s="62"/>
      <c r="V1193" s="62"/>
      <c r="W1193" s="61"/>
      <c r="Y1193" s="10">
        <v>27</v>
      </c>
      <c r="Z1193" s="30"/>
      <c r="AA1193" s="31"/>
      <c r="AB1193" s="47"/>
      <c r="AC1193" s="31"/>
      <c r="AD1193" s="31"/>
      <c r="AE1193" s="32">
        <f t="shared" si="303"/>
        <v>0</v>
      </c>
      <c r="AF1193" s="10"/>
      <c r="AG1193" s="10"/>
      <c r="AH1193" s="10"/>
      <c r="AI1193" s="12">
        <f t="shared" si="304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01"/>
        <v>0</v>
      </c>
      <c r="H1194" s="10"/>
      <c r="I1194" s="10"/>
      <c r="J1194" s="10"/>
      <c r="K1194" s="12">
        <f t="shared" si="302"/>
        <v>0</v>
      </c>
      <c r="M1194" s="62"/>
      <c r="N1194" s="66"/>
      <c r="O1194" s="85"/>
      <c r="P1194" s="69"/>
      <c r="Q1194" s="85"/>
      <c r="R1194" s="85"/>
      <c r="S1194" s="60"/>
      <c r="T1194" s="62"/>
      <c r="U1194" s="62"/>
      <c r="V1194" s="62"/>
      <c r="W1194" s="61"/>
      <c r="Y1194" s="10">
        <v>28</v>
      </c>
      <c r="Z1194" s="30"/>
      <c r="AA1194" s="31"/>
      <c r="AB1194" s="47"/>
      <c r="AC1194" s="31"/>
      <c r="AD1194" s="31"/>
      <c r="AE1194" s="32">
        <f t="shared" si="303"/>
        <v>0</v>
      </c>
      <c r="AF1194" s="10"/>
      <c r="AG1194" s="10"/>
      <c r="AH1194" s="10"/>
      <c r="AI1194" s="12">
        <f t="shared" si="304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01"/>
        <v>0</v>
      </c>
      <c r="H1195" s="10"/>
      <c r="I1195" s="10"/>
      <c r="J1195" s="10"/>
      <c r="K1195" s="12">
        <f t="shared" si="302"/>
        <v>0</v>
      </c>
      <c r="M1195" s="62"/>
      <c r="N1195" s="66"/>
      <c r="O1195" s="85"/>
      <c r="P1195" s="69"/>
      <c r="Q1195" s="85"/>
      <c r="R1195" s="85"/>
      <c r="S1195" s="60"/>
      <c r="T1195" s="62"/>
      <c r="U1195" s="62"/>
      <c r="V1195" s="62"/>
      <c r="W1195" s="61"/>
      <c r="Y1195" s="10">
        <v>29</v>
      </c>
      <c r="Z1195" s="30"/>
      <c r="AA1195" s="31"/>
      <c r="AB1195" s="47"/>
      <c r="AC1195" s="31"/>
      <c r="AD1195" s="31"/>
      <c r="AE1195" s="32">
        <f t="shared" si="303"/>
        <v>0</v>
      </c>
      <c r="AF1195" s="10"/>
      <c r="AG1195" s="10"/>
      <c r="AH1195" s="10"/>
      <c r="AI1195" s="12">
        <f t="shared" si="304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82"/>
      <c r="D1196" s="32"/>
      <c r="E1196" s="32"/>
      <c r="F1196" s="32"/>
      <c r="G1196" s="32">
        <f t="shared" si="301"/>
        <v>0</v>
      </c>
      <c r="H1196" s="10"/>
      <c r="I1196" s="10"/>
      <c r="J1196" s="10"/>
      <c r="K1196" s="12">
        <f t="shared" si="302"/>
        <v>0</v>
      </c>
      <c r="M1196" s="62"/>
      <c r="N1196" s="66"/>
      <c r="O1196" s="62"/>
      <c r="P1196" s="69"/>
      <c r="Q1196" s="85"/>
      <c r="R1196" s="85"/>
      <c r="S1196" s="60"/>
      <c r="T1196" s="62"/>
      <c r="U1196" s="62"/>
      <c r="V1196" s="62"/>
      <c r="W1196" s="61"/>
      <c r="Y1196" s="10">
        <v>30</v>
      </c>
      <c r="Z1196" s="30"/>
      <c r="AB1196" s="47"/>
      <c r="AC1196" s="31"/>
      <c r="AD1196" s="31"/>
      <c r="AE1196" s="32">
        <f t="shared" si="303"/>
        <v>0</v>
      </c>
      <c r="AF1196" s="10"/>
      <c r="AG1196" s="10"/>
      <c r="AH1196" s="10"/>
      <c r="AI1196" s="12">
        <f t="shared" si="304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2"/>
      <c r="D1197" s="32"/>
      <c r="E1197" s="32"/>
      <c r="F1197" s="32"/>
      <c r="G1197" s="32">
        <f t="shared" si="301"/>
        <v>0</v>
      </c>
      <c r="H1197" s="10"/>
      <c r="I1197" s="10"/>
      <c r="J1197" s="10"/>
      <c r="K1197" s="12">
        <f t="shared" si="302"/>
        <v>0</v>
      </c>
      <c r="M1197" s="62"/>
      <c r="N1197" s="66"/>
      <c r="O1197" s="85"/>
      <c r="P1197" s="69"/>
      <c r="Q1197" s="85"/>
      <c r="R1197" s="85"/>
      <c r="S1197" s="60"/>
      <c r="T1197" s="62"/>
      <c r="U1197" s="62"/>
      <c r="V1197" s="62"/>
      <c r="W1197" s="61"/>
      <c r="Y1197" s="10">
        <v>31</v>
      </c>
      <c r="Z1197" s="30"/>
      <c r="AA1197" s="31"/>
      <c r="AB1197" s="47"/>
      <c r="AC1197" s="31"/>
      <c r="AD1197" s="31"/>
      <c r="AE1197" s="32">
        <f t="shared" si="303"/>
        <v>0</v>
      </c>
      <c r="AF1197" s="10"/>
      <c r="AG1197" s="10"/>
      <c r="AH1197" s="10"/>
      <c r="AI1197" s="12">
        <f t="shared" si="304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01"/>
        <v>0</v>
      </c>
      <c r="H1198" s="10"/>
      <c r="I1198" s="10"/>
      <c r="J1198" s="10"/>
      <c r="K1198" s="12">
        <f t="shared" si="302"/>
        <v>0</v>
      </c>
      <c r="M1198" s="62"/>
      <c r="N1198" s="66"/>
      <c r="O1198" s="85"/>
      <c r="P1198" s="69"/>
      <c r="Q1198" s="85"/>
      <c r="R1198" s="85"/>
      <c r="S1198" s="60"/>
      <c r="T1198" s="62"/>
      <c r="U1198" s="62"/>
      <c r="V1198" s="62"/>
      <c r="W1198" s="61"/>
      <c r="Y1198" s="10">
        <v>32</v>
      </c>
      <c r="Z1198" s="30"/>
      <c r="AA1198" s="31"/>
      <c r="AB1198" s="47"/>
      <c r="AC1198" s="31"/>
      <c r="AD1198" s="31"/>
      <c r="AE1198" s="32">
        <f t="shared" si="303"/>
        <v>0</v>
      </c>
      <c r="AF1198" s="10"/>
      <c r="AG1198" s="10"/>
      <c r="AH1198" s="10"/>
      <c r="AI1198" s="12">
        <f t="shared" si="304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01"/>
        <v>0</v>
      </c>
      <c r="H1199" s="10"/>
      <c r="I1199" s="10"/>
      <c r="J1199" s="10"/>
      <c r="K1199" s="12">
        <f t="shared" si="302"/>
        <v>0</v>
      </c>
      <c r="M1199" s="62"/>
      <c r="N1199" s="66"/>
      <c r="O1199" s="85"/>
      <c r="P1199" s="69"/>
      <c r="Q1199" s="85"/>
      <c r="R1199" s="85"/>
      <c r="S1199" s="60"/>
      <c r="T1199" s="62"/>
      <c r="U1199" s="62"/>
      <c r="V1199" s="62"/>
      <c r="W1199" s="61"/>
      <c r="Y1199" s="10">
        <v>33</v>
      </c>
      <c r="Z1199" s="30"/>
      <c r="AA1199" s="31"/>
      <c r="AB1199" s="47"/>
      <c r="AC1199" s="31"/>
      <c r="AD1199" s="31"/>
      <c r="AE1199" s="32">
        <f t="shared" si="303"/>
        <v>0</v>
      </c>
      <c r="AF1199" s="10"/>
      <c r="AG1199" s="10"/>
      <c r="AH1199" s="10"/>
      <c r="AI1199" s="12">
        <f t="shared" si="304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01"/>
        <v>0</v>
      </c>
      <c r="H1200" s="10"/>
      <c r="I1200" s="10"/>
      <c r="J1200" s="10"/>
      <c r="K1200" s="12">
        <f t="shared" si="302"/>
        <v>0</v>
      </c>
      <c r="M1200" s="62"/>
      <c r="N1200" s="66"/>
      <c r="O1200" s="85"/>
      <c r="P1200" s="69"/>
      <c r="Q1200" s="85"/>
      <c r="R1200" s="85"/>
      <c r="S1200" s="60"/>
      <c r="T1200" s="62"/>
      <c r="U1200" s="62"/>
      <c r="V1200" s="62"/>
      <c r="W1200" s="61"/>
      <c r="Y1200" s="10">
        <v>34</v>
      </c>
      <c r="Z1200" s="30"/>
      <c r="AA1200" s="31"/>
      <c r="AB1200" s="47"/>
      <c r="AC1200" s="31"/>
      <c r="AD1200" s="31"/>
      <c r="AE1200" s="32">
        <f t="shared" si="303"/>
        <v>0</v>
      </c>
      <c r="AF1200" s="10"/>
      <c r="AG1200" s="10"/>
      <c r="AH1200" s="10"/>
      <c r="AI1200" s="12">
        <f t="shared" si="304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62"/>
      <c r="N1201" s="66"/>
      <c r="O1201" s="85"/>
      <c r="P1201" s="69"/>
      <c r="Q1201" s="85"/>
      <c r="R1201" s="85"/>
      <c r="S1201" s="60"/>
      <c r="T1201" s="62"/>
      <c r="U1201" s="62"/>
      <c r="V1201" s="62"/>
      <c r="W1201" s="61"/>
      <c r="Y1201" s="10">
        <v>35</v>
      </c>
      <c r="Z1201" s="30"/>
      <c r="AA1201" s="31"/>
      <c r="AB1201" s="47"/>
      <c r="AC1201" s="31"/>
      <c r="AD1201" s="31"/>
      <c r="AE1201" s="32">
        <f t="shared" si="303"/>
        <v>0</v>
      </c>
      <c r="AF1201" s="10"/>
      <c r="AG1201" s="10"/>
      <c r="AH1201" s="10"/>
      <c r="AI1201" s="12">
        <f t="shared" si="304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62"/>
      <c r="N1202" s="66"/>
      <c r="O1202" s="85"/>
      <c r="P1202" s="69"/>
      <c r="Q1202" s="85"/>
      <c r="R1202" s="85"/>
      <c r="S1202" s="60"/>
      <c r="T1202" s="62"/>
      <c r="U1202" s="62"/>
      <c r="V1202" s="62"/>
      <c r="W1202" s="61"/>
      <c r="Y1202" s="10">
        <v>36</v>
      </c>
      <c r="Z1202" s="30"/>
      <c r="AA1202" s="31"/>
      <c r="AB1202" s="47"/>
      <c r="AC1202" s="31"/>
      <c r="AD1202" s="31"/>
      <c r="AE1202" s="32">
        <f t="shared" si="303"/>
        <v>0</v>
      </c>
      <c r="AF1202" s="10"/>
      <c r="AG1202" s="10"/>
      <c r="AH1202" s="10"/>
      <c r="AI1202" s="12">
        <f t="shared" si="304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62"/>
      <c r="N1203" s="66"/>
      <c r="O1203" s="62"/>
      <c r="P1203" s="69"/>
      <c r="Q1203" s="85"/>
      <c r="R1203" s="85"/>
      <c r="S1203" s="60"/>
      <c r="T1203" s="62"/>
      <c r="U1203" s="62"/>
      <c r="V1203" s="62"/>
      <c r="W1203" s="61"/>
      <c r="Y1203" s="10">
        <v>37</v>
      </c>
      <c r="Z1203" s="30"/>
      <c r="AA1203" s="31"/>
      <c r="AB1203" s="47"/>
      <c r="AC1203" s="31"/>
      <c r="AD1203" s="31"/>
      <c r="AE1203" s="32">
        <f t="shared" si="303"/>
        <v>0</v>
      </c>
      <c r="AF1203" s="10"/>
      <c r="AG1203" s="10"/>
      <c r="AH1203" s="10"/>
      <c r="AI1203" s="12">
        <f t="shared" si="304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62"/>
      <c r="N1204" s="66"/>
      <c r="O1204" s="85"/>
      <c r="P1204" s="69"/>
      <c r="Q1204" s="85"/>
      <c r="R1204" s="85"/>
      <c r="S1204" s="60"/>
      <c r="T1204" s="62"/>
      <c r="U1204" s="62"/>
      <c r="V1204" s="62"/>
      <c r="W1204" s="61"/>
      <c r="Y1204" s="10">
        <v>38</v>
      </c>
      <c r="Z1204" s="30"/>
      <c r="AA1204" s="31"/>
      <c r="AB1204" s="47"/>
      <c r="AC1204" s="31"/>
      <c r="AD1204" s="31"/>
      <c r="AE1204" s="32">
        <f t="shared" si="303"/>
        <v>0</v>
      </c>
      <c r="AF1204" s="10"/>
      <c r="AG1204" s="10"/>
      <c r="AH1204" s="10"/>
      <c r="AI1204" s="12">
        <f t="shared" si="304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62"/>
      <c r="N1205" s="66"/>
      <c r="O1205" s="85"/>
      <c r="P1205" s="69"/>
      <c r="Q1205" s="85"/>
      <c r="R1205" s="85"/>
      <c r="S1205" s="60"/>
      <c r="T1205" s="62"/>
      <c r="U1205" s="62"/>
      <c r="V1205" s="62"/>
      <c r="W1205" s="61"/>
      <c r="Y1205" s="10">
        <v>39</v>
      </c>
      <c r="Z1205" s="30"/>
      <c r="AA1205" s="31"/>
      <c r="AB1205" s="47"/>
      <c r="AC1205" s="31"/>
      <c r="AD1205" s="31"/>
      <c r="AE1205" s="32">
        <f t="shared" si="303"/>
        <v>0</v>
      </c>
      <c r="AF1205" s="10"/>
      <c r="AG1205" s="10"/>
      <c r="AH1205" s="10"/>
      <c r="AI1205" s="12">
        <f t="shared" si="304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62"/>
      <c r="N1206" s="66"/>
      <c r="O1206" s="62"/>
      <c r="P1206" s="69"/>
      <c r="Q1206" s="85"/>
      <c r="R1206" s="85"/>
      <c r="S1206" s="60"/>
      <c r="T1206" s="62"/>
      <c r="U1206" s="62"/>
      <c r="V1206" s="62"/>
      <c r="W1206" s="61"/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04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07">SUM(D1207:E1207)</f>
        <v>0</v>
      </c>
      <c r="H1207" s="10"/>
      <c r="I1207" s="10"/>
      <c r="J1207" s="10"/>
      <c r="K1207" s="12">
        <f t="shared" ref="K1207" si="308">SUM(G1207:J1207)</f>
        <v>0</v>
      </c>
      <c r="M1207" s="62"/>
      <c r="N1207" s="66"/>
      <c r="O1207" s="85"/>
      <c r="P1207" s="69"/>
      <c r="Q1207" s="85"/>
      <c r="R1207" s="85"/>
      <c r="S1207" s="60"/>
      <c r="T1207" s="62"/>
      <c r="U1207" s="62"/>
      <c r="V1207" s="62"/>
      <c r="W1207" s="61"/>
      <c r="Y1207" s="10"/>
      <c r="Z1207" s="30"/>
      <c r="AA1207" s="31"/>
      <c r="AB1207" s="47"/>
      <c r="AC1207" s="31"/>
      <c r="AD1207" s="31"/>
      <c r="AE1207" s="32">
        <f t="shared" ref="AE1207" si="309">SUM(AB1207:AC1207)</f>
        <v>0</v>
      </c>
      <c r="AF1207" s="10"/>
      <c r="AG1207" s="10"/>
      <c r="AH1207" s="10"/>
      <c r="AI1207" s="12">
        <f t="shared" si="304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62"/>
      <c r="N1208" s="85"/>
      <c r="O1208" s="85"/>
      <c r="P1208" s="85"/>
      <c r="Q1208" s="85"/>
      <c r="R1208" s="85"/>
      <c r="S1208" s="85"/>
      <c r="T1208" s="62"/>
      <c r="U1208" s="62"/>
      <c r="V1208" s="62"/>
      <c r="W1208" s="61"/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04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M1209" s="62"/>
      <c r="N1209" s="85"/>
      <c r="O1209" s="85"/>
      <c r="P1209" s="85"/>
      <c r="Q1209" s="85"/>
      <c r="R1209" s="85"/>
      <c r="S1209" s="85"/>
      <c r="T1209" s="62"/>
      <c r="U1209" s="62"/>
      <c r="V1209" s="62"/>
      <c r="W1209" s="62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607368</v>
      </c>
      <c r="E1210" s="38">
        <f t="shared" ref="E1210:F1210" si="310">SUM(E1167:E1207)</f>
        <v>-5202</v>
      </c>
      <c r="F1210" s="38">
        <f t="shared" si="310"/>
        <v>0</v>
      </c>
      <c r="G1210" s="38">
        <f>SUM(G1167:G1209)</f>
        <v>602166</v>
      </c>
      <c r="H1210" s="4"/>
      <c r="I1210" s="39">
        <f>SUM(I1167:I1209)</f>
        <v>996</v>
      </c>
      <c r="J1210" s="39">
        <f>SUM(J1167:J1209)</f>
        <v>-1722</v>
      </c>
      <c r="K1210" s="40">
        <f>SUM(K1167:K1209)</f>
        <v>601440</v>
      </c>
      <c r="M1210" s="62"/>
      <c r="N1210" s="85"/>
      <c r="O1210" s="85"/>
      <c r="P1210" s="70"/>
      <c r="Q1210" s="70"/>
      <c r="R1210" s="70"/>
      <c r="S1210" s="70"/>
      <c r="T1210" s="63"/>
      <c r="U1210" s="71"/>
      <c r="V1210" s="71"/>
      <c r="W1210" s="71"/>
      <c r="Z1210" s="57"/>
      <c r="AA1210" s="57"/>
      <c r="AB1210" s="38">
        <f>SUM(AB1167:AB1209)</f>
        <v>330078.5</v>
      </c>
      <c r="AC1210" s="38">
        <f>SUM(AC1167:AC1191)</f>
        <v>-2316</v>
      </c>
      <c r="AD1210" s="38">
        <f>SUM(AD1167:AD1191)</f>
        <v>0</v>
      </c>
      <c r="AE1210" s="38">
        <f>SUM(AE1167:AE1209)</f>
        <v>327762.5</v>
      </c>
      <c r="AF1210" s="4"/>
      <c r="AG1210" s="41">
        <f>SUM(AG1167:AG1209)</f>
        <v>1228.5</v>
      </c>
      <c r="AH1210" s="41">
        <f>SUM(AH1167:AH1191)</f>
        <v>-888</v>
      </c>
      <c r="AI1210" s="42">
        <f>SUM(AI1167:AI1209)</f>
        <v>328103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s="62"/>
      <c r="Z1213" s="85"/>
      <c r="AA1213" s="85"/>
      <c r="AB1213" s="85"/>
      <c r="AC1213" s="85"/>
      <c r="AD1213" s="85"/>
      <c r="AE1213" s="85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Y1214" s="62"/>
      <c r="Z1214" s="85"/>
      <c r="AA1214" s="85"/>
      <c r="AB1214" s="85"/>
      <c r="AC1214" s="85"/>
      <c r="AD1214" s="85"/>
      <c r="AE1214" s="85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62"/>
      <c r="Z1215" s="85"/>
      <c r="AA1215" s="85"/>
      <c r="AB1215" s="85"/>
      <c r="AC1215" s="85"/>
      <c r="AD1215" s="85"/>
      <c r="AE1215" s="85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Y1216" s="63"/>
      <c r="Z1216" s="85"/>
      <c r="AA1216" s="85"/>
      <c r="AB1216" s="85"/>
      <c r="AC1216" s="85"/>
      <c r="AD1216" s="85"/>
      <c r="AE1216" s="85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42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42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s="62"/>
      <c r="Z1217" s="85"/>
      <c r="AA1217" s="85"/>
      <c r="AB1217" s="85"/>
      <c r="AC1217" s="85"/>
      <c r="AD1217" s="85"/>
      <c r="AE1217" s="85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102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102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33</v>
      </c>
      <c r="W1218" s="24"/>
      <c r="Y1218" s="62"/>
      <c r="Z1218" s="85"/>
      <c r="AA1218" s="85"/>
      <c r="AB1218" s="85"/>
      <c r="AC1218" s="85"/>
      <c r="AD1218" s="85"/>
      <c r="AE1218" s="85"/>
      <c r="AF1218" s="62"/>
      <c r="AG1218" s="85"/>
      <c r="AH1218" s="8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Y1219" s="64"/>
      <c r="Z1219" s="85"/>
      <c r="AA1219" s="85"/>
      <c r="AB1219" s="85"/>
      <c r="AC1219" s="85"/>
      <c r="AD1219" s="85"/>
      <c r="AE1219" s="85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1" t="s">
        <v>17</v>
      </c>
      <c r="E1220" s="121"/>
      <c r="F1220" s="112"/>
      <c r="G1220" s="27"/>
      <c r="I1220" s="119" t="s">
        <v>18</v>
      </c>
      <c r="J1220" s="120"/>
      <c r="K1220" s="117" t="s">
        <v>19</v>
      </c>
      <c r="N1220" s="25"/>
      <c r="O1220" s="26"/>
      <c r="P1220" s="121" t="s">
        <v>17</v>
      </c>
      <c r="Q1220" s="121"/>
      <c r="R1220" s="112"/>
      <c r="S1220" s="27"/>
      <c r="U1220" s="119" t="s">
        <v>18</v>
      </c>
      <c r="V1220" s="120"/>
      <c r="W1220" s="117" t="s">
        <v>19</v>
      </c>
      <c r="Y1220" s="62"/>
      <c r="Z1220" s="85"/>
      <c r="AA1220" s="85"/>
      <c r="AB1220" s="85"/>
      <c r="AC1220" s="85"/>
      <c r="AD1220" s="85"/>
      <c r="AE1220" s="85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32</v>
      </c>
      <c r="G1221" s="78" t="s">
        <v>24</v>
      </c>
      <c r="I1221" s="29" t="s">
        <v>25</v>
      </c>
      <c r="J1221" s="29" t="s">
        <v>26</v>
      </c>
      <c r="K1221" s="118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32</v>
      </c>
      <c r="S1221" s="78" t="s">
        <v>24</v>
      </c>
      <c r="U1221" s="29" t="s">
        <v>25</v>
      </c>
      <c r="V1221" s="29" t="s">
        <v>26</v>
      </c>
      <c r="W1221" s="118"/>
      <c r="Y1221" s="62"/>
      <c r="Z1221" s="65"/>
      <c r="AA1221" s="85"/>
      <c r="AB1221" s="123"/>
      <c r="AC1221" s="123"/>
      <c r="AD1221" s="85"/>
      <c r="AE1221" s="85"/>
      <c r="AF1221" s="62"/>
      <c r="AG1221" s="123"/>
      <c r="AH1221" s="123"/>
      <c r="AI1221" s="12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103</v>
      </c>
      <c r="C1222" s="82">
        <v>9951</v>
      </c>
      <c r="D1222" s="32">
        <f>650*324+670*20+973*5+912*2+229*13+500*3</f>
        <v>235166</v>
      </c>
      <c r="E1222" s="32">
        <f>-2124+-2364</f>
        <v>-4488</v>
      </c>
      <c r="F1222" s="32"/>
      <c r="G1222" s="32">
        <f t="shared" ref="G1222:G1266" si="311">SUM(D1222:E1222)</f>
        <v>230678</v>
      </c>
      <c r="H1222" s="12"/>
      <c r="I1222" s="12">
        <v>936</v>
      </c>
      <c r="J1222" s="12">
        <f>-555+-480+-84+-1.5*6</f>
        <v>-1128</v>
      </c>
      <c r="K1222" s="12">
        <f t="shared" ref="K1222:K1266" si="312">SUM(G1222:J1222)</f>
        <v>230486</v>
      </c>
      <c r="M1222" s="10">
        <v>1</v>
      </c>
      <c r="N1222" s="30" t="s">
        <v>103</v>
      </c>
      <c r="O1222" s="31">
        <v>9874</v>
      </c>
      <c r="P1222" s="32">
        <f>650*45+622*2</f>
        <v>30494</v>
      </c>
      <c r="Q1222" s="32"/>
      <c r="R1222" s="32"/>
      <c r="S1222" s="32">
        <f>SUM(P1222:Q1222)</f>
        <v>30494</v>
      </c>
      <c r="T1222" s="12"/>
      <c r="U1222" s="12">
        <v>888</v>
      </c>
      <c r="V1222" s="12"/>
      <c r="W1222" s="12">
        <f>SUM(S1222:V1222)</f>
        <v>31382</v>
      </c>
      <c r="Y1222" s="62"/>
      <c r="Z1222" s="85"/>
      <c r="AA1222" s="85"/>
      <c r="AB1222" s="79"/>
      <c r="AC1222" s="80"/>
      <c r="AD1222" s="81"/>
      <c r="AE1222" s="81"/>
      <c r="AF1222" s="62"/>
      <c r="AG1222" s="84"/>
      <c r="AH1222" s="84"/>
      <c r="AI1222" s="12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103</v>
      </c>
      <c r="C1223" s="82">
        <f>C1222+1</f>
        <v>9952</v>
      </c>
      <c r="D1223" s="32">
        <f>650*432+670*40+622*108+229*22</f>
        <v>379814</v>
      </c>
      <c r="E1223" s="32">
        <f>-580*6</f>
        <v>-3480</v>
      </c>
      <c r="F1223" s="32"/>
      <c r="G1223" s="32">
        <f t="shared" si="311"/>
        <v>376334</v>
      </c>
      <c r="H1223" s="12"/>
      <c r="I1223" s="12">
        <v>24603</v>
      </c>
      <c r="J1223" s="12">
        <v>-120</v>
      </c>
      <c r="K1223" s="12">
        <f t="shared" si="312"/>
        <v>400817</v>
      </c>
      <c r="M1223" s="10">
        <v>2</v>
      </c>
      <c r="N1223" s="30" t="s">
        <v>103</v>
      </c>
      <c r="O1223" s="31">
        <f>O1222+1</f>
        <v>9875</v>
      </c>
      <c r="P1223" s="32">
        <f>650*7+670*2</f>
        <v>5890</v>
      </c>
      <c r="Q1223" s="32"/>
      <c r="R1223" s="32"/>
      <c r="S1223" s="32">
        <f t="shared" ref="S1223:S1260" si="313">SUM(P1223:Q1223)</f>
        <v>5890</v>
      </c>
      <c r="T1223" s="12"/>
      <c r="U1223" s="12"/>
      <c r="V1223" s="12">
        <f>-111+-84</f>
        <v>-195</v>
      </c>
      <c r="W1223" s="12">
        <f t="shared" ref="W1223:W1263" si="314">SUM(S1223:V1223)</f>
        <v>5695</v>
      </c>
      <c r="Y1223" s="62"/>
      <c r="Z1223" s="66"/>
      <c r="AA1223" s="85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103</v>
      </c>
      <c r="C1224" s="82">
        <f t="shared" ref="C1224:C1231" si="315">C1223+1</f>
        <v>9953</v>
      </c>
      <c r="D1224" s="33">
        <f>1175+1582</f>
        <v>2757</v>
      </c>
      <c r="E1224" s="33"/>
      <c r="F1224" s="33"/>
      <c r="G1224" s="33">
        <f t="shared" si="311"/>
        <v>2757</v>
      </c>
      <c r="H1224" s="34"/>
      <c r="I1224" s="34"/>
      <c r="J1224" s="34"/>
      <c r="K1224" s="34">
        <f t="shared" si="312"/>
        <v>2757</v>
      </c>
      <c r="M1224" s="10">
        <v>3</v>
      </c>
      <c r="N1224" s="30" t="s">
        <v>103</v>
      </c>
      <c r="O1224" s="31">
        <f t="shared" ref="O1224:O1241" si="316">O1223+1</f>
        <v>9876</v>
      </c>
      <c r="P1224" s="32">
        <f>650*8+670+9.5*8</f>
        <v>5946</v>
      </c>
      <c r="Q1224" s="32"/>
      <c r="R1224" s="32"/>
      <c r="S1224" s="32">
        <f t="shared" si="313"/>
        <v>5946</v>
      </c>
      <c r="T1224" s="12"/>
      <c r="U1224" s="12"/>
      <c r="V1224" s="12"/>
      <c r="W1224" s="12">
        <f t="shared" si="314"/>
        <v>5946</v>
      </c>
      <c r="Y1224" s="62"/>
      <c r="Z1224" s="66"/>
      <c r="AA1224" s="85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/>
      <c r="C1225" s="11" t="s">
        <v>27</v>
      </c>
      <c r="D1225" s="32"/>
      <c r="E1225" s="32"/>
      <c r="F1225" s="32"/>
      <c r="G1225" s="32">
        <f t="shared" si="311"/>
        <v>0</v>
      </c>
      <c r="H1225" s="12"/>
      <c r="I1225" s="12"/>
      <c r="J1225" s="12"/>
      <c r="K1225" s="12">
        <f t="shared" si="312"/>
        <v>0</v>
      </c>
      <c r="M1225" s="10">
        <v>4</v>
      </c>
      <c r="N1225" s="30" t="s">
        <v>103</v>
      </c>
      <c r="O1225" s="31">
        <f t="shared" si="316"/>
        <v>9877</v>
      </c>
      <c r="P1225" s="32">
        <f>650*180+622*20+229*6</f>
        <v>130814</v>
      </c>
      <c r="Q1225" s="32">
        <f>-200*6</f>
        <v>-1200</v>
      </c>
      <c r="R1225" s="32"/>
      <c r="S1225" s="32">
        <f t="shared" si="313"/>
        <v>129614</v>
      </c>
      <c r="T1225" s="12"/>
      <c r="U1225" s="12">
        <v>234</v>
      </c>
      <c r="V1225" s="12"/>
      <c r="W1225" s="12">
        <f t="shared" si="314"/>
        <v>129848</v>
      </c>
      <c r="Y1225" s="62"/>
      <c r="Z1225" s="66"/>
      <c r="AA1225" s="85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/>
      <c r="C1226" s="82"/>
      <c r="D1226" s="32"/>
      <c r="E1226" s="32"/>
      <c r="F1226" s="32"/>
      <c r="G1226" s="32">
        <f t="shared" si="311"/>
        <v>0</v>
      </c>
      <c r="H1226" s="12"/>
      <c r="I1226" s="12"/>
      <c r="J1226" s="12"/>
      <c r="K1226" s="12">
        <f t="shared" si="312"/>
        <v>0</v>
      </c>
      <c r="M1226" s="10">
        <v>5</v>
      </c>
      <c r="N1226" s="30" t="s">
        <v>103</v>
      </c>
      <c r="O1226" s="31">
        <f t="shared" si="316"/>
        <v>9878</v>
      </c>
      <c r="P1226" s="32">
        <f>650*80+670+622+872</f>
        <v>54164</v>
      </c>
      <c r="Q1226" s="32"/>
      <c r="R1226" s="32"/>
      <c r="S1226" s="32">
        <f t="shared" si="313"/>
        <v>54164</v>
      </c>
      <c r="T1226" s="12"/>
      <c r="U1226" s="12">
        <f>1665+540</f>
        <v>2205</v>
      </c>
      <c r="V1226" s="12"/>
      <c r="W1226" s="12">
        <f t="shared" si="314"/>
        <v>56369</v>
      </c>
      <c r="Y1226" s="62"/>
      <c r="Z1226" s="66"/>
      <c r="AA1226" s="85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82"/>
      <c r="D1227" s="32"/>
      <c r="E1227" s="32"/>
      <c r="F1227" s="32"/>
      <c r="G1227" s="32">
        <f t="shared" si="311"/>
        <v>0</v>
      </c>
      <c r="H1227" s="12"/>
      <c r="I1227" s="12"/>
      <c r="J1227" s="12"/>
      <c r="K1227" s="12">
        <f t="shared" si="312"/>
        <v>0</v>
      </c>
      <c r="M1227" s="10">
        <v>6</v>
      </c>
      <c r="N1227" s="30" t="s">
        <v>103</v>
      </c>
      <c r="O1227" s="31">
        <f t="shared" si="316"/>
        <v>9879</v>
      </c>
      <c r="P1227" s="32">
        <f>650*14+622*6</f>
        <v>12832</v>
      </c>
      <c r="Q1227" s="32"/>
      <c r="R1227" s="32"/>
      <c r="S1227" s="32">
        <f t="shared" si="313"/>
        <v>12832</v>
      </c>
      <c r="T1227" s="12"/>
      <c r="U1227" s="12">
        <v>99</v>
      </c>
      <c r="V1227" s="10"/>
      <c r="W1227" s="12">
        <f t="shared" si="314"/>
        <v>12931</v>
      </c>
      <c r="Y1227" s="62"/>
      <c r="Z1227" s="66"/>
      <c r="AA1227" s="85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2"/>
      <c r="D1228" s="32"/>
      <c r="E1228" s="32"/>
      <c r="F1228" s="32"/>
      <c r="G1228" s="32">
        <f t="shared" si="311"/>
        <v>0</v>
      </c>
      <c r="H1228" s="12"/>
      <c r="I1228" s="12"/>
      <c r="J1228" s="12"/>
      <c r="K1228" s="12">
        <f t="shared" si="312"/>
        <v>0</v>
      </c>
      <c r="M1228" s="10">
        <v>7</v>
      </c>
      <c r="N1228" s="30" t="s">
        <v>103</v>
      </c>
      <c r="O1228" s="31">
        <f t="shared" si="316"/>
        <v>9880</v>
      </c>
      <c r="P1228" s="32">
        <f>650*6+9.5*6</f>
        <v>3957</v>
      </c>
      <c r="Q1228" s="32"/>
      <c r="R1228" s="32"/>
      <c r="S1228" s="32">
        <f t="shared" si="313"/>
        <v>3957</v>
      </c>
      <c r="T1228" s="12"/>
      <c r="U1228" s="12"/>
      <c r="V1228" s="12"/>
      <c r="W1228" s="12">
        <f t="shared" si="314"/>
        <v>3957</v>
      </c>
      <c r="Y1228" s="62"/>
      <c r="Z1228" s="66"/>
      <c r="AA1228" s="85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C1229" s="82"/>
      <c r="D1229" s="32"/>
      <c r="E1229" s="32"/>
      <c r="F1229" s="32"/>
      <c r="G1229" s="32">
        <f t="shared" si="311"/>
        <v>0</v>
      </c>
      <c r="H1229" s="12"/>
      <c r="I1229" s="12"/>
      <c r="J1229" s="12"/>
      <c r="K1229" s="12">
        <f t="shared" si="312"/>
        <v>0</v>
      </c>
      <c r="M1229" s="10">
        <v>8</v>
      </c>
      <c r="N1229" s="30" t="s">
        <v>103</v>
      </c>
      <c r="O1229" s="31">
        <f t="shared" si="316"/>
        <v>9881</v>
      </c>
      <c r="P1229" s="32">
        <f>650*10+9.5*10</f>
        <v>6595</v>
      </c>
      <c r="Q1229" s="32"/>
      <c r="R1229" s="32"/>
      <c r="S1229" s="32">
        <f t="shared" si="313"/>
        <v>6595</v>
      </c>
      <c r="T1229" s="12"/>
      <c r="U1229" s="12"/>
      <c r="V1229" s="12"/>
      <c r="W1229" s="12">
        <f t="shared" si="314"/>
        <v>6595</v>
      </c>
      <c r="Y1229" s="62"/>
      <c r="Z1229" s="66"/>
      <c r="AA1229" s="85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2"/>
      <c r="D1230" s="32"/>
      <c r="E1230" s="32"/>
      <c r="F1230" s="32"/>
      <c r="G1230" s="32">
        <f t="shared" si="311"/>
        <v>0</v>
      </c>
      <c r="H1230" s="12"/>
      <c r="I1230" s="12"/>
      <c r="J1230" s="12"/>
      <c r="K1230" s="12">
        <f t="shared" si="312"/>
        <v>0</v>
      </c>
      <c r="M1230" s="10">
        <v>9</v>
      </c>
      <c r="N1230" s="30" t="s">
        <v>103</v>
      </c>
      <c r="O1230" s="31">
        <f t="shared" si="316"/>
        <v>9882</v>
      </c>
      <c r="P1230" s="32">
        <f>650*7+670+622*3</f>
        <v>7086</v>
      </c>
      <c r="Q1230" s="32"/>
      <c r="R1230" s="32"/>
      <c r="S1230" s="32">
        <f t="shared" si="313"/>
        <v>7086</v>
      </c>
      <c r="T1230" s="12"/>
      <c r="U1230" s="12"/>
      <c r="V1230" s="12"/>
      <c r="W1230" s="12">
        <f t="shared" si="314"/>
        <v>7086</v>
      </c>
      <c r="Y1230" s="62"/>
      <c r="Z1230" s="66"/>
      <c r="AA1230" s="8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2"/>
      <c r="D1231" s="32"/>
      <c r="E1231" s="32"/>
      <c r="F1231" s="32"/>
      <c r="G1231" s="32">
        <f t="shared" si="311"/>
        <v>0</v>
      </c>
      <c r="H1231" s="12"/>
      <c r="I1231" s="12"/>
      <c r="J1231" s="12"/>
      <c r="K1231" s="12">
        <f t="shared" si="312"/>
        <v>0</v>
      </c>
      <c r="M1231" s="10">
        <v>10</v>
      </c>
      <c r="N1231" s="30" t="s">
        <v>103</v>
      </c>
      <c r="O1231" s="31">
        <f t="shared" si="316"/>
        <v>9883</v>
      </c>
      <c r="P1231" s="32">
        <f>650*17+9.5*17</f>
        <v>11211.5</v>
      </c>
      <c r="Q1231" s="32"/>
      <c r="R1231" s="32"/>
      <c r="S1231" s="32">
        <f t="shared" si="313"/>
        <v>11211.5</v>
      </c>
      <c r="T1231" s="12"/>
      <c r="U1231" s="12">
        <v>10.5</v>
      </c>
      <c r="V1231" s="12"/>
      <c r="W1231" s="12">
        <f t="shared" si="314"/>
        <v>11222</v>
      </c>
      <c r="Y1231" s="62"/>
      <c r="Z1231" s="66"/>
      <c r="AA1231" s="8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11"/>
      <c r="D1232" s="32"/>
      <c r="E1232" s="32"/>
      <c r="F1232" s="32"/>
      <c r="G1232" s="32">
        <f t="shared" si="311"/>
        <v>0</v>
      </c>
      <c r="H1232" s="12"/>
      <c r="I1232" s="12"/>
      <c r="J1232" s="12"/>
      <c r="K1232" s="12">
        <f t="shared" si="312"/>
        <v>0</v>
      </c>
      <c r="M1232" s="10">
        <v>11</v>
      </c>
      <c r="N1232" s="30"/>
      <c r="O1232" s="11" t="s">
        <v>27</v>
      </c>
      <c r="P1232" s="32"/>
      <c r="Q1232" s="32"/>
      <c r="R1232" s="32"/>
      <c r="S1232" s="32">
        <f t="shared" si="313"/>
        <v>0</v>
      </c>
      <c r="T1232" s="12"/>
      <c r="U1232" s="12"/>
      <c r="V1232" s="12"/>
      <c r="W1232" s="12">
        <f t="shared" si="314"/>
        <v>0</v>
      </c>
      <c r="Y1232" s="62"/>
      <c r="Z1232" s="66"/>
      <c r="AA1232" s="8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11"/>
      <c r="D1233" s="32"/>
      <c r="E1233" s="32"/>
      <c r="F1233" s="32"/>
      <c r="G1233" s="32">
        <f t="shared" si="311"/>
        <v>0</v>
      </c>
      <c r="H1233" s="12"/>
      <c r="I1233" s="12"/>
      <c r="J1233" s="10"/>
      <c r="K1233" s="12">
        <f t="shared" si="312"/>
        <v>0</v>
      </c>
      <c r="M1233" s="10">
        <v>12</v>
      </c>
      <c r="N1233" s="30"/>
      <c r="O1233" s="31"/>
      <c r="P1233" s="32"/>
      <c r="Q1233" s="32"/>
      <c r="R1233" s="32"/>
      <c r="S1233" s="32">
        <f t="shared" si="313"/>
        <v>0</v>
      </c>
      <c r="T1233" s="12"/>
      <c r="U1233" s="12"/>
      <c r="V1233" s="12"/>
      <c r="W1233" s="12">
        <f t="shared" si="314"/>
        <v>0</v>
      </c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2"/>
      <c r="D1234" s="32"/>
      <c r="E1234" s="32"/>
      <c r="F1234" s="32"/>
      <c r="G1234" s="32">
        <f t="shared" si="311"/>
        <v>0</v>
      </c>
      <c r="H1234" s="12"/>
      <c r="I1234" s="12"/>
      <c r="J1234" s="12"/>
      <c r="K1234" s="12">
        <f t="shared" si="312"/>
        <v>0</v>
      </c>
      <c r="M1234" s="10">
        <v>13</v>
      </c>
      <c r="N1234" s="30"/>
      <c r="O1234" s="31"/>
      <c r="P1234" s="32"/>
      <c r="Q1234" s="32"/>
      <c r="R1234" s="32"/>
      <c r="S1234" s="32">
        <f t="shared" si="313"/>
        <v>0</v>
      </c>
      <c r="T1234" s="12"/>
      <c r="U1234" s="12"/>
      <c r="V1234" s="12"/>
      <c r="W1234" s="12">
        <f t="shared" si="314"/>
        <v>0</v>
      </c>
      <c r="Y1234" s="62"/>
      <c r="Z1234" s="66"/>
      <c r="AA1234" s="85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2"/>
      <c r="D1235" s="32"/>
      <c r="E1235" s="32"/>
      <c r="F1235" s="32"/>
      <c r="G1235" s="32">
        <f t="shared" si="311"/>
        <v>0</v>
      </c>
      <c r="H1235" s="12"/>
      <c r="I1235" s="12"/>
      <c r="J1235" s="12"/>
      <c r="K1235" s="12">
        <f t="shared" si="312"/>
        <v>0</v>
      </c>
      <c r="M1235" s="10">
        <v>14</v>
      </c>
      <c r="N1235" s="30"/>
      <c r="O1235" s="31"/>
      <c r="P1235" s="32"/>
      <c r="Q1235" s="32"/>
      <c r="R1235" s="32"/>
      <c r="S1235" s="32">
        <f t="shared" si="313"/>
        <v>0</v>
      </c>
      <c r="T1235" s="12"/>
      <c r="U1235" s="12"/>
      <c r="V1235" s="12"/>
      <c r="W1235" s="12">
        <f t="shared" si="314"/>
        <v>0</v>
      </c>
      <c r="Y1235" s="62"/>
      <c r="Z1235" s="66"/>
      <c r="AA1235" s="85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2"/>
      <c r="D1236" s="32"/>
      <c r="E1236" s="32"/>
      <c r="F1236" s="32"/>
      <c r="G1236" s="32">
        <f t="shared" si="311"/>
        <v>0</v>
      </c>
      <c r="H1236" s="12"/>
      <c r="I1236" s="12"/>
      <c r="J1236" s="12"/>
      <c r="K1236" s="12">
        <f t="shared" si="312"/>
        <v>0</v>
      </c>
      <c r="M1236" s="10">
        <v>15</v>
      </c>
      <c r="N1236" s="30"/>
      <c r="O1236" s="31"/>
      <c r="P1236" s="32"/>
      <c r="Q1236" s="32"/>
      <c r="R1236" s="32"/>
      <c r="S1236" s="32">
        <f t="shared" si="313"/>
        <v>0</v>
      </c>
      <c r="T1236" s="12"/>
      <c r="U1236" s="12"/>
      <c r="V1236" s="12"/>
      <c r="W1236" s="12">
        <f t="shared" si="314"/>
        <v>0</v>
      </c>
      <c r="Y1236" s="62"/>
      <c r="Z1236" s="66"/>
      <c r="AA1236" s="85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C1237" s="11"/>
      <c r="D1237" s="32"/>
      <c r="E1237" s="32"/>
      <c r="F1237" s="32"/>
      <c r="G1237" s="32">
        <f t="shared" si="311"/>
        <v>0</v>
      </c>
      <c r="H1237" s="12"/>
      <c r="I1237" s="12"/>
      <c r="J1237" s="12"/>
      <c r="K1237" s="12">
        <f t="shared" si="312"/>
        <v>0</v>
      </c>
      <c r="M1237" s="10">
        <v>16</v>
      </c>
      <c r="N1237" s="30"/>
      <c r="O1237" s="31"/>
      <c r="P1237" s="32"/>
      <c r="Q1237" s="32"/>
      <c r="R1237" s="32"/>
      <c r="S1237" s="32">
        <f t="shared" si="313"/>
        <v>0</v>
      </c>
      <c r="T1237" s="12"/>
      <c r="U1237" s="12"/>
      <c r="V1237" s="12"/>
      <c r="W1237" s="12">
        <f t="shared" si="314"/>
        <v>0</v>
      </c>
      <c r="Y1237" s="62"/>
      <c r="Z1237" s="66"/>
      <c r="AA1237" s="85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2"/>
      <c r="D1238" s="32"/>
      <c r="E1238" s="32"/>
      <c r="F1238" s="32"/>
      <c r="G1238" s="32">
        <f t="shared" si="311"/>
        <v>0</v>
      </c>
      <c r="H1238" s="12"/>
      <c r="I1238" s="12"/>
      <c r="J1238" s="12"/>
      <c r="K1238" s="12">
        <f t="shared" si="312"/>
        <v>0</v>
      </c>
      <c r="M1238" s="10">
        <v>17</v>
      </c>
      <c r="N1238" s="30"/>
      <c r="O1238" s="31"/>
      <c r="P1238" s="35"/>
      <c r="Q1238" s="32"/>
      <c r="R1238" s="32"/>
      <c r="S1238" s="32">
        <f t="shared" si="313"/>
        <v>0</v>
      </c>
      <c r="T1238" s="12"/>
      <c r="U1238" s="12"/>
      <c r="V1238" s="12"/>
      <c r="W1238" s="12">
        <f t="shared" si="314"/>
        <v>0</v>
      </c>
      <c r="Y1238" s="62"/>
      <c r="Z1238" s="66"/>
      <c r="AA1238" s="85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2"/>
      <c r="D1239" s="32"/>
      <c r="E1239" s="32"/>
      <c r="F1239" s="32"/>
      <c r="G1239" s="32">
        <f t="shared" si="311"/>
        <v>0</v>
      </c>
      <c r="H1239" s="12"/>
      <c r="I1239" s="12"/>
      <c r="J1239" s="12"/>
      <c r="K1239" s="12">
        <f t="shared" si="312"/>
        <v>0</v>
      </c>
      <c r="M1239" s="10">
        <v>18</v>
      </c>
      <c r="N1239" s="30"/>
      <c r="O1239" s="31"/>
      <c r="P1239" s="32"/>
      <c r="Q1239" s="32"/>
      <c r="R1239" s="32"/>
      <c r="S1239" s="32">
        <f t="shared" si="313"/>
        <v>0</v>
      </c>
      <c r="T1239" s="12"/>
      <c r="U1239" s="12"/>
      <c r="V1239" s="12"/>
      <c r="W1239" s="12">
        <f t="shared" si="314"/>
        <v>0</v>
      </c>
      <c r="Y1239" s="62"/>
      <c r="Z1239" s="66"/>
      <c r="AA1239" s="85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2"/>
      <c r="D1240" s="32"/>
      <c r="E1240" s="32"/>
      <c r="F1240" s="32"/>
      <c r="G1240" s="32">
        <f t="shared" si="311"/>
        <v>0</v>
      </c>
      <c r="H1240" s="12"/>
      <c r="I1240" s="12"/>
      <c r="J1240" s="12"/>
      <c r="K1240" s="12">
        <f t="shared" si="312"/>
        <v>0</v>
      </c>
      <c r="M1240" s="10">
        <v>19</v>
      </c>
      <c r="N1240" s="30"/>
      <c r="O1240" s="31"/>
      <c r="P1240" s="32"/>
      <c r="Q1240" s="32"/>
      <c r="R1240" s="32"/>
      <c r="S1240" s="32">
        <f t="shared" si="313"/>
        <v>0</v>
      </c>
      <c r="T1240" s="12"/>
      <c r="U1240" s="12"/>
      <c r="V1240" s="12"/>
      <c r="W1240" s="12">
        <f t="shared" si="314"/>
        <v>0</v>
      </c>
      <c r="Y1240" s="62"/>
      <c r="Z1240" s="66"/>
      <c r="AA1240" s="85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2"/>
      <c r="D1241" s="32"/>
      <c r="E1241" s="32"/>
      <c r="F1241" s="32"/>
      <c r="G1241" s="32">
        <f t="shared" si="311"/>
        <v>0</v>
      </c>
      <c r="H1241" s="12"/>
      <c r="I1241" s="12"/>
      <c r="J1241" s="12"/>
      <c r="K1241" s="12">
        <f t="shared" si="312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313"/>
        <v>0</v>
      </c>
      <c r="T1241" s="12"/>
      <c r="U1241" s="12"/>
      <c r="V1241" s="12"/>
      <c r="W1241" s="12">
        <f t="shared" si="314"/>
        <v>0</v>
      </c>
      <c r="Y1241" s="62"/>
      <c r="Z1241" s="66"/>
      <c r="AA1241" s="85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11"/>
      <c r="D1242" s="32"/>
      <c r="E1242" s="32"/>
      <c r="F1242" s="32"/>
      <c r="G1242" s="32">
        <f t="shared" si="311"/>
        <v>0</v>
      </c>
      <c r="H1242" s="10"/>
      <c r="I1242" s="10"/>
      <c r="J1242" s="10"/>
      <c r="K1242" s="12">
        <f t="shared" si="312"/>
        <v>0</v>
      </c>
      <c r="M1242" s="10">
        <v>21</v>
      </c>
      <c r="N1242" s="30"/>
      <c r="P1242" s="46"/>
      <c r="Q1242" s="31"/>
      <c r="R1242" s="31"/>
      <c r="S1242" s="32">
        <f t="shared" si="313"/>
        <v>0</v>
      </c>
      <c r="T1242" s="10"/>
      <c r="U1242" s="10"/>
      <c r="V1242" s="10"/>
      <c r="W1242" s="12">
        <f t="shared" si="314"/>
        <v>0</v>
      </c>
      <c r="Y1242" s="62"/>
      <c r="Z1242" s="66"/>
      <c r="AA1242" s="85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57"/>
      <c r="D1243" s="32"/>
      <c r="E1243" s="32"/>
      <c r="F1243" s="32"/>
      <c r="G1243" s="32">
        <f t="shared" si="311"/>
        <v>0</v>
      </c>
      <c r="H1243" s="10"/>
      <c r="I1243" s="10"/>
      <c r="J1243" s="10"/>
      <c r="K1243" s="12">
        <f t="shared" si="312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13"/>
        <v>0</v>
      </c>
      <c r="T1243" s="10"/>
      <c r="U1243" s="10"/>
      <c r="V1243" s="10"/>
      <c r="W1243" s="12">
        <f t="shared" si="314"/>
        <v>0</v>
      </c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2"/>
      <c r="D1244" s="32"/>
      <c r="E1244" s="32"/>
      <c r="F1244" s="32"/>
      <c r="G1244" s="32">
        <f t="shared" si="311"/>
        <v>0</v>
      </c>
      <c r="H1244" s="10"/>
      <c r="I1244" s="10"/>
      <c r="J1244" s="12"/>
      <c r="K1244" s="12">
        <f t="shared" si="312"/>
        <v>0</v>
      </c>
      <c r="M1244" s="10">
        <v>23</v>
      </c>
      <c r="N1244" s="30"/>
      <c r="O1244" s="31"/>
      <c r="P1244" s="47"/>
      <c r="Q1244" s="31"/>
      <c r="S1244" s="32">
        <f t="shared" si="313"/>
        <v>0</v>
      </c>
      <c r="T1244" s="10"/>
      <c r="U1244" s="10"/>
      <c r="V1244" s="10"/>
      <c r="W1244" s="12">
        <f t="shared" si="314"/>
        <v>0</v>
      </c>
      <c r="Y1244" s="62"/>
      <c r="Z1244" s="66"/>
      <c r="AA1244" s="85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82"/>
      <c r="D1245" s="32"/>
      <c r="E1245" s="32"/>
      <c r="F1245" s="32"/>
      <c r="G1245" s="32">
        <f t="shared" si="311"/>
        <v>0</v>
      </c>
      <c r="H1245" s="10"/>
      <c r="I1245" s="10"/>
      <c r="J1245" s="10"/>
      <c r="K1245" s="12">
        <f t="shared" si="312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13"/>
        <v>0</v>
      </c>
      <c r="T1245" s="10"/>
      <c r="U1245" s="10"/>
      <c r="V1245" s="10"/>
      <c r="W1245" s="12">
        <f t="shared" si="314"/>
        <v>0</v>
      </c>
      <c r="Y1245" s="62"/>
      <c r="Z1245" s="66"/>
      <c r="AA1245" s="85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82"/>
      <c r="D1246" s="32"/>
      <c r="E1246" s="32"/>
      <c r="F1246" s="32"/>
      <c r="G1246" s="32">
        <f t="shared" si="311"/>
        <v>0</v>
      </c>
      <c r="H1246" s="10"/>
      <c r="I1246" s="10"/>
      <c r="J1246" s="10"/>
      <c r="K1246" s="12">
        <f t="shared" si="312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13"/>
        <v>0</v>
      </c>
      <c r="T1246" s="10"/>
      <c r="U1246" s="10"/>
      <c r="V1246" s="10"/>
      <c r="W1246" s="12">
        <f t="shared" si="314"/>
        <v>0</v>
      </c>
      <c r="Y1246" s="62"/>
      <c r="Z1246" s="66"/>
      <c r="AA1246" s="85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82"/>
      <c r="D1247" s="32"/>
      <c r="E1247" s="32"/>
      <c r="F1247" s="32"/>
      <c r="G1247" s="32">
        <f t="shared" si="311"/>
        <v>0</v>
      </c>
      <c r="H1247" s="10"/>
      <c r="I1247" s="10"/>
      <c r="J1247" s="10"/>
      <c r="K1247" s="12">
        <f t="shared" si="312"/>
        <v>0</v>
      </c>
      <c r="M1247" s="10">
        <v>26</v>
      </c>
      <c r="N1247" s="30"/>
      <c r="O1247" s="31"/>
      <c r="P1247" s="47"/>
      <c r="Q1247" s="31"/>
      <c r="R1247" s="31"/>
      <c r="S1247" s="32">
        <f t="shared" si="313"/>
        <v>0</v>
      </c>
      <c r="T1247" s="10"/>
      <c r="U1247" s="10"/>
      <c r="V1247" s="10"/>
      <c r="W1247" s="12">
        <f t="shared" si="314"/>
        <v>0</v>
      </c>
      <c r="Y1247" s="62"/>
      <c r="Z1247" s="66"/>
      <c r="AA1247" s="85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82"/>
      <c r="D1248" s="32"/>
      <c r="E1248" s="32"/>
      <c r="F1248" s="32"/>
      <c r="G1248" s="32">
        <f t="shared" si="311"/>
        <v>0</v>
      </c>
      <c r="H1248" s="10"/>
      <c r="I1248" s="10"/>
      <c r="J1248" s="10"/>
      <c r="K1248" s="12">
        <f t="shared" si="312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13"/>
        <v>0</v>
      </c>
      <c r="T1248" s="10"/>
      <c r="U1248" s="10"/>
      <c r="V1248" s="10"/>
      <c r="W1248" s="12">
        <f t="shared" si="314"/>
        <v>0</v>
      </c>
      <c r="Y1248" s="62"/>
      <c r="Z1248" s="66"/>
      <c r="AA1248" s="85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82"/>
      <c r="D1249" s="32"/>
      <c r="E1249" s="32"/>
      <c r="F1249" s="32"/>
      <c r="G1249" s="32">
        <f t="shared" si="311"/>
        <v>0</v>
      </c>
      <c r="H1249" s="10"/>
      <c r="I1249" s="10"/>
      <c r="J1249" s="10"/>
      <c r="K1249" s="12">
        <f t="shared" si="312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13"/>
        <v>0</v>
      </c>
      <c r="T1249" s="10"/>
      <c r="U1249" s="10"/>
      <c r="V1249" s="10"/>
      <c r="W1249" s="12">
        <f t="shared" si="314"/>
        <v>0</v>
      </c>
      <c r="Y1249" s="62"/>
      <c r="Z1249" s="66"/>
      <c r="AA1249" s="85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82"/>
      <c r="D1250" s="32"/>
      <c r="E1250" s="32"/>
      <c r="F1250" s="32"/>
      <c r="G1250" s="32">
        <f t="shared" si="311"/>
        <v>0</v>
      </c>
      <c r="H1250" s="10"/>
      <c r="I1250" s="10"/>
      <c r="J1250" s="10"/>
      <c r="K1250" s="12">
        <f t="shared" si="312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313"/>
        <v>0</v>
      </c>
      <c r="T1250" s="10"/>
      <c r="U1250" s="10"/>
      <c r="V1250" s="10"/>
      <c r="W1250" s="12">
        <f t="shared" si="314"/>
        <v>0</v>
      </c>
      <c r="Y1250" s="62"/>
      <c r="Z1250" s="66"/>
      <c r="AA1250" s="85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82"/>
      <c r="D1251" s="32"/>
      <c r="E1251" s="32"/>
      <c r="F1251" s="32"/>
      <c r="G1251" s="32">
        <f t="shared" si="311"/>
        <v>0</v>
      </c>
      <c r="H1251" s="10"/>
      <c r="I1251" s="10"/>
      <c r="J1251" s="10"/>
      <c r="K1251" s="12">
        <f t="shared" si="312"/>
        <v>0</v>
      </c>
      <c r="M1251" s="10">
        <v>30</v>
      </c>
      <c r="N1251" s="30"/>
      <c r="O1251" s="31"/>
      <c r="P1251" s="47"/>
      <c r="Q1251" s="31"/>
      <c r="R1251" s="31"/>
      <c r="S1251" s="32">
        <f t="shared" si="313"/>
        <v>0</v>
      </c>
      <c r="T1251" s="10"/>
      <c r="U1251" s="10"/>
      <c r="V1251" s="10"/>
      <c r="W1251" s="12">
        <f t="shared" si="314"/>
        <v>0</v>
      </c>
      <c r="Y1251" s="62"/>
      <c r="Z1251" s="66"/>
      <c r="AA1251" s="85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82"/>
      <c r="D1252" s="32"/>
      <c r="E1252" s="32"/>
      <c r="F1252" s="32"/>
      <c r="G1252" s="32">
        <f t="shared" si="311"/>
        <v>0</v>
      </c>
      <c r="H1252" s="10"/>
      <c r="I1252" s="10"/>
      <c r="J1252" s="10"/>
      <c r="K1252" s="12">
        <f t="shared" si="312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313"/>
        <v>0</v>
      </c>
      <c r="T1252" s="10"/>
      <c r="U1252" s="10"/>
      <c r="V1252" s="10"/>
      <c r="W1252" s="12">
        <f t="shared" si="314"/>
        <v>0</v>
      </c>
      <c r="Y1252" s="62"/>
      <c r="Z1252" s="66"/>
      <c r="AA1252" s="85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82"/>
      <c r="D1253" s="32"/>
      <c r="E1253" s="32"/>
      <c r="F1253" s="32"/>
      <c r="G1253" s="32">
        <f t="shared" si="311"/>
        <v>0</v>
      </c>
      <c r="H1253" s="10"/>
      <c r="I1253" s="10"/>
      <c r="J1253" s="10"/>
      <c r="K1253" s="12">
        <f t="shared" si="312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13"/>
        <v>0</v>
      </c>
      <c r="T1253" s="10"/>
      <c r="U1253" s="10"/>
      <c r="V1253" s="10"/>
      <c r="W1253" s="12">
        <f t="shared" si="314"/>
        <v>0</v>
      </c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2"/>
      <c r="D1254" s="32"/>
      <c r="E1254" s="32"/>
      <c r="F1254" s="32"/>
      <c r="G1254" s="32">
        <f t="shared" si="311"/>
        <v>0</v>
      </c>
      <c r="H1254" s="10"/>
      <c r="I1254" s="10"/>
      <c r="J1254" s="10"/>
      <c r="K1254" s="12">
        <f t="shared" si="312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13"/>
        <v>0</v>
      </c>
      <c r="T1254" s="10"/>
      <c r="U1254" s="10"/>
      <c r="V1254" s="10"/>
      <c r="W1254" s="12">
        <f t="shared" si="314"/>
        <v>0</v>
      </c>
      <c r="Y1254" s="62"/>
      <c r="Z1254" s="66"/>
      <c r="AA1254" s="85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2"/>
      <c r="D1255" s="32"/>
      <c r="E1255" s="32"/>
      <c r="F1255" s="32"/>
      <c r="G1255" s="32">
        <f t="shared" si="311"/>
        <v>0</v>
      </c>
      <c r="H1255" s="10"/>
      <c r="I1255" s="10"/>
      <c r="J1255" s="10"/>
      <c r="K1255" s="12">
        <f t="shared" si="312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13"/>
        <v>0</v>
      </c>
      <c r="T1255" s="10"/>
      <c r="U1255" s="10"/>
      <c r="V1255" s="10"/>
      <c r="W1255" s="12">
        <f t="shared" si="314"/>
        <v>0</v>
      </c>
      <c r="Y1255" s="62"/>
      <c r="Z1255" s="66"/>
      <c r="AA1255" s="85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P1256" s="47"/>
      <c r="Q1256" s="31"/>
      <c r="R1256" s="31"/>
      <c r="S1256" s="32">
        <f t="shared" si="313"/>
        <v>0</v>
      </c>
      <c r="T1256" s="10"/>
      <c r="U1256" s="10"/>
      <c r="V1256" s="10"/>
      <c r="W1256" s="12">
        <f t="shared" si="314"/>
        <v>0</v>
      </c>
      <c r="Y1256" s="62"/>
      <c r="Z1256" s="66"/>
      <c r="AA1256" s="85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13"/>
        <v>0</v>
      </c>
      <c r="T1257" s="10"/>
      <c r="U1257" s="10"/>
      <c r="V1257" s="10"/>
      <c r="W1257" s="12">
        <f t="shared" si="314"/>
        <v>0</v>
      </c>
      <c r="Y1257" s="62"/>
      <c r="Z1257" s="66"/>
      <c r="AA1257" s="85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O1258" s="31"/>
      <c r="P1258" s="47"/>
      <c r="Q1258" s="31"/>
      <c r="R1258" s="31"/>
      <c r="S1258" s="32">
        <f t="shared" si="313"/>
        <v>0</v>
      </c>
      <c r="T1258" s="10"/>
      <c r="U1258" s="10"/>
      <c r="V1258" s="10"/>
      <c r="W1258" s="12">
        <f t="shared" si="314"/>
        <v>0</v>
      </c>
      <c r="Y1258" s="62"/>
      <c r="Z1258" s="66"/>
      <c r="AA1258" s="85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13"/>
        <v>0</v>
      </c>
      <c r="T1259" s="10"/>
      <c r="U1259" s="10"/>
      <c r="V1259" s="10"/>
      <c r="W1259" s="12">
        <f t="shared" si="314"/>
        <v>0</v>
      </c>
      <c r="Y1259" s="62"/>
      <c r="Z1259" s="66"/>
      <c r="AA1259" s="85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13"/>
        <v>0</v>
      </c>
      <c r="T1260" s="10"/>
      <c r="U1260" s="10"/>
      <c r="V1260" s="10"/>
      <c r="W1260" s="12">
        <f t="shared" si="314"/>
        <v>0</v>
      </c>
      <c r="Y1260" s="62"/>
      <c r="Z1260" s="66"/>
      <c r="AA1260" s="85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14"/>
        <v>0</v>
      </c>
      <c r="Y1261" s="62"/>
      <c r="Z1261" s="66"/>
      <c r="AA1261" s="85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17">SUM(D1262:E1262)</f>
        <v>0</v>
      </c>
      <c r="H1262" s="10"/>
      <c r="I1262" s="10"/>
      <c r="J1262" s="10"/>
      <c r="K1262" s="12">
        <f t="shared" ref="K1262" si="318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19">SUM(P1262:Q1262)</f>
        <v>0</v>
      </c>
      <c r="T1262" s="10"/>
      <c r="U1262" s="10"/>
      <c r="V1262" s="10"/>
      <c r="W1262" s="12">
        <f t="shared" si="314"/>
        <v>0</v>
      </c>
      <c r="Y1262" s="62"/>
      <c r="Z1262" s="66"/>
      <c r="AA1262" s="85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14"/>
        <v>0</v>
      </c>
      <c r="Y1263" s="62"/>
      <c r="Z1263" s="66"/>
      <c r="AA1263" s="85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Y1264" s="62"/>
      <c r="Z1264" s="66"/>
      <c r="AA1264" s="85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617737</v>
      </c>
      <c r="E1265" s="38">
        <f t="shared" ref="E1265:G1265" si="320">SUM(E1222:E1262)</f>
        <v>-7968</v>
      </c>
      <c r="F1265" s="38">
        <f t="shared" si="320"/>
        <v>0</v>
      </c>
      <c r="G1265" s="38">
        <f>SUM(G1222:G1264)</f>
        <v>609769</v>
      </c>
      <c r="H1265" s="4"/>
      <c r="I1265" s="39">
        <f>SUM(I1222:I1264)</f>
        <v>25539</v>
      </c>
      <c r="J1265" s="39">
        <f>SUM(J1222:J1264)</f>
        <v>-1248</v>
      </c>
      <c r="K1265" s="40">
        <f>SUM(K1222:K1264)</f>
        <v>634060</v>
      </c>
      <c r="N1265" s="57"/>
      <c r="O1265" s="57"/>
      <c r="P1265" s="38">
        <f>SUM(P1222:P1264)</f>
        <v>268989.5</v>
      </c>
      <c r="Q1265" s="38">
        <f>SUM(Q1222:Q1246)</f>
        <v>-1200</v>
      </c>
      <c r="R1265" s="38">
        <f>SUM(R1222:R1246)</f>
        <v>0</v>
      </c>
      <c r="S1265" s="38">
        <f>SUM(S1222:S1264)</f>
        <v>267789.5</v>
      </c>
      <c r="T1265" s="4"/>
      <c r="U1265" s="41">
        <f>SUM(U1222:U1264)</f>
        <v>3436.5</v>
      </c>
      <c r="V1265" s="41">
        <f>SUM(V1222:V1246)</f>
        <v>-195</v>
      </c>
      <c r="W1265" s="42">
        <f>SUM(W1222:W1264)</f>
        <v>271031</v>
      </c>
      <c r="Y1265" s="62"/>
      <c r="Z1265" s="66"/>
      <c r="AA1265" s="85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62"/>
      <c r="Z1266" s="66"/>
      <c r="AA1266" s="85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5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5"/>
      <c r="R1270" s="85"/>
      <c r="S1270" s="60"/>
      <c r="T1270" s="62"/>
      <c r="U1270" s="62"/>
      <c r="V1270" s="62"/>
      <c r="W1270" s="61"/>
      <c r="X1270" s="62"/>
      <c r="Y1270" s="62"/>
      <c r="Z1270" s="66"/>
      <c r="AA1270" s="85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5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5"/>
      <c r="P1271" s="69"/>
      <c r="Q1271" s="85"/>
      <c r="R1271" s="85"/>
      <c r="S1271" s="60"/>
      <c r="T1271" s="62"/>
      <c r="U1271" s="62"/>
      <c r="V1271" s="62"/>
      <c r="W1271" s="61"/>
      <c r="X1271" s="62"/>
      <c r="Y1271" s="62"/>
      <c r="Z1271" s="66"/>
      <c r="AA1271" s="85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5"/>
      <c r="O1272" s="85"/>
      <c r="P1272" s="85"/>
      <c r="Q1272" s="85"/>
      <c r="R1272" s="85"/>
      <c r="S1272" s="85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5"/>
      <c r="C1273" s="85"/>
      <c r="D1273" s="85"/>
      <c r="E1273" s="85"/>
      <c r="F1273" s="85"/>
      <c r="G1273" s="85"/>
      <c r="H1273" s="62"/>
      <c r="I1273" s="62"/>
      <c r="J1273" s="62"/>
      <c r="K1273" s="62"/>
      <c r="L1273" s="62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X1273" s="62"/>
      <c r="Y1273" s="62"/>
      <c r="Z1273" s="85"/>
      <c r="AA1273" s="85"/>
      <c r="AB1273" s="85"/>
      <c r="AC1273" s="85"/>
      <c r="AD1273" s="85"/>
      <c r="AE1273" s="85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5"/>
      <c r="O1274" s="85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5"/>
      <c r="AA1274" s="85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2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5"/>
      <c r="C1278" s="85"/>
      <c r="D1278" s="85"/>
      <c r="E1278" s="85"/>
      <c r="F1278" s="85"/>
      <c r="G1278" s="85"/>
      <c r="H1278" s="62"/>
      <c r="I1278" s="62"/>
      <c r="J1278" s="62"/>
      <c r="K1278" s="62"/>
      <c r="L1278" s="62"/>
      <c r="M1278" s="63"/>
      <c r="N1278" s="85"/>
      <c r="O1278" s="85"/>
      <c r="P1278" s="85"/>
      <c r="Q1278" s="85"/>
      <c r="R1278" s="85"/>
      <c r="S1278" s="85"/>
      <c r="T1278" s="62"/>
      <c r="U1278" s="62"/>
      <c r="V1278" s="62"/>
      <c r="W1278" s="62"/>
      <c r="X1278" s="62"/>
      <c r="Y1278" s="63"/>
      <c r="Z1278" s="85"/>
      <c r="AA1278" s="85"/>
      <c r="AB1278" s="85"/>
      <c r="AC1278" s="85"/>
      <c r="AD1278" s="85"/>
      <c r="AE1278" s="85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5"/>
      <c r="C1279" s="85"/>
      <c r="D1279" s="85"/>
      <c r="E1279" s="85"/>
      <c r="F1279" s="85"/>
      <c r="G1279" s="85"/>
      <c r="H1279" s="62"/>
      <c r="I1279" s="62"/>
      <c r="J1279" s="62"/>
      <c r="K1279" s="62"/>
      <c r="L1279" s="62"/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X1279" s="62"/>
      <c r="Y1279" s="62"/>
      <c r="Z1279" s="85"/>
      <c r="AA1279" s="85"/>
      <c r="AB1279" s="85"/>
      <c r="AC1279" s="85"/>
      <c r="AD1279" s="85"/>
      <c r="AE1279" s="85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5"/>
      <c r="C1280" s="85"/>
      <c r="D1280" s="85"/>
      <c r="E1280" s="85"/>
      <c r="F1280" s="85"/>
      <c r="G1280" s="85"/>
      <c r="H1280" s="62"/>
      <c r="I1280" s="85"/>
      <c r="J1280" s="73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85"/>
      <c r="V1280" s="73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85"/>
      <c r="AH1280" s="8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5"/>
      <c r="C1281" s="85"/>
      <c r="D1281" s="85"/>
      <c r="E1281" s="85"/>
      <c r="F1281" s="85"/>
      <c r="G1281" s="85"/>
      <c r="H1281" s="62"/>
      <c r="I1281" s="65"/>
      <c r="J1281" s="65"/>
      <c r="K1281" s="62"/>
      <c r="L1281" s="62"/>
      <c r="M1281" s="64"/>
      <c r="N1281" s="85"/>
      <c r="O1281" s="85"/>
      <c r="P1281" s="85"/>
      <c r="Q1281" s="85"/>
      <c r="R1281" s="85"/>
      <c r="S1281" s="85"/>
      <c r="T1281" s="62"/>
      <c r="U1281" s="65"/>
      <c r="V1281" s="65"/>
      <c r="W1281" s="62"/>
      <c r="X1281" s="62"/>
      <c r="Y1281" s="64"/>
      <c r="Z1281" s="85"/>
      <c r="AA1281" s="85"/>
      <c r="AB1281" s="85"/>
      <c r="AC1281" s="85"/>
      <c r="AD1281" s="85"/>
      <c r="AE1281" s="85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5"/>
      <c r="F1282" s="85"/>
      <c r="G1282" s="85"/>
      <c r="H1282" s="62"/>
      <c r="I1282" s="62"/>
      <c r="J1282" s="62"/>
      <c r="K1282" s="62"/>
      <c r="L1282" s="62"/>
      <c r="M1282" s="62"/>
      <c r="N1282" s="85"/>
      <c r="O1282" s="85"/>
      <c r="P1282" s="85"/>
      <c r="Q1282" s="85"/>
      <c r="R1282" s="85"/>
      <c r="S1282" s="85"/>
      <c r="T1282" s="62"/>
      <c r="U1282" s="62"/>
      <c r="V1282" s="62"/>
      <c r="W1282" s="62"/>
      <c r="X1282" s="62"/>
      <c r="Y1282" s="62"/>
      <c r="Z1282" s="85"/>
      <c r="AA1282" s="85"/>
      <c r="AB1282" s="85"/>
      <c r="AC1282" s="85"/>
      <c r="AD1282" s="85"/>
      <c r="AE1282" s="85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5"/>
      <c r="D1283" s="123"/>
      <c r="E1283" s="123"/>
      <c r="F1283" s="85"/>
      <c r="G1283" s="85"/>
      <c r="H1283" s="62"/>
      <c r="I1283" s="123"/>
      <c r="J1283" s="123"/>
      <c r="K1283" s="122"/>
      <c r="L1283" s="62"/>
      <c r="M1283" s="62"/>
      <c r="N1283" s="65"/>
      <c r="O1283" s="85"/>
      <c r="P1283" s="123"/>
      <c r="Q1283" s="123"/>
      <c r="R1283" s="85"/>
      <c r="S1283" s="85"/>
      <c r="T1283" s="62"/>
      <c r="U1283" s="123"/>
      <c r="V1283" s="123"/>
      <c r="W1283" s="122"/>
      <c r="X1283" s="62"/>
      <c r="Y1283" s="62"/>
      <c r="Z1283" s="65"/>
      <c r="AA1283" s="85"/>
      <c r="AB1283" s="123"/>
      <c r="AC1283" s="123"/>
      <c r="AD1283" s="85"/>
      <c r="AE1283" s="85"/>
      <c r="AF1283" s="62"/>
      <c r="AG1283" s="123"/>
      <c r="AH1283" s="123"/>
      <c r="AI1283" s="12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5"/>
      <c r="C1284" s="85"/>
      <c r="D1284" s="85"/>
      <c r="E1284" s="84"/>
      <c r="F1284" s="84"/>
      <c r="G1284" s="84"/>
      <c r="H1284" s="62"/>
      <c r="I1284" s="84"/>
      <c r="J1284" s="84"/>
      <c r="K1284" s="122"/>
      <c r="L1284" s="62"/>
      <c r="M1284" s="62"/>
      <c r="N1284" s="85"/>
      <c r="O1284" s="85"/>
      <c r="P1284" s="85"/>
      <c r="Q1284" s="84"/>
      <c r="R1284" s="84"/>
      <c r="S1284" s="84"/>
      <c r="T1284" s="62"/>
      <c r="U1284" s="84"/>
      <c r="V1284" s="84"/>
      <c r="W1284" s="122"/>
      <c r="X1284" s="62"/>
      <c r="Y1284" s="62"/>
      <c r="Z1284" s="85"/>
      <c r="AA1284" s="85"/>
      <c r="AB1284" s="85"/>
      <c r="AC1284" s="84"/>
      <c r="AD1284" s="84"/>
      <c r="AE1284" s="84"/>
      <c r="AF1284" s="62"/>
      <c r="AG1284" s="84"/>
      <c r="AH1284" s="84"/>
      <c r="AI1284" s="12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5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5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85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85"/>
      <c r="F1298" s="85"/>
      <c r="G1298" s="60"/>
      <c r="H1298" s="61"/>
      <c r="I1298" s="61"/>
      <c r="J1298" s="62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5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5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85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5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5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5"/>
      <c r="P1305" s="67"/>
      <c r="Q1305" s="85"/>
      <c r="R1305" s="85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5"/>
      <c r="AD1305" s="85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8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8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85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5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5"/>
      <c r="R1324" s="85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5"/>
      <c r="AD1324" s="85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5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5"/>
      <c r="P1325" s="69"/>
      <c r="Q1325" s="85"/>
      <c r="R1325" s="85"/>
      <c r="S1325" s="60"/>
      <c r="T1325" s="62"/>
      <c r="U1325" s="62"/>
      <c r="V1325" s="62"/>
      <c r="W1325" s="61"/>
      <c r="X1325" s="62"/>
      <c r="Y1325" s="62"/>
      <c r="Z1325" s="66"/>
      <c r="AA1325" s="85"/>
      <c r="AB1325" s="69"/>
      <c r="AC1325" s="85"/>
      <c r="AD1325" s="85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5"/>
      <c r="O1326" s="85"/>
      <c r="P1326" s="85"/>
      <c r="Q1326" s="85"/>
      <c r="R1326" s="85"/>
      <c r="S1326" s="85"/>
      <c r="T1326" s="62"/>
      <c r="U1326" s="62"/>
      <c r="V1326" s="62"/>
      <c r="W1326" s="61"/>
      <c r="X1326" s="62"/>
      <c r="Y1326" s="62"/>
      <c r="Z1326" s="85"/>
      <c r="AA1326" s="85"/>
      <c r="AB1326" s="85"/>
      <c r="AC1326" s="85"/>
      <c r="AD1326" s="85"/>
      <c r="AE1326" s="85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85"/>
      <c r="O1327" s="85"/>
      <c r="P1327" s="85"/>
      <c r="Q1327" s="85"/>
      <c r="R1327" s="85"/>
      <c r="S1327" s="85"/>
      <c r="T1327" s="62"/>
      <c r="U1327" s="62"/>
      <c r="V1327" s="62"/>
      <c r="W1327" s="62"/>
      <c r="X1327" s="62"/>
      <c r="Y1327" s="62"/>
      <c r="Z1327" s="85"/>
      <c r="AA1327" s="85"/>
      <c r="AB1327" s="85"/>
      <c r="AC1327" s="85"/>
      <c r="AD1327" s="85"/>
      <c r="AE1327" s="85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5"/>
      <c r="O1328" s="85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5"/>
      <c r="AA1328" s="85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5"/>
      <c r="C1557" s="85"/>
      <c r="D1557" s="85"/>
      <c r="E1557" s="85"/>
      <c r="F1557" s="85"/>
      <c r="G1557" s="85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5"/>
      <c r="C1558" s="85"/>
      <c r="D1558" s="85"/>
      <c r="E1558" s="85"/>
      <c r="F1558" s="85"/>
      <c r="G1558" s="85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K1220:K1221"/>
    <mergeCell ref="I1220:J1220"/>
    <mergeCell ref="D1220:E1220"/>
    <mergeCell ref="P1220:Q1220"/>
    <mergeCell ref="U1220:V1220"/>
    <mergeCell ref="W1220:W1221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2026-04-01T01:50:54Z</dcterms:modified>
</cp:coreProperties>
</file>