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u4fxw\GBDS\GBDS MARCH FILES 2026\"/>
    </mc:Choice>
  </mc:AlternateContent>
  <xr:revisionPtr revIDLastSave="0" documentId="13_ncr:1_{CB374AE5-CB76-4640-B1FB-A510653267E3}" xr6:coauthVersionLast="47" xr6:coauthVersionMax="47" xr10:uidLastSave="{00000000-0000-0000-0000-000000000000}"/>
  <bookViews>
    <workbookView xWindow="-120" yWindow="-120" windowWidth="29040" windowHeight="15840" firstSheet="29" activeTab="36" xr2:uid="{67C3A74A-A57E-4AB5-8CD3-31B592A14032}"/>
  </bookViews>
  <sheets>
    <sheet name="CSR | APRIL" sheetId="902" r:id="rId1"/>
    <sheet name="(2)" sheetId="1448" r:id="rId2"/>
    <sheet name="03-02 R1" sheetId="1449" r:id="rId3"/>
    <sheet name="03-02 R2" sheetId="1450" r:id="rId4"/>
    <sheet name="03-02 R3" sheetId="1451" r:id="rId5"/>
    <sheet name="(3)" sheetId="1452" r:id="rId6"/>
    <sheet name="03-03 R1" sheetId="1453" r:id="rId7"/>
    <sheet name="03-03 R2" sheetId="1454" r:id="rId8"/>
    <sheet name="03-03 R3" sheetId="1455" r:id="rId9"/>
    <sheet name="(4)" sheetId="1456" r:id="rId10"/>
    <sheet name="03-04 R1" sheetId="1457" r:id="rId11"/>
    <sheet name="03-04 R2" sheetId="1458" r:id="rId12"/>
    <sheet name="03-04 R3" sheetId="1459" r:id="rId13"/>
    <sheet name="(5)" sheetId="1460" r:id="rId14"/>
    <sheet name="03-05 R1" sheetId="1461" r:id="rId15"/>
    <sheet name="03-05 R2" sheetId="1462" r:id="rId16"/>
    <sheet name="03-05 R3 NO TRIP" sheetId="1463" r:id="rId17"/>
    <sheet name="(6)" sheetId="1464" r:id="rId18"/>
    <sheet name="03-06 R1 NO TRIP" sheetId="1467" r:id="rId19"/>
    <sheet name="03-06 R2 NO TRIP" sheetId="1466" r:id="rId20"/>
    <sheet name="03-06 R3" sheetId="1465" r:id="rId21"/>
    <sheet name="(7)" sheetId="1468" r:id="rId22"/>
    <sheet name="03-07 R1" sheetId="1469" r:id="rId23"/>
    <sheet name="03-07 R2" sheetId="1470" r:id="rId24"/>
    <sheet name="03-07 R3" sheetId="1471" r:id="rId25"/>
    <sheet name="(9)" sheetId="1472" r:id="rId26"/>
    <sheet name="03-09 R1" sheetId="1473" r:id="rId27"/>
    <sheet name="03-09 R2" sheetId="1474" r:id="rId28"/>
    <sheet name="03-09 R3" sheetId="1475" r:id="rId29"/>
    <sheet name="(10)" sheetId="1476" r:id="rId30"/>
    <sheet name="03-10 R1" sheetId="1477" r:id="rId31"/>
    <sheet name="03-10 R2" sheetId="1478" r:id="rId32"/>
    <sheet name="03-10 R3" sheetId="1479" r:id="rId33"/>
    <sheet name="(11)" sheetId="1480" r:id="rId34"/>
    <sheet name="03-11 R1" sheetId="1481" r:id="rId35"/>
    <sheet name="03-11 R2" sheetId="1482" r:id="rId36"/>
    <sheet name="03-11 R3" sheetId="1499" r:id="rId37"/>
    <sheet name="(12)" sheetId="1484" r:id="rId38"/>
    <sheet name="03-12 R1" sheetId="1485" r:id="rId39"/>
    <sheet name="03-12 R2" sheetId="1486" r:id="rId40"/>
    <sheet name="03-12 R3" sheetId="1483" r:id="rId41"/>
    <sheet name="(13)" sheetId="1487" r:id="rId42"/>
    <sheet name="03-13 R1" sheetId="1488" r:id="rId43"/>
    <sheet name="03-13 R2" sheetId="1489" r:id="rId44"/>
    <sheet name="03-13 R3" sheetId="1490" r:id="rId45"/>
    <sheet name="(14)" sheetId="1491" r:id="rId46"/>
    <sheet name="03-14 R1" sheetId="1492" r:id="rId47"/>
    <sheet name="03-14 R2" sheetId="1493" r:id="rId48"/>
    <sheet name="03-14 R3" sheetId="1494" r:id="rId49"/>
    <sheet name="(16)" sheetId="1495" r:id="rId50"/>
    <sheet name="03-16 R1" sheetId="1496" r:id="rId51"/>
    <sheet name="03-16 R2" sheetId="1497" r:id="rId52"/>
    <sheet name="03-16 R3" sheetId="1498" r:id="rId53"/>
  </sheets>
  <externalReferences>
    <externalReference r:id="rId54"/>
  </externalReferences>
  <definedNames>
    <definedName name="_xlnm.Print_Area" localSheetId="29">'(10)'!$A$1:$Z$44</definedName>
    <definedName name="_xlnm.Print_Area" localSheetId="33">'(11)'!$A$1:$Z$44</definedName>
    <definedName name="_xlnm.Print_Area" localSheetId="37">'(12)'!$A$1:$Z$44</definedName>
    <definedName name="_xlnm.Print_Area" localSheetId="41">'(13)'!$A$1:$Z$44</definedName>
    <definedName name="_xlnm.Print_Area" localSheetId="45">'(14)'!$A$1:$Z$44</definedName>
    <definedName name="_xlnm.Print_Area" localSheetId="49">'(16)'!$A$1:$Z$44</definedName>
    <definedName name="_xlnm.Print_Area" localSheetId="1">'(2)'!$A$1:$Z$44</definedName>
    <definedName name="_xlnm.Print_Area" localSheetId="5">'(3)'!$A$1:$Z$44</definedName>
    <definedName name="_xlnm.Print_Area" localSheetId="9">'(4)'!$A$1:$Z$44</definedName>
    <definedName name="_xlnm.Print_Area" localSheetId="13">'(5)'!$A$1:$Z$44</definedName>
    <definedName name="_xlnm.Print_Area" localSheetId="17">'(6)'!$A$1:$Z$44</definedName>
    <definedName name="_xlnm.Print_Area" localSheetId="21">'(7)'!$A$1:$Z$44</definedName>
    <definedName name="_xlnm.Print_Area" localSheetId="25">'(9)'!$A$1:$Z$44</definedName>
    <definedName name="_xlnm.Print_Area" localSheetId="2">'03-02 R1'!$A$1:$Z$43</definedName>
    <definedName name="_xlnm.Print_Area" localSheetId="3">'03-02 R2'!$A$1:$V$44</definedName>
    <definedName name="_xlnm.Print_Area" localSheetId="4">'03-02 R3'!$A$1:$V$44</definedName>
    <definedName name="_xlnm.Print_Area" localSheetId="6">'03-03 R1'!$A$1:$Z$43</definedName>
    <definedName name="_xlnm.Print_Area" localSheetId="7">'03-03 R2'!$A$1:$V$44</definedName>
    <definedName name="_xlnm.Print_Area" localSheetId="8">'03-03 R3'!$A$1:$V$44</definedName>
    <definedName name="_xlnm.Print_Area" localSheetId="10">'03-04 R1'!$A$1:$Z$43</definedName>
    <definedName name="_xlnm.Print_Area" localSheetId="11">'03-04 R2'!$A$1:$V$44</definedName>
    <definedName name="_xlnm.Print_Area" localSheetId="12">'03-04 R3'!$A$1:$V$44</definedName>
    <definedName name="_xlnm.Print_Area" localSheetId="14">'03-05 R1'!$A$1:$Z$43</definedName>
    <definedName name="_xlnm.Print_Area" localSheetId="15">'03-05 R2'!$A$1:$V$44</definedName>
    <definedName name="_xlnm.Print_Area" localSheetId="16">'03-05 R3 NO TRIP'!$A$1:$V$44</definedName>
    <definedName name="_xlnm.Print_Area" localSheetId="18">'03-06 R1 NO TRIP'!$A$1:$V$44</definedName>
    <definedName name="_xlnm.Print_Area" localSheetId="19">'03-06 R2 NO TRIP'!$A$1:$V$44</definedName>
    <definedName name="_xlnm.Print_Area" localSheetId="20">'03-06 R3'!$A$1:$Z$43</definedName>
    <definedName name="_xlnm.Print_Area" localSheetId="22">'03-07 R1'!$A$1:$Z$43</definedName>
    <definedName name="_xlnm.Print_Area" localSheetId="23">'03-07 R2'!$A$1:$V$44</definedName>
    <definedName name="_xlnm.Print_Area" localSheetId="24">'03-07 R3'!$A$1:$V$44</definedName>
    <definedName name="_xlnm.Print_Area" localSheetId="26">'03-09 R1'!$A$1:$Z$43</definedName>
    <definedName name="_xlnm.Print_Area" localSheetId="27">'03-09 R2'!$A$1:$V$44</definedName>
    <definedName name="_xlnm.Print_Area" localSheetId="28">'03-09 R3'!$A$1:$V$44</definedName>
    <definedName name="_xlnm.Print_Area" localSheetId="30">'03-10 R1'!$A$1:$Z$43</definedName>
    <definedName name="_xlnm.Print_Area" localSheetId="31">'03-10 R2'!$A$1:$V$44</definedName>
    <definedName name="_xlnm.Print_Area" localSheetId="32">'03-10 R3'!$A$1:$V$44</definedName>
    <definedName name="_xlnm.Print_Area" localSheetId="34">'03-11 R1'!$A$1:$Z$43</definedName>
    <definedName name="_xlnm.Print_Area" localSheetId="35">'03-11 R2'!$A$1:$V$44</definedName>
    <definedName name="_xlnm.Print_Area" localSheetId="36">'03-11 R3'!$A$1:$V$44</definedName>
    <definedName name="_xlnm.Print_Area" localSheetId="38">'03-12 R1'!$A$1:$Z$43</definedName>
    <definedName name="_xlnm.Print_Area" localSheetId="39">'03-12 R2'!$A$1:$V$44</definedName>
    <definedName name="_xlnm.Print_Area" localSheetId="40">'03-12 R3'!$A$1:$V$44</definedName>
    <definedName name="_xlnm.Print_Area" localSheetId="42">'03-13 R1'!$A$1:$Z$43</definedName>
    <definedName name="_xlnm.Print_Area" localSheetId="43">'03-13 R2'!$A$1:$V$44</definedName>
    <definedName name="_xlnm.Print_Area" localSheetId="44">'03-13 R3'!$A$1:$V$44</definedName>
    <definedName name="_xlnm.Print_Area" localSheetId="46">'03-14 R1'!$A$1:$Z$43</definedName>
    <definedName name="_xlnm.Print_Area" localSheetId="47">'03-14 R2'!$A$1:$V$44</definedName>
    <definedName name="_xlnm.Print_Area" localSheetId="48">'03-14 R3'!$A$1:$V$44</definedName>
    <definedName name="_xlnm.Print_Area" localSheetId="50">'03-16 R1'!$A$1:$Z$43</definedName>
    <definedName name="_xlnm.Print_Area" localSheetId="51">'03-16 R2'!$A$1:$V$44</definedName>
    <definedName name="_xlnm.Print_Area" localSheetId="52">'03-16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5" i="1499" l="1"/>
  <c r="C44" i="1499"/>
  <c r="C45" i="1482"/>
  <c r="C44" i="1482"/>
  <c r="F21" i="1499"/>
  <c r="Y19" i="1499"/>
  <c r="W19" i="1499"/>
  <c r="V19" i="1499"/>
  <c r="U19" i="1499"/>
  <c r="T19" i="1499"/>
  <c r="P19" i="1499"/>
  <c r="O19" i="1499"/>
  <c r="N19" i="1499"/>
  <c r="M19" i="1499"/>
  <c r="L19" i="1499"/>
  <c r="K19" i="1499"/>
  <c r="J19" i="1499"/>
  <c r="I19" i="1499"/>
  <c r="H19" i="1499"/>
  <c r="G19" i="1499"/>
  <c r="F19" i="1499"/>
  <c r="E19" i="1499"/>
  <c r="D19" i="1499"/>
  <c r="C19" i="1499"/>
  <c r="Y18" i="1499"/>
  <c r="W18" i="1499"/>
  <c r="V18" i="1499"/>
  <c r="U18" i="1499"/>
  <c r="T18" i="1499"/>
  <c r="P18" i="1499"/>
  <c r="O18" i="1499"/>
  <c r="N18" i="1499"/>
  <c r="M18" i="1499"/>
  <c r="L18" i="1499"/>
  <c r="K18" i="1499"/>
  <c r="J18" i="1499"/>
  <c r="I18" i="1499"/>
  <c r="H18" i="1499"/>
  <c r="G18" i="1499"/>
  <c r="F18" i="1499"/>
  <c r="E18" i="1499"/>
  <c r="D18" i="1499"/>
  <c r="C18" i="1499"/>
  <c r="Y4" i="1499"/>
  <c r="W4" i="1499"/>
  <c r="V4" i="1499"/>
  <c r="U4" i="1499"/>
  <c r="T4" i="1499"/>
  <c r="P4" i="1499"/>
  <c r="O4" i="1499"/>
  <c r="N4" i="1499"/>
  <c r="M4" i="1499"/>
  <c r="L4" i="1499"/>
  <c r="K4" i="1499"/>
  <c r="J4" i="1499"/>
  <c r="I4" i="1499"/>
  <c r="H4" i="1499"/>
  <c r="G4" i="1499"/>
  <c r="F4" i="1499"/>
  <c r="E4" i="1499"/>
  <c r="D4" i="1499"/>
  <c r="C4" i="1499"/>
  <c r="Y3" i="1499"/>
  <c r="W3" i="1499"/>
  <c r="V3" i="1499"/>
  <c r="U3" i="1499"/>
  <c r="T3" i="1499"/>
  <c r="P3" i="1499"/>
  <c r="O3" i="1499"/>
  <c r="N3" i="1499"/>
  <c r="M3" i="1499"/>
  <c r="L3" i="1499"/>
  <c r="K3" i="1499"/>
  <c r="J3" i="1499"/>
  <c r="I3" i="1499"/>
  <c r="H3" i="1499"/>
  <c r="G3" i="1499"/>
  <c r="F3" i="1499"/>
  <c r="E3" i="1499"/>
  <c r="D3" i="1499"/>
  <c r="C3" i="1499"/>
  <c r="C45" i="1481"/>
  <c r="C44" i="1481"/>
  <c r="C45" i="1478"/>
  <c r="C44" i="1478"/>
  <c r="C45" i="1479"/>
  <c r="C44" i="1479"/>
  <c r="C44" i="1477"/>
  <c r="C44" i="1475" l="1"/>
  <c r="C45" i="1474"/>
  <c r="C44" i="1474"/>
  <c r="C45" i="1473"/>
  <c r="C44" i="1473"/>
  <c r="F21" i="1498"/>
  <c r="Y19" i="1498"/>
  <c r="W19" i="1498"/>
  <c r="V19" i="1498"/>
  <c r="U19" i="1498"/>
  <c r="T19" i="1498"/>
  <c r="P19" i="1498"/>
  <c r="O19" i="1498"/>
  <c r="N19" i="1498"/>
  <c r="M19" i="1498"/>
  <c r="L19" i="1498"/>
  <c r="K19" i="1498"/>
  <c r="J19" i="1498"/>
  <c r="I19" i="1498"/>
  <c r="H19" i="1498"/>
  <c r="G19" i="1498"/>
  <c r="F19" i="1498"/>
  <c r="E19" i="1498"/>
  <c r="D19" i="1498"/>
  <c r="C19" i="1498"/>
  <c r="Y18" i="1498"/>
  <c r="W18" i="1498"/>
  <c r="V18" i="1498"/>
  <c r="U18" i="1498"/>
  <c r="T18" i="1498"/>
  <c r="P18" i="1498"/>
  <c r="O18" i="1498"/>
  <c r="N18" i="1498"/>
  <c r="M18" i="1498"/>
  <c r="L18" i="1498"/>
  <c r="K18" i="1498"/>
  <c r="J18" i="1498"/>
  <c r="I18" i="1498"/>
  <c r="H18" i="1498"/>
  <c r="G18" i="1498"/>
  <c r="F18" i="1498"/>
  <c r="E18" i="1498"/>
  <c r="D18" i="1498"/>
  <c r="C18" i="1498"/>
  <c r="Y4" i="1498"/>
  <c r="W4" i="1498"/>
  <c r="V4" i="1498"/>
  <c r="U4" i="1498"/>
  <c r="T4" i="1498"/>
  <c r="P4" i="1498"/>
  <c r="O4" i="1498"/>
  <c r="N4" i="1498"/>
  <c r="M4" i="1498"/>
  <c r="L4" i="1498"/>
  <c r="K4" i="1498"/>
  <c r="J4" i="1498"/>
  <c r="I4" i="1498"/>
  <c r="H4" i="1498"/>
  <c r="G4" i="1498"/>
  <c r="F4" i="1498"/>
  <c r="E4" i="1498"/>
  <c r="D4" i="1498"/>
  <c r="C4" i="1498"/>
  <c r="Y3" i="1498"/>
  <c r="W3" i="1498"/>
  <c r="V3" i="1498"/>
  <c r="U3" i="1498"/>
  <c r="T3" i="1498"/>
  <c r="P3" i="1498"/>
  <c r="O3" i="1498"/>
  <c r="N3" i="1498"/>
  <c r="M3" i="1498"/>
  <c r="L3" i="1498"/>
  <c r="K3" i="1498"/>
  <c r="J3" i="1498"/>
  <c r="I3" i="1498"/>
  <c r="H3" i="1498"/>
  <c r="G3" i="1498"/>
  <c r="F3" i="1498"/>
  <c r="E3" i="1498"/>
  <c r="D3" i="1498"/>
  <c r="C3" i="1498"/>
  <c r="F21" i="1497"/>
  <c r="Y19" i="1497"/>
  <c r="W19" i="1497"/>
  <c r="V19" i="1497"/>
  <c r="U19" i="1497"/>
  <c r="T19" i="1497"/>
  <c r="P19" i="1497"/>
  <c r="O19" i="1497"/>
  <c r="N19" i="1497"/>
  <c r="M19" i="1497"/>
  <c r="L19" i="1497"/>
  <c r="K19" i="1497"/>
  <c r="J19" i="1497"/>
  <c r="I19" i="1497"/>
  <c r="H19" i="1497"/>
  <c r="G19" i="1497"/>
  <c r="F19" i="1497"/>
  <c r="E19" i="1497"/>
  <c r="D19" i="1497"/>
  <c r="C19" i="1497"/>
  <c r="Y18" i="1497"/>
  <c r="W18" i="1497"/>
  <c r="V18" i="1497"/>
  <c r="U18" i="1497"/>
  <c r="T18" i="1497"/>
  <c r="P18" i="1497"/>
  <c r="O18" i="1497"/>
  <c r="N18" i="1497"/>
  <c r="M18" i="1497"/>
  <c r="L18" i="1497"/>
  <c r="K18" i="1497"/>
  <c r="J18" i="1497"/>
  <c r="I18" i="1497"/>
  <c r="H18" i="1497"/>
  <c r="G18" i="1497"/>
  <c r="F18" i="1497"/>
  <c r="E18" i="1497"/>
  <c r="D18" i="1497"/>
  <c r="C18" i="1497"/>
  <c r="Y4" i="1497"/>
  <c r="W4" i="1497"/>
  <c r="V4" i="1497"/>
  <c r="U4" i="1497"/>
  <c r="T4" i="1497"/>
  <c r="P4" i="1497"/>
  <c r="O4" i="1497"/>
  <c r="N4" i="1497"/>
  <c r="M4" i="1497"/>
  <c r="L4" i="1497"/>
  <c r="K4" i="1497"/>
  <c r="J4" i="1497"/>
  <c r="I4" i="1497"/>
  <c r="H4" i="1497"/>
  <c r="G4" i="1497"/>
  <c r="F4" i="1497"/>
  <c r="E4" i="1497"/>
  <c r="D4" i="1497"/>
  <c r="C4" i="1497"/>
  <c r="Y3" i="1497"/>
  <c r="W3" i="1497"/>
  <c r="V3" i="1497"/>
  <c r="U3" i="1497"/>
  <c r="T3" i="1497"/>
  <c r="P3" i="1497"/>
  <c r="O3" i="1497"/>
  <c r="N3" i="1497"/>
  <c r="M3" i="1497"/>
  <c r="L3" i="1497"/>
  <c r="K3" i="1497"/>
  <c r="J3" i="1497"/>
  <c r="I3" i="1497"/>
  <c r="H3" i="1497"/>
  <c r="G3" i="1497"/>
  <c r="F3" i="1497"/>
  <c r="E3" i="1497"/>
  <c r="D3" i="1497"/>
  <c r="C3" i="1497"/>
  <c r="F21" i="1496"/>
  <c r="Y19" i="1496"/>
  <c r="W19" i="1496"/>
  <c r="V19" i="1496"/>
  <c r="U19" i="1496"/>
  <c r="T19" i="1496"/>
  <c r="P19" i="1496"/>
  <c r="O19" i="1496"/>
  <c r="N19" i="1496"/>
  <c r="M19" i="1496"/>
  <c r="L19" i="1496"/>
  <c r="K19" i="1496"/>
  <c r="J19" i="1496"/>
  <c r="I19" i="1496"/>
  <c r="H19" i="1496"/>
  <c r="G19" i="1496"/>
  <c r="F19" i="1496"/>
  <c r="E19" i="1496"/>
  <c r="D19" i="1496"/>
  <c r="C19" i="1496"/>
  <c r="Y18" i="1496"/>
  <c r="W18" i="1496"/>
  <c r="V18" i="1496"/>
  <c r="U18" i="1496"/>
  <c r="T18" i="1496"/>
  <c r="P18" i="1496"/>
  <c r="O18" i="1496"/>
  <c r="N18" i="1496"/>
  <c r="M18" i="1496"/>
  <c r="L18" i="1496"/>
  <c r="K18" i="1496"/>
  <c r="J18" i="1496"/>
  <c r="I18" i="1496"/>
  <c r="H18" i="1496"/>
  <c r="G18" i="1496"/>
  <c r="F18" i="1496"/>
  <c r="E18" i="1496"/>
  <c r="D18" i="1496"/>
  <c r="C18" i="1496"/>
  <c r="Y4" i="1496"/>
  <c r="W4" i="1496"/>
  <c r="V4" i="1496"/>
  <c r="U4" i="1496"/>
  <c r="T4" i="1496"/>
  <c r="P4" i="1496"/>
  <c r="O4" i="1496"/>
  <c r="N4" i="1496"/>
  <c r="M4" i="1496"/>
  <c r="L4" i="1496"/>
  <c r="K4" i="1496"/>
  <c r="J4" i="1496"/>
  <c r="I4" i="1496"/>
  <c r="H4" i="1496"/>
  <c r="G4" i="1496"/>
  <c r="F4" i="1496"/>
  <c r="E4" i="1496"/>
  <c r="D4" i="1496"/>
  <c r="C4" i="1496"/>
  <c r="Y3" i="1496"/>
  <c r="W3" i="1496"/>
  <c r="V3" i="1496"/>
  <c r="U3" i="1496"/>
  <c r="T3" i="1496"/>
  <c r="P3" i="1496"/>
  <c r="O3" i="1496"/>
  <c r="N3" i="1496"/>
  <c r="M3" i="1496"/>
  <c r="L3" i="1496"/>
  <c r="K3" i="1496"/>
  <c r="J3" i="1496"/>
  <c r="I3" i="1496"/>
  <c r="H3" i="1496"/>
  <c r="G3" i="1496"/>
  <c r="F3" i="1496"/>
  <c r="E3" i="1496"/>
  <c r="D3" i="1496"/>
  <c r="C3" i="1496"/>
  <c r="F21" i="1495"/>
  <c r="Y19" i="1495"/>
  <c r="W19" i="1495"/>
  <c r="V19" i="1495"/>
  <c r="U19" i="1495"/>
  <c r="T19" i="1495"/>
  <c r="P19" i="1495"/>
  <c r="O19" i="1495"/>
  <c r="N19" i="1495"/>
  <c r="M19" i="1495"/>
  <c r="L19" i="1495"/>
  <c r="K19" i="1495"/>
  <c r="J19" i="1495"/>
  <c r="I19" i="1495"/>
  <c r="H19" i="1495"/>
  <c r="G19" i="1495"/>
  <c r="F19" i="1495"/>
  <c r="E19" i="1495"/>
  <c r="D19" i="1495"/>
  <c r="C19" i="1495"/>
  <c r="Y18" i="1495"/>
  <c r="W18" i="1495"/>
  <c r="V18" i="1495"/>
  <c r="U18" i="1495"/>
  <c r="T18" i="1495"/>
  <c r="P18" i="1495"/>
  <c r="O18" i="1495"/>
  <c r="N18" i="1495"/>
  <c r="M18" i="1495"/>
  <c r="L18" i="1495"/>
  <c r="K18" i="1495"/>
  <c r="J18" i="1495"/>
  <c r="I18" i="1495"/>
  <c r="H18" i="1495"/>
  <c r="G18" i="1495"/>
  <c r="F18" i="1495"/>
  <c r="E18" i="1495"/>
  <c r="D18" i="1495"/>
  <c r="C18" i="1495"/>
  <c r="Y4" i="1495"/>
  <c r="W4" i="1495"/>
  <c r="V4" i="1495"/>
  <c r="U4" i="1495"/>
  <c r="T4" i="1495"/>
  <c r="P4" i="1495"/>
  <c r="O4" i="1495"/>
  <c r="N4" i="1495"/>
  <c r="M4" i="1495"/>
  <c r="L4" i="1495"/>
  <c r="K4" i="1495"/>
  <c r="J4" i="1495"/>
  <c r="I4" i="1495"/>
  <c r="H4" i="1495"/>
  <c r="G4" i="1495"/>
  <c r="F4" i="1495"/>
  <c r="E4" i="1495"/>
  <c r="D4" i="1495"/>
  <c r="C4" i="1495"/>
  <c r="Y3" i="1495"/>
  <c r="W3" i="1495"/>
  <c r="V3" i="1495"/>
  <c r="U3" i="1495"/>
  <c r="T3" i="1495"/>
  <c r="P3" i="1495"/>
  <c r="O3" i="1495"/>
  <c r="N3" i="1495"/>
  <c r="M3" i="1495"/>
  <c r="L3" i="1495"/>
  <c r="K3" i="1495"/>
  <c r="J3" i="1495"/>
  <c r="I3" i="1495"/>
  <c r="H3" i="1495"/>
  <c r="G3" i="1495"/>
  <c r="F3" i="1495"/>
  <c r="E3" i="1495"/>
  <c r="D3" i="1495"/>
  <c r="C3" i="1495"/>
  <c r="F21" i="1494"/>
  <c r="Y19" i="1494"/>
  <c r="W19" i="1494"/>
  <c r="V19" i="1494"/>
  <c r="U19" i="1494"/>
  <c r="T19" i="1494"/>
  <c r="P19" i="1494"/>
  <c r="O19" i="1494"/>
  <c r="N19" i="1494"/>
  <c r="M19" i="1494"/>
  <c r="L19" i="1494"/>
  <c r="K19" i="1494"/>
  <c r="J19" i="1494"/>
  <c r="I19" i="1494"/>
  <c r="H19" i="1494"/>
  <c r="G19" i="1494"/>
  <c r="F19" i="1494"/>
  <c r="E19" i="1494"/>
  <c r="D19" i="1494"/>
  <c r="C19" i="1494"/>
  <c r="Y18" i="1494"/>
  <c r="W18" i="1494"/>
  <c r="V18" i="1494"/>
  <c r="U18" i="1494"/>
  <c r="T18" i="1494"/>
  <c r="P18" i="1494"/>
  <c r="O18" i="1494"/>
  <c r="N18" i="1494"/>
  <c r="M18" i="1494"/>
  <c r="L18" i="1494"/>
  <c r="K18" i="1494"/>
  <c r="J18" i="1494"/>
  <c r="I18" i="1494"/>
  <c r="H18" i="1494"/>
  <c r="G18" i="1494"/>
  <c r="F18" i="1494"/>
  <c r="E18" i="1494"/>
  <c r="D18" i="1494"/>
  <c r="C18" i="1494"/>
  <c r="Y4" i="1494"/>
  <c r="W4" i="1494"/>
  <c r="V4" i="1494"/>
  <c r="U4" i="1494"/>
  <c r="T4" i="1494"/>
  <c r="P4" i="1494"/>
  <c r="O4" i="1494"/>
  <c r="N4" i="1494"/>
  <c r="M4" i="1494"/>
  <c r="L4" i="1494"/>
  <c r="K4" i="1494"/>
  <c r="J4" i="1494"/>
  <c r="I4" i="1494"/>
  <c r="H4" i="1494"/>
  <c r="G4" i="1494"/>
  <c r="F4" i="1494"/>
  <c r="E4" i="1494"/>
  <c r="D4" i="1494"/>
  <c r="C4" i="1494"/>
  <c r="Y3" i="1494"/>
  <c r="W3" i="1494"/>
  <c r="V3" i="1494"/>
  <c r="U3" i="1494"/>
  <c r="T3" i="1494"/>
  <c r="P3" i="1494"/>
  <c r="O3" i="1494"/>
  <c r="N3" i="1494"/>
  <c r="M3" i="1494"/>
  <c r="L3" i="1494"/>
  <c r="K3" i="1494"/>
  <c r="J3" i="1494"/>
  <c r="I3" i="1494"/>
  <c r="H3" i="1494"/>
  <c r="G3" i="1494"/>
  <c r="F3" i="1494"/>
  <c r="E3" i="1494"/>
  <c r="D3" i="1494"/>
  <c r="C3" i="1494"/>
  <c r="F21" i="1493"/>
  <c r="Y19" i="1493"/>
  <c r="W19" i="1493"/>
  <c r="V19" i="1493"/>
  <c r="U19" i="1493"/>
  <c r="T19" i="1493"/>
  <c r="P19" i="1493"/>
  <c r="O19" i="1493"/>
  <c r="N19" i="1493"/>
  <c r="M19" i="1493"/>
  <c r="L19" i="1493"/>
  <c r="K19" i="1493"/>
  <c r="J19" i="1493"/>
  <c r="I19" i="1493"/>
  <c r="H19" i="1493"/>
  <c r="G19" i="1493"/>
  <c r="F19" i="1493"/>
  <c r="E19" i="1493"/>
  <c r="D19" i="1493"/>
  <c r="C19" i="1493"/>
  <c r="Y18" i="1493"/>
  <c r="W18" i="1493"/>
  <c r="V18" i="1493"/>
  <c r="U18" i="1493"/>
  <c r="T18" i="1493"/>
  <c r="P18" i="1493"/>
  <c r="O18" i="1493"/>
  <c r="N18" i="1493"/>
  <c r="M18" i="1493"/>
  <c r="L18" i="1493"/>
  <c r="K18" i="1493"/>
  <c r="J18" i="1493"/>
  <c r="I18" i="1493"/>
  <c r="H18" i="1493"/>
  <c r="G18" i="1493"/>
  <c r="F18" i="1493"/>
  <c r="E18" i="1493"/>
  <c r="D18" i="1493"/>
  <c r="C18" i="1493"/>
  <c r="Y4" i="1493"/>
  <c r="W4" i="1493"/>
  <c r="V4" i="1493"/>
  <c r="U4" i="1493"/>
  <c r="T4" i="1493"/>
  <c r="P4" i="1493"/>
  <c r="O4" i="1493"/>
  <c r="N4" i="1493"/>
  <c r="M4" i="1493"/>
  <c r="L4" i="1493"/>
  <c r="K4" i="1493"/>
  <c r="J4" i="1493"/>
  <c r="I4" i="1493"/>
  <c r="H4" i="1493"/>
  <c r="G4" i="1493"/>
  <c r="F4" i="1493"/>
  <c r="E4" i="1493"/>
  <c r="D4" i="1493"/>
  <c r="C4" i="1493"/>
  <c r="Y3" i="1493"/>
  <c r="W3" i="1493"/>
  <c r="V3" i="1493"/>
  <c r="U3" i="1493"/>
  <c r="T3" i="1493"/>
  <c r="P3" i="1493"/>
  <c r="O3" i="1493"/>
  <c r="N3" i="1493"/>
  <c r="M3" i="1493"/>
  <c r="L3" i="1493"/>
  <c r="K3" i="1493"/>
  <c r="J3" i="1493"/>
  <c r="I3" i="1493"/>
  <c r="H3" i="1493"/>
  <c r="G3" i="1493"/>
  <c r="F3" i="1493"/>
  <c r="E3" i="1493"/>
  <c r="D3" i="1493"/>
  <c r="C3" i="1493"/>
  <c r="F21" i="1492"/>
  <c r="Y19" i="1492"/>
  <c r="W19" i="1492"/>
  <c r="V19" i="1492"/>
  <c r="U19" i="1492"/>
  <c r="T19" i="1492"/>
  <c r="P19" i="1492"/>
  <c r="O19" i="1492"/>
  <c r="N19" i="1492"/>
  <c r="M19" i="1492"/>
  <c r="L19" i="1492"/>
  <c r="K19" i="1492"/>
  <c r="J19" i="1492"/>
  <c r="I19" i="1492"/>
  <c r="H19" i="1492"/>
  <c r="G19" i="1492"/>
  <c r="F19" i="1492"/>
  <c r="E19" i="1492"/>
  <c r="D19" i="1492"/>
  <c r="C19" i="1492"/>
  <c r="Y18" i="1492"/>
  <c r="W18" i="1492"/>
  <c r="V18" i="1492"/>
  <c r="U18" i="1492"/>
  <c r="T18" i="1492"/>
  <c r="P18" i="1492"/>
  <c r="O18" i="1492"/>
  <c r="N18" i="1492"/>
  <c r="M18" i="1492"/>
  <c r="L18" i="1492"/>
  <c r="K18" i="1492"/>
  <c r="J18" i="1492"/>
  <c r="I18" i="1492"/>
  <c r="H18" i="1492"/>
  <c r="G18" i="1492"/>
  <c r="F18" i="1492"/>
  <c r="E18" i="1492"/>
  <c r="D18" i="1492"/>
  <c r="C18" i="1492"/>
  <c r="Y4" i="1492"/>
  <c r="W4" i="1492"/>
  <c r="V4" i="1492"/>
  <c r="U4" i="1492"/>
  <c r="T4" i="1492"/>
  <c r="P4" i="1492"/>
  <c r="O4" i="1492"/>
  <c r="N4" i="1492"/>
  <c r="M4" i="1492"/>
  <c r="L4" i="1492"/>
  <c r="K4" i="1492"/>
  <c r="J4" i="1492"/>
  <c r="I4" i="1492"/>
  <c r="H4" i="1492"/>
  <c r="G4" i="1492"/>
  <c r="F4" i="1492"/>
  <c r="E4" i="1492"/>
  <c r="D4" i="1492"/>
  <c r="C4" i="1492"/>
  <c r="Y3" i="1492"/>
  <c r="W3" i="1492"/>
  <c r="V3" i="1492"/>
  <c r="U3" i="1492"/>
  <c r="T3" i="1492"/>
  <c r="P3" i="1492"/>
  <c r="O3" i="1492"/>
  <c r="N3" i="1492"/>
  <c r="M3" i="1492"/>
  <c r="L3" i="1492"/>
  <c r="K3" i="1492"/>
  <c r="J3" i="1492"/>
  <c r="I3" i="1492"/>
  <c r="H3" i="1492"/>
  <c r="G3" i="1492"/>
  <c r="F3" i="1492"/>
  <c r="E3" i="1492"/>
  <c r="D3" i="1492"/>
  <c r="C3" i="1492"/>
  <c r="F21" i="1491"/>
  <c r="Y19" i="1491"/>
  <c r="W19" i="1491"/>
  <c r="V19" i="1491"/>
  <c r="U19" i="1491"/>
  <c r="T19" i="1491"/>
  <c r="P19" i="1491"/>
  <c r="O19" i="1491"/>
  <c r="N19" i="1491"/>
  <c r="M19" i="1491"/>
  <c r="L19" i="1491"/>
  <c r="K19" i="1491"/>
  <c r="J19" i="1491"/>
  <c r="I19" i="1491"/>
  <c r="H19" i="1491"/>
  <c r="G19" i="1491"/>
  <c r="F19" i="1491"/>
  <c r="E19" i="1491"/>
  <c r="D19" i="1491"/>
  <c r="C19" i="1491"/>
  <c r="Y18" i="1491"/>
  <c r="W18" i="1491"/>
  <c r="V18" i="1491"/>
  <c r="U18" i="1491"/>
  <c r="T18" i="1491"/>
  <c r="P18" i="1491"/>
  <c r="O18" i="1491"/>
  <c r="N18" i="1491"/>
  <c r="M18" i="1491"/>
  <c r="L18" i="1491"/>
  <c r="K18" i="1491"/>
  <c r="J18" i="1491"/>
  <c r="I18" i="1491"/>
  <c r="H18" i="1491"/>
  <c r="G18" i="1491"/>
  <c r="F18" i="1491"/>
  <c r="E18" i="1491"/>
  <c r="D18" i="1491"/>
  <c r="C18" i="1491"/>
  <c r="Y4" i="1491"/>
  <c r="W4" i="1491"/>
  <c r="V4" i="1491"/>
  <c r="U4" i="1491"/>
  <c r="T4" i="1491"/>
  <c r="P4" i="1491"/>
  <c r="O4" i="1491"/>
  <c r="N4" i="1491"/>
  <c r="M4" i="1491"/>
  <c r="L4" i="1491"/>
  <c r="K4" i="1491"/>
  <c r="J4" i="1491"/>
  <c r="I4" i="1491"/>
  <c r="H4" i="1491"/>
  <c r="G4" i="1491"/>
  <c r="F4" i="1491"/>
  <c r="E4" i="1491"/>
  <c r="D4" i="1491"/>
  <c r="C4" i="1491"/>
  <c r="Y3" i="1491"/>
  <c r="W3" i="1491"/>
  <c r="V3" i="1491"/>
  <c r="U3" i="1491"/>
  <c r="T3" i="1491"/>
  <c r="P3" i="1491"/>
  <c r="O3" i="1491"/>
  <c r="N3" i="1491"/>
  <c r="M3" i="1491"/>
  <c r="L3" i="1491"/>
  <c r="K3" i="1491"/>
  <c r="J3" i="1491"/>
  <c r="I3" i="1491"/>
  <c r="H3" i="1491"/>
  <c r="G3" i="1491"/>
  <c r="F3" i="1491"/>
  <c r="E3" i="1491"/>
  <c r="D3" i="1491"/>
  <c r="C3" i="1491"/>
  <c r="F21" i="1490"/>
  <c r="Y19" i="1490"/>
  <c r="W19" i="1490"/>
  <c r="V19" i="1490"/>
  <c r="U19" i="1490"/>
  <c r="T19" i="1490"/>
  <c r="P19" i="1490"/>
  <c r="O19" i="1490"/>
  <c r="N19" i="1490"/>
  <c r="M19" i="1490"/>
  <c r="L19" i="1490"/>
  <c r="K19" i="1490"/>
  <c r="J19" i="1490"/>
  <c r="I19" i="1490"/>
  <c r="H19" i="1490"/>
  <c r="G19" i="1490"/>
  <c r="F19" i="1490"/>
  <c r="E19" i="1490"/>
  <c r="D19" i="1490"/>
  <c r="C19" i="1490"/>
  <c r="Y18" i="1490"/>
  <c r="W18" i="1490"/>
  <c r="V18" i="1490"/>
  <c r="U18" i="1490"/>
  <c r="T18" i="1490"/>
  <c r="P18" i="1490"/>
  <c r="O18" i="1490"/>
  <c r="N18" i="1490"/>
  <c r="M18" i="1490"/>
  <c r="L18" i="1490"/>
  <c r="K18" i="1490"/>
  <c r="J18" i="1490"/>
  <c r="I18" i="1490"/>
  <c r="H18" i="1490"/>
  <c r="G18" i="1490"/>
  <c r="F18" i="1490"/>
  <c r="E18" i="1490"/>
  <c r="D18" i="1490"/>
  <c r="C18" i="1490"/>
  <c r="Y4" i="1490"/>
  <c r="W4" i="1490"/>
  <c r="V4" i="1490"/>
  <c r="U4" i="1490"/>
  <c r="T4" i="1490"/>
  <c r="P4" i="1490"/>
  <c r="O4" i="1490"/>
  <c r="N4" i="1490"/>
  <c r="M4" i="1490"/>
  <c r="L4" i="1490"/>
  <c r="K4" i="1490"/>
  <c r="J4" i="1490"/>
  <c r="I4" i="1490"/>
  <c r="H4" i="1490"/>
  <c r="G4" i="1490"/>
  <c r="F4" i="1490"/>
  <c r="E4" i="1490"/>
  <c r="D4" i="1490"/>
  <c r="C4" i="1490"/>
  <c r="Y3" i="1490"/>
  <c r="W3" i="1490"/>
  <c r="V3" i="1490"/>
  <c r="U3" i="1490"/>
  <c r="T3" i="1490"/>
  <c r="P3" i="1490"/>
  <c r="O3" i="1490"/>
  <c r="N3" i="1490"/>
  <c r="M3" i="1490"/>
  <c r="L3" i="1490"/>
  <c r="K3" i="1490"/>
  <c r="J3" i="1490"/>
  <c r="I3" i="1490"/>
  <c r="H3" i="1490"/>
  <c r="G3" i="1490"/>
  <c r="F3" i="1490"/>
  <c r="E3" i="1490"/>
  <c r="D3" i="1490"/>
  <c r="C3" i="1490"/>
  <c r="F21" i="1489"/>
  <c r="Y19" i="1489"/>
  <c r="W19" i="1489"/>
  <c r="V19" i="1489"/>
  <c r="U19" i="1489"/>
  <c r="T19" i="1489"/>
  <c r="P19" i="1489"/>
  <c r="O19" i="1489"/>
  <c r="N19" i="1489"/>
  <c r="M19" i="1489"/>
  <c r="L19" i="1489"/>
  <c r="K19" i="1489"/>
  <c r="J19" i="1489"/>
  <c r="I19" i="1489"/>
  <c r="H19" i="1489"/>
  <c r="G19" i="1489"/>
  <c r="F19" i="1489"/>
  <c r="E19" i="1489"/>
  <c r="D19" i="1489"/>
  <c r="C19" i="1489"/>
  <c r="Y18" i="1489"/>
  <c r="W18" i="1489"/>
  <c r="V18" i="1489"/>
  <c r="U18" i="1489"/>
  <c r="T18" i="1489"/>
  <c r="P18" i="1489"/>
  <c r="O18" i="1489"/>
  <c r="N18" i="1489"/>
  <c r="M18" i="1489"/>
  <c r="L18" i="1489"/>
  <c r="K18" i="1489"/>
  <c r="J18" i="1489"/>
  <c r="I18" i="1489"/>
  <c r="H18" i="1489"/>
  <c r="G18" i="1489"/>
  <c r="F18" i="1489"/>
  <c r="E18" i="1489"/>
  <c r="D18" i="1489"/>
  <c r="C18" i="1489"/>
  <c r="Y4" i="1489"/>
  <c r="W4" i="1489"/>
  <c r="V4" i="1489"/>
  <c r="U4" i="1489"/>
  <c r="T4" i="1489"/>
  <c r="P4" i="1489"/>
  <c r="O4" i="1489"/>
  <c r="N4" i="1489"/>
  <c r="M4" i="1489"/>
  <c r="L4" i="1489"/>
  <c r="K4" i="1489"/>
  <c r="J4" i="1489"/>
  <c r="I4" i="1489"/>
  <c r="H4" i="1489"/>
  <c r="G4" i="1489"/>
  <c r="F4" i="1489"/>
  <c r="E4" i="1489"/>
  <c r="D4" i="1489"/>
  <c r="C4" i="1489"/>
  <c r="Y3" i="1489"/>
  <c r="W3" i="1489"/>
  <c r="V3" i="1489"/>
  <c r="U3" i="1489"/>
  <c r="T3" i="1489"/>
  <c r="P3" i="1489"/>
  <c r="O3" i="1489"/>
  <c r="N3" i="1489"/>
  <c r="M3" i="1489"/>
  <c r="L3" i="1489"/>
  <c r="K3" i="1489"/>
  <c r="J3" i="1489"/>
  <c r="I3" i="1489"/>
  <c r="H3" i="1489"/>
  <c r="G3" i="1489"/>
  <c r="F3" i="1489"/>
  <c r="E3" i="1489"/>
  <c r="D3" i="1489"/>
  <c r="C3" i="1489"/>
  <c r="F21" i="1488"/>
  <c r="Y19" i="1488"/>
  <c r="W19" i="1488"/>
  <c r="V19" i="1488"/>
  <c r="U19" i="1488"/>
  <c r="T19" i="1488"/>
  <c r="P19" i="1488"/>
  <c r="O19" i="1488"/>
  <c r="N19" i="1488"/>
  <c r="M19" i="1488"/>
  <c r="L19" i="1488"/>
  <c r="K19" i="1488"/>
  <c r="J19" i="1488"/>
  <c r="I19" i="1488"/>
  <c r="H19" i="1488"/>
  <c r="G19" i="1488"/>
  <c r="F19" i="1488"/>
  <c r="E19" i="1488"/>
  <c r="D19" i="1488"/>
  <c r="C19" i="1488"/>
  <c r="Y18" i="1488"/>
  <c r="W18" i="1488"/>
  <c r="V18" i="1488"/>
  <c r="U18" i="1488"/>
  <c r="T18" i="1488"/>
  <c r="P18" i="1488"/>
  <c r="O18" i="1488"/>
  <c r="N18" i="1488"/>
  <c r="M18" i="1488"/>
  <c r="L18" i="1488"/>
  <c r="K18" i="1488"/>
  <c r="J18" i="1488"/>
  <c r="I18" i="1488"/>
  <c r="H18" i="1488"/>
  <c r="G18" i="1488"/>
  <c r="F18" i="1488"/>
  <c r="E18" i="1488"/>
  <c r="D18" i="1488"/>
  <c r="C18" i="1488"/>
  <c r="Y4" i="1488"/>
  <c r="W4" i="1488"/>
  <c r="V4" i="1488"/>
  <c r="U4" i="1488"/>
  <c r="T4" i="1488"/>
  <c r="P4" i="1488"/>
  <c r="O4" i="1488"/>
  <c r="N4" i="1488"/>
  <c r="M4" i="1488"/>
  <c r="L4" i="1488"/>
  <c r="K4" i="1488"/>
  <c r="J4" i="1488"/>
  <c r="I4" i="1488"/>
  <c r="H4" i="1488"/>
  <c r="G4" i="1488"/>
  <c r="F4" i="1488"/>
  <c r="E4" i="1488"/>
  <c r="D4" i="1488"/>
  <c r="C4" i="1488"/>
  <c r="Y3" i="1488"/>
  <c r="W3" i="1488"/>
  <c r="V3" i="1488"/>
  <c r="U3" i="1488"/>
  <c r="T3" i="1488"/>
  <c r="P3" i="1488"/>
  <c r="O3" i="1488"/>
  <c r="N3" i="1488"/>
  <c r="M3" i="1488"/>
  <c r="L3" i="1488"/>
  <c r="K3" i="1488"/>
  <c r="J3" i="1488"/>
  <c r="I3" i="1488"/>
  <c r="H3" i="1488"/>
  <c r="G3" i="1488"/>
  <c r="F3" i="1488"/>
  <c r="E3" i="1488"/>
  <c r="D3" i="1488"/>
  <c r="C3" i="1488"/>
  <c r="F21" i="1487"/>
  <c r="Y19" i="1487"/>
  <c r="W19" i="1487"/>
  <c r="V19" i="1487"/>
  <c r="U19" i="1487"/>
  <c r="T19" i="1487"/>
  <c r="P19" i="1487"/>
  <c r="O19" i="1487"/>
  <c r="N19" i="1487"/>
  <c r="M19" i="1487"/>
  <c r="L19" i="1487"/>
  <c r="K19" i="1487"/>
  <c r="J19" i="1487"/>
  <c r="I19" i="1487"/>
  <c r="H19" i="1487"/>
  <c r="G19" i="1487"/>
  <c r="F19" i="1487"/>
  <c r="E19" i="1487"/>
  <c r="D19" i="1487"/>
  <c r="C19" i="1487"/>
  <c r="Y18" i="1487"/>
  <c r="W18" i="1487"/>
  <c r="V18" i="1487"/>
  <c r="U18" i="1487"/>
  <c r="T18" i="1487"/>
  <c r="P18" i="1487"/>
  <c r="O18" i="1487"/>
  <c r="N18" i="1487"/>
  <c r="M18" i="1487"/>
  <c r="L18" i="1487"/>
  <c r="K18" i="1487"/>
  <c r="J18" i="1487"/>
  <c r="I18" i="1487"/>
  <c r="H18" i="1487"/>
  <c r="G18" i="1487"/>
  <c r="F18" i="1487"/>
  <c r="E18" i="1487"/>
  <c r="D18" i="1487"/>
  <c r="C18" i="1487"/>
  <c r="Y4" i="1487"/>
  <c r="W4" i="1487"/>
  <c r="V4" i="1487"/>
  <c r="U4" i="1487"/>
  <c r="T4" i="1487"/>
  <c r="P4" i="1487"/>
  <c r="O4" i="1487"/>
  <c r="N4" i="1487"/>
  <c r="M4" i="1487"/>
  <c r="L4" i="1487"/>
  <c r="K4" i="1487"/>
  <c r="J4" i="1487"/>
  <c r="I4" i="1487"/>
  <c r="H4" i="1487"/>
  <c r="G4" i="1487"/>
  <c r="F4" i="1487"/>
  <c r="E4" i="1487"/>
  <c r="D4" i="1487"/>
  <c r="C4" i="1487"/>
  <c r="Y3" i="1487"/>
  <c r="W3" i="1487"/>
  <c r="V3" i="1487"/>
  <c r="U3" i="1487"/>
  <c r="T3" i="1487"/>
  <c r="P3" i="1487"/>
  <c r="O3" i="1487"/>
  <c r="N3" i="1487"/>
  <c r="M3" i="1487"/>
  <c r="L3" i="1487"/>
  <c r="K3" i="1487"/>
  <c r="J3" i="1487"/>
  <c r="I3" i="1487"/>
  <c r="H3" i="1487"/>
  <c r="G3" i="1487"/>
  <c r="F3" i="1487"/>
  <c r="E3" i="1487"/>
  <c r="D3" i="1487"/>
  <c r="C3" i="1487"/>
  <c r="F21" i="1486"/>
  <c r="Y19" i="1486"/>
  <c r="W19" i="1486"/>
  <c r="V19" i="1486"/>
  <c r="U19" i="1486"/>
  <c r="T19" i="1486"/>
  <c r="P19" i="1486"/>
  <c r="O19" i="1486"/>
  <c r="N19" i="1486"/>
  <c r="M19" i="1486"/>
  <c r="L19" i="1486"/>
  <c r="K19" i="1486"/>
  <c r="J19" i="1486"/>
  <c r="I19" i="1486"/>
  <c r="H19" i="1486"/>
  <c r="G19" i="1486"/>
  <c r="F19" i="1486"/>
  <c r="E19" i="1486"/>
  <c r="D19" i="1486"/>
  <c r="C19" i="1486"/>
  <c r="Y18" i="1486"/>
  <c r="W18" i="1486"/>
  <c r="V18" i="1486"/>
  <c r="U18" i="1486"/>
  <c r="T18" i="1486"/>
  <c r="P18" i="1486"/>
  <c r="O18" i="1486"/>
  <c r="N18" i="1486"/>
  <c r="M18" i="1486"/>
  <c r="L18" i="1486"/>
  <c r="K18" i="1486"/>
  <c r="J18" i="1486"/>
  <c r="I18" i="1486"/>
  <c r="H18" i="1486"/>
  <c r="G18" i="1486"/>
  <c r="F18" i="1486"/>
  <c r="E18" i="1486"/>
  <c r="D18" i="1486"/>
  <c r="C18" i="1486"/>
  <c r="Y4" i="1486"/>
  <c r="W4" i="1486"/>
  <c r="V4" i="1486"/>
  <c r="U4" i="1486"/>
  <c r="T4" i="1486"/>
  <c r="P4" i="1486"/>
  <c r="O4" i="1486"/>
  <c r="N4" i="1486"/>
  <c r="M4" i="1486"/>
  <c r="L4" i="1486"/>
  <c r="K4" i="1486"/>
  <c r="J4" i="1486"/>
  <c r="I4" i="1486"/>
  <c r="H4" i="1486"/>
  <c r="G4" i="1486"/>
  <c r="F4" i="1486"/>
  <c r="E4" i="1486"/>
  <c r="D4" i="1486"/>
  <c r="C4" i="1486"/>
  <c r="Y3" i="1486"/>
  <c r="W3" i="1486"/>
  <c r="V3" i="1486"/>
  <c r="U3" i="1486"/>
  <c r="T3" i="1486"/>
  <c r="P3" i="1486"/>
  <c r="O3" i="1486"/>
  <c r="N3" i="1486"/>
  <c r="M3" i="1486"/>
  <c r="L3" i="1486"/>
  <c r="K3" i="1486"/>
  <c r="J3" i="1486"/>
  <c r="I3" i="1486"/>
  <c r="H3" i="1486"/>
  <c r="G3" i="1486"/>
  <c r="F3" i="1486"/>
  <c r="E3" i="1486"/>
  <c r="D3" i="1486"/>
  <c r="C3" i="1486"/>
  <c r="F21" i="1485"/>
  <c r="Y19" i="1485"/>
  <c r="W19" i="1485"/>
  <c r="V19" i="1485"/>
  <c r="U19" i="1485"/>
  <c r="T19" i="1485"/>
  <c r="P19" i="1485"/>
  <c r="O19" i="1485"/>
  <c r="N19" i="1485"/>
  <c r="M19" i="1485"/>
  <c r="L19" i="1485"/>
  <c r="K19" i="1485"/>
  <c r="J19" i="1485"/>
  <c r="I19" i="1485"/>
  <c r="H19" i="1485"/>
  <c r="G19" i="1485"/>
  <c r="F19" i="1485"/>
  <c r="E19" i="1485"/>
  <c r="D19" i="1485"/>
  <c r="C19" i="1485"/>
  <c r="Y18" i="1485"/>
  <c r="W18" i="1485"/>
  <c r="V18" i="1485"/>
  <c r="U18" i="1485"/>
  <c r="T18" i="1485"/>
  <c r="P18" i="1485"/>
  <c r="O18" i="1485"/>
  <c r="N18" i="1485"/>
  <c r="M18" i="1485"/>
  <c r="L18" i="1485"/>
  <c r="K18" i="1485"/>
  <c r="J18" i="1485"/>
  <c r="I18" i="1485"/>
  <c r="H18" i="1485"/>
  <c r="G18" i="1485"/>
  <c r="F18" i="1485"/>
  <c r="E18" i="1485"/>
  <c r="D18" i="1485"/>
  <c r="C18" i="1485"/>
  <c r="Y4" i="1485"/>
  <c r="W4" i="1485"/>
  <c r="V4" i="1485"/>
  <c r="U4" i="1485"/>
  <c r="T4" i="1485"/>
  <c r="P4" i="1485"/>
  <c r="O4" i="1485"/>
  <c r="N4" i="1485"/>
  <c r="M4" i="1485"/>
  <c r="L4" i="1485"/>
  <c r="K4" i="1485"/>
  <c r="J4" i="1485"/>
  <c r="I4" i="1485"/>
  <c r="H4" i="1485"/>
  <c r="G4" i="1485"/>
  <c r="F4" i="1485"/>
  <c r="E4" i="1485"/>
  <c r="D4" i="1485"/>
  <c r="C4" i="1485"/>
  <c r="Y3" i="1485"/>
  <c r="W3" i="1485"/>
  <c r="V3" i="1485"/>
  <c r="U3" i="1485"/>
  <c r="T3" i="1485"/>
  <c r="P3" i="1485"/>
  <c r="O3" i="1485"/>
  <c r="N3" i="1485"/>
  <c r="M3" i="1485"/>
  <c r="L3" i="1485"/>
  <c r="K3" i="1485"/>
  <c r="J3" i="1485"/>
  <c r="I3" i="1485"/>
  <c r="H3" i="1485"/>
  <c r="G3" i="1485"/>
  <c r="F3" i="1485"/>
  <c r="E3" i="1485"/>
  <c r="D3" i="1485"/>
  <c r="C3" i="1485"/>
  <c r="F21" i="1484"/>
  <c r="Y19" i="1484"/>
  <c r="W19" i="1484"/>
  <c r="V19" i="1484"/>
  <c r="U19" i="1484"/>
  <c r="T19" i="1484"/>
  <c r="P19" i="1484"/>
  <c r="O19" i="1484"/>
  <c r="N19" i="1484"/>
  <c r="M19" i="1484"/>
  <c r="L19" i="1484"/>
  <c r="K19" i="1484"/>
  <c r="J19" i="1484"/>
  <c r="I19" i="1484"/>
  <c r="H19" i="1484"/>
  <c r="G19" i="1484"/>
  <c r="F19" i="1484"/>
  <c r="E19" i="1484"/>
  <c r="D19" i="1484"/>
  <c r="C19" i="1484"/>
  <c r="Y18" i="1484"/>
  <c r="W18" i="1484"/>
  <c r="V18" i="1484"/>
  <c r="U18" i="1484"/>
  <c r="T18" i="1484"/>
  <c r="P18" i="1484"/>
  <c r="O18" i="1484"/>
  <c r="N18" i="1484"/>
  <c r="M18" i="1484"/>
  <c r="L18" i="1484"/>
  <c r="K18" i="1484"/>
  <c r="J18" i="1484"/>
  <c r="I18" i="1484"/>
  <c r="H18" i="1484"/>
  <c r="G18" i="1484"/>
  <c r="F18" i="1484"/>
  <c r="E18" i="1484"/>
  <c r="D18" i="1484"/>
  <c r="C18" i="1484"/>
  <c r="Y4" i="1484"/>
  <c r="W4" i="1484"/>
  <c r="V4" i="1484"/>
  <c r="U4" i="1484"/>
  <c r="T4" i="1484"/>
  <c r="P4" i="1484"/>
  <c r="O4" i="1484"/>
  <c r="N4" i="1484"/>
  <c r="M4" i="1484"/>
  <c r="L4" i="1484"/>
  <c r="K4" i="1484"/>
  <c r="J4" i="1484"/>
  <c r="I4" i="1484"/>
  <c r="H4" i="1484"/>
  <c r="G4" i="1484"/>
  <c r="F4" i="1484"/>
  <c r="E4" i="1484"/>
  <c r="D4" i="1484"/>
  <c r="C4" i="1484"/>
  <c r="Y3" i="1484"/>
  <c r="W3" i="1484"/>
  <c r="V3" i="1484"/>
  <c r="U3" i="1484"/>
  <c r="T3" i="1484"/>
  <c r="P3" i="1484"/>
  <c r="O3" i="1484"/>
  <c r="N3" i="1484"/>
  <c r="M3" i="1484"/>
  <c r="L3" i="1484"/>
  <c r="K3" i="1484"/>
  <c r="J3" i="1484"/>
  <c r="I3" i="1484"/>
  <c r="H3" i="1484"/>
  <c r="G3" i="1484"/>
  <c r="F3" i="1484"/>
  <c r="E3" i="1484"/>
  <c r="D3" i="1484"/>
  <c r="C3" i="1484"/>
  <c r="F21" i="1483"/>
  <c r="Y19" i="1483"/>
  <c r="W19" i="1483"/>
  <c r="V19" i="1483"/>
  <c r="U19" i="1483"/>
  <c r="T19" i="1483"/>
  <c r="P19" i="1483"/>
  <c r="O19" i="1483"/>
  <c r="N19" i="1483"/>
  <c r="M19" i="1483"/>
  <c r="L19" i="1483"/>
  <c r="K19" i="1483"/>
  <c r="J19" i="1483"/>
  <c r="I19" i="1483"/>
  <c r="H19" i="1483"/>
  <c r="G19" i="1483"/>
  <c r="F19" i="1483"/>
  <c r="E19" i="1483"/>
  <c r="D19" i="1483"/>
  <c r="C19" i="1483"/>
  <c r="Y18" i="1483"/>
  <c r="W18" i="1483"/>
  <c r="V18" i="1483"/>
  <c r="U18" i="1483"/>
  <c r="T18" i="1483"/>
  <c r="P18" i="1483"/>
  <c r="O18" i="1483"/>
  <c r="N18" i="1483"/>
  <c r="M18" i="1483"/>
  <c r="L18" i="1483"/>
  <c r="K18" i="1483"/>
  <c r="J18" i="1483"/>
  <c r="I18" i="1483"/>
  <c r="H18" i="1483"/>
  <c r="G18" i="1483"/>
  <c r="F18" i="1483"/>
  <c r="E18" i="1483"/>
  <c r="D18" i="1483"/>
  <c r="C18" i="1483"/>
  <c r="Y4" i="1483"/>
  <c r="W4" i="1483"/>
  <c r="V4" i="1483"/>
  <c r="U4" i="1483"/>
  <c r="T4" i="1483"/>
  <c r="P4" i="1483"/>
  <c r="O4" i="1483"/>
  <c r="N4" i="1483"/>
  <c r="M4" i="1483"/>
  <c r="L4" i="1483"/>
  <c r="K4" i="1483"/>
  <c r="J4" i="1483"/>
  <c r="I4" i="1483"/>
  <c r="H4" i="1483"/>
  <c r="G4" i="1483"/>
  <c r="F4" i="1483"/>
  <c r="E4" i="1483"/>
  <c r="D4" i="1483"/>
  <c r="C4" i="1483"/>
  <c r="Y3" i="1483"/>
  <c r="W3" i="1483"/>
  <c r="V3" i="1483"/>
  <c r="U3" i="1483"/>
  <c r="T3" i="1483"/>
  <c r="P3" i="1483"/>
  <c r="O3" i="1483"/>
  <c r="N3" i="1483"/>
  <c r="M3" i="1483"/>
  <c r="L3" i="1483"/>
  <c r="K3" i="1483"/>
  <c r="J3" i="1483"/>
  <c r="I3" i="1483"/>
  <c r="H3" i="1483"/>
  <c r="G3" i="1483"/>
  <c r="F3" i="1483"/>
  <c r="E3" i="1483"/>
  <c r="D3" i="1483"/>
  <c r="C3" i="1483"/>
  <c r="F21" i="1482"/>
  <c r="Y19" i="1482"/>
  <c r="W19" i="1482"/>
  <c r="V19" i="1482"/>
  <c r="U19" i="1482"/>
  <c r="T19" i="1482"/>
  <c r="P19" i="1482"/>
  <c r="O19" i="1482"/>
  <c r="N19" i="1482"/>
  <c r="M19" i="1482"/>
  <c r="L19" i="1482"/>
  <c r="K19" i="1482"/>
  <c r="J19" i="1482"/>
  <c r="I19" i="1482"/>
  <c r="H19" i="1482"/>
  <c r="G19" i="1482"/>
  <c r="F19" i="1482"/>
  <c r="E19" i="1482"/>
  <c r="D19" i="1482"/>
  <c r="C19" i="1482"/>
  <c r="Y18" i="1482"/>
  <c r="W18" i="1482"/>
  <c r="V18" i="1482"/>
  <c r="U18" i="1482"/>
  <c r="T18" i="1482"/>
  <c r="P18" i="1482"/>
  <c r="O18" i="1482"/>
  <c r="N18" i="1482"/>
  <c r="M18" i="1482"/>
  <c r="L18" i="1482"/>
  <c r="K18" i="1482"/>
  <c r="J18" i="1482"/>
  <c r="I18" i="1482"/>
  <c r="H18" i="1482"/>
  <c r="G18" i="1482"/>
  <c r="F18" i="1482"/>
  <c r="E18" i="1482"/>
  <c r="D18" i="1482"/>
  <c r="C18" i="1482"/>
  <c r="Y4" i="1482"/>
  <c r="W4" i="1482"/>
  <c r="V4" i="1482"/>
  <c r="U4" i="1482"/>
  <c r="T4" i="1482"/>
  <c r="P4" i="1482"/>
  <c r="O4" i="1482"/>
  <c r="N4" i="1482"/>
  <c r="M4" i="1482"/>
  <c r="L4" i="1482"/>
  <c r="K4" i="1482"/>
  <c r="J4" i="1482"/>
  <c r="I4" i="1482"/>
  <c r="H4" i="1482"/>
  <c r="G4" i="1482"/>
  <c r="F4" i="1482"/>
  <c r="E4" i="1482"/>
  <c r="D4" i="1482"/>
  <c r="C4" i="1482"/>
  <c r="Y3" i="1482"/>
  <c r="W3" i="1482"/>
  <c r="V3" i="1482"/>
  <c r="U3" i="1482"/>
  <c r="T3" i="1482"/>
  <c r="P3" i="1482"/>
  <c r="O3" i="1482"/>
  <c r="N3" i="1482"/>
  <c r="M3" i="1482"/>
  <c r="L3" i="1482"/>
  <c r="K3" i="1482"/>
  <c r="J3" i="1482"/>
  <c r="I3" i="1482"/>
  <c r="H3" i="1482"/>
  <c r="G3" i="1482"/>
  <c r="F3" i="1482"/>
  <c r="E3" i="1482"/>
  <c r="D3" i="1482"/>
  <c r="C3" i="1482"/>
  <c r="F21" i="1481"/>
  <c r="Y19" i="1481"/>
  <c r="W19" i="1481"/>
  <c r="V19" i="1481"/>
  <c r="U19" i="1481"/>
  <c r="T19" i="1481"/>
  <c r="P19" i="1481"/>
  <c r="O19" i="1481"/>
  <c r="N19" i="1481"/>
  <c r="M19" i="1481"/>
  <c r="L19" i="1481"/>
  <c r="K19" i="1481"/>
  <c r="J19" i="1481"/>
  <c r="I19" i="1481"/>
  <c r="H19" i="1481"/>
  <c r="G19" i="1481"/>
  <c r="F19" i="1481"/>
  <c r="E19" i="1481"/>
  <c r="D19" i="1481"/>
  <c r="C19" i="1481"/>
  <c r="Y18" i="1481"/>
  <c r="W18" i="1481"/>
  <c r="V18" i="1481"/>
  <c r="U18" i="1481"/>
  <c r="T18" i="1481"/>
  <c r="P18" i="1481"/>
  <c r="O18" i="1481"/>
  <c r="N18" i="1481"/>
  <c r="M18" i="1481"/>
  <c r="L18" i="1481"/>
  <c r="K18" i="1481"/>
  <c r="J18" i="1481"/>
  <c r="I18" i="1481"/>
  <c r="H18" i="1481"/>
  <c r="G18" i="1481"/>
  <c r="F18" i="1481"/>
  <c r="E18" i="1481"/>
  <c r="D18" i="1481"/>
  <c r="C18" i="1481"/>
  <c r="Y4" i="1481"/>
  <c r="W4" i="1481"/>
  <c r="V4" i="1481"/>
  <c r="U4" i="1481"/>
  <c r="T4" i="1481"/>
  <c r="P4" i="1481"/>
  <c r="O4" i="1481"/>
  <c r="N4" i="1481"/>
  <c r="M4" i="1481"/>
  <c r="L4" i="1481"/>
  <c r="K4" i="1481"/>
  <c r="J4" i="1481"/>
  <c r="I4" i="1481"/>
  <c r="H4" i="1481"/>
  <c r="G4" i="1481"/>
  <c r="F4" i="1481"/>
  <c r="E4" i="1481"/>
  <c r="D4" i="1481"/>
  <c r="C4" i="1481"/>
  <c r="Y3" i="1481"/>
  <c r="W3" i="1481"/>
  <c r="V3" i="1481"/>
  <c r="U3" i="1481"/>
  <c r="T3" i="1481"/>
  <c r="P3" i="1481"/>
  <c r="O3" i="1481"/>
  <c r="N3" i="1481"/>
  <c r="M3" i="1481"/>
  <c r="L3" i="1481"/>
  <c r="K3" i="1481"/>
  <c r="J3" i="1481"/>
  <c r="I3" i="1481"/>
  <c r="H3" i="1481"/>
  <c r="G3" i="1481"/>
  <c r="F3" i="1481"/>
  <c r="E3" i="1481"/>
  <c r="D3" i="1481"/>
  <c r="C3" i="1481"/>
  <c r="F21" i="1480"/>
  <c r="Y19" i="1480"/>
  <c r="W19" i="1480"/>
  <c r="V19" i="1480"/>
  <c r="U19" i="1480"/>
  <c r="T19" i="1480"/>
  <c r="P19" i="1480"/>
  <c r="O19" i="1480"/>
  <c r="N19" i="1480"/>
  <c r="M19" i="1480"/>
  <c r="L19" i="1480"/>
  <c r="K19" i="1480"/>
  <c r="J19" i="1480"/>
  <c r="I19" i="1480"/>
  <c r="H19" i="1480"/>
  <c r="G19" i="1480"/>
  <c r="F19" i="1480"/>
  <c r="E19" i="1480"/>
  <c r="D19" i="1480"/>
  <c r="C19" i="1480"/>
  <c r="Y18" i="1480"/>
  <c r="W18" i="1480"/>
  <c r="V18" i="1480"/>
  <c r="U18" i="1480"/>
  <c r="T18" i="1480"/>
  <c r="P18" i="1480"/>
  <c r="O18" i="1480"/>
  <c r="N18" i="1480"/>
  <c r="M18" i="1480"/>
  <c r="L18" i="1480"/>
  <c r="K18" i="1480"/>
  <c r="J18" i="1480"/>
  <c r="I18" i="1480"/>
  <c r="H18" i="1480"/>
  <c r="G18" i="1480"/>
  <c r="F18" i="1480"/>
  <c r="E18" i="1480"/>
  <c r="D18" i="1480"/>
  <c r="C18" i="1480"/>
  <c r="Y4" i="1480"/>
  <c r="W4" i="1480"/>
  <c r="V4" i="1480"/>
  <c r="U4" i="1480"/>
  <c r="T4" i="1480"/>
  <c r="P4" i="1480"/>
  <c r="O4" i="1480"/>
  <c r="N4" i="1480"/>
  <c r="M4" i="1480"/>
  <c r="L4" i="1480"/>
  <c r="K4" i="1480"/>
  <c r="J4" i="1480"/>
  <c r="I4" i="1480"/>
  <c r="H4" i="1480"/>
  <c r="G4" i="1480"/>
  <c r="F4" i="1480"/>
  <c r="E4" i="1480"/>
  <c r="D4" i="1480"/>
  <c r="C4" i="1480"/>
  <c r="Y3" i="1480"/>
  <c r="W3" i="1480"/>
  <c r="V3" i="1480"/>
  <c r="U3" i="1480"/>
  <c r="T3" i="1480"/>
  <c r="P3" i="1480"/>
  <c r="O3" i="1480"/>
  <c r="N3" i="1480"/>
  <c r="M3" i="1480"/>
  <c r="L3" i="1480"/>
  <c r="K3" i="1480"/>
  <c r="J3" i="1480"/>
  <c r="I3" i="1480"/>
  <c r="H3" i="1480"/>
  <c r="G3" i="1480"/>
  <c r="F3" i="1480"/>
  <c r="E3" i="1480"/>
  <c r="D3" i="1480"/>
  <c r="C3" i="1480"/>
  <c r="F21" i="1479"/>
  <c r="Y19" i="1479"/>
  <c r="W19" i="1479"/>
  <c r="V19" i="1479"/>
  <c r="U19" i="1479"/>
  <c r="T19" i="1479"/>
  <c r="P19" i="1479"/>
  <c r="O19" i="1479"/>
  <c r="N19" i="1479"/>
  <c r="M19" i="1479"/>
  <c r="L19" i="1479"/>
  <c r="K19" i="1479"/>
  <c r="J19" i="1479"/>
  <c r="I19" i="1479"/>
  <c r="H19" i="1479"/>
  <c r="G19" i="1479"/>
  <c r="F19" i="1479"/>
  <c r="E19" i="1479"/>
  <c r="D19" i="1479"/>
  <c r="C19" i="1479"/>
  <c r="Y18" i="1479"/>
  <c r="W18" i="1479"/>
  <c r="V18" i="1479"/>
  <c r="U18" i="1479"/>
  <c r="T18" i="1479"/>
  <c r="P18" i="1479"/>
  <c r="O18" i="1479"/>
  <c r="N18" i="1479"/>
  <c r="M18" i="1479"/>
  <c r="L18" i="1479"/>
  <c r="K18" i="1479"/>
  <c r="J18" i="1479"/>
  <c r="I18" i="1479"/>
  <c r="H18" i="1479"/>
  <c r="G18" i="1479"/>
  <c r="F18" i="1479"/>
  <c r="E18" i="1479"/>
  <c r="D18" i="1479"/>
  <c r="C18" i="1479"/>
  <c r="Y4" i="1479"/>
  <c r="W4" i="1479"/>
  <c r="V4" i="1479"/>
  <c r="U4" i="1479"/>
  <c r="T4" i="1479"/>
  <c r="P4" i="1479"/>
  <c r="O4" i="1479"/>
  <c r="N4" i="1479"/>
  <c r="M4" i="1479"/>
  <c r="L4" i="1479"/>
  <c r="K4" i="1479"/>
  <c r="J4" i="1479"/>
  <c r="I4" i="1479"/>
  <c r="H4" i="1479"/>
  <c r="G4" i="1479"/>
  <c r="F4" i="1479"/>
  <c r="E4" i="1479"/>
  <c r="D4" i="1479"/>
  <c r="C4" i="1479"/>
  <c r="Y3" i="1479"/>
  <c r="W3" i="1479"/>
  <c r="V3" i="1479"/>
  <c r="U3" i="1479"/>
  <c r="T3" i="1479"/>
  <c r="P3" i="1479"/>
  <c r="O3" i="1479"/>
  <c r="N3" i="1479"/>
  <c r="M3" i="1479"/>
  <c r="L3" i="1479"/>
  <c r="K3" i="1479"/>
  <c r="J3" i="1479"/>
  <c r="I3" i="1479"/>
  <c r="H3" i="1479"/>
  <c r="G3" i="1479"/>
  <c r="F3" i="1479"/>
  <c r="E3" i="1479"/>
  <c r="D3" i="1479"/>
  <c r="C3" i="1479"/>
  <c r="F21" i="1478"/>
  <c r="Y19" i="1478"/>
  <c r="W19" i="1478"/>
  <c r="V19" i="1478"/>
  <c r="U19" i="1478"/>
  <c r="T19" i="1478"/>
  <c r="P19" i="1478"/>
  <c r="O19" i="1478"/>
  <c r="N19" i="1478"/>
  <c r="M19" i="1478"/>
  <c r="L19" i="1478"/>
  <c r="K19" i="1478"/>
  <c r="J19" i="1478"/>
  <c r="I19" i="1478"/>
  <c r="H19" i="1478"/>
  <c r="G19" i="1478"/>
  <c r="F19" i="1478"/>
  <c r="E19" i="1478"/>
  <c r="D19" i="1478"/>
  <c r="C19" i="1478"/>
  <c r="Y18" i="1478"/>
  <c r="W18" i="1478"/>
  <c r="V18" i="1478"/>
  <c r="U18" i="1478"/>
  <c r="T18" i="1478"/>
  <c r="P18" i="1478"/>
  <c r="O18" i="1478"/>
  <c r="N18" i="1478"/>
  <c r="M18" i="1478"/>
  <c r="L18" i="1478"/>
  <c r="K18" i="1478"/>
  <c r="J18" i="1478"/>
  <c r="I18" i="1478"/>
  <c r="H18" i="1478"/>
  <c r="G18" i="1478"/>
  <c r="F18" i="1478"/>
  <c r="E18" i="1478"/>
  <c r="D18" i="1478"/>
  <c r="C18" i="1478"/>
  <c r="Y4" i="1478"/>
  <c r="W4" i="1478"/>
  <c r="V4" i="1478"/>
  <c r="U4" i="1478"/>
  <c r="T4" i="1478"/>
  <c r="P4" i="1478"/>
  <c r="O4" i="1478"/>
  <c r="N4" i="1478"/>
  <c r="M4" i="1478"/>
  <c r="L4" i="1478"/>
  <c r="K4" i="1478"/>
  <c r="J4" i="1478"/>
  <c r="I4" i="1478"/>
  <c r="H4" i="1478"/>
  <c r="G4" i="1478"/>
  <c r="F4" i="1478"/>
  <c r="E4" i="1478"/>
  <c r="D4" i="1478"/>
  <c r="C4" i="1478"/>
  <c r="Y3" i="1478"/>
  <c r="W3" i="1478"/>
  <c r="V3" i="1478"/>
  <c r="U3" i="1478"/>
  <c r="T3" i="1478"/>
  <c r="P3" i="1478"/>
  <c r="O3" i="1478"/>
  <c r="N3" i="1478"/>
  <c r="M3" i="1478"/>
  <c r="L3" i="1478"/>
  <c r="K3" i="1478"/>
  <c r="J3" i="1478"/>
  <c r="I3" i="1478"/>
  <c r="H3" i="1478"/>
  <c r="G3" i="1478"/>
  <c r="F3" i="1478"/>
  <c r="E3" i="1478"/>
  <c r="D3" i="1478"/>
  <c r="C3" i="1478"/>
  <c r="F21" i="1477"/>
  <c r="Y19" i="1477"/>
  <c r="W19" i="1477"/>
  <c r="V19" i="1477"/>
  <c r="U19" i="1477"/>
  <c r="T19" i="1477"/>
  <c r="P19" i="1477"/>
  <c r="O19" i="1477"/>
  <c r="N19" i="1477"/>
  <c r="M19" i="1477"/>
  <c r="L19" i="1477"/>
  <c r="K19" i="1477"/>
  <c r="J19" i="1477"/>
  <c r="I19" i="1477"/>
  <c r="H19" i="1477"/>
  <c r="G19" i="1477"/>
  <c r="F19" i="1477"/>
  <c r="E19" i="1477"/>
  <c r="D19" i="1477"/>
  <c r="C19" i="1477"/>
  <c r="Y18" i="1477"/>
  <c r="W18" i="1477"/>
  <c r="V18" i="1477"/>
  <c r="U18" i="1477"/>
  <c r="T18" i="1477"/>
  <c r="P18" i="1477"/>
  <c r="O18" i="1477"/>
  <c r="N18" i="1477"/>
  <c r="M18" i="1477"/>
  <c r="L18" i="1477"/>
  <c r="K18" i="1477"/>
  <c r="J18" i="1477"/>
  <c r="I18" i="1477"/>
  <c r="H18" i="1477"/>
  <c r="G18" i="1477"/>
  <c r="F18" i="1477"/>
  <c r="E18" i="1477"/>
  <c r="D18" i="1477"/>
  <c r="C18" i="1477"/>
  <c r="Y4" i="1477"/>
  <c r="W4" i="1477"/>
  <c r="V4" i="1477"/>
  <c r="U4" i="1477"/>
  <c r="T4" i="1477"/>
  <c r="P4" i="1477"/>
  <c r="O4" i="1477"/>
  <c r="N4" i="1477"/>
  <c r="M4" i="1477"/>
  <c r="L4" i="1477"/>
  <c r="K4" i="1477"/>
  <c r="J4" i="1477"/>
  <c r="I4" i="1477"/>
  <c r="H4" i="1477"/>
  <c r="G4" i="1477"/>
  <c r="F4" i="1477"/>
  <c r="E4" i="1477"/>
  <c r="D4" i="1477"/>
  <c r="C4" i="1477"/>
  <c r="Y3" i="1477"/>
  <c r="W3" i="1477"/>
  <c r="V3" i="1477"/>
  <c r="U3" i="1477"/>
  <c r="T3" i="1477"/>
  <c r="P3" i="1477"/>
  <c r="O3" i="1477"/>
  <c r="N3" i="1477"/>
  <c r="M3" i="1477"/>
  <c r="L3" i="1477"/>
  <c r="K3" i="1477"/>
  <c r="J3" i="1477"/>
  <c r="I3" i="1477"/>
  <c r="H3" i="1477"/>
  <c r="G3" i="1477"/>
  <c r="F3" i="1477"/>
  <c r="E3" i="1477"/>
  <c r="D3" i="1477"/>
  <c r="C3" i="1477"/>
  <c r="F21" i="1476"/>
  <c r="Y19" i="1476"/>
  <c r="W19" i="1476"/>
  <c r="V19" i="1476"/>
  <c r="U19" i="1476"/>
  <c r="T19" i="1476"/>
  <c r="P19" i="1476"/>
  <c r="O19" i="1476"/>
  <c r="N19" i="1476"/>
  <c r="M19" i="1476"/>
  <c r="L19" i="1476"/>
  <c r="K19" i="1476"/>
  <c r="J19" i="1476"/>
  <c r="I19" i="1476"/>
  <c r="H19" i="1476"/>
  <c r="G19" i="1476"/>
  <c r="F19" i="1476"/>
  <c r="E19" i="1476"/>
  <c r="D19" i="1476"/>
  <c r="C19" i="1476"/>
  <c r="Y18" i="1476"/>
  <c r="W18" i="1476"/>
  <c r="V18" i="1476"/>
  <c r="U18" i="1476"/>
  <c r="T18" i="1476"/>
  <c r="P18" i="1476"/>
  <c r="O18" i="1476"/>
  <c r="N18" i="1476"/>
  <c r="M18" i="1476"/>
  <c r="L18" i="1476"/>
  <c r="K18" i="1476"/>
  <c r="J18" i="1476"/>
  <c r="I18" i="1476"/>
  <c r="H18" i="1476"/>
  <c r="G18" i="1476"/>
  <c r="F18" i="1476"/>
  <c r="E18" i="1476"/>
  <c r="D18" i="1476"/>
  <c r="C18" i="1476"/>
  <c r="Y4" i="1476"/>
  <c r="W4" i="1476"/>
  <c r="V4" i="1476"/>
  <c r="U4" i="1476"/>
  <c r="T4" i="1476"/>
  <c r="P4" i="1476"/>
  <c r="O4" i="1476"/>
  <c r="N4" i="1476"/>
  <c r="M4" i="1476"/>
  <c r="L4" i="1476"/>
  <c r="K4" i="1476"/>
  <c r="J4" i="1476"/>
  <c r="I4" i="1476"/>
  <c r="H4" i="1476"/>
  <c r="G4" i="1476"/>
  <c r="F4" i="1476"/>
  <c r="E4" i="1476"/>
  <c r="D4" i="1476"/>
  <c r="C4" i="1476"/>
  <c r="Y3" i="1476"/>
  <c r="W3" i="1476"/>
  <c r="V3" i="1476"/>
  <c r="U3" i="1476"/>
  <c r="T3" i="1476"/>
  <c r="P3" i="1476"/>
  <c r="O3" i="1476"/>
  <c r="N3" i="1476"/>
  <c r="M3" i="1476"/>
  <c r="L3" i="1476"/>
  <c r="K3" i="1476"/>
  <c r="J3" i="1476"/>
  <c r="I3" i="1476"/>
  <c r="H3" i="1476"/>
  <c r="G3" i="1476"/>
  <c r="F3" i="1476"/>
  <c r="E3" i="1476"/>
  <c r="D3" i="1476"/>
  <c r="C3" i="1476"/>
  <c r="C44" i="1471" l="1"/>
  <c r="C44" i="1470"/>
  <c r="C44" i="1469"/>
  <c r="C45" i="1465"/>
  <c r="C44" i="1465"/>
  <c r="C44" i="1462" l="1"/>
  <c r="C44" i="1461"/>
  <c r="C45" i="1457" l="1"/>
  <c r="C44" i="1457"/>
  <c r="C45" i="1459"/>
  <c r="C44" i="1459"/>
  <c r="C45" i="1458"/>
  <c r="C44" i="1458"/>
  <c r="C44" i="1455" l="1"/>
  <c r="C44" i="1454"/>
  <c r="C44" i="1453"/>
  <c r="C45" i="1451" l="1"/>
  <c r="C44" i="1451"/>
  <c r="C45" i="1450"/>
  <c r="C44" i="1450"/>
  <c r="C45" i="1449"/>
  <c r="C44" i="1449"/>
  <c r="F21" i="1475" l="1"/>
  <c r="Y19" i="1475"/>
  <c r="W19" i="1475"/>
  <c r="V19" i="1475"/>
  <c r="U19" i="1475"/>
  <c r="T19" i="1475"/>
  <c r="P19" i="1475"/>
  <c r="O19" i="1475"/>
  <c r="N19" i="1475"/>
  <c r="M19" i="1475"/>
  <c r="L19" i="1475"/>
  <c r="K19" i="1475"/>
  <c r="J19" i="1475"/>
  <c r="I19" i="1475"/>
  <c r="H19" i="1475"/>
  <c r="G19" i="1475"/>
  <c r="F19" i="1475"/>
  <c r="E19" i="1475"/>
  <c r="D19" i="1475"/>
  <c r="C19" i="1475"/>
  <c r="Y18" i="1475"/>
  <c r="W18" i="1475"/>
  <c r="V18" i="1475"/>
  <c r="U18" i="1475"/>
  <c r="T18" i="1475"/>
  <c r="P18" i="1475"/>
  <c r="O18" i="1475"/>
  <c r="N18" i="1475"/>
  <c r="M18" i="1475"/>
  <c r="L18" i="1475"/>
  <c r="K18" i="1475"/>
  <c r="J18" i="1475"/>
  <c r="I18" i="1475"/>
  <c r="H18" i="1475"/>
  <c r="G18" i="1475"/>
  <c r="F18" i="1475"/>
  <c r="E18" i="1475"/>
  <c r="D18" i="1475"/>
  <c r="C18" i="1475"/>
  <c r="Y4" i="1475"/>
  <c r="W4" i="1475"/>
  <c r="V4" i="1475"/>
  <c r="U4" i="1475"/>
  <c r="T4" i="1475"/>
  <c r="P4" i="1475"/>
  <c r="O4" i="1475"/>
  <c r="N4" i="1475"/>
  <c r="M4" i="1475"/>
  <c r="L4" i="1475"/>
  <c r="K4" i="1475"/>
  <c r="J4" i="1475"/>
  <c r="I4" i="1475"/>
  <c r="H4" i="1475"/>
  <c r="G4" i="1475"/>
  <c r="F4" i="1475"/>
  <c r="E4" i="1475"/>
  <c r="D4" i="1475"/>
  <c r="C4" i="1475"/>
  <c r="Y3" i="1475"/>
  <c r="W3" i="1475"/>
  <c r="V3" i="1475"/>
  <c r="U3" i="1475"/>
  <c r="T3" i="1475"/>
  <c r="P3" i="1475"/>
  <c r="O3" i="1475"/>
  <c r="N3" i="1475"/>
  <c r="M3" i="1475"/>
  <c r="L3" i="1475"/>
  <c r="K3" i="1475"/>
  <c r="J3" i="1475"/>
  <c r="I3" i="1475"/>
  <c r="H3" i="1475"/>
  <c r="G3" i="1475"/>
  <c r="F3" i="1475"/>
  <c r="E3" i="1475"/>
  <c r="D3" i="1475"/>
  <c r="C3" i="1475"/>
  <c r="F21" i="1474"/>
  <c r="Y19" i="1474"/>
  <c r="W19" i="1474"/>
  <c r="V19" i="1474"/>
  <c r="U19" i="1474"/>
  <c r="T19" i="1474"/>
  <c r="P19" i="1474"/>
  <c r="O19" i="1474"/>
  <c r="N19" i="1474"/>
  <c r="M19" i="1474"/>
  <c r="L19" i="1474"/>
  <c r="K19" i="1474"/>
  <c r="J19" i="1474"/>
  <c r="I19" i="1474"/>
  <c r="H19" i="1474"/>
  <c r="G19" i="1474"/>
  <c r="F19" i="1474"/>
  <c r="E19" i="1474"/>
  <c r="D19" i="1474"/>
  <c r="C19" i="1474"/>
  <c r="Y18" i="1474"/>
  <c r="W18" i="1474"/>
  <c r="V18" i="1474"/>
  <c r="U18" i="1474"/>
  <c r="T18" i="1474"/>
  <c r="P18" i="1474"/>
  <c r="O18" i="1474"/>
  <c r="N18" i="1474"/>
  <c r="M18" i="1474"/>
  <c r="L18" i="1474"/>
  <c r="K18" i="1474"/>
  <c r="J18" i="1474"/>
  <c r="I18" i="1474"/>
  <c r="H18" i="1474"/>
  <c r="G18" i="1474"/>
  <c r="F18" i="1474"/>
  <c r="E18" i="1474"/>
  <c r="D18" i="1474"/>
  <c r="C18" i="1474"/>
  <c r="Y4" i="1474"/>
  <c r="W4" i="1474"/>
  <c r="V4" i="1474"/>
  <c r="U4" i="1474"/>
  <c r="T4" i="1474"/>
  <c r="P4" i="1474"/>
  <c r="O4" i="1474"/>
  <c r="N4" i="1474"/>
  <c r="M4" i="1474"/>
  <c r="L4" i="1474"/>
  <c r="K4" i="1474"/>
  <c r="J4" i="1474"/>
  <c r="I4" i="1474"/>
  <c r="H4" i="1474"/>
  <c r="G4" i="1474"/>
  <c r="F4" i="1474"/>
  <c r="E4" i="1474"/>
  <c r="D4" i="1474"/>
  <c r="C4" i="1474"/>
  <c r="Y3" i="1474"/>
  <c r="W3" i="1474"/>
  <c r="V3" i="1474"/>
  <c r="U3" i="1474"/>
  <c r="T3" i="1474"/>
  <c r="P3" i="1474"/>
  <c r="O3" i="1474"/>
  <c r="N3" i="1474"/>
  <c r="M3" i="1474"/>
  <c r="L3" i="1474"/>
  <c r="K3" i="1474"/>
  <c r="J3" i="1474"/>
  <c r="I3" i="1474"/>
  <c r="H3" i="1474"/>
  <c r="G3" i="1474"/>
  <c r="F3" i="1474"/>
  <c r="E3" i="1474"/>
  <c r="D3" i="1474"/>
  <c r="C3" i="1474"/>
  <c r="F21" i="1473"/>
  <c r="Y19" i="1473"/>
  <c r="W19" i="1473"/>
  <c r="V19" i="1473"/>
  <c r="U19" i="1473"/>
  <c r="T19" i="1473"/>
  <c r="P19" i="1473"/>
  <c r="O19" i="1473"/>
  <c r="N19" i="1473"/>
  <c r="M19" i="1473"/>
  <c r="L19" i="1473"/>
  <c r="K19" i="1473"/>
  <c r="J19" i="1473"/>
  <c r="I19" i="1473"/>
  <c r="H19" i="1473"/>
  <c r="G19" i="1473"/>
  <c r="F19" i="1473"/>
  <c r="E19" i="1473"/>
  <c r="D19" i="1473"/>
  <c r="C19" i="1473"/>
  <c r="Y18" i="1473"/>
  <c r="W18" i="1473"/>
  <c r="V18" i="1473"/>
  <c r="U18" i="1473"/>
  <c r="T18" i="1473"/>
  <c r="P18" i="1473"/>
  <c r="O18" i="1473"/>
  <c r="N18" i="1473"/>
  <c r="M18" i="1473"/>
  <c r="L18" i="1473"/>
  <c r="K18" i="1473"/>
  <c r="J18" i="1473"/>
  <c r="I18" i="1473"/>
  <c r="H18" i="1473"/>
  <c r="G18" i="1473"/>
  <c r="F18" i="1473"/>
  <c r="E18" i="1473"/>
  <c r="D18" i="1473"/>
  <c r="C18" i="1473"/>
  <c r="Y4" i="1473"/>
  <c r="W4" i="1473"/>
  <c r="V4" i="1473"/>
  <c r="U4" i="1473"/>
  <c r="T4" i="1473"/>
  <c r="P4" i="1473"/>
  <c r="O4" i="1473"/>
  <c r="N4" i="1473"/>
  <c r="M4" i="1473"/>
  <c r="L4" i="1473"/>
  <c r="K4" i="1473"/>
  <c r="J4" i="1473"/>
  <c r="I4" i="1473"/>
  <c r="H4" i="1473"/>
  <c r="G4" i="1473"/>
  <c r="F4" i="1473"/>
  <c r="E4" i="1473"/>
  <c r="D4" i="1473"/>
  <c r="C4" i="1473"/>
  <c r="Y3" i="1473"/>
  <c r="W3" i="1473"/>
  <c r="V3" i="1473"/>
  <c r="U3" i="1473"/>
  <c r="T3" i="1473"/>
  <c r="P3" i="1473"/>
  <c r="O3" i="1473"/>
  <c r="N3" i="1473"/>
  <c r="M3" i="1473"/>
  <c r="L3" i="1473"/>
  <c r="K3" i="1473"/>
  <c r="J3" i="1473"/>
  <c r="I3" i="1473"/>
  <c r="H3" i="1473"/>
  <c r="G3" i="1473"/>
  <c r="F3" i="1473"/>
  <c r="E3" i="1473"/>
  <c r="D3" i="1473"/>
  <c r="C3" i="1473"/>
  <c r="F21" i="1472"/>
  <c r="Y19" i="1472"/>
  <c r="W19" i="1472"/>
  <c r="V19" i="1472"/>
  <c r="U19" i="1472"/>
  <c r="T19" i="1472"/>
  <c r="P19" i="1472"/>
  <c r="O19" i="1472"/>
  <c r="N19" i="1472"/>
  <c r="M19" i="1472"/>
  <c r="L19" i="1472"/>
  <c r="K19" i="1472"/>
  <c r="J19" i="1472"/>
  <c r="I19" i="1472"/>
  <c r="H19" i="1472"/>
  <c r="G19" i="1472"/>
  <c r="F19" i="1472"/>
  <c r="E19" i="1472"/>
  <c r="D19" i="1472"/>
  <c r="C19" i="1472"/>
  <c r="Y18" i="1472"/>
  <c r="W18" i="1472"/>
  <c r="V18" i="1472"/>
  <c r="U18" i="1472"/>
  <c r="T18" i="1472"/>
  <c r="P18" i="1472"/>
  <c r="O18" i="1472"/>
  <c r="N18" i="1472"/>
  <c r="M18" i="1472"/>
  <c r="L18" i="1472"/>
  <c r="K18" i="1472"/>
  <c r="J18" i="1472"/>
  <c r="I18" i="1472"/>
  <c r="H18" i="1472"/>
  <c r="G18" i="1472"/>
  <c r="F18" i="1472"/>
  <c r="E18" i="1472"/>
  <c r="D18" i="1472"/>
  <c r="C18" i="1472"/>
  <c r="Y4" i="1472"/>
  <c r="W4" i="1472"/>
  <c r="V4" i="1472"/>
  <c r="U4" i="1472"/>
  <c r="T4" i="1472"/>
  <c r="P4" i="1472"/>
  <c r="O4" i="1472"/>
  <c r="N4" i="1472"/>
  <c r="M4" i="1472"/>
  <c r="L4" i="1472"/>
  <c r="K4" i="1472"/>
  <c r="J4" i="1472"/>
  <c r="I4" i="1472"/>
  <c r="H4" i="1472"/>
  <c r="G4" i="1472"/>
  <c r="F4" i="1472"/>
  <c r="E4" i="1472"/>
  <c r="D4" i="1472"/>
  <c r="C4" i="1472"/>
  <c r="Y3" i="1472"/>
  <c r="W3" i="1472"/>
  <c r="V3" i="1472"/>
  <c r="U3" i="1472"/>
  <c r="T3" i="1472"/>
  <c r="P3" i="1472"/>
  <c r="O3" i="1472"/>
  <c r="N3" i="1472"/>
  <c r="M3" i="1472"/>
  <c r="L3" i="1472"/>
  <c r="K3" i="1472"/>
  <c r="J3" i="1472"/>
  <c r="I3" i="1472"/>
  <c r="H3" i="1472"/>
  <c r="G3" i="1472"/>
  <c r="F3" i="1472"/>
  <c r="E3" i="1472"/>
  <c r="D3" i="1472"/>
  <c r="C3" i="1472"/>
  <c r="F21" i="1471"/>
  <c r="Y19" i="1471"/>
  <c r="W19" i="1471"/>
  <c r="V19" i="1471"/>
  <c r="U19" i="1471"/>
  <c r="T19" i="1471"/>
  <c r="P19" i="1471"/>
  <c r="O19" i="1471"/>
  <c r="N19" i="1471"/>
  <c r="M19" i="1471"/>
  <c r="L19" i="1471"/>
  <c r="K19" i="1471"/>
  <c r="J19" i="1471"/>
  <c r="I19" i="1471"/>
  <c r="H19" i="1471"/>
  <c r="G19" i="1471"/>
  <c r="F19" i="1471"/>
  <c r="E19" i="1471"/>
  <c r="D19" i="1471"/>
  <c r="C19" i="1471"/>
  <c r="Y18" i="1471"/>
  <c r="W18" i="1471"/>
  <c r="V18" i="1471"/>
  <c r="U18" i="1471"/>
  <c r="T18" i="1471"/>
  <c r="P18" i="1471"/>
  <c r="O18" i="1471"/>
  <c r="N18" i="1471"/>
  <c r="M18" i="1471"/>
  <c r="L18" i="1471"/>
  <c r="K18" i="1471"/>
  <c r="J18" i="1471"/>
  <c r="I18" i="1471"/>
  <c r="H18" i="1471"/>
  <c r="G18" i="1471"/>
  <c r="F18" i="1471"/>
  <c r="E18" i="1471"/>
  <c r="D18" i="1471"/>
  <c r="C18" i="1471"/>
  <c r="Y4" i="1471"/>
  <c r="W4" i="1471"/>
  <c r="V4" i="1471"/>
  <c r="U4" i="1471"/>
  <c r="T4" i="1471"/>
  <c r="P4" i="1471"/>
  <c r="O4" i="1471"/>
  <c r="N4" i="1471"/>
  <c r="M4" i="1471"/>
  <c r="L4" i="1471"/>
  <c r="K4" i="1471"/>
  <c r="J4" i="1471"/>
  <c r="I4" i="1471"/>
  <c r="H4" i="1471"/>
  <c r="G4" i="1471"/>
  <c r="F4" i="1471"/>
  <c r="E4" i="1471"/>
  <c r="D4" i="1471"/>
  <c r="C4" i="1471"/>
  <c r="Y3" i="1471"/>
  <c r="W3" i="1471"/>
  <c r="V3" i="1471"/>
  <c r="U3" i="1471"/>
  <c r="T3" i="1471"/>
  <c r="P3" i="1471"/>
  <c r="O3" i="1471"/>
  <c r="N3" i="1471"/>
  <c r="M3" i="1471"/>
  <c r="L3" i="1471"/>
  <c r="K3" i="1471"/>
  <c r="J3" i="1471"/>
  <c r="I3" i="1471"/>
  <c r="H3" i="1471"/>
  <c r="G3" i="1471"/>
  <c r="F3" i="1471"/>
  <c r="E3" i="1471"/>
  <c r="D3" i="1471"/>
  <c r="C3" i="1471"/>
  <c r="F21" i="1470"/>
  <c r="Y19" i="1470"/>
  <c r="W19" i="1470"/>
  <c r="V19" i="1470"/>
  <c r="U19" i="1470"/>
  <c r="T19" i="1470"/>
  <c r="P19" i="1470"/>
  <c r="O19" i="1470"/>
  <c r="N19" i="1470"/>
  <c r="M19" i="1470"/>
  <c r="L19" i="1470"/>
  <c r="K19" i="1470"/>
  <c r="J19" i="1470"/>
  <c r="I19" i="1470"/>
  <c r="H19" i="1470"/>
  <c r="G19" i="1470"/>
  <c r="F19" i="1470"/>
  <c r="E19" i="1470"/>
  <c r="D19" i="1470"/>
  <c r="C19" i="1470"/>
  <c r="Y18" i="1470"/>
  <c r="W18" i="1470"/>
  <c r="V18" i="1470"/>
  <c r="U18" i="1470"/>
  <c r="T18" i="1470"/>
  <c r="P18" i="1470"/>
  <c r="O18" i="1470"/>
  <c r="N18" i="1470"/>
  <c r="M18" i="1470"/>
  <c r="L18" i="1470"/>
  <c r="K18" i="1470"/>
  <c r="J18" i="1470"/>
  <c r="I18" i="1470"/>
  <c r="H18" i="1470"/>
  <c r="G18" i="1470"/>
  <c r="F18" i="1470"/>
  <c r="E18" i="1470"/>
  <c r="D18" i="1470"/>
  <c r="C18" i="1470"/>
  <c r="Y4" i="1470"/>
  <c r="W4" i="1470"/>
  <c r="V4" i="1470"/>
  <c r="U4" i="1470"/>
  <c r="T4" i="1470"/>
  <c r="P4" i="1470"/>
  <c r="O4" i="1470"/>
  <c r="N4" i="1470"/>
  <c r="M4" i="1470"/>
  <c r="L4" i="1470"/>
  <c r="K4" i="1470"/>
  <c r="J4" i="1470"/>
  <c r="I4" i="1470"/>
  <c r="H4" i="1470"/>
  <c r="G4" i="1470"/>
  <c r="F4" i="1470"/>
  <c r="E4" i="1470"/>
  <c r="D4" i="1470"/>
  <c r="C4" i="1470"/>
  <c r="Y3" i="1470"/>
  <c r="W3" i="1470"/>
  <c r="V3" i="1470"/>
  <c r="U3" i="1470"/>
  <c r="T3" i="1470"/>
  <c r="P3" i="1470"/>
  <c r="O3" i="1470"/>
  <c r="N3" i="1470"/>
  <c r="M3" i="1470"/>
  <c r="L3" i="1470"/>
  <c r="K3" i="1470"/>
  <c r="J3" i="1470"/>
  <c r="I3" i="1470"/>
  <c r="H3" i="1470"/>
  <c r="G3" i="1470"/>
  <c r="F3" i="1470"/>
  <c r="E3" i="1470"/>
  <c r="D3" i="1470"/>
  <c r="C3" i="1470"/>
  <c r="F21" i="1469"/>
  <c r="Y19" i="1469"/>
  <c r="W19" i="1469"/>
  <c r="V19" i="1469"/>
  <c r="U19" i="1469"/>
  <c r="T19" i="1469"/>
  <c r="P19" i="1469"/>
  <c r="O19" i="1469"/>
  <c r="N19" i="1469"/>
  <c r="M19" i="1469"/>
  <c r="L19" i="1469"/>
  <c r="K19" i="1469"/>
  <c r="J19" i="1469"/>
  <c r="I19" i="1469"/>
  <c r="H19" i="1469"/>
  <c r="G19" i="1469"/>
  <c r="F19" i="1469"/>
  <c r="E19" i="1469"/>
  <c r="D19" i="1469"/>
  <c r="C19" i="1469"/>
  <c r="Y18" i="1469"/>
  <c r="W18" i="1469"/>
  <c r="V18" i="1469"/>
  <c r="U18" i="1469"/>
  <c r="T18" i="1469"/>
  <c r="P18" i="1469"/>
  <c r="O18" i="1469"/>
  <c r="N18" i="1469"/>
  <c r="M18" i="1469"/>
  <c r="L18" i="1469"/>
  <c r="K18" i="1469"/>
  <c r="J18" i="1469"/>
  <c r="I18" i="1469"/>
  <c r="H18" i="1469"/>
  <c r="G18" i="1469"/>
  <c r="F18" i="1469"/>
  <c r="E18" i="1469"/>
  <c r="D18" i="1469"/>
  <c r="C18" i="1469"/>
  <c r="Y4" i="1469"/>
  <c r="W4" i="1469"/>
  <c r="V4" i="1469"/>
  <c r="U4" i="1469"/>
  <c r="T4" i="1469"/>
  <c r="P4" i="1469"/>
  <c r="O4" i="1469"/>
  <c r="N4" i="1469"/>
  <c r="M4" i="1469"/>
  <c r="L4" i="1469"/>
  <c r="K4" i="1469"/>
  <c r="J4" i="1469"/>
  <c r="I4" i="1469"/>
  <c r="H4" i="1469"/>
  <c r="G4" i="1469"/>
  <c r="F4" i="1469"/>
  <c r="E4" i="1469"/>
  <c r="D4" i="1469"/>
  <c r="C4" i="1469"/>
  <c r="Y3" i="1469"/>
  <c r="W3" i="1469"/>
  <c r="V3" i="1469"/>
  <c r="U3" i="1469"/>
  <c r="T3" i="1469"/>
  <c r="P3" i="1469"/>
  <c r="O3" i="1469"/>
  <c r="N3" i="1469"/>
  <c r="M3" i="1469"/>
  <c r="L3" i="1469"/>
  <c r="K3" i="1469"/>
  <c r="J3" i="1469"/>
  <c r="I3" i="1469"/>
  <c r="H3" i="1469"/>
  <c r="G3" i="1469"/>
  <c r="F3" i="1469"/>
  <c r="E3" i="1469"/>
  <c r="D3" i="1469"/>
  <c r="C3" i="1469"/>
  <c r="F21" i="1468"/>
  <c r="Y19" i="1468"/>
  <c r="W19" i="1468"/>
  <c r="V19" i="1468"/>
  <c r="U19" i="1468"/>
  <c r="T19" i="1468"/>
  <c r="P19" i="1468"/>
  <c r="O19" i="1468"/>
  <c r="N19" i="1468"/>
  <c r="M19" i="1468"/>
  <c r="L19" i="1468"/>
  <c r="K19" i="1468"/>
  <c r="J19" i="1468"/>
  <c r="I19" i="1468"/>
  <c r="H19" i="1468"/>
  <c r="G19" i="1468"/>
  <c r="F19" i="1468"/>
  <c r="E19" i="1468"/>
  <c r="D19" i="1468"/>
  <c r="C19" i="1468"/>
  <c r="Y18" i="1468"/>
  <c r="W18" i="1468"/>
  <c r="V18" i="1468"/>
  <c r="U18" i="1468"/>
  <c r="T18" i="1468"/>
  <c r="P18" i="1468"/>
  <c r="O18" i="1468"/>
  <c r="N18" i="1468"/>
  <c r="M18" i="1468"/>
  <c r="L18" i="1468"/>
  <c r="K18" i="1468"/>
  <c r="J18" i="1468"/>
  <c r="I18" i="1468"/>
  <c r="H18" i="1468"/>
  <c r="G18" i="1468"/>
  <c r="F18" i="1468"/>
  <c r="E18" i="1468"/>
  <c r="D18" i="1468"/>
  <c r="C18" i="1468"/>
  <c r="Y4" i="1468"/>
  <c r="W4" i="1468"/>
  <c r="V4" i="1468"/>
  <c r="U4" i="1468"/>
  <c r="T4" i="1468"/>
  <c r="P4" i="1468"/>
  <c r="O4" i="1468"/>
  <c r="N4" i="1468"/>
  <c r="M4" i="1468"/>
  <c r="L4" i="1468"/>
  <c r="K4" i="1468"/>
  <c r="J4" i="1468"/>
  <c r="I4" i="1468"/>
  <c r="H4" i="1468"/>
  <c r="G4" i="1468"/>
  <c r="F4" i="1468"/>
  <c r="E4" i="1468"/>
  <c r="D4" i="1468"/>
  <c r="C4" i="1468"/>
  <c r="Y3" i="1468"/>
  <c r="W3" i="1468"/>
  <c r="V3" i="1468"/>
  <c r="U3" i="1468"/>
  <c r="T3" i="1468"/>
  <c r="P3" i="1468"/>
  <c r="O3" i="1468"/>
  <c r="N3" i="1468"/>
  <c r="M3" i="1468"/>
  <c r="L3" i="1468"/>
  <c r="K3" i="1468"/>
  <c r="J3" i="1468"/>
  <c r="I3" i="1468"/>
  <c r="H3" i="1468"/>
  <c r="G3" i="1468"/>
  <c r="F3" i="1468"/>
  <c r="E3" i="1468"/>
  <c r="D3" i="1468"/>
  <c r="C3" i="1468"/>
  <c r="F21" i="1467"/>
  <c r="Y19" i="1467"/>
  <c r="W19" i="1467"/>
  <c r="V19" i="1467"/>
  <c r="U19" i="1467"/>
  <c r="T19" i="1467"/>
  <c r="P19" i="1467"/>
  <c r="O19" i="1467"/>
  <c r="N19" i="1467"/>
  <c r="M19" i="1467"/>
  <c r="L19" i="1467"/>
  <c r="K19" i="1467"/>
  <c r="J19" i="1467"/>
  <c r="I19" i="1467"/>
  <c r="H19" i="1467"/>
  <c r="G19" i="1467"/>
  <c r="F19" i="1467"/>
  <c r="E19" i="1467"/>
  <c r="D19" i="1467"/>
  <c r="C19" i="1467"/>
  <c r="Y18" i="1467"/>
  <c r="W18" i="1467"/>
  <c r="V18" i="1467"/>
  <c r="U18" i="1467"/>
  <c r="T18" i="1467"/>
  <c r="P18" i="1467"/>
  <c r="O18" i="1467"/>
  <c r="N18" i="1467"/>
  <c r="M18" i="1467"/>
  <c r="L18" i="1467"/>
  <c r="K18" i="1467"/>
  <c r="J18" i="1467"/>
  <c r="I18" i="1467"/>
  <c r="H18" i="1467"/>
  <c r="G18" i="1467"/>
  <c r="F18" i="1467"/>
  <c r="E18" i="1467"/>
  <c r="D18" i="1467"/>
  <c r="C18" i="1467"/>
  <c r="Y4" i="1467"/>
  <c r="W4" i="1467"/>
  <c r="V4" i="1467"/>
  <c r="U4" i="1467"/>
  <c r="T4" i="1467"/>
  <c r="P4" i="1467"/>
  <c r="O4" i="1467"/>
  <c r="N4" i="1467"/>
  <c r="M4" i="1467"/>
  <c r="L4" i="1467"/>
  <c r="K4" i="1467"/>
  <c r="J4" i="1467"/>
  <c r="I4" i="1467"/>
  <c r="H4" i="1467"/>
  <c r="G4" i="1467"/>
  <c r="F4" i="1467"/>
  <c r="E4" i="1467"/>
  <c r="D4" i="1467"/>
  <c r="C4" i="1467"/>
  <c r="Y3" i="1467"/>
  <c r="W3" i="1467"/>
  <c r="V3" i="1467"/>
  <c r="U3" i="1467"/>
  <c r="T3" i="1467"/>
  <c r="P3" i="1467"/>
  <c r="O3" i="1467"/>
  <c r="N3" i="1467"/>
  <c r="M3" i="1467"/>
  <c r="L3" i="1467"/>
  <c r="K3" i="1467"/>
  <c r="J3" i="1467"/>
  <c r="I3" i="1467"/>
  <c r="H3" i="1467"/>
  <c r="G3" i="1467"/>
  <c r="F3" i="1467"/>
  <c r="E3" i="1467"/>
  <c r="D3" i="1467"/>
  <c r="C3" i="1467"/>
  <c r="F21" i="1466"/>
  <c r="Y19" i="1466"/>
  <c r="W19" i="1466"/>
  <c r="V19" i="1466"/>
  <c r="U19" i="1466"/>
  <c r="T19" i="1466"/>
  <c r="P19" i="1466"/>
  <c r="O19" i="1466"/>
  <c r="N19" i="1466"/>
  <c r="M19" i="1466"/>
  <c r="L19" i="1466"/>
  <c r="K19" i="1466"/>
  <c r="J19" i="1466"/>
  <c r="I19" i="1466"/>
  <c r="H19" i="1466"/>
  <c r="G19" i="1466"/>
  <c r="F19" i="1466"/>
  <c r="E19" i="1466"/>
  <c r="D19" i="1466"/>
  <c r="C19" i="1466"/>
  <c r="Y18" i="1466"/>
  <c r="W18" i="1466"/>
  <c r="V18" i="1466"/>
  <c r="U18" i="1466"/>
  <c r="T18" i="1466"/>
  <c r="P18" i="1466"/>
  <c r="O18" i="1466"/>
  <c r="N18" i="1466"/>
  <c r="M18" i="1466"/>
  <c r="L18" i="1466"/>
  <c r="K18" i="1466"/>
  <c r="J18" i="1466"/>
  <c r="I18" i="1466"/>
  <c r="H18" i="1466"/>
  <c r="G18" i="1466"/>
  <c r="F18" i="1466"/>
  <c r="E18" i="1466"/>
  <c r="D18" i="1466"/>
  <c r="C18" i="1466"/>
  <c r="Y4" i="1466"/>
  <c r="W4" i="1466"/>
  <c r="V4" i="1466"/>
  <c r="U4" i="1466"/>
  <c r="T4" i="1466"/>
  <c r="P4" i="1466"/>
  <c r="O4" i="1466"/>
  <c r="N4" i="1466"/>
  <c r="M4" i="1466"/>
  <c r="L4" i="1466"/>
  <c r="K4" i="1466"/>
  <c r="J4" i="1466"/>
  <c r="I4" i="1466"/>
  <c r="H4" i="1466"/>
  <c r="G4" i="1466"/>
  <c r="F4" i="1466"/>
  <c r="E4" i="1466"/>
  <c r="D4" i="1466"/>
  <c r="C4" i="1466"/>
  <c r="Y3" i="1466"/>
  <c r="W3" i="1466"/>
  <c r="V3" i="1466"/>
  <c r="U3" i="1466"/>
  <c r="T3" i="1466"/>
  <c r="P3" i="1466"/>
  <c r="O3" i="1466"/>
  <c r="N3" i="1466"/>
  <c r="M3" i="1466"/>
  <c r="L3" i="1466"/>
  <c r="K3" i="1466"/>
  <c r="J3" i="1466"/>
  <c r="I3" i="1466"/>
  <c r="H3" i="1466"/>
  <c r="G3" i="1466"/>
  <c r="F3" i="1466"/>
  <c r="E3" i="1466"/>
  <c r="D3" i="1466"/>
  <c r="C3" i="1466"/>
  <c r="F21" i="1465"/>
  <c r="Y19" i="1465"/>
  <c r="W19" i="1465"/>
  <c r="V19" i="1465"/>
  <c r="U19" i="1465"/>
  <c r="T19" i="1465"/>
  <c r="P19" i="1465"/>
  <c r="O19" i="1465"/>
  <c r="N19" i="1465"/>
  <c r="M19" i="1465"/>
  <c r="L19" i="1465"/>
  <c r="K19" i="1465"/>
  <c r="J19" i="1465"/>
  <c r="I19" i="1465"/>
  <c r="H19" i="1465"/>
  <c r="G19" i="1465"/>
  <c r="F19" i="1465"/>
  <c r="E19" i="1465"/>
  <c r="D19" i="1465"/>
  <c r="C19" i="1465"/>
  <c r="Y18" i="1465"/>
  <c r="W18" i="1465"/>
  <c r="V18" i="1465"/>
  <c r="U18" i="1465"/>
  <c r="T18" i="1465"/>
  <c r="P18" i="1465"/>
  <c r="O18" i="1465"/>
  <c r="N18" i="1465"/>
  <c r="M18" i="1465"/>
  <c r="L18" i="1465"/>
  <c r="K18" i="1465"/>
  <c r="J18" i="1465"/>
  <c r="I18" i="1465"/>
  <c r="H18" i="1465"/>
  <c r="G18" i="1465"/>
  <c r="F18" i="1465"/>
  <c r="E18" i="1465"/>
  <c r="D18" i="1465"/>
  <c r="C18" i="1465"/>
  <c r="Y4" i="1465"/>
  <c r="W4" i="1465"/>
  <c r="V4" i="1465"/>
  <c r="U4" i="1465"/>
  <c r="T4" i="1465"/>
  <c r="P4" i="1465"/>
  <c r="O4" i="1465"/>
  <c r="N4" i="1465"/>
  <c r="M4" i="1465"/>
  <c r="L4" i="1465"/>
  <c r="K4" i="1465"/>
  <c r="J4" i="1465"/>
  <c r="I4" i="1465"/>
  <c r="H4" i="1465"/>
  <c r="G4" i="1465"/>
  <c r="F4" i="1465"/>
  <c r="E4" i="1465"/>
  <c r="D4" i="1465"/>
  <c r="C4" i="1465"/>
  <c r="Y3" i="1465"/>
  <c r="W3" i="1465"/>
  <c r="V3" i="1465"/>
  <c r="U3" i="1465"/>
  <c r="T3" i="1465"/>
  <c r="P3" i="1465"/>
  <c r="O3" i="1465"/>
  <c r="N3" i="1465"/>
  <c r="M3" i="1465"/>
  <c r="L3" i="1465"/>
  <c r="K3" i="1465"/>
  <c r="J3" i="1465"/>
  <c r="I3" i="1465"/>
  <c r="H3" i="1465"/>
  <c r="G3" i="1465"/>
  <c r="F3" i="1465"/>
  <c r="E3" i="1465"/>
  <c r="D3" i="1465"/>
  <c r="C3" i="1465"/>
  <c r="F21" i="1464"/>
  <c r="Y19" i="1464"/>
  <c r="W19" i="1464"/>
  <c r="V19" i="1464"/>
  <c r="U19" i="1464"/>
  <c r="T19" i="1464"/>
  <c r="P19" i="1464"/>
  <c r="O19" i="1464"/>
  <c r="N19" i="1464"/>
  <c r="M19" i="1464"/>
  <c r="L19" i="1464"/>
  <c r="K19" i="1464"/>
  <c r="J19" i="1464"/>
  <c r="I19" i="1464"/>
  <c r="H19" i="1464"/>
  <c r="G19" i="1464"/>
  <c r="F19" i="1464"/>
  <c r="E19" i="1464"/>
  <c r="D19" i="1464"/>
  <c r="C19" i="1464"/>
  <c r="Y18" i="1464"/>
  <c r="W18" i="1464"/>
  <c r="V18" i="1464"/>
  <c r="U18" i="1464"/>
  <c r="T18" i="1464"/>
  <c r="P18" i="1464"/>
  <c r="O18" i="1464"/>
  <c r="N18" i="1464"/>
  <c r="M18" i="1464"/>
  <c r="L18" i="1464"/>
  <c r="K18" i="1464"/>
  <c r="J18" i="1464"/>
  <c r="I18" i="1464"/>
  <c r="H18" i="1464"/>
  <c r="G18" i="1464"/>
  <c r="F18" i="1464"/>
  <c r="E18" i="1464"/>
  <c r="D18" i="1464"/>
  <c r="C18" i="1464"/>
  <c r="Y4" i="1464"/>
  <c r="W4" i="1464"/>
  <c r="V4" i="1464"/>
  <c r="U4" i="1464"/>
  <c r="T4" i="1464"/>
  <c r="P4" i="1464"/>
  <c r="O4" i="1464"/>
  <c r="N4" i="1464"/>
  <c r="M4" i="1464"/>
  <c r="L4" i="1464"/>
  <c r="K4" i="1464"/>
  <c r="J4" i="1464"/>
  <c r="I4" i="1464"/>
  <c r="H4" i="1464"/>
  <c r="G4" i="1464"/>
  <c r="F4" i="1464"/>
  <c r="E4" i="1464"/>
  <c r="D4" i="1464"/>
  <c r="C4" i="1464"/>
  <c r="Y3" i="1464"/>
  <c r="W3" i="1464"/>
  <c r="V3" i="1464"/>
  <c r="U3" i="1464"/>
  <c r="T3" i="1464"/>
  <c r="P3" i="1464"/>
  <c r="O3" i="1464"/>
  <c r="N3" i="1464"/>
  <c r="M3" i="1464"/>
  <c r="L3" i="1464"/>
  <c r="K3" i="1464"/>
  <c r="J3" i="1464"/>
  <c r="I3" i="1464"/>
  <c r="H3" i="1464"/>
  <c r="G3" i="1464"/>
  <c r="F3" i="1464"/>
  <c r="E3" i="1464"/>
  <c r="D3" i="1464"/>
  <c r="C3" i="1464"/>
  <c r="F21" i="1463"/>
  <c r="Y19" i="1463"/>
  <c r="W19" i="1463"/>
  <c r="V19" i="1463"/>
  <c r="U19" i="1463"/>
  <c r="T19" i="1463"/>
  <c r="P19" i="1463"/>
  <c r="O19" i="1463"/>
  <c r="N19" i="1463"/>
  <c r="M19" i="1463"/>
  <c r="L19" i="1463"/>
  <c r="K19" i="1463"/>
  <c r="J19" i="1463"/>
  <c r="I19" i="1463"/>
  <c r="H19" i="1463"/>
  <c r="G19" i="1463"/>
  <c r="F19" i="1463"/>
  <c r="E19" i="1463"/>
  <c r="D19" i="1463"/>
  <c r="C19" i="1463"/>
  <c r="Y18" i="1463"/>
  <c r="W18" i="1463"/>
  <c r="V18" i="1463"/>
  <c r="U18" i="1463"/>
  <c r="T18" i="1463"/>
  <c r="P18" i="1463"/>
  <c r="O18" i="1463"/>
  <c r="N18" i="1463"/>
  <c r="M18" i="1463"/>
  <c r="L18" i="1463"/>
  <c r="K18" i="1463"/>
  <c r="J18" i="1463"/>
  <c r="I18" i="1463"/>
  <c r="H18" i="1463"/>
  <c r="G18" i="1463"/>
  <c r="F18" i="1463"/>
  <c r="E18" i="1463"/>
  <c r="D18" i="1463"/>
  <c r="C18" i="1463"/>
  <c r="Y4" i="1463"/>
  <c r="W4" i="1463"/>
  <c r="V4" i="1463"/>
  <c r="U4" i="1463"/>
  <c r="T4" i="1463"/>
  <c r="P4" i="1463"/>
  <c r="O4" i="1463"/>
  <c r="N4" i="1463"/>
  <c r="M4" i="1463"/>
  <c r="L4" i="1463"/>
  <c r="K4" i="1463"/>
  <c r="J4" i="1463"/>
  <c r="I4" i="1463"/>
  <c r="H4" i="1463"/>
  <c r="G4" i="1463"/>
  <c r="F4" i="1463"/>
  <c r="E4" i="1463"/>
  <c r="D4" i="1463"/>
  <c r="C4" i="1463"/>
  <c r="Y3" i="1463"/>
  <c r="W3" i="1463"/>
  <c r="V3" i="1463"/>
  <c r="U3" i="1463"/>
  <c r="T3" i="1463"/>
  <c r="P3" i="1463"/>
  <c r="O3" i="1463"/>
  <c r="N3" i="1463"/>
  <c r="M3" i="1463"/>
  <c r="L3" i="1463"/>
  <c r="K3" i="1463"/>
  <c r="J3" i="1463"/>
  <c r="I3" i="1463"/>
  <c r="H3" i="1463"/>
  <c r="G3" i="1463"/>
  <c r="F3" i="1463"/>
  <c r="E3" i="1463"/>
  <c r="D3" i="1463"/>
  <c r="C3" i="1463"/>
  <c r="F21" i="1462"/>
  <c r="Y19" i="1462"/>
  <c r="W19" i="1462"/>
  <c r="V19" i="1462"/>
  <c r="U19" i="1462"/>
  <c r="T19" i="1462"/>
  <c r="P19" i="1462"/>
  <c r="O19" i="1462"/>
  <c r="N19" i="1462"/>
  <c r="M19" i="1462"/>
  <c r="L19" i="1462"/>
  <c r="K19" i="1462"/>
  <c r="J19" i="1462"/>
  <c r="I19" i="1462"/>
  <c r="H19" i="1462"/>
  <c r="G19" i="1462"/>
  <c r="F19" i="1462"/>
  <c r="E19" i="1462"/>
  <c r="D19" i="1462"/>
  <c r="C19" i="1462"/>
  <c r="Y18" i="1462"/>
  <c r="W18" i="1462"/>
  <c r="V18" i="1462"/>
  <c r="U18" i="1462"/>
  <c r="T18" i="1462"/>
  <c r="P18" i="1462"/>
  <c r="O18" i="1462"/>
  <c r="N18" i="1462"/>
  <c r="M18" i="1462"/>
  <c r="L18" i="1462"/>
  <c r="K18" i="1462"/>
  <c r="J18" i="1462"/>
  <c r="I18" i="1462"/>
  <c r="H18" i="1462"/>
  <c r="G18" i="1462"/>
  <c r="F18" i="1462"/>
  <c r="E18" i="1462"/>
  <c r="D18" i="1462"/>
  <c r="C18" i="1462"/>
  <c r="Y4" i="1462"/>
  <c r="W4" i="1462"/>
  <c r="V4" i="1462"/>
  <c r="U4" i="1462"/>
  <c r="T4" i="1462"/>
  <c r="P4" i="1462"/>
  <c r="O4" i="1462"/>
  <c r="N4" i="1462"/>
  <c r="M4" i="1462"/>
  <c r="L4" i="1462"/>
  <c r="K4" i="1462"/>
  <c r="J4" i="1462"/>
  <c r="I4" i="1462"/>
  <c r="H4" i="1462"/>
  <c r="G4" i="1462"/>
  <c r="F4" i="1462"/>
  <c r="E4" i="1462"/>
  <c r="D4" i="1462"/>
  <c r="C4" i="1462"/>
  <c r="Y3" i="1462"/>
  <c r="W3" i="1462"/>
  <c r="V3" i="1462"/>
  <c r="U3" i="1462"/>
  <c r="T3" i="1462"/>
  <c r="P3" i="1462"/>
  <c r="O3" i="1462"/>
  <c r="N3" i="1462"/>
  <c r="M3" i="1462"/>
  <c r="L3" i="1462"/>
  <c r="K3" i="1462"/>
  <c r="J3" i="1462"/>
  <c r="I3" i="1462"/>
  <c r="H3" i="1462"/>
  <c r="G3" i="1462"/>
  <c r="F3" i="1462"/>
  <c r="E3" i="1462"/>
  <c r="D3" i="1462"/>
  <c r="C3" i="1462"/>
  <c r="F21" i="1461"/>
  <c r="Y19" i="1461"/>
  <c r="W19" i="1461"/>
  <c r="V19" i="1461"/>
  <c r="U19" i="1461"/>
  <c r="T19" i="1461"/>
  <c r="P19" i="1461"/>
  <c r="O19" i="1461"/>
  <c r="N19" i="1461"/>
  <c r="M19" i="1461"/>
  <c r="L19" i="1461"/>
  <c r="K19" i="1461"/>
  <c r="J19" i="1461"/>
  <c r="I19" i="1461"/>
  <c r="H19" i="1461"/>
  <c r="G19" i="1461"/>
  <c r="F19" i="1461"/>
  <c r="E19" i="1461"/>
  <c r="D19" i="1461"/>
  <c r="C19" i="1461"/>
  <c r="Y18" i="1461"/>
  <c r="W18" i="1461"/>
  <c r="V18" i="1461"/>
  <c r="U18" i="1461"/>
  <c r="T18" i="1461"/>
  <c r="P18" i="1461"/>
  <c r="O18" i="1461"/>
  <c r="N18" i="1461"/>
  <c r="M18" i="1461"/>
  <c r="L18" i="1461"/>
  <c r="K18" i="1461"/>
  <c r="J18" i="1461"/>
  <c r="I18" i="1461"/>
  <c r="H18" i="1461"/>
  <c r="G18" i="1461"/>
  <c r="F18" i="1461"/>
  <c r="E18" i="1461"/>
  <c r="D18" i="1461"/>
  <c r="C18" i="1461"/>
  <c r="Y4" i="1461"/>
  <c r="W4" i="1461"/>
  <c r="V4" i="1461"/>
  <c r="U4" i="1461"/>
  <c r="T4" i="1461"/>
  <c r="P4" i="1461"/>
  <c r="O4" i="1461"/>
  <c r="N4" i="1461"/>
  <c r="M4" i="1461"/>
  <c r="L4" i="1461"/>
  <c r="K4" i="1461"/>
  <c r="J4" i="1461"/>
  <c r="I4" i="1461"/>
  <c r="H4" i="1461"/>
  <c r="G4" i="1461"/>
  <c r="F4" i="1461"/>
  <c r="E4" i="1461"/>
  <c r="D4" i="1461"/>
  <c r="C4" i="1461"/>
  <c r="Y3" i="1461"/>
  <c r="W3" i="1461"/>
  <c r="V3" i="1461"/>
  <c r="U3" i="1461"/>
  <c r="T3" i="1461"/>
  <c r="P3" i="1461"/>
  <c r="O3" i="1461"/>
  <c r="N3" i="1461"/>
  <c r="M3" i="1461"/>
  <c r="L3" i="1461"/>
  <c r="K3" i="1461"/>
  <c r="J3" i="1461"/>
  <c r="I3" i="1461"/>
  <c r="H3" i="1461"/>
  <c r="G3" i="1461"/>
  <c r="F3" i="1461"/>
  <c r="E3" i="1461"/>
  <c r="D3" i="1461"/>
  <c r="C3" i="1461"/>
  <c r="F21" i="1460"/>
  <c r="Y19" i="1460"/>
  <c r="W19" i="1460"/>
  <c r="V19" i="1460"/>
  <c r="U19" i="1460"/>
  <c r="T19" i="1460"/>
  <c r="P19" i="1460"/>
  <c r="O19" i="1460"/>
  <c r="N19" i="1460"/>
  <c r="M19" i="1460"/>
  <c r="L19" i="1460"/>
  <c r="K19" i="1460"/>
  <c r="J19" i="1460"/>
  <c r="I19" i="1460"/>
  <c r="H19" i="1460"/>
  <c r="G19" i="1460"/>
  <c r="F19" i="1460"/>
  <c r="E19" i="1460"/>
  <c r="D19" i="1460"/>
  <c r="C19" i="1460"/>
  <c r="Y18" i="1460"/>
  <c r="W18" i="1460"/>
  <c r="V18" i="1460"/>
  <c r="U18" i="1460"/>
  <c r="T18" i="1460"/>
  <c r="P18" i="1460"/>
  <c r="O18" i="1460"/>
  <c r="N18" i="1460"/>
  <c r="M18" i="1460"/>
  <c r="L18" i="1460"/>
  <c r="K18" i="1460"/>
  <c r="J18" i="1460"/>
  <c r="I18" i="1460"/>
  <c r="H18" i="1460"/>
  <c r="G18" i="1460"/>
  <c r="F18" i="1460"/>
  <c r="E18" i="1460"/>
  <c r="D18" i="1460"/>
  <c r="C18" i="1460"/>
  <c r="Y4" i="1460"/>
  <c r="W4" i="1460"/>
  <c r="V4" i="1460"/>
  <c r="U4" i="1460"/>
  <c r="T4" i="1460"/>
  <c r="P4" i="1460"/>
  <c r="O4" i="1460"/>
  <c r="N4" i="1460"/>
  <c r="M4" i="1460"/>
  <c r="L4" i="1460"/>
  <c r="K4" i="1460"/>
  <c r="J4" i="1460"/>
  <c r="I4" i="1460"/>
  <c r="H4" i="1460"/>
  <c r="G4" i="1460"/>
  <c r="F4" i="1460"/>
  <c r="E4" i="1460"/>
  <c r="D4" i="1460"/>
  <c r="C4" i="1460"/>
  <c r="Y3" i="1460"/>
  <c r="W3" i="1460"/>
  <c r="V3" i="1460"/>
  <c r="U3" i="1460"/>
  <c r="T3" i="1460"/>
  <c r="P3" i="1460"/>
  <c r="O3" i="1460"/>
  <c r="N3" i="1460"/>
  <c r="M3" i="1460"/>
  <c r="L3" i="1460"/>
  <c r="K3" i="1460"/>
  <c r="J3" i="1460"/>
  <c r="I3" i="1460"/>
  <c r="H3" i="1460"/>
  <c r="G3" i="1460"/>
  <c r="F3" i="1460"/>
  <c r="E3" i="1460"/>
  <c r="D3" i="1460"/>
  <c r="C3" i="1460"/>
  <c r="F21" i="1459"/>
  <c r="Y19" i="1459"/>
  <c r="W19" i="1459"/>
  <c r="V19" i="1459"/>
  <c r="U19" i="1459"/>
  <c r="T19" i="1459"/>
  <c r="P19" i="1459"/>
  <c r="O19" i="1459"/>
  <c r="N19" i="1459"/>
  <c r="M19" i="1459"/>
  <c r="L19" i="1459"/>
  <c r="K19" i="1459"/>
  <c r="J19" i="1459"/>
  <c r="I19" i="1459"/>
  <c r="H19" i="1459"/>
  <c r="G19" i="1459"/>
  <c r="F19" i="1459"/>
  <c r="E19" i="1459"/>
  <c r="D19" i="1459"/>
  <c r="C19" i="1459"/>
  <c r="Y18" i="1459"/>
  <c r="W18" i="1459"/>
  <c r="V18" i="1459"/>
  <c r="U18" i="1459"/>
  <c r="T18" i="1459"/>
  <c r="P18" i="1459"/>
  <c r="O18" i="1459"/>
  <c r="N18" i="1459"/>
  <c r="M18" i="1459"/>
  <c r="L18" i="1459"/>
  <c r="K18" i="1459"/>
  <c r="J18" i="1459"/>
  <c r="I18" i="1459"/>
  <c r="H18" i="1459"/>
  <c r="G18" i="1459"/>
  <c r="F18" i="1459"/>
  <c r="E18" i="1459"/>
  <c r="D18" i="1459"/>
  <c r="C18" i="1459"/>
  <c r="Y4" i="1459"/>
  <c r="W4" i="1459"/>
  <c r="V4" i="1459"/>
  <c r="U4" i="1459"/>
  <c r="T4" i="1459"/>
  <c r="P4" i="1459"/>
  <c r="O4" i="1459"/>
  <c r="N4" i="1459"/>
  <c r="M4" i="1459"/>
  <c r="L4" i="1459"/>
  <c r="K4" i="1459"/>
  <c r="J4" i="1459"/>
  <c r="I4" i="1459"/>
  <c r="H4" i="1459"/>
  <c r="G4" i="1459"/>
  <c r="F4" i="1459"/>
  <c r="E4" i="1459"/>
  <c r="D4" i="1459"/>
  <c r="C4" i="1459"/>
  <c r="Y3" i="1459"/>
  <c r="W3" i="1459"/>
  <c r="V3" i="1459"/>
  <c r="U3" i="1459"/>
  <c r="T3" i="1459"/>
  <c r="P3" i="1459"/>
  <c r="O3" i="1459"/>
  <c r="N3" i="1459"/>
  <c r="M3" i="1459"/>
  <c r="L3" i="1459"/>
  <c r="K3" i="1459"/>
  <c r="J3" i="1459"/>
  <c r="I3" i="1459"/>
  <c r="H3" i="1459"/>
  <c r="G3" i="1459"/>
  <c r="F3" i="1459"/>
  <c r="E3" i="1459"/>
  <c r="D3" i="1459"/>
  <c r="C3" i="1459"/>
  <c r="F21" i="1458"/>
  <c r="Y19" i="1458"/>
  <c r="W19" i="1458"/>
  <c r="V19" i="1458"/>
  <c r="U19" i="1458"/>
  <c r="T19" i="1458"/>
  <c r="P19" i="1458"/>
  <c r="O19" i="1458"/>
  <c r="N19" i="1458"/>
  <c r="M19" i="1458"/>
  <c r="L19" i="1458"/>
  <c r="K19" i="1458"/>
  <c r="J19" i="1458"/>
  <c r="I19" i="1458"/>
  <c r="H19" i="1458"/>
  <c r="G19" i="1458"/>
  <c r="F19" i="1458"/>
  <c r="E19" i="1458"/>
  <c r="D19" i="1458"/>
  <c r="C19" i="1458"/>
  <c r="Y18" i="1458"/>
  <c r="W18" i="1458"/>
  <c r="V18" i="1458"/>
  <c r="U18" i="1458"/>
  <c r="T18" i="1458"/>
  <c r="P18" i="1458"/>
  <c r="O18" i="1458"/>
  <c r="N18" i="1458"/>
  <c r="M18" i="1458"/>
  <c r="L18" i="1458"/>
  <c r="K18" i="1458"/>
  <c r="J18" i="1458"/>
  <c r="I18" i="1458"/>
  <c r="H18" i="1458"/>
  <c r="G18" i="1458"/>
  <c r="F18" i="1458"/>
  <c r="E18" i="1458"/>
  <c r="D18" i="1458"/>
  <c r="C18" i="1458"/>
  <c r="Y4" i="1458"/>
  <c r="W4" i="1458"/>
  <c r="V4" i="1458"/>
  <c r="U4" i="1458"/>
  <c r="T4" i="1458"/>
  <c r="P4" i="1458"/>
  <c r="O4" i="1458"/>
  <c r="N4" i="1458"/>
  <c r="M4" i="1458"/>
  <c r="L4" i="1458"/>
  <c r="K4" i="1458"/>
  <c r="J4" i="1458"/>
  <c r="I4" i="1458"/>
  <c r="H4" i="1458"/>
  <c r="G4" i="1458"/>
  <c r="F4" i="1458"/>
  <c r="E4" i="1458"/>
  <c r="D4" i="1458"/>
  <c r="C4" i="1458"/>
  <c r="Y3" i="1458"/>
  <c r="W3" i="1458"/>
  <c r="V3" i="1458"/>
  <c r="U3" i="1458"/>
  <c r="T3" i="1458"/>
  <c r="P3" i="1458"/>
  <c r="O3" i="1458"/>
  <c r="N3" i="1458"/>
  <c r="M3" i="1458"/>
  <c r="L3" i="1458"/>
  <c r="K3" i="1458"/>
  <c r="J3" i="1458"/>
  <c r="I3" i="1458"/>
  <c r="H3" i="1458"/>
  <c r="G3" i="1458"/>
  <c r="F3" i="1458"/>
  <c r="E3" i="1458"/>
  <c r="D3" i="1458"/>
  <c r="C3" i="1458"/>
  <c r="F21" i="1457"/>
  <c r="Y19" i="1457"/>
  <c r="W19" i="1457"/>
  <c r="V19" i="1457"/>
  <c r="U19" i="1457"/>
  <c r="T19" i="1457"/>
  <c r="P19" i="1457"/>
  <c r="O19" i="1457"/>
  <c r="N19" i="1457"/>
  <c r="M19" i="1457"/>
  <c r="L19" i="1457"/>
  <c r="K19" i="1457"/>
  <c r="J19" i="1457"/>
  <c r="I19" i="1457"/>
  <c r="H19" i="1457"/>
  <c r="G19" i="1457"/>
  <c r="F19" i="1457"/>
  <c r="E19" i="1457"/>
  <c r="D19" i="1457"/>
  <c r="C19" i="1457"/>
  <c r="Y18" i="1457"/>
  <c r="W18" i="1457"/>
  <c r="V18" i="1457"/>
  <c r="U18" i="1457"/>
  <c r="T18" i="1457"/>
  <c r="P18" i="1457"/>
  <c r="O18" i="1457"/>
  <c r="N18" i="1457"/>
  <c r="M18" i="1457"/>
  <c r="L18" i="1457"/>
  <c r="K18" i="1457"/>
  <c r="J18" i="1457"/>
  <c r="I18" i="1457"/>
  <c r="H18" i="1457"/>
  <c r="G18" i="1457"/>
  <c r="F18" i="1457"/>
  <c r="E18" i="1457"/>
  <c r="D18" i="1457"/>
  <c r="C18" i="1457"/>
  <c r="Y4" i="1457"/>
  <c r="W4" i="1457"/>
  <c r="V4" i="1457"/>
  <c r="U4" i="1457"/>
  <c r="T4" i="1457"/>
  <c r="P4" i="1457"/>
  <c r="O4" i="1457"/>
  <c r="N4" i="1457"/>
  <c r="M4" i="1457"/>
  <c r="L4" i="1457"/>
  <c r="K4" i="1457"/>
  <c r="J4" i="1457"/>
  <c r="I4" i="1457"/>
  <c r="H4" i="1457"/>
  <c r="G4" i="1457"/>
  <c r="F4" i="1457"/>
  <c r="E4" i="1457"/>
  <c r="D4" i="1457"/>
  <c r="C4" i="1457"/>
  <c r="Y3" i="1457"/>
  <c r="W3" i="1457"/>
  <c r="V3" i="1457"/>
  <c r="U3" i="1457"/>
  <c r="T3" i="1457"/>
  <c r="P3" i="1457"/>
  <c r="O3" i="1457"/>
  <c r="N3" i="1457"/>
  <c r="M3" i="1457"/>
  <c r="L3" i="1457"/>
  <c r="K3" i="1457"/>
  <c r="J3" i="1457"/>
  <c r="I3" i="1457"/>
  <c r="H3" i="1457"/>
  <c r="G3" i="1457"/>
  <c r="F3" i="1457"/>
  <c r="E3" i="1457"/>
  <c r="D3" i="1457"/>
  <c r="C3" i="1457"/>
  <c r="F21" i="1456"/>
  <c r="Y19" i="1456"/>
  <c r="W19" i="1456"/>
  <c r="V19" i="1456"/>
  <c r="U19" i="1456"/>
  <c r="T19" i="1456"/>
  <c r="P19" i="1456"/>
  <c r="O19" i="1456"/>
  <c r="N19" i="1456"/>
  <c r="M19" i="1456"/>
  <c r="L19" i="1456"/>
  <c r="K19" i="1456"/>
  <c r="J19" i="1456"/>
  <c r="I19" i="1456"/>
  <c r="H19" i="1456"/>
  <c r="G19" i="1456"/>
  <c r="F19" i="1456"/>
  <c r="E19" i="1456"/>
  <c r="D19" i="1456"/>
  <c r="C19" i="1456"/>
  <c r="Y18" i="1456"/>
  <c r="W18" i="1456"/>
  <c r="V18" i="1456"/>
  <c r="U18" i="1456"/>
  <c r="T18" i="1456"/>
  <c r="P18" i="1456"/>
  <c r="O18" i="1456"/>
  <c r="N18" i="1456"/>
  <c r="M18" i="1456"/>
  <c r="L18" i="1456"/>
  <c r="K18" i="1456"/>
  <c r="J18" i="1456"/>
  <c r="I18" i="1456"/>
  <c r="H18" i="1456"/>
  <c r="G18" i="1456"/>
  <c r="F18" i="1456"/>
  <c r="E18" i="1456"/>
  <c r="D18" i="1456"/>
  <c r="C18" i="1456"/>
  <c r="Y4" i="1456"/>
  <c r="W4" i="1456"/>
  <c r="V4" i="1456"/>
  <c r="U4" i="1456"/>
  <c r="T4" i="1456"/>
  <c r="P4" i="1456"/>
  <c r="O4" i="1456"/>
  <c r="N4" i="1456"/>
  <c r="M4" i="1456"/>
  <c r="L4" i="1456"/>
  <c r="K4" i="1456"/>
  <c r="J4" i="1456"/>
  <c r="I4" i="1456"/>
  <c r="H4" i="1456"/>
  <c r="G4" i="1456"/>
  <c r="F4" i="1456"/>
  <c r="E4" i="1456"/>
  <c r="D4" i="1456"/>
  <c r="C4" i="1456"/>
  <c r="Y3" i="1456"/>
  <c r="W3" i="1456"/>
  <c r="V3" i="1456"/>
  <c r="U3" i="1456"/>
  <c r="T3" i="1456"/>
  <c r="P3" i="1456"/>
  <c r="O3" i="1456"/>
  <c r="N3" i="1456"/>
  <c r="M3" i="1456"/>
  <c r="L3" i="1456"/>
  <c r="K3" i="1456"/>
  <c r="J3" i="1456"/>
  <c r="I3" i="1456"/>
  <c r="H3" i="1456"/>
  <c r="G3" i="1456"/>
  <c r="F3" i="1456"/>
  <c r="E3" i="1456"/>
  <c r="D3" i="1456"/>
  <c r="C3" i="1456"/>
  <c r="F21" i="1455"/>
  <c r="Y19" i="1455"/>
  <c r="W19" i="1455"/>
  <c r="V19" i="1455"/>
  <c r="U19" i="1455"/>
  <c r="T19" i="1455"/>
  <c r="P19" i="1455"/>
  <c r="O19" i="1455"/>
  <c r="N19" i="1455"/>
  <c r="M19" i="1455"/>
  <c r="L19" i="1455"/>
  <c r="K19" i="1455"/>
  <c r="J19" i="1455"/>
  <c r="I19" i="1455"/>
  <c r="H19" i="1455"/>
  <c r="G19" i="1455"/>
  <c r="F19" i="1455"/>
  <c r="E19" i="1455"/>
  <c r="D19" i="1455"/>
  <c r="C19" i="1455"/>
  <c r="Y18" i="1455"/>
  <c r="W18" i="1455"/>
  <c r="V18" i="1455"/>
  <c r="U18" i="1455"/>
  <c r="T18" i="1455"/>
  <c r="P18" i="1455"/>
  <c r="O18" i="1455"/>
  <c r="N18" i="1455"/>
  <c r="M18" i="1455"/>
  <c r="L18" i="1455"/>
  <c r="K18" i="1455"/>
  <c r="J18" i="1455"/>
  <c r="I18" i="1455"/>
  <c r="H18" i="1455"/>
  <c r="G18" i="1455"/>
  <c r="F18" i="1455"/>
  <c r="E18" i="1455"/>
  <c r="D18" i="1455"/>
  <c r="C18" i="1455"/>
  <c r="Y4" i="1455"/>
  <c r="W4" i="1455"/>
  <c r="V4" i="1455"/>
  <c r="U4" i="1455"/>
  <c r="T4" i="1455"/>
  <c r="P4" i="1455"/>
  <c r="O4" i="1455"/>
  <c r="N4" i="1455"/>
  <c r="M4" i="1455"/>
  <c r="L4" i="1455"/>
  <c r="K4" i="1455"/>
  <c r="J4" i="1455"/>
  <c r="I4" i="1455"/>
  <c r="H4" i="1455"/>
  <c r="G4" i="1455"/>
  <c r="F4" i="1455"/>
  <c r="E4" i="1455"/>
  <c r="D4" i="1455"/>
  <c r="C4" i="1455"/>
  <c r="Y3" i="1455"/>
  <c r="W3" i="1455"/>
  <c r="V3" i="1455"/>
  <c r="U3" i="1455"/>
  <c r="T3" i="1455"/>
  <c r="P3" i="1455"/>
  <c r="O3" i="1455"/>
  <c r="N3" i="1455"/>
  <c r="M3" i="1455"/>
  <c r="L3" i="1455"/>
  <c r="K3" i="1455"/>
  <c r="J3" i="1455"/>
  <c r="I3" i="1455"/>
  <c r="H3" i="1455"/>
  <c r="G3" i="1455"/>
  <c r="F3" i="1455"/>
  <c r="E3" i="1455"/>
  <c r="D3" i="1455"/>
  <c r="C3" i="1455"/>
  <c r="F21" i="1454"/>
  <c r="Y19" i="1454"/>
  <c r="W19" i="1454"/>
  <c r="V19" i="1454"/>
  <c r="U19" i="1454"/>
  <c r="T19" i="1454"/>
  <c r="P19" i="1454"/>
  <c r="O19" i="1454"/>
  <c r="N19" i="1454"/>
  <c r="M19" i="1454"/>
  <c r="L19" i="1454"/>
  <c r="K19" i="1454"/>
  <c r="J19" i="1454"/>
  <c r="I19" i="1454"/>
  <c r="H19" i="1454"/>
  <c r="G19" i="1454"/>
  <c r="F19" i="1454"/>
  <c r="E19" i="1454"/>
  <c r="D19" i="1454"/>
  <c r="C19" i="1454"/>
  <c r="Y18" i="1454"/>
  <c r="W18" i="1454"/>
  <c r="V18" i="1454"/>
  <c r="U18" i="1454"/>
  <c r="T18" i="1454"/>
  <c r="P18" i="1454"/>
  <c r="O18" i="1454"/>
  <c r="N18" i="1454"/>
  <c r="M18" i="1454"/>
  <c r="L18" i="1454"/>
  <c r="K18" i="1454"/>
  <c r="J18" i="1454"/>
  <c r="I18" i="1454"/>
  <c r="H18" i="1454"/>
  <c r="G18" i="1454"/>
  <c r="F18" i="1454"/>
  <c r="E18" i="1454"/>
  <c r="D18" i="1454"/>
  <c r="C18" i="1454"/>
  <c r="Y4" i="1454"/>
  <c r="W4" i="1454"/>
  <c r="V4" i="1454"/>
  <c r="U4" i="1454"/>
  <c r="T4" i="1454"/>
  <c r="P4" i="1454"/>
  <c r="O4" i="1454"/>
  <c r="N4" i="1454"/>
  <c r="M4" i="1454"/>
  <c r="L4" i="1454"/>
  <c r="K4" i="1454"/>
  <c r="J4" i="1454"/>
  <c r="I4" i="1454"/>
  <c r="H4" i="1454"/>
  <c r="G4" i="1454"/>
  <c r="F4" i="1454"/>
  <c r="E4" i="1454"/>
  <c r="D4" i="1454"/>
  <c r="C4" i="1454"/>
  <c r="Y3" i="1454"/>
  <c r="W3" i="1454"/>
  <c r="V3" i="1454"/>
  <c r="U3" i="1454"/>
  <c r="T3" i="1454"/>
  <c r="P3" i="1454"/>
  <c r="O3" i="1454"/>
  <c r="N3" i="1454"/>
  <c r="M3" i="1454"/>
  <c r="L3" i="1454"/>
  <c r="K3" i="1454"/>
  <c r="J3" i="1454"/>
  <c r="I3" i="1454"/>
  <c r="H3" i="1454"/>
  <c r="G3" i="1454"/>
  <c r="F3" i="1454"/>
  <c r="E3" i="1454"/>
  <c r="D3" i="1454"/>
  <c r="C3" i="1454"/>
  <c r="F21" i="1453"/>
  <c r="Y19" i="1453"/>
  <c r="W19" i="1453"/>
  <c r="V19" i="1453"/>
  <c r="U19" i="1453"/>
  <c r="T19" i="1453"/>
  <c r="P19" i="1453"/>
  <c r="O19" i="1453"/>
  <c r="N19" i="1453"/>
  <c r="M19" i="1453"/>
  <c r="L19" i="1453"/>
  <c r="K19" i="1453"/>
  <c r="J19" i="1453"/>
  <c r="I19" i="1453"/>
  <c r="H19" i="1453"/>
  <c r="G19" i="1453"/>
  <c r="F19" i="1453"/>
  <c r="E19" i="1453"/>
  <c r="D19" i="1453"/>
  <c r="C19" i="1453"/>
  <c r="Y18" i="1453"/>
  <c r="W18" i="1453"/>
  <c r="V18" i="1453"/>
  <c r="U18" i="1453"/>
  <c r="T18" i="1453"/>
  <c r="P18" i="1453"/>
  <c r="O18" i="1453"/>
  <c r="N18" i="1453"/>
  <c r="M18" i="1453"/>
  <c r="L18" i="1453"/>
  <c r="K18" i="1453"/>
  <c r="J18" i="1453"/>
  <c r="I18" i="1453"/>
  <c r="H18" i="1453"/>
  <c r="G18" i="1453"/>
  <c r="F18" i="1453"/>
  <c r="E18" i="1453"/>
  <c r="D18" i="1453"/>
  <c r="C18" i="1453"/>
  <c r="Y4" i="1453"/>
  <c r="W4" i="1453"/>
  <c r="V4" i="1453"/>
  <c r="U4" i="1453"/>
  <c r="T4" i="1453"/>
  <c r="P4" i="1453"/>
  <c r="O4" i="1453"/>
  <c r="N4" i="1453"/>
  <c r="M4" i="1453"/>
  <c r="L4" i="1453"/>
  <c r="K4" i="1453"/>
  <c r="J4" i="1453"/>
  <c r="I4" i="1453"/>
  <c r="H4" i="1453"/>
  <c r="G4" i="1453"/>
  <c r="F4" i="1453"/>
  <c r="E4" i="1453"/>
  <c r="D4" i="1453"/>
  <c r="C4" i="1453"/>
  <c r="Y3" i="1453"/>
  <c r="W3" i="1453"/>
  <c r="V3" i="1453"/>
  <c r="U3" i="1453"/>
  <c r="T3" i="1453"/>
  <c r="P3" i="1453"/>
  <c r="O3" i="1453"/>
  <c r="N3" i="1453"/>
  <c r="M3" i="1453"/>
  <c r="L3" i="1453"/>
  <c r="K3" i="1453"/>
  <c r="J3" i="1453"/>
  <c r="I3" i="1453"/>
  <c r="H3" i="1453"/>
  <c r="G3" i="1453"/>
  <c r="F3" i="1453"/>
  <c r="E3" i="1453"/>
  <c r="D3" i="1453"/>
  <c r="C3" i="1453"/>
  <c r="F21" i="1452"/>
  <c r="Y19" i="1452"/>
  <c r="W19" i="1452"/>
  <c r="V19" i="1452"/>
  <c r="U19" i="1452"/>
  <c r="T19" i="1452"/>
  <c r="P19" i="1452"/>
  <c r="O19" i="1452"/>
  <c r="N19" i="1452"/>
  <c r="M19" i="1452"/>
  <c r="L19" i="1452"/>
  <c r="K19" i="1452"/>
  <c r="J19" i="1452"/>
  <c r="I19" i="1452"/>
  <c r="H19" i="1452"/>
  <c r="G19" i="1452"/>
  <c r="F19" i="1452"/>
  <c r="E19" i="1452"/>
  <c r="D19" i="1452"/>
  <c r="C19" i="1452"/>
  <c r="Y18" i="1452"/>
  <c r="W18" i="1452"/>
  <c r="V18" i="1452"/>
  <c r="U18" i="1452"/>
  <c r="T18" i="1452"/>
  <c r="P18" i="1452"/>
  <c r="O18" i="1452"/>
  <c r="N18" i="1452"/>
  <c r="M18" i="1452"/>
  <c r="L18" i="1452"/>
  <c r="K18" i="1452"/>
  <c r="J18" i="1452"/>
  <c r="I18" i="1452"/>
  <c r="H18" i="1452"/>
  <c r="G18" i="1452"/>
  <c r="F18" i="1452"/>
  <c r="E18" i="1452"/>
  <c r="D18" i="1452"/>
  <c r="C18" i="1452"/>
  <c r="Y4" i="1452"/>
  <c r="W4" i="1452"/>
  <c r="V4" i="1452"/>
  <c r="U4" i="1452"/>
  <c r="T4" i="1452"/>
  <c r="P4" i="1452"/>
  <c r="O4" i="1452"/>
  <c r="N4" i="1452"/>
  <c r="M4" i="1452"/>
  <c r="L4" i="1452"/>
  <c r="K4" i="1452"/>
  <c r="J4" i="1452"/>
  <c r="I4" i="1452"/>
  <c r="H4" i="1452"/>
  <c r="G4" i="1452"/>
  <c r="F4" i="1452"/>
  <c r="E4" i="1452"/>
  <c r="D4" i="1452"/>
  <c r="C4" i="1452"/>
  <c r="Y3" i="1452"/>
  <c r="W3" i="1452"/>
  <c r="V3" i="1452"/>
  <c r="U3" i="1452"/>
  <c r="T3" i="1452"/>
  <c r="P3" i="1452"/>
  <c r="O3" i="1452"/>
  <c r="N3" i="1452"/>
  <c r="M3" i="1452"/>
  <c r="L3" i="1452"/>
  <c r="K3" i="1452"/>
  <c r="J3" i="1452"/>
  <c r="I3" i="1452"/>
  <c r="H3" i="1452"/>
  <c r="G3" i="1452"/>
  <c r="F3" i="1452"/>
  <c r="E3" i="1452"/>
  <c r="D3" i="1452"/>
  <c r="C3" i="1452"/>
  <c r="F21" i="1451" l="1"/>
  <c r="Y19" i="1451"/>
  <c r="W19" i="1451"/>
  <c r="V19" i="1451"/>
  <c r="U19" i="1451"/>
  <c r="T19" i="1451"/>
  <c r="P19" i="1451"/>
  <c r="O19" i="1451"/>
  <c r="N19" i="1451"/>
  <c r="M19" i="1451"/>
  <c r="L19" i="1451"/>
  <c r="K19" i="1451"/>
  <c r="J19" i="1451"/>
  <c r="I19" i="1451"/>
  <c r="H19" i="1451"/>
  <c r="G19" i="1451"/>
  <c r="F19" i="1451"/>
  <c r="E19" i="1451"/>
  <c r="D19" i="1451"/>
  <c r="C19" i="1451"/>
  <c r="Y18" i="1451"/>
  <c r="W18" i="1451"/>
  <c r="V18" i="1451"/>
  <c r="U18" i="1451"/>
  <c r="T18" i="1451"/>
  <c r="P18" i="1451"/>
  <c r="O18" i="1451"/>
  <c r="N18" i="1451"/>
  <c r="M18" i="1451"/>
  <c r="L18" i="1451"/>
  <c r="K18" i="1451"/>
  <c r="J18" i="1451"/>
  <c r="I18" i="1451"/>
  <c r="H18" i="1451"/>
  <c r="G18" i="1451"/>
  <c r="F18" i="1451"/>
  <c r="E18" i="1451"/>
  <c r="D18" i="1451"/>
  <c r="C18" i="1451"/>
  <c r="Y4" i="1451"/>
  <c r="W4" i="1451"/>
  <c r="V4" i="1451"/>
  <c r="U4" i="1451"/>
  <c r="T4" i="1451"/>
  <c r="P4" i="1451"/>
  <c r="O4" i="1451"/>
  <c r="N4" i="1451"/>
  <c r="M4" i="1451"/>
  <c r="L4" i="1451"/>
  <c r="K4" i="1451"/>
  <c r="J4" i="1451"/>
  <c r="I4" i="1451"/>
  <c r="H4" i="1451"/>
  <c r="G4" i="1451"/>
  <c r="F4" i="1451"/>
  <c r="E4" i="1451"/>
  <c r="D4" i="1451"/>
  <c r="C4" i="1451"/>
  <c r="Y3" i="1451"/>
  <c r="W3" i="1451"/>
  <c r="V3" i="1451"/>
  <c r="U3" i="1451"/>
  <c r="T3" i="1451"/>
  <c r="P3" i="1451"/>
  <c r="O3" i="1451"/>
  <c r="N3" i="1451"/>
  <c r="M3" i="1451"/>
  <c r="L3" i="1451"/>
  <c r="K3" i="1451"/>
  <c r="J3" i="1451"/>
  <c r="I3" i="1451"/>
  <c r="H3" i="1451"/>
  <c r="G3" i="1451"/>
  <c r="F3" i="1451"/>
  <c r="E3" i="1451"/>
  <c r="D3" i="1451"/>
  <c r="C3" i="1451"/>
  <c r="F21" i="1450"/>
  <c r="Y19" i="1450"/>
  <c r="W19" i="1450"/>
  <c r="V19" i="1450"/>
  <c r="U19" i="1450"/>
  <c r="T19" i="1450"/>
  <c r="P19" i="1450"/>
  <c r="O19" i="1450"/>
  <c r="N19" i="1450"/>
  <c r="M19" i="1450"/>
  <c r="L19" i="1450"/>
  <c r="K19" i="1450"/>
  <c r="J19" i="1450"/>
  <c r="I19" i="1450"/>
  <c r="H19" i="1450"/>
  <c r="G19" i="1450"/>
  <c r="F19" i="1450"/>
  <c r="E19" i="1450"/>
  <c r="D19" i="1450"/>
  <c r="C19" i="1450"/>
  <c r="Y18" i="1450"/>
  <c r="W18" i="1450"/>
  <c r="V18" i="1450"/>
  <c r="U18" i="1450"/>
  <c r="T18" i="1450"/>
  <c r="P18" i="1450"/>
  <c r="O18" i="1450"/>
  <c r="N18" i="1450"/>
  <c r="M18" i="1450"/>
  <c r="L18" i="1450"/>
  <c r="K18" i="1450"/>
  <c r="J18" i="1450"/>
  <c r="I18" i="1450"/>
  <c r="H18" i="1450"/>
  <c r="G18" i="1450"/>
  <c r="F18" i="1450"/>
  <c r="E18" i="1450"/>
  <c r="D18" i="1450"/>
  <c r="C18" i="1450"/>
  <c r="Y4" i="1450"/>
  <c r="W4" i="1450"/>
  <c r="V4" i="1450"/>
  <c r="U4" i="1450"/>
  <c r="T4" i="1450"/>
  <c r="P4" i="1450"/>
  <c r="O4" i="1450"/>
  <c r="N4" i="1450"/>
  <c r="M4" i="1450"/>
  <c r="L4" i="1450"/>
  <c r="K4" i="1450"/>
  <c r="J4" i="1450"/>
  <c r="I4" i="1450"/>
  <c r="H4" i="1450"/>
  <c r="G4" i="1450"/>
  <c r="F4" i="1450"/>
  <c r="E4" i="1450"/>
  <c r="D4" i="1450"/>
  <c r="C4" i="1450"/>
  <c r="Y3" i="1450"/>
  <c r="W3" i="1450"/>
  <c r="V3" i="1450"/>
  <c r="U3" i="1450"/>
  <c r="T3" i="1450"/>
  <c r="P3" i="1450"/>
  <c r="O3" i="1450"/>
  <c r="N3" i="1450"/>
  <c r="M3" i="1450"/>
  <c r="L3" i="1450"/>
  <c r="K3" i="1450"/>
  <c r="J3" i="1450"/>
  <c r="I3" i="1450"/>
  <c r="H3" i="1450"/>
  <c r="G3" i="1450"/>
  <c r="F3" i="1450"/>
  <c r="E3" i="1450"/>
  <c r="D3" i="1450"/>
  <c r="C3" i="1450"/>
  <c r="F21" i="1449"/>
  <c r="Y19" i="1449"/>
  <c r="W19" i="1449"/>
  <c r="V19" i="1449"/>
  <c r="U19" i="1449"/>
  <c r="T19" i="1449"/>
  <c r="P19" i="1449"/>
  <c r="O19" i="1449"/>
  <c r="N19" i="1449"/>
  <c r="M19" i="1449"/>
  <c r="L19" i="1449"/>
  <c r="K19" i="1449"/>
  <c r="J19" i="1449"/>
  <c r="I19" i="1449"/>
  <c r="H19" i="1449"/>
  <c r="G19" i="1449"/>
  <c r="F19" i="1449"/>
  <c r="E19" i="1449"/>
  <c r="D19" i="1449"/>
  <c r="C19" i="1449"/>
  <c r="Y18" i="1449"/>
  <c r="W18" i="1449"/>
  <c r="V18" i="1449"/>
  <c r="U18" i="1449"/>
  <c r="T18" i="1449"/>
  <c r="P18" i="1449"/>
  <c r="O18" i="1449"/>
  <c r="N18" i="1449"/>
  <c r="M18" i="1449"/>
  <c r="L18" i="1449"/>
  <c r="K18" i="1449"/>
  <c r="J18" i="1449"/>
  <c r="I18" i="1449"/>
  <c r="H18" i="1449"/>
  <c r="G18" i="1449"/>
  <c r="F18" i="1449"/>
  <c r="E18" i="1449"/>
  <c r="D18" i="1449"/>
  <c r="C18" i="1449"/>
  <c r="Y4" i="1449"/>
  <c r="W4" i="1449"/>
  <c r="V4" i="1449"/>
  <c r="U4" i="1449"/>
  <c r="T4" i="1449"/>
  <c r="P4" i="1449"/>
  <c r="O4" i="1449"/>
  <c r="N4" i="1449"/>
  <c r="M4" i="1449"/>
  <c r="L4" i="1449"/>
  <c r="K4" i="1449"/>
  <c r="J4" i="1449"/>
  <c r="I4" i="1449"/>
  <c r="H4" i="1449"/>
  <c r="G4" i="1449"/>
  <c r="F4" i="1449"/>
  <c r="E4" i="1449"/>
  <c r="D4" i="1449"/>
  <c r="C4" i="1449"/>
  <c r="Y3" i="1449"/>
  <c r="W3" i="1449"/>
  <c r="V3" i="1449"/>
  <c r="U3" i="1449"/>
  <c r="T3" i="1449"/>
  <c r="P3" i="1449"/>
  <c r="O3" i="1449"/>
  <c r="N3" i="1449"/>
  <c r="M3" i="1449"/>
  <c r="L3" i="1449"/>
  <c r="K3" i="1449"/>
  <c r="J3" i="1449"/>
  <c r="I3" i="1449"/>
  <c r="H3" i="1449"/>
  <c r="G3" i="1449"/>
  <c r="F3" i="1449"/>
  <c r="E3" i="1449"/>
  <c r="D3" i="1449"/>
  <c r="C3" i="1449"/>
  <c r="F21" i="1448"/>
  <c r="Y19" i="1448"/>
  <c r="W19" i="1448"/>
  <c r="V19" i="1448"/>
  <c r="U19" i="1448"/>
  <c r="T19" i="1448"/>
  <c r="P19" i="1448"/>
  <c r="O19" i="1448"/>
  <c r="N19" i="1448"/>
  <c r="M19" i="1448"/>
  <c r="L19" i="1448"/>
  <c r="K19" i="1448"/>
  <c r="J19" i="1448"/>
  <c r="I19" i="1448"/>
  <c r="H19" i="1448"/>
  <c r="G19" i="1448"/>
  <c r="F19" i="1448"/>
  <c r="E19" i="1448"/>
  <c r="D19" i="1448"/>
  <c r="C19" i="1448"/>
  <c r="Y18" i="1448"/>
  <c r="W18" i="1448"/>
  <c r="V18" i="1448"/>
  <c r="U18" i="1448"/>
  <c r="T18" i="1448"/>
  <c r="P18" i="1448"/>
  <c r="O18" i="1448"/>
  <c r="N18" i="1448"/>
  <c r="M18" i="1448"/>
  <c r="L18" i="1448"/>
  <c r="K18" i="1448"/>
  <c r="J18" i="1448"/>
  <c r="I18" i="1448"/>
  <c r="H18" i="1448"/>
  <c r="G18" i="1448"/>
  <c r="F18" i="1448"/>
  <c r="E18" i="1448"/>
  <c r="D18" i="1448"/>
  <c r="C18" i="1448"/>
  <c r="Y4" i="1448"/>
  <c r="W4" i="1448"/>
  <c r="V4" i="1448"/>
  <c r="U4" i="1448"/>
  <c r="T4" i="1448"/>
  <c r="P4" i="1448"/>
  <c r="O4" i="1448"/>
  <c r="N4" i="1448"/>
  <c r="M4" i="1448"/>
  <c r="L4" i="1448"/>
  <c r="K4" i="1448"/>
  <c r="J4" i="1448"/>
  <c r="I4" i="1448"/>
  <c r="H4" i="1448"/>
  <c r="G4" i="1448"/>
  <c r="F4" i="1448"/>
  <c r="E4" i="1448"/>
  <c r="D4" i="1448"/>
  <c r="C4" i="1448"/>
  <c r="Y3" i="1448"/>
  <c r="W3" i="1448"/>
  <c r="V3" i="1448"/>
  <c r="U3" i="1448"/>
  <c r="T3" i="1448"/>
  <c r="P3" i="1448"/>
  <c r="O3" i="1448"/>
  <c r="N3" i="1448"/>
  <c r="M3" i="1448"/>
  <c r="L3" i="1448"/>
  <c r="K3" i="1448"/>
  <c r="J3" i="1448"/>
  <c r="I3" i="1448"/>
  <c r="H3" i="1448"/>
  <c r="G3" i="1448"/>
  <c r="F3" i="1448"/>
  <c r="E3" i="1448"/>
  <c r="D3" i="1448"/>
  <c r="C3" i="1448"/>
</calcChain>
</file>

<file path=xl/sharedStrings.xml><?xml version="1.0" encoding="utf-8"?>
<sst xmlns="http://schemas.openxmlformats.org/spreadsheetml/2006/main" count="4692" uniqueCount="148">
  <si>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</si>
  <si>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</si>
  <si>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</si>
  <si>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</si>
  <si>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</si>
  <si>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</si>
  <si>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</si>
  <si>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</si>
  <si>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</si>
  <si>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</si>
  <si>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</si>
  <si>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</si>
  <si>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</si>
  <si>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</si>
  <si>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</si>
  <si>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</si>
  <si>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</si>
  <si>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</si>
  <si>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</si>
  <si>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</si>
  <si>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</si>
  <si>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</si>
  <si>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</si>
  <si>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</si>
  <si>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</si>
  <si>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</si>
  <si>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</si>
  <si>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</si>
  <si>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</si>
  <si>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</si>
  <si>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</si>
  <si>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</si>
  <si>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</si>
  <si>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</si>
  <si>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</si>
  <si>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</si>
  <si>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</si>
  <si>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</si>
  <si>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</si>
  <si>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</si>
  <si>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</si>
  <si>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</si>
  <si>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</si>
  <si>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</si>
  <si>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</si>
  <si>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</si>
  <si>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</si>
  <si>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</si>
  <si>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</si>
  <si>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</si>
  <si>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</si>
  <si>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</si>
  <si>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</si>
  <si>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</si>
  <si>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</si>
  <si>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</si>
  <si>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</si>
  <si>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</si>
  <si>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</si>
  <si>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</si>
  <si>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</si>
  <si>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</si>
  <si>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</si>
  <si>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</si>
  <si>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PP500C</t>
  </si>
  <si>
    <t>SML500C</t>
  </si>
  <si>
    <t>MGYZ</t>
  </si>
  <si>
    <t>DATE _______________________________</t>
  </si>
  <si>
    <t>TOTAL SALES:</t>
  </si>
  <si>
    <t>TOTAL BOTTLES:</t>
  </si>
  <si>
    <t>DATE ___________03/02/2026___________</t>
  </si>
  <si>
    <t>DATE ___________03/03/2026___________</t>
  </si>
  <si>
    <t>DATE ___________03/04/2026___________</t>
  </si>
  <si>
    <t>DATE ___________03/05/2026___________</t>
  </si>
  <si>
    <t>DATE ___________03/06/2026___________</t>
  </si>
  <si>
    <t>DATE ___________03/07/2026___________</t>
  </si>
  <si>
    <t>DATE ___________03/09/2026___________</t>
  </si>
  <si>
    <t>6/5b</t>
  </si>
  <si>
    <t>6/23b</t>
  </si>
  <si>
    <t>13/4b</t>
  </si>
  <si>
    <t>2/12b</t>
  </si>
  <si>
    <t>12b</t>
  </si>
  <si>
    <t>9/3b</t>
  </si>
  <si>
    <t>10/12b</t>
  </si>
  <si>
    <t>1/12b</t>
  </si>
  <si>
    <t>3/4b</t>
  </si>
  <si>
    <t>12/8b</t>
  </si>
  <si>
    <t>5/20b</t>
  </si>
  <si>
    <t>18/4b</t>
  </si>
  <si>
    <t>9B</t>
  </si>
  <si>
    <t>11/14B</t>
  </si>
  <si>
    <t>11/23B</t>
  </si>
  <si>
    <t>1/12B</t>
  </si>
  <si>
    <t>2/12B</t>
  </si>
  <si>
    <t>7/14B</t>
  </si>
  <si>
    <t>7/10B</t>
  </si>
  <si>
    <t>3/4B</t>
  </si>
  <si>
    <t>20/20B</t>
  </si>
  <si>
    <t>5/20B</t>
  </si>
  <si>
    <t>14/5B</t>
  </si>
  <si>
    <t>1/5B</t>
  </si>
  <si>
    <t>15/10B</t>
  </si>
  <si>
    <t>15/20B</t>
  </si>
  <si>
    <t>7/13B</t>
  </si>
  <si>
    <t>8/7B</t>
  </si>
  <si>
    <t>18/14B</t>
  </si>
  <si>
    <t>23/14B</t>
  </si>
  <si>
    <t>10/12B</t>
  </si>
  <si>
    <t>12B</t>
  </si>
  <si>
    <t>4/5B</t>
  </si>
  <si>
    <t>11/5B</t>
  </si>
  <si>
    <t>22/13b</t>
  </si>
  <si>
    <t>13/13b</t>
  </si>
  <si>
    <t>5B</t>
  </si>
  <si>
    <t>10/5B</t>
  </si>
  <si>
    <t>DATE ___________03/10/2026___________</t>
  </si>
  <si>
    <t>DATE ___________03/11/2026___________</t>
  </si>
  <si>
    <t>DATE ___________03/12/2026___________</t>
  </si>
  <si>
    <t>DATE ___________03/13/2026___________</t>
  </si>
  <si>
    <t>DATE ___________03/14/2026___________</t>
  </si>
  <si>
    <t>DATE ___________03/16/2026___________</t>
  </si>
  <si>
    <t>26/5B</t>
  </si>
  <si>
    <t>5/21B</t>
  </si>
  <si>
    <t>20/8B</t>
  </si>
  <si>
    <t>20/5B</t>
  </si>
  <si>
    <t>3/19B</t>
  </si>
  <si>
    <t>5/6b</t>
  </si>
  <si>
    <t>6/13b</t>
  </si>
  <si>
    <t>11/19b</t>
  </si>
  <si>
    <t>14/20B</t>
  </si>
  <si>
    <t>4B</t>
  </si>
  <si>
    <t>11/6b</t>
  </si>
  <si>
    <t>2/15b</t>
  </si>
  <si>
    <t>13/21b</t>
  </si>
  <si>
    <t>5b</t>
  </si>
  <si>
    <t>9/19b</t>
  </si>
  <si>
    <t>9/4b</t>
  </si>
  <si>
    <t>20/13B</t>
  </si>
  <si>
    <t>4/16B</t>
  </si>
  <si>
    <t>15/21B</t>
  </si>
  <si>
    <t>10/7B</t>
  </si>
  <si>
    <t>2/8B</t>
  </si>
  <si>
    <t>12/15B</t>
  </si>
  <si>
    <t>9/19B</t>
  </si>
  <si>
    <t>8/4B</t>
  </si>
  <si>
    <t>9/4B</t>
  </si>
  <si>
    <t>10/14B</t>
  </si>
  <si>
    <t>22/4B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</si>
</sst>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-* #,##0.00_-;\-* #,##0.00_-;_-* &quot;-&quot;??_-;_-@_-"/>
    <numFmt numFmtId="165" formatCode="_(* #,##0.0_);_(* \(#,##0.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42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auto="1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9" fillId="0" borderId="0"/>
  </cellStyleXfs>
  <cellXfs count="91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5" fontId="6" fillId="0" borderId="0" xfId="1" applyNumberFormat="1" applyFont="1" applyFill="1" applyAlignment="1">
      <alignment vertical="center"/>
    </xf>
    <xf numFmtId="165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43" fontId="6" fillId="0" borderId="0" xfId="2" applyFont="1" applyFill="1" applyBorder="1" applyAlignment="1">
      <alignment horizontal="center" vertical="center"/>
    </xf>
    <xf numFmtId="43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5" fontId="6" fillId="0" borderId="0" xfId="1" applyNumberFormat="1" applyFont="1" applyFill="1" applyBorder="1" applyAlignment="1">
      <alignment horizontal="center" vertical="center"/>
    </xf>
    <xf numFmtId="165" fontId="6" fillId="0" borderId="19" xfId="1" applyNumberFormat="1" applyFont="1" applyFill="1" applyBorder="1" applyAlignment="1">
      <alignment horizontal="center" vertical="center"/>
    </xf>
    <xf numFmtId="164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0" fontId="4" fillId="0" borderId="0" xfId="0" applyFont="1" applyAlignment="1">
      <alignment horizontal="center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7" xfId="3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3" fontId="3" fillId="0" borderId="28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1" xfId="0" applyFont="1" applyBorder="1" applyAlignment="1">
      <alignment horizontal="left" vertical="center"/>
    </xf>
    <xf numFmtId="0" fontId="4" fillId="0" borderId="32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3" xfId="0" applyFont="1" applyBorder="1" applyAlignment="1" applyProtection="1">
      <alignment horizontal="center" vertical="center"/>
      <protection locked="0"/>
    </xf>
    <xf numFmtId="0" fontId="3" fillId="0" borderId="34" xfId="0" applyFont="1" applyBorder="1" applyAlignment="1">
      <alignment horizontal="center" vertical="center"/>
    </xf>
    <xf numFmtId="3" fontId="3" fillId="0" borderId="35" xfId="0" applyNumberFormat="1" applyFont="1" applyBorder="1" applyAlignment="1" applyProtection="1">
      <alignment horizontal="center" vertical="center"/>
      <protection locked="0"/>
    </xf>
    <xf numFmtId="3" fontId="4" fillId="0" borderId="35" xfId="0" applyNumberFormat="1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7" fillId="0" borderId="38" xfId="3" applyFont="1" applyBorder="1" applyAlignment="1">
      <alignment horizontal="center" vertical="center"/>
    </xf>
    <xf numFmtId="43" fontId="6" fillId="0" borderId="23" xfId="2" applyFont="1" applyFill="1" applyBorder="1" applyAlignment="1">
      <alignment horizontal="center" vertical="center"/>
    </xf>
    <xf numFmtId="0" fontId="7" fillId="0" borderId="40" xfId="3" applyFont="1" applyBorder="1" applyAlignment="1">
      <alignment horizontal="center" vertical="center"/>
    </xf>
    <xf numFmtId="0" fontId="7" fillId="0" borderId="39" xfId="3" applyFont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  <xf numFmtId="0" fontId="4" fillId="0" borderId="17" xfId="3" applyFont="1" applyBorder="1" applyAlignment="1">
      <alignment horizontal="center" vertical="center"/>
    </xf>
    <xf numFmtId="16" fontId="4" fillId="0" borderId="15" xfId="0" applyNumberFormat="1" applyFont="1" applyBorder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theme" Target="theme/theme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calcChain" Target="calcChain.xml"/><Relationship Id="rId5" Type="http://schemas.openxmlformats.org/officeDocument/2006/relationships/worksheet" Target="worksheets/sheet5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styles" Target="style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 refreshError="1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G17" sqref="G17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6C82ED-7E51-47CF-952E-0047F6FDC228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6B51D9-8866-4DEA-88EE-E549270F280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>
        <v>1</v>
      </c>
      <c r="G8" s="14"/>
      <c r="H8" s="14" t="s">
        <v>79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>
        <v>2</v>
      </c>
      <c r="U8" s="14"/>
      <c r="V8" s="14"/>
      <c r="W8" s="14">
        <v>3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/>
      <c r="F15" s="23">
        <v>0</v>
      </c>
      <c r="G15" s="23"/>
      <c r="H15" s="23" t="s">
        <v>78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>
        <v>2</v>
      </c>
      <c r="U15" s="23"/>
      <c r="V15" s="23"/>
      <c r="W15" s="23">
        <v>1</v>
      </c>
      <c r="X15" s="62"/>
      <c r="Y15" s="24"/>
    </row>
    <row r="16" spans="2:27" ht="18" customHeight="1" thickBot="1" x14ac:dyDescent="0.3">
      <c r="B16" s="25" t="s">
        <v>26</v>
      </c>
      <c r="C16" s="58">
        <v>1</v>
      </c>
      <c r="D16" s="59">
        <v>1</v>
      </c>
      <c r="E16" s="27"/>
      <c r="F16" s="27">
        <v>1</v>
      </c>
      <c r="G16" s="28"/>
      <c r="H16" s="28" t="s">
        <v>77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2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80</v>
      </c>
      <c r="G24" s="14"/>
      <c r="H24" s="14">
        <v>19</v>
      </c>
      <c r="I24" s="14"/>
      <c r="J24" s="14"/>
      <c r="K24" s="14">
        <v>1</v>
      </c>
      <c r="L24" s="14">
        <v>12</v>
      </c>
      <c r="M24" s="14">
        <v>325</v>
      </c>
      <c r="N24" s="14"/>
      <c r="O24" s="14"/>
      <c r="P24" s="14">
        <v>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81</v>
      </c>
      <c r="G31" s="23"/>
      <c r="H31" s="23">
        <v>1</v>
      </c>
      <c r="I31" s="23"/>
      <c r="J31" s="23"/>
      <c r="K31" s="23">
        <v>0</v>
      </c>
      <c r="L31" s="23">
        <v>0</v>
      </c>
      <c r="M31" s="23">
        <v>17</v>
      </c>
      <c r="N31" s="23"/>
      <c r="O31" s="23"/>
      <c r="P31" s="23">
        <v>5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18</v>
      </c>
      <c r="I32" s="28"/>
      <c r="J32" s="28"/>
      <c r="K32" s="28">
        <v>1</v>
      </c>
      <c r="L32" s="28">
        <v>12</v>
      </c>
      <c r="M32" s="28">
        <v>308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1</v>
      </c>
      <c r="D36" s="42">
        <v>1</v>
      </c>
      <c r="E36" s="43">
        <v>20</v>
      </c>
      <c r="F36" s="43">
        <v>240</v>
      </c>
      <c r="G36" s="43">
        <v>1</v>
      </c>
      <c r="H36" s="43">
        <v>1</v>
      </c>
      <c r="I36" s="43">
        <v>22</v>
      </c>
      <c r="J36" s="43">
        <v>1</v>
      </c>
      <c r="K36" s="43">
        <v>7</v>
      </c>
      <c r="L36" s="43">
        <v>3</v>
      </c>
      <c r="M36" s="43">
        <v>2</v>
      </c>
      <c r="N36" s="43">
        <v>11</v>
      </c>
      <c r="O36" s="43">
        <v>7</v>
      </c>
      <c r="P36" s="43"/>
      <c r="Q36" s="44">
        <v>3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1</v>
      </c>
      <c r="D42" s="42">
        <v>1</v>
      </c>
      <c r="E42" s="43">
        <v>20</v>
      </c>
      <c r="F42" s="43">
        <v>240</v>
      </c>
      <c r="G42" s="43">
        <v>1</v>
      </c>
      <c r="H42" s="43">
        <v>1</v>
      </c>
      <c r="I42" s="43">
        <v>22</v>
      </c>
      <c r="J42" s="43">
        <v>1</v>
      </c>
      <c r="K42" s="43">
        <v>7</v>
      </c>
      <c r="L42" s="43">
        <v>3</v>
      </c>
      <c r="M42" s="43">
        <v>2</v>
      </c>
      <c r="N42" s="43">
        <v>11</v>
      </c>
      <c r="O42" s="43">
        <v>7</v>
      </c>
      <c r="P42" s="43"/>
      <c r="Q42" s="44">
        <v>3</v>
      </c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3">
        <f>1+1+1+6+2+2+18+1+12+308</f>
        <v>352</v>
      </c>
      <c r="D44" s="83"/>
      <c r="E44" s="83"/>
    </row>
    <row r="45" spans="2:25" x14ac:dyDescent="0.25">
      <c r="B45" s="77" t="s">
        <v>69</v>
      </c>
      <c r="C45" s="83">
        <f>5</f>
        <v>5</v>
      </c>
      <c r="D45" s="83"/>
      <c r="E45" s="8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F3BA8A-BB27-489E-9E40-29326E946B3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/>
      <c r="E8" s="14">
        <v>2</v>
      </c>
      <c r="F8" s="14"/>
      <c r="G8" s="14"/>
      <c r="H8" s="14" t="s">
        <v>82</v>
      </c>
      <c r="I8" s="14"/>
      <c r="J8" s="14"/>
      <c r="K8" s="14"/>
      <c r="L8" s="14"/>
      <c r="M8" s="14"/>
      <c r="N8" s="14"/>
      <c r="O8" s="14"/>
      <c r="P8" s="14"/>
      <c r="Q8" s="14"/>
      <c r="R8" s="14">
        <v>1</v>
      </c>
      <c r="S8" s="14"/>
      <c r="T8" s="14"/>
      <c r="U8" s="14"/>
      <c r="V8" s="14"/>
      <c r="W8" s="14">
        <v>2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80</v>
      </c>
      <c r="D15" s="23"/>
      <c r="E15" s="23">
        <v>0</v>
      </c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</v>
      </c>
      <c r="S15" s="23"/>
      <c r="T15" s="23"/>
      <c r="U15" s="23"/>
      <c r="V15" s="23"/>
      <c r="W15" s="23">
        <v>2</v>
      </c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2</v>
      </c>
      <c r="F16" s="27"/>
      <c r="G16" s="28"/>
      <c r="H16" s="28" t="s">
        <v>82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0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 t="s">
        <v>83</v>
      </c>
      <c r="G24" s="14"/>
      <c r="H24" s="14">
        <v>40</v>
      </c>
      <c r="I24" s="14"/>
      <c r="J24" s="14"/>
      <c r="K24" s="14" t="s">
        <v>84</v>
      </c>
      <c r="L24" s="14">
        <v>10</v>
      </c>
      <c r="M24" s="14">
        <v>391</v>
      </c>
      <c r="N24" s="14"/>
      <c r="O24" s="14"/>
      <c r="P24" s="14" t="s">
        <v>85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>
        <v>0</v>
      </c>
      <c r="G31" s="23"/>
      <c r="H31" s="23">
        <v>0</v>
      </c>
      <c r="I31" s="23"/>
      <c r="J31" s="23"/>
      <c r="K31" s="23">
        <v>1</v>
      </c>
      <c r="L31" s="23">
        <v>9</v>
      </c>
      <c r="M31" s="23">
        <v>40</v>
      </c>
      <c r="N31" s="23"/>
      <c r="O31" s="23"/>
      <c r="P31" s="23" t="s">
        <v>85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 t="s">
        <v>83</v>
      </c>
      <c r="G32" s="28"/>
      <c r="H32" s="28">
        <v>40</v>
      </c>
      <c r="I32" s="28"/>
      <c r="J32" s="28"/>
      <c r="K32" s="28" t="s">
        <v>81</v>
      </c>
      <c r="L32" s="28">
        <v>1</v>
      </c>
      <c r="M32" s="28">
        <v>351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9</v>
      </c>
      <c r="D36" s="42"/>
      <c r="E36" s="43">
        <v>10</v>
      </c>
      <c r="F36" s="43">
        <v>465</v>
      </c>
      <c r="G36" s="43">
        <v>10</v>
      </c>
      <c r="H36" s="43">
        <v>5</v>
      </c>
      <c r="I36" s="43">
        <v>1</v>
      </c>
      <c r="J36" s="43"/>
      <c r="K36" s="43">
        <v>2</v>
      </c>
      <c r="L36" s="43"/>
      <c r="M36" s="43">
        <v>1</v>
      </c>
      <c r="N36" s="43">
        <v>36</v>
      </c>
      <c r="O36" s="43">
        <v>6</v>
      </c>
      <c r="P36" s="43">
        <v>22</v>
      </c>
      <c r="Q36" s="44">
        <v>5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9</v>
      </c>
      <c r="D42" s="42"/>
      <c r="E42" s="43">
        <v>10</v>
      </c>
      <c r="F42" s="43">
        <v>465</v>
      </c>
      <c r="G42" s="43">
        <v>10</v>
      </c>
      <c r="H42" s="43">
        <v>5</v>
      </c>
      <c r="I42" s="43">
        <v>1</v>
      </c>
      <c r="J42" s="43"/>
      <c r="K42" s="43">
        <v>2</v>
      </c>
      <c r="L42" s="43"/>
      <c r="M42" s="43">
        <v>1</v>
      </c>
      <c r="N42" s="43">
        <v>36</v>
      </c>
      <c r="O42" s="43">
        <v>6</v>
      </c>
      <c r="P42" s="43">
        <v>22</v>
      </c>
      <c r="Q42" s="44">
        <v>5</v>
      </c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3">
        <f>2+9+1+10+40+1+351</f>
        <v>414</v>
      </c>
      <c r="D44" s="83"/>
      <c r="E44" s="83"/>
    </row>
    <row r="45" spans="2:25" x14ac:dyDescent="0.25">
      <c r="B45" s="77" t="s">
        <v>69</v>
      </c>
      <c r="C45" s="83">
        <f>3+12</f>
        <v>15</v>
      </c>
      <c r="D45" s="83"/>
      <c r="E45" s="8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AEA8F6-33C9-4F98-90D1-6FB56FF12E6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14" t="s">
        <v>88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/>
      <c r="U8" s="14"/>
      <c r="V8" s="14"/>
      <c r="W8" s="14">
        <v>3</v>
      </c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/>
      <c r="F15" s="23"/>
      <c r="G15" s="23"/>
      <c r="H15" s="23" t="s">
        <v>87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/>
      <c r="U15" s="23"/>
      <c r="V15" s="23"/>
      <c r="W15" s="23">
        <v>1</v>
      </c>
      <c r="X15" s="62"/>
      <c r="Y15" s="24">
        <v>1</v>
      </c>
    </row>
    <row r="16" spans="2:27" ht="18" customHeight="1" thickBot="1" x14ac:dyDescent="0.3">
      <c r="B16" s="25" t="s">
        <v>26</v>
      </c>
      <c r="C16" s="58">
        <v>0</v>
      </c>
      <c r="D16" s="59"/>
      <c r="E16" s="27"/>
      <c r="F16" s="27"/>
      <c r="G16" s="28"/>
      <c r="H16" s="28" t="s">
        <v>86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2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111</v>
      </c>
      <c r="I24" s="14"/>
      <c r="J24" s="14"/>
      <c r="K24" s="14">
        <v>2</v>
      </c>
      <c r="L24" s="14">
        <v>15</v>
      </c>
      <c r="M24" s="14">
        <v>421</v>
      </c>
      <c r="N24" s="14"/>
      <c r="O24" s="14"/>
      <c r="P24" s="14">
        <v>10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54</v>
      </c>
      <c r="I31" s="23"/>
      <c r="J31" s="23"/>
      <c r="K31" s="23">
        <v>2</v>
      </c>
      <c r="L31" s="23">
        <v>6</v>
      </c>
      <c r="M31" s="23">
        <v>155</v>
      </c>
      <c r="N31" s="23"/>
      <c r="O31" s="23"/>
      <c r="P31" s="23">
        <v>10</v>
      </c>
      <c r="Q31" s="23"/>
      <c r="R31" s="23"/>
      <c r="S31" s="23"/>
      <c r="T31" s="23"/>
      <c r="U31" s="23"/>
      <c r="V31" s="23">
        <v>0</v>
      </c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57</v>
      </c>
      <c r="I32" s="28"/>
      <c r="J32" s="28"/>
      <c r="K32" s="28">
        <v>0</v>
      </c>
      <c r="L32" s="28">
        <v>9</v>
      </c>
      <c r="M32" s="28">
        <v>266</v>
      </c>
      <c r="N32" s="28"/>
      <c r="O32" s="23"/>
      <c r="P32" s="28">
        <v>0</v>
      </c>
      <c r="Q32" s="28"/>
      <c r="R32" s="28"/>
      <c r="S32" s="28"/>
      <c r="T32" s="28"/>
      <c r="U32" s="28"/>
      <c r="V32" s="28">
        <v>1</v>
      </c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>
        <v>1</v>
      </c>
      <c r="E36" s="43">
        <v>12</v>
      </c>
      <c r="F36" s="43">
        <v>284</v>
      </c>
      <c r="G36" s="43">
        <v>17</v>
      </c>
      <c r="H36" s="43"/>
      <c r="I36" s="43">
        <v>16</v>
      </c>
      <c r="J36" s="43">
        <v>1</v>
      </c>
      <c r="K36" s="43">
        <v>10</v>
      </c>
      <c r="L36" s="43">
        <v>2</v>
      </c>
      <c r="M36" s="43"/>
      <c r="N36" s="43">
        <v>10</v>
      </c>
      <c r="O36" s="43">
        <v>12</v>
      </c>
      <c r="P36" s="43"/>
      <c r="Q36" s="44">
        <v>1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>
        <v>1</v>
      </c>
      <c r="E42" s="43">
        <v>12</v>
      </c>
      <c r="F42" s="43">
        <v>284</v>
      </c>
      <c r="G42" s="43">
        <v>17</v>
      </c>
      <c r="H42" s="43"/>
      <c r="I42" s="43">
        <v>16</v>
      </c>
      <c r="J42" s="43">
        <v>1</v>
      </c>
      <c r="K42" s="43">
        <v>10</v>
      </c>
      <c r="L42" s="43">
        <v>2</v>
      </c>
      <c r="M42" s="43"/>
      <c r="N42" s="43">
        <v>10</v>
      </c>
      <c r="O42" s="43">
        <v>12</v>
      </c>
      <c r="P42" s="43"/>
      <c r="Q42" s="44">
        <v>1</v>
      </c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3">
        <f>12+2+1+57+9+266+1</f>
        <v>348</v>
      </c>
      <c r="D44" s="83"/>
      <c r="E44" s="83"/>
    </row>
    <row r="45" spans="2:25" x14ac:dyDescent="0.25">
      <c r="B45" s="77" t="s">
        <v>69</v>
      </c>
      <c r="C45" s="83">
        <f>8</f>
        <v>8</v>
      </c>
      <c r="D45" s="83"/>
      <c r="E45" s="8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5DFF99-24D0-4968-9103-9B2F1222268D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B22B5-BB0E-4C49-89FA-A17493EA7B4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>
        <v>1</v>
      </c>
      <c r="F8" s="14">
        <v>1</v>
      </c>
      <c r="G8" s="14"/>
      <c r="H8" s="14" t="s">
        <v>91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>
        <v>2</v>
      </c>
      <c r="U8" s="14"/>
      <c r="V8" s="14"/>
      <c r="W8" s="14">
        <v>2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>
        <v>0</v>
      </c>
      <c r="G15" s="23"/>
      <c r="H15" s="23" t="s">
        <v>90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>
        <v>2</v>
      </c>
      <c r="U15" s="23"/>
      <c r="V15" s="23"/>
      <c r="W15" s="23">
        <v>2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>
        <v>1</v>
      </c>
      <c r="F16" s="27">
        <v>1</v>
      </c>
      <c r="G16" s="28"/>
      <c r="H16" s="28" t="s">
        <v>89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0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92</v>
      </c>
      <c r="G24" s="14"/>
      <c r="H24" s="14">
        <v>35</v>
      </c>
      <c r="I24" s="14"/>
      <c r="J24" s="14"/>
      <c r="K24" s="14"/>
      <c r="L24" s="14">
        <v>10</v>
      </c>
      <c r="M24" s="14">
        <v>419</v>
      </c>
      <c r="N24" s="14"/>
      <c r="O24" s="14"/>
      <c r="P24" s="14">
        <v>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92</v>
      </c>
      <c r="G31" s="23"/>
      <c r="H31" s="23">
        <v>4</v>
      </c>
      <c r="I31" s="23"/>
      <c r="J31" s="23"/>
      <c r="K31" s="23"/>
      <c r="L31" s="23">
        <v>3</v>
      </c>
      <c r="M31" s="23">
        <v>37</v>
      </c>
      <c r="N31" s="23"/>
      <c r="O31" s="23"/>
      <c r="P31" s="23">
        <v>4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31</v>
      </c>
      <c r="I32" s="28"/>
      <c r="J32" s="28"/>
      <c r="K32" s="28"/>
      <c r="L32" s="28">
        <v>7</v>
      </c>
      <c r="M32" s="28">
        <v>382</v>
      </c>
      <c r="N32" s="28"/>
      <c r="O32" s="23"/>
      <c r="P32" s="28">
        <v>3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393</v>
      </c>
      <c r="G36" s="43">
        <v>1</v>
      </c>
      <c r="H36" s="43"/>
      <c r="I36" s="43">
        <v>5</v>
      </c>
      <c r="J36" s="43">
        <v>1</v>
      </c>
      <c r="K36" s="43">
        <v>2</v>
      </c>
      <c r="L36" s="43"/>
      <c r="M36" s="43"/>
      <c r="N36" s="43"/>
      <c r="O36" s="43"/>
      <c r="P36" s="43"/>
      <c r="Q36" s="44">
        <v>8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393</v>
      </c>
      <c r="G42" s="43">
        <v>1</v>
      </c>
      <c r="H42" s="43"/>
      <c r="I42" s="43">
        <v>5</v>
      </c>
      <c r="J42" s="43">
        <v>1</v>
      </c>
      <c r="K42" s="43">
        <v>2</v>
      </c>
      <c r="L42" s="43"/>
      <c r="M42" s="43"/>
      <c r="N42" s="43"/>
      <c r="O42" s="43"/>
      <c r="P42" s="43"/>
      <c r="Q42" s="44">
        <v>8</v>
      </c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3">
        <f>1+1+31+7+382+3</f>
        <v>425</v>
      </c>
      <c r="D44" s="83"/>
      <c r="E44" s="83"/>
    </row>
    <row r="45" spans="2:25" x14ac:dyDescent="0.25">
      <c r="B45" s="77" t="s">
        <v>69</v>
      </c>
      <c r="C45" s="83">
        <v>9</v>
      </c>
      <c r="D45" s="83"/>
      <c r="E45" s="8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6E283-1A1A-4118-B3C4-90376A37413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>
        <v>2</v>
      </c>
      <c r="F8" s="14">
        <v>1</v>
      </c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>
        <v>1</v>
      </c>
      <c r="S8" s="14"/>
      <c r="T8" s="14"/>
      <c r="U8" s="14"/>
      <c r="V8" s="14"/>
      <c r="W8" s="14">
        <v>2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>
        <v>0</v>
      </c>
      <c r="F15" s="23">
        <v>1</v>
      </c>
      <c r="G15" s="23"/>
      <c r="H15" s="23" t="s">
        <v>95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</v>
      </c>
      <c r="S15" s="23"/>
      <c r="T15" s="23"/>
      <c r="U15" s="23"/>
      <c r="V15" s="23"/>
      <c r="W15" s="23">
        <v>2</v>
      </c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2</v>
      </c>
      <c r="F16" s="27">
        <v>0</v>
      </c>
      <c r="G16" s="28"/>
      <c r="H16" s="28" t="s">
        <v>94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0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/>
      <c r="G24" s="14"/>
      <c r="H24" s="14">
        <v>72</v>
      </c>
      <c r="I24" s="14"/>
      <c r="J24" s="14"/>
      <c r="K24" s="14">
        <v>1</v>
      </c>
      <c r="L24" s="14">
        <v>9</v>
      </c>
      <c r="M24" s="14">
        <v>364</v>
      </c>
      <c r="N24" s="14"/>
      <c r="O24" s="14"/>
      <c r="P24" s="14" t="s">
        <v>96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/>
      <c r="G31" s="23"/>
      <c r="H31" s="23">
        <v>1</v>
      </c>
      <c r="I31" s="23"/>
      <c r="J31" s="23"/>
      <c r="K31" s="23">
        <v>1</v>
      </c>
      <c r="L31" s="23">
        <v>7</v>
      </c>
      <c r="M31" s="23">
        <v>140</v>
      </c>
      <c r="N31" s="23"/>
      <c r="O31" s="23"/>
      <c r="P31" s="23" t="s">
        <v>96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/>
      <c r="G32" s="28"/>
      <c r="H32" s="28">
        <v>71</v>
      </c>
      <c r="I32" s="28"/>
      <c r="J32" s="28"/>
      <c r="K32" s="28">
        <v>0</v>
      </c>
      <c r="L32" s="28">
        <v>2</v>
      </c>
      <c r="M32" s="28">
        <v>224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282</v>
      </c>
      <c r="G36" s="43">
        <v>31</v>
      </c>
      <c r="H36" s="43"/>
      <c r="I36" s="43">
        <v>6</v>
      </c>
      <c r="J36" s="43"/>
      <c r="K36" s="43"/>
      <c r="L36" s="43"/>
      <c r="M36" s="43"/>
      <c r="N36" s="43">
        <v>1</v>
      </c>
      <c r="O36" s="43">
        <v>4</v>
      </c>
      <c r="P36" s="43">
        <v>3</v>
      </c>
      <c r="Q36" s="44">
        <v>19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282</v>
      </c>
      <c r="G42" s="43">
        <v>31</v>
      </c>
      <c r="H42" s="43"/>
      <c r="I42" s="43">
        <v>6</v>
      </c>
      <c r="J42" s="43"/>
      <c r="K42" s="43"/>
      <c r="L42" s="43"/>
      <c r="M42" s="43"/>
      <c r="N42" s="43">
        <v>1</v>
      </c>
      <c r="O42" s="43">
        <v>4</v>
      </c>
      <c r="P42" s="43">
        <v>3</v>
      </c>
      <c r="Q42" s="44">
        <v>19</v>
      </c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3">
        <f>2+7+1+71+2+224</f>
        <v>307</v>
      </c>
      <c r="D44" s="83"/>
      <c r="E44" s="83"/>
    </row>
    <row r="45" spans="2:25" x14ac:dyDescent="0.25">
      <c r="B45" s="77" t="s">
        <v>69</v>
      </c>
      <c r="C45" s="83">
        <v>14</v>
      </c>
      <c r="D45" s="83"/>
      <c r="E45" s="8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235592-8F73-4368-8AA6-A0A9C46539B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1</v>
      </c>
      <c r="F8" s="14"/>
      <c r="G8" s="14"/>
      <c r="H8" s="14" t="s">
        <v>97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/>
      <c r="U8" s="14"/>
      <c r="V8" s="14"/>
      <c r="W8" s="14">
        <v>3</v>
      </c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/>
      <c r="G15" s="23"/>
      <c r="H15" s="23" t="s">
        <v>98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/>
      <c r="U15" s="23"/>
      <c r="V15" s="23"/>
      <c r="W15" s="23">
        <v>0</v>
      </c>
      <c r="X15" s="62"/>
      <c r="Y15" s="24">
        <v>1</v>
      </c>
    </row>
    <row r="16" spans="2:27" ht="18" customHeight="1" thickBot="1" x14ac:dyDescent="0.3">
      <c r="B16" s="25" t="s">
        <v>26</v>
      </c>
      <c r="C16" s="58">
        <v>1</v>
      </c>
      <c r="D16" s="59"/>
      <c r="E16" s="27">
        <v>1</v>
      </c>
      <c r="F16" s="27"/>
      <c r="G16" s="28"/>
      <c r="H16" s="28">
        <v>15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3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79</v>
      </c>
      <c r="I24" s="14"/>
      <c r="J24" s="14"/>
      <c r="K24" s="14">
        <v>2</v>
      </c>
      <c r="L24" s="14">
        <v>20</v>
      </c>
      <c r="M24" s="14">
        <v>425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43</v>
      </c>
      <c r="I31" s="23"/>
      <c r="J31" s="23"/>
      <c r="K31" s="23">
        <v>1</v>
      </c>
      <c r="L31" s="23">
        <v>0</v>
      </c>
      <c r="M31" s="23">
        <v>134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36</v>
      </c>
      <c r="I32" s="28"/>
      <c r="J32" s="28"/>
      <c r="K32" s="28">
        <v>1</v>
      </c>
      <c r="L32" s="28">
        <v>20</v>
      </c>
      <c r="M32" s="28">
        <v>291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2</v>
      </c>
      <c r="D36" s="42"/>
      <c r="E36" s="43"/>
      <c r="F36" s="43">
        <v>302</v>
      </c>
      <c r="G36" s="43">
        <v>3</v>
      </c>
      <c r="H36" s="43">
        <v>3</v>
      </c>
      <c r="I36" s="43">
        <v>46</v>
      </c>
      <c r="J36" s="43"/>
      <c r="K36" s="43">
        <v>12</v>
      </c>
      <c r="L36" s="43">
        <v>2</v>
      </c>
      <c r="M36" s="43"/>
      <c r="N36" s="43">
        <v>64</v>
      </c>
      <c r="O36" s="43">
        <v>8</v>
      </c>
      <c r="P36" s="43">
        <v>3</v>
      </c>
      <c r="Q36" s="44">
        <v>22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2</v>
      </c>
      <c r="D42" s="42"/>
      <c r="E42" s="43"/>
      <c r="F42" s="43">
        <v>302</v>
      </c>
      <c r="G42" s="43">
        <v>3</v>
      </c>
      <c r="H42" s="43">
        <v>3</v>
      </c>
      <c r="I42" s="43">
        <v>46</v>
      </c>
      <c r="J42" s="43"/>
      <c r="K42" s="43">
        <v>12</v>
      </c>
      <c r="L42" s="43">
        <v>2</v>
      </c>
      <c r="M42" s="43"/>
      <c r="N42" s="43">
        <v>64</v>
      </c>
      <c r="O42" s="43">
        <v>8</v>
      </c>
      <c r="P42" s="43">
        <v>3</v>
      </c>
      <c r="Q42" s="44">
        <v>22</v>
      </c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3">
        <f>1+1+15+3+36+1+20+291</f>
        <v>368</v>
      </c>
      <c r="D44" s="83"/>
      <c r="E44" s="83"/>
    </row>
    <row r="45" spans="2:25" x14ac:dyDescent="0.25">
      <c r="B45" s="77" t="s">
        <v>69</v>
      </c>
      <c r="C45" s="83"/>
      <c r="D45" s="83"/>
      <c r="E45" s="8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E195F1-09D9-460C-B2D2-9084363A290C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5BDF23-812C-4CC0-B464-D4482EB0AB3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 t="s">
        <v>106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>
        <v>3</v>
      </c>
      <c r="U8" s="14"/>
      <c r="V8" s="14"/>
      <c r="W8" s="14">
        <v>4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>
        <v>5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10</v>
      </c>
      <c r="S15" s="23"/>
      <c r="T15" s="23">
        <v>1</v>
      </c>
      <c r="U15" s="23"/>
      <c r="V15" s="23"/>
      <c r="W15" s="23">
        <v>1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/>
      <c r="F16" s="27"/>
      <c r="G16" s="28"/>
      <c r="H16" s="28" t="s">
        <v>105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2</v>
      </c>
      <c r="U16" s="28"/>
      <c r="V16" s="28"/>
      <c r="W16" s="57">
        <v>3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107</v>
      </c>
      <c r="G24" s="14"/>
      <c r="H24" s="14">
        <v>117</v>
      </c>
      <c r="I24" s="14"/>
      <c r="J24" s="14"/>
      <c r="K24" s="14"/>
      <c r="L24" s="14">
        <v>8</v>
      </c>
      <c r="M24" s="14">
        <v>433</v>
      </c>
      <c r="N24" s="14"/>
      <c r="O24" s="14"/>
      <c r="P24" s="14">
        <v>4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108</v>
      </c>
      <c r="G31" s="23"/>
      <c r="H31" s="23">
        <v>0</v>
      </c>
      <c r="I31" s="23"/>
      <c r="J31" s="23"/>
      <c r="K31" s="23"/>
      <c r="L31" s="23">
        <v>2</v>
      </c>
      <c r="M31" s="23">
        <v>74</v>
      </c>
      <c r="N31" s="23"/>
      <c r="O31" s="23"/>
      <c r="P31" s="23">
        <v>1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10</v>
      </c>
      <c r="G32" s="28"/>
      <c r="H32" s="28">
        <v>117</v>
      </c>
      <c r="I32" s="28"/>
      <c r="J32" s="28"/>
      <c r="K32" s="28"/>
      <c r="L32" s="28">
        <v>6</v>
      </c>
      <c r="M32" s="28">
        <v>359</v>
      </c>
      <c r="N32" s="28"/>
      <c r="O32" s="23"/>
      <c r="P32" s="28">
        <v>3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3</v>
      </c>
      <c r="D36" s="42">
        <v>1</v>
      </c>
      <c r="E36" s="43">
        <v>20</v>
      </c>
      <c r="F36" s="43">
        <v>360</v>
      </c>
      <c r="G36" s="43">
        <v>14</v>
      </c>
      <c r="H36" s="43">
        <v>3</v>
      </c>
      <c r="I36" s="43">
        <v>8</v>
      </c>
      <c r="J36" s="43"/>
      <c r="K36" s="43">
        <v>7</v>
      </c>
      <c r="L36" s="43">
        <v>4</v>
      </c>
      <c r="M36" s="43"/>
      <c r="N36" s="43">
        <v>2</v>
      </c>
      <c r="O36" s="43">
        <v>3</v>
      </c>
      <c r="P36" s="43">
        <v>7</v>
      </c>
      <c r="Q36" s="44">
        <v>17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3</v>
      </c>
      <c r="D42" s="42">
        <v>1</v>
      </c>
      <c r="E42" s="43">
        <v>20</v>
      </c>
      <c r="F42" s="43">
        <v>360</v>
      </c>
      <c r="G42" s="43">
        <v>14</v>
      </c>
      <c r="H42" s="43">
        <v>3</v>
      </c>
      <c r="I42" s="43">
        <v>8</v>
      </c>
      <c r="J42" s="43"/>
      <c r="K42" s="43">
        <v>7</v>
      </c>
      <c r="L42" s="43">
        <v>4</v>
      </c>
      <c r="M42" s="43"/>
      <c r="N42" s="43">
        <v>2</v>
      </c>
      <c r="O42" s="43">
        <v>3</v>
      </c>
      <c r="P42" s="43">
        <v>7</v>
      </c>
      <c r="Q42" s="44">
        <v>17</v>
      </c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3">
        <f>18+2+3+10+117+6+359+3</f>
        <v>518</v>
      </c>
      <c r="D44" s="83"/>
      <c r="E44" s="83"/>
    </row>
    <row r="45" spans="2:25" x14ac:dyDescent="0.25">
      <c r="B45" s="77" t="s">
        <v>69</v>
      </c>
      <c r="C45" s="83">
        <f>14</f>
        <v>14</v>
      </c>
      <c r="D45" s="83"/>
      <c r="E45" s="8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E1279-53EC-43DB-8DF4-03F42585161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>
        <v>2</v>
      </c>
      <c r="F8" s="14">
        <v>2</v>
      </c>
      <c r="G8" s="14"/>
      <c r="H8" s="14" t="s">
        <v>101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/>
      <c r="U8" s="14"/>
      <c r="V8" s="14"/>
      <c r="W8" s="14">
        <v>2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>
        <v>2</v>
      </c>
      <c r="F15" s="23">
        <v>0</v>
      </c>
      <c r="G15" s="23"/>
      <c r="H15" s="23" t="s">
        <v>100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10</v>
      </c>
      <c r="S15" s="23"/>
      <c r="T15" s="23"/>
      <c r="U15" s="23"/>
      <c r="V15" s="23"/>
      <c r="W15" s="23">
        <v>2</v>
      </c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0</v>
      </c>
      <c r="F16" s="27">
        <v>2</v>
      </c>
      <c r="G16" s="28"/>
      <c r="H16" s="28" t="s">
        <v>99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0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/>
      <c r="G24" s="14"/>
      <c r="H24" s="14">
        <v>41</v>
      </c>
      <c r="I24" s="14"/>
      <c r="J24" s="14"/>
      <c r="K24" s="14">
        <v>1</v>
      </c>
      <c r="L24" s="14">
        <v>7</v>
      </c>
      <c r="M24" s="14">
        <v>256</v>
      </c>
      <c r="N24" s="14"/>
      <c r="O24" s="14"/>
      <c r="P24" s="14" t="s">
        <v>96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/>
      <c r="G31" s="23"/>
      <c r="H31" s="23">
        <v>41</v>
      </c>
      <c r="I31" s="23"/>
      <c r="J31" s="23"/>
      <c r="K31" s="23">
        <v>1</v>
      </c>
      <c r="L31" s="23">
        <v>7</v>
      </c>
      <c r="M31" s="23">
        <v>30</v>
      </c>
      <c r="N31" s="23"/>
      <c r="O31" s="23"/>
      <c r="P31" s="23" t="s">
        <v>96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/>
      <c r="E32" s="27"/>
      <c r="F32" s="27"/>
      <c r="G32" s="28"/>
      <c r="H32" s="28">
        <v>0</v>
      </c>
      <c r="I32" s="28"/>
      <c r="J32" s="28"/>
      <c r="K32" s="28">
        <v>0</v>
      </c>
      <c r="L32" s="28">
        <v>0</v>
      </c>
      <c r="M32" s="28">
        <v>326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325</v>
      </c>
      <c r="G36" s="43">
        <v>1</v>
      </c>
      <c r="H36" s="43">
        <v>1</v>
      </c>
      <c r="I36" s="43"/>
      <c r="J36" s="43"/>
      <c r="K36" s="43"/>
      <c r="L36" s="43"/>
      <c r="M36" s="43"/>
      <c r="N36" s="43"/>
      <c r="O36" s="43">
        <v>3</v>
      </c>
      <c r="P36" s="43">
        <v>10</v>
      </c>
      <c r="Q36" s="44">
        <v>1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325</v>
      </c>
      <c r="G42" s="43">
        <v>1</v>
      </c>
      <c r="H42" s="43">
        <v>1</v>
      </c>
      <c r="I42" s="43"/>
      <c r="J42" s="43"/>
      <c r="K42" s="43"/>
      <c r="L42" s="43"/>
      <c r="M42" s="43"/>
      <c r="N42" s="43"/>
      <c r="O42" s="43">
        <v>3</v>
      </c>
      <c r="P42" s="43">
        <v>10</v>
      </c>
      <c r="Q42" s="44">
        <v>1</v>
      </c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3">
        <f>2+14+326</f>
        <v>342</v>
      </c>
      <c r="D44" s="83"/>
      <c r="E44" s="83"/>
    </row>
    <row r="45" spans="2:25" x14ac:dyDescent="0.25">
      <c r="B45" s="77" t="s">
        <v>69</v>
      </c>
      <c r="C45" s="83">
        <f>5</f>
        <v>5</v>
      </c>
      <c r="D45" s="83"/>
      <c r="E45" s="8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AA990-614D-4631-9BEC-D6BEFE8FCE9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>
        <v>8</v>
      </c>
      <c r="F8" s="14">
        <v>1</v>
      </c>
      <c r="G8" s="14"/>
      <c r="H8" s="14" t="s">
        <v>102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/>
      <c r="U8" s="14"/>
      <c r="V8" s="14"/>
      <c r="W8" s="14"/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>
        <v>0</v>
      </c>
      <c r="G15" s="23"/>
      <c r="H15" s="23" t="s">
        <v>103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10</v>
      </c>
      <c r="S15" s="23"/>
      <c r="T15" s="23"/>
      <c r="U15" s="23"/>
      <c r="V15" s="23"/>
      <c r="W15" s="23"/>
      <c r="X15" s="62"/>
      <c r="Y15" s="24">
        <v>1</v>
      </c>
    </row>
    <row r="16" spans="2:27" ht="18" customHeight="1" thickBot="1" x14ac:dyDescent="0.3">
      <c r="B16" s="25" t="s">
        <v>26</v>
      </c>
      <c r="C16" s="58">
        <v>0</v>
      </c>
      <c r="D16" s="59">
        <v>0</v>
      </c>
      <c r="E16" s="27">
        <v>8</v>
      </c>
      <c r="F16" s="27">
        <v>1</v>
      </c>
      <c r="G16" s="28"/>
      <c r="H16" s="28" t="s">
        <v>104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/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64</v>
      </c>
      <c r="I24" s="14">
        <v>1</v>
      </c>
      <c r="J24" s="14"/>
      <c r="K24" s="14">
        <v>1</v>
      </c>
      <c r="L24" s="14">
        <v>15</v>
      </c>
      <c r="M24" s="14">
        <v>350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35</v>
      </c>
      <c r="I31" s="23">
        <v>0</v>
      </c>
      <c r="J31" s="23"/>
      <c r="K31" s="23">
        <v>1</v>
      </c>
      <c r="L31" s="23">
        <v>15</v>
      </c>
      <c r="M31" s="23">
        <v>80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29</v>
      </c>
      <c r="I32" s="28">
        <v>1</v>
      </c>
      <c r="J32" s="28"/>
      <c r="K32" s="28">
        <v>0</v>
      </c>
      <c r="L32" s="28">
        <v>0</v>
      </c>
      <c r="M32" s="28">
        <v>270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297</v>
      </c>
      <c r="G36" s="43">
        <v>2</v>
      </c>
      <c r="H36" s="43">
        <v>2</v>
      </c>
      <c r="I36" s="43"/>
      <c r="J36" s="43"/>
      <c r="K36" s="43">
        <v>17</v>
      </c>
      <c r="L36" s="43"/>
      <c r="M36" s="43"/>
      <c r="N36" s="43"/>
      <c r="O36" s="43">
        <v>5</v>
      </c>
      <c r="P36" s="43">
        <v>4</v>
      </c>
      <c r="Q36" s="44">
        <v>6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297</v>
      </c>
      <c r="G42" s="43">
        <v>2</v>
      </c>
      <c r="H42" s="43">
        <v>2</v>
      </c>
      <c r="I42" s="43"/>
      <c r="J42" s="43"/>
      <c r="K42" s="43">
        <v>17</v>
      </c>
      <c r="L42" s="43"/>
      <c r="M42" s="43"/>
      <c r="N42" s="43"/>
      <c r="O42" s="43">
        <v>5</v>
      </c>
      <c r="P42" s="43">
        <v>4</v>
      </c>
      <c r="Q42" s="44">
        <v>6</v>
      </c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3">
        <f>8+1+8+29+1+270</f>
        <v>317</v>
      </c>
      <c r="D44" s="83"/>
      <c r="E44" s="83"/>
    </row>
    <row r="45" spans="2:25" x14ac:dyDescent="0.25">
      <c r="B45" s="77" t="s">
        <v>69</v>
      </c>
      <c r="C45" s="83">
        <f>7</f>
        <v>7</v>
      </c>
      <c r="D45" s="83"/>
      <c r="E45" s="8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75BDB-0E7E-4D16-B115-315663BFA08C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336438-4C05-4828-9F23-144B6FEC842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>
        <v>1</v>
      </c>
      <c r="U8" s="14"/>
      <c r="V8" s="14"/>
      <c r="W8" s="14">
        <v>1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>
        <v>3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8</v>
      </c>
      <c r="S15" s="23"/>
      <c r="T15" s="23">
        <v>0</v>
      </c>
      <c r="U15" s="23"/>
      <c r="V15" s="23"/>
      <c r="W15" s="23">
        <v>1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/>
      <c r="F16" s="27"/>
      <c r="G16" s="28"/>
      <c r="H16" s="28">
        <v>10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2</v>
      </c>
      <c r="S16" s="28"/>
      <c r="T16" s="28">
        <v>1</v>
      </c>
      <c r="U16" s="28"/>
      <c r="V16" s="28"/>
      <c r="W16" s="57">
        <v>0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108</v>
      </c>
      <c r="G24" s="14"/>
      <c r="H24" s="14">
        <v>10</v>
      </c>
      <c r="I24" s="14"/>
      <c r="J24" s="14"/>
      <c r="K24" s="14"/>
      <c r="L24" s="14">
        <v>2</v>
      </c>
      <c r="M24" s="14">
        <v>433</v>
      </c>
      <c r="N24" s="14"/>
      <c r="O24" s="14"/>
      <c r="P24" s="14">
        <v>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108</v>
      </c>
      <c r="G31" s="23"/>
      <c r="H31" s="23">
        <v>0</v>
      </c>
      <c r="I31" s="23"/>
      <c r="J31" s="23"/>
      <c r="K31" s="23"/>
      <c r="L31" s="23">
        <v>2</v>
      </c>
      <c r="M31" s="23">
        <v>56</v>
      </c>
      <c r="N31" s="23"/>
      <c r="O31" s="23"/>
      <c r="P31" s="23">
        <v>1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10</v>
      </c>
      <c r="I32" s="28"/>
      <c r="J32" s="28"/>
      <c r="K32" s="28"/>
      <c r="L32" s="28">
        <v>0</v>
      </c>
      <c r="M32" s="28">
        <v>377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493</v>
      </c>
      <c r="G36" s="43">
        <v>2</v>
      </c>
      <c r="H36" s="43">
        <v>5</v>
      </c>
      <c r="I36" s="43"/>
      <c r="J36" s="43"/>
      <c r="K36" s="43"/>
      <c r="L36" s="43"/>
      <c r="M36" s="43">
        <v>1</v>
      </c>
      <c r="N36" s="43">
        <v>6</v>
      </c>
      <c r="O36" s="43">
        <v>5</v>
      </c>
      <c r="P36" s="43">
        <v>10</v>
      </c>
      <c r="Q36" s="44">
        <v>18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493</v>
      </c>
      <c r="G42" s="43">
        <v>2</v>
      </c>
      <c r="H42" s="43">
        <v>5</v>
      </c>
      <c r="I42" s="43"/>
      <c r="J42" s="43"/>
      <c r="K42" s="43"/>
      <c r="L42" s="43"/>
      <c r="M42" s="43">
        <v>1</v>
      </c>
      <c r="N42" s="43">
        <v>6</v>
      </c>
      <c r="O42" s="43">
        <v>5</v>
      </c>
      <c r="P42" s="43">
        <v>10</v>
      </c>
      <c r="Q42" s="44">
        <v>18</v>
      </c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3">
        <f>10+2+1+10+377</f>
        <v>400</v>
      </c>
      <c r="D44" s="83"/>
      <c r="E44" s="83"/>
    </row>
    <row r="45" spans="2:25" x14ac:dyDescent="0.25">
      <c r="B45" s="77" t="s">
        <v>69</v>
      </c>
      <c r="C45" s="83"/>
      <c r="D45" s="83"/>
      <c r="E45" s="8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67249C-95FD-4ADD-99BC-DD71B9EFEC9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>
        <v>18</v>
      </c>
      <c r="F8" s="14">
        <v>14</v>
      </c>
      <c r="G8" s="14"/>
      <c r="H8" s="14" t="s">
        <v>110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/>
      <c r="U8" s="14">
        <v>4</v>
      </c>
      <c r="V8" s="14"/>
      <c r="W8" s="14">
        <v>4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>
        <v>1</v>
      </c>
      <c r="F15" s="23">
        <v>1</v>
      </c>
      <c r="G15" s="23"/>
      <c r="H15" s="23" t="s">
        <v>109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10</v>
      </c>
      <c r="S15" s="23"/>
      <c r="T15" s="23"/>
      <c r="U15" s="23">
        <v>0</v>
      </c>
      <c r="V15" s="23"/>
      <c r="W15" s="23">
        <v>2</v>
      </c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17</v>
      </c>
      <c r="F16" s="27">
        <v>13</v>
      </c>
      <c r="G16" s="28"/>
      <c r="H16" s="28">
        <v>7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>
        <v>4</v>
      </c>
      <c r="V16" s="28"/>
      <c r="W16" s="57">
        <v>2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11</v>
      </c>
      <c r="D24" s="14"/>
      <c r="E24" s="14">
        <v>3</v>
      </c>
      <c r="F24" s="14"/>
      <c r="G24" s="14"/>
      <c r="H24" s="14">
        <v>41</v>
      </c>
      <c r="I24" s="14">
        <v>6</v>
      </c>
      <c r="J24" s="14"/>
      <c r="K24" s="14">
        <v>1</v>
      </c>
      <c r="L24" s="14">
        <v>7</v>
      </c>
      <c r="M24" s="14">
        <v>331</v>
      </c>
      <c r="N24" s="14"/>
      <c r="O24" s="14">
        <v>4</v>
      </c>
      <c r="P24" s="14" t="s">
        <v>96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>
        <v>0</v>
      </c>
      <c r="F31" s="23"/>
      <c r="G31" s="23"/>
      <c r="H31" s="23">
        <v>17</v>
      </c>
      <c r="I31" s="23">
        <v>0</v>
      </c>
      <c r="J31" s="23"/>
      <c r="K31" s="23">
        <v>1</v>
      </c>
      <c r="L31" s="23">
        <v>6</v>
      </c>
      <c r="M31" s="23">
        <v>85</v>
      </c>
      <c r="N31" s="23"/>
      <c r="O31" s="23">
        <v>0</v>
      </c>
      <c r="P31" s="23" t="s">
        <v>96</v>
      </c>
      <c r="Q31" s="23"/>
      <c r="R31" s="23"/>
      <c r="S31" s="23"/>
      <c r="T31" s="23"/>
      <c r="U31" s="23"/>
      <c r="V31" s="23">
        <v>0</v>
      </c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11</v>
      </c>
      <c r="D32" s="27"/>
      <c r="E32" s="27">
        <v>3</v>
      </c>
      <c r="F32" s="27"/>
      <c r="G32" s="28"/>
      <c r="H32" s="28">
        <v>24</v>
      </c>
      <c r="I32" s="28">
        <v>6</v>
      </c>
      <c r="J32" s="28"/>
      <c r="K32" s="28">
        <v>0</v>
      </c>
      <c r="L32" s="28">
        <v>1</v>
      </c>
      <c r="M32" s="28">
        <v>246</v>
      </c>
      <c r="N32" s="28"/>
      <c r="O32" s="23">
        <v>4</v>
      </c>
      <c r="P32" s="28">
        <v>0</v>
      </c>
      <c r="Q32" s="28"/>
      <c r="R32" s="28"/>
      <c r="S32" s="28"/>
      <c r="T32" s="28"/>
      <c r="U32" s="28"/>
      <c r="V32" s="28">
        <v>1</v>
      </c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304</v>
      </c>
      <c r="G36" s="43">
        <v>1</v>
      </c>
      <c r="H36" s="43">
        <v>5</v>
      </c>
      <c r="I36" s="43">
        <v>3</v>
      </c>
      <c r="J36" s="43"/>
      <c r="K36" s="43">
        <v>2</v>
      </c>
      <c r="L36" s="43"/>
      <c r="M36" s="43"/>
      <c r="N36" s="43"/>
      <c r="O36" s="43">
        <v>4</v>
      </c>
      <c r="P36" s="43">
        <v>10</v>
      </c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304</v>
      </c>
      <c r="G42" s="43">
        <v>1</v>
      </c>
      <c r="H42" s="43">
        <v>5</v>
      </c>
      <c r="I42" s="43">
        <v>3</v>
      </c>
      <c r="J42" s="43"/>
      <c r="K42" s="43">
        <v>2</v>
      </c>
      <c r="L42" s="43"/>
      <c r="M42" s="43"/>
      <c r="N42" s="43"/>
      <c r="O42" s="43">
        <v>4</v>
      </c>
      <c r="P42" s="43">
        <v>10</v>
      </c>
      <c r="Q42" s="44"/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3">
        <f>17+13+7+4+2+11+3+24+6+1+246+4+1</f>
        <v>339</v>
      </c>
      <c r="D44" s="83"/>
      <c r="E44" s="83"/>
    </row>
    <row r="45" spans="2:25" x14ac:dyDescent="0.25">
      <c r="B45" s="77" t="s">
        <v>69</v>
      </c>
      <c r="C45" s="83"/>
      <c r="D45" s="83"/>
      <c r="E45" s="8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DC6D13-DD1D-46C2-A7DF-D4B33B25263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3"/>
      <c r="D44" s="83"/>
      <c r="E44" s="83"/>
    </row>
    <row r="45" spans="2:25" x14ac:dyDescent="0.25">
      <c r="B45" s="77" t="s">
        <v>69</v>
      </c>
      <c r="C45" s="83"/>
      <c r="D45" s="83"/>
      <c r="E45" s="8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DDAED-65FA-4648-8A88-132816BE380D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9BD33-1BFF-4E7A-A164-05837058A447}">
  <dimension ref="B1:AA45"/>
  <sheetViews>
    <sheetView showGridLines="0" zoomScale="160" zoomScaleNormal="160" workbookViewId="0">
      <selection activeCell="B7" sqref="B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3"/>
      <c r="D44" s="83"/>
      <c r="E44" s="83"/>
    </row>
    <row r="45" spans="2:25" x14ac:dyDescent="0.25">
      <c r="B45" s="77" t="s">
        <v>69</v>
      </c>
      <c r="C45" s="83"/>
      <c r="D45" s="83"/>
      <c r="E45" s="8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B1CBE8-63B8-4D25-833B-5A28338CE0E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3"/>
      <c r="D44" s="83"/>
      <c r="E44" s="83"/>
    </row>
    <row r="45" spans="2:25" x14ac:dyDescent="0.25">
      <c r="B45" s="77" t="s">
        <v>69</v>
      </c>
      <c r="C45" s="83"/>
      <c r="D45" s="83"/>
      <c r="E45" s="8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C6D0A-3CC0-477D-A831-E3EA7809BFE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 t="s">
        <v>111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/>
      <c r="U8" s="14"/>
      <c r="V8" s="14"/>
      <c r="W8" s="14">
        <v>4</v>
      </c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>
        <v>9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10</v>
      </c>
      <c r="S15" s="23"/>
      <c r="T15" s="23"/>
      <c r="U15" s="23"/>
      <c r="V15" s="23"/>
      <c r="W15" s="23">
        <v>4</v>
      </c>
      <c r="X15" s="62"/>
      <c r="Y15" s="24">
        <v>1</v>
      </c>
    </row>
    <row r="16" spans="2:27" ht="18" customHeight="1" thickBot="1" x14ac:dyDescent="0.3">
      <c r="B16" s="25" t="s">
        <v>26</v>
      </c>
      <c r="C16" s="58">
        <v>0</v>
      </c>
      <c r="D16" s="59">
        <v>0</v>
      </c>
      <c r="E16" s="27"/>
      <c r="F16" s="27"/>
      <c r="G16" s="28"/>
      <c r="H16" s="28" t="s">
        <v>112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0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143</v>
      </c>
      <c r="I24" s="14"/>
      <c r="J24" s="14"/>
      <c r="K24" s="14">
        <v>2</v>
      </c>
      <c r="L24" s="14">
        <v>15</v>
      </c>
      <c r="M24" s="14">
        <v>356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32</v>
      </c>
      <c r="I31" s="23"/>
      <c r="J31" s="23"/>
      <c r="K31" s="23">
        <v>2</v>
      </c>
      <c r="L31" s="23">
        <v>5</v>
      </c>
      <c r="M31" s="23">
        <v>1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111</v>
      </c>
      <c r="I32" s="28"/>
      <c r="J32" s="28"/>
      <c r="K32" s="28">
        <v>0</v>
      </c>
      <c r="L32" s="28">
        <v>10</v>
      </c>
      <c r="M32" s="28">
        <v>355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481</v>
      </c>
      <c r="G36" s="43">
        <v>1</v>
      </c>
      <c r="H36" s="43"/>
      <c r="I36" s="43">
        <v>7</v>
      </c>
      <c r="J36" s="43"/>
      <c r="K36" s="43">
        <v>2</v>
      </c>
      <c r="L36" s="43"/>
      <c r="M36" s="43"/>
      <c r="N36" s="43"/>
      <c r="O36" s="43">
        <v>4</v>
      </c>
      <c r="P36" s="43">
        <v>4</v>
      </c>
      <c r="Q36" s="44">
        <v>9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481</v>
      </c>
      <c r="G42" s="43">
        <v>1</v>
      </c>
      <c r="H42" s="43"/>
      <c r="I42" s="43">
        <v>7</v>
      </c>
      <c r="J42" s="43"/>
      <c r="K42" s="43">
        <v>2</v>
      </c>
      <c r="L42" s="43"/>
      <c r="M42" s="43"/>
      <c r="N42" s="43"/>
      <c r="O42" s="43">
        <v>4</v>
      </c>
      <c r="P42" s="43">
        <v>4</v>
      </c>
      <c r="Q42" s="44">
        <v>9</v>
      </c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3">
        <f>13+111+10+355</f>
        <v>489</v>
      </c>
      <c r="D44" s="83"/>
      <c r="E44" s="83"/>
    </row>
    <row r="45" spans="2:25" x14ac:dyDescent="0.25">
      <c r="B45" s="77" t="s">
        <v>69</v>
      </c>
      <c r="C45" s="83">
        <f>13</f>
        <v>13</v>
      </c>
      <c r="D45" s="83"/>
      <c r="E45" s="8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EA7353-0FE2-4798-83C1-A24826F69272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39100-37AC-4176-87D3-C76B17C0CD2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>
        <v>2</v>
      </c>
      <c r="F8" s="14">
        <v>1</v>
      </c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>
        <v>8</v>
      </c>
      <c r="S8" s="14"/>
      <c r="T8" s="14">
        <v>2</v>
      </c>
      <c r="U8" s="14"/>
      <c r="V8" s="14"/>
      <c r="W8" s="14">
        <v>2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>
        <v>0</v>
      </c>
      <c r="G15" s="23"/>
      <c r="H15" s="23">
        <v>12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6</v>
      </c>
      <c r="S15" s="23"/>
      <c r="T15" s="23">
        <v>0</v>
      </c>
      <c r="U15" s="23"/>
      <c r="V15" s="23"/>
      <c r="W15" s="23">
        <v>1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>
        <v>2</v>
      </c>
      <c r="F16" s="27">
        <v>1</v>
      </c>
      <c r="G16" s="28"/>
      <c r="H16" s="28">
        <v>1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2</v>
      </c>
      <c r="S16" s="28"/>
      <c r="T16" s="28">
        <v>2</v>
      </c>
      <c r="U16" s="28"/>
      <c r="V16" s="28"/>
      <c r="W16" s="57">
        <v>1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92</v>
      </c>
      <c r="G24" s="14"/>
      <c r="H24" s="14">
        <v>25</v>
      </c>
      <c r="I24" s="14"/>
      <c r="J24" s="14"/>
      <c r="K24" s="14">
        <v>50</v>
      </c>
      <c r="L24" s="14">
        <v>5</v>
      </c>
      <c r="M24" s="14">
        <v>320</v>
      </c>
      <c r="N24" s="14"/>
      <c r="O24" s="14"/>
      <c r="P24" s="14">
        <v>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92</v>
      </c>
      <c r="G31" s="23"/>
      <c r="H31" s="23">
        <v>8</v>
      </c>
      <c r="I31" s="23"/>
      <c r="J31" s="23"/>
      <c r="K31" s="23">
        <v>0</v>
      </c>
      <c r="L31" s="23">
        <v>5</v>
      </c>
      <c r="M31" s="23">
        <v>1</v>
      </c>
      <c r="N31" s="23"/>
      <c r="O31" s="23"/>
      <c r="P31" s="23">
        <v>4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17</v>
      </c>
      <c r="I32" s="28"/>
      <c r="J32" s="28"/>
      <c r="K32" s="28">
        <v>50</v>
      </c>
      <c r="L32" s="28">
        <v>0</v>
      </c>
      <c r="M32" s="28">
        <v>319</v>
      </c>
      <c r="N32" s="28"/>
      <c r="O32" s="23"/>
      <c r="P32" s="28">
        <v>1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1</v>
      </c>
      <c r="D36" s="42"/>
      <c r="E36" s="43">
        <v>2</v>
      </c>
      <c r="F36" s="43">
        <v>317</v>
      </c>
      <c r="G36" s="43">
        <v>1</v>
      </c>
      <c r="H36" s="43"/>
      <c r="I36" s="43">
        <v>62</v>
      </c>
      <c r="J36" s="43">
        <v>1</v>
      </c>
      <c r="K36" s="43">
        <v>9</v>
      </c>
      <c r="L36" s="43"/>
      <c r="M36" s="43"/>
      <c r="N36" s="43">
        <v>3</v>
      </c>
      <c r="O36" s="43">
        <v>1</v>
      </c>
      <c r="P36" s="43"/>
      <c r="Q36" s="44">
        <v>8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1</v>
      </c>
      <c r="D42" s="42"/>
      <c r="E42" s="43">
        <v>2</v>
      </c>
      <c r="F42" s="43">
        <v>317</v>
      </c>
      <c r="G42" s="43">
        <v>1</v>
      </c>
      <c r="H42" s="43"/>
      <c r="I42" s="43">
        <v>62</v>
      </c>
      <c r="J42" s="43">
        <v>1</v>
      </c>
      <c r="K42" s="43">
        <v>9</v>
      </c>
      <c r="L42" s="43"/>
      <c r="M42" s="43"/>
      <c r="N42" s="43">
        <v>3</v>
      </c>
      <c r="O42" s="43">
        <v>1</v>
      </c>
      <c r="P42" s="43"/>
      <c r="Q42" s="44">
        <v>8</v>
      </c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3">
        <f>2+1+1+2+2+1+17+50+319+1</f>
        <v>396</v>
      </c>
      <c r="D44" s="83"/>
      <c r="E44" s="83"/>
    </row>
    <row r="45" spans="2:25" x14ac:dyDescent="0.25">
      <c r="B45" s="77" t="s">
        <v>69</v>
      </c>
      <c r="C45" s="83"/>
      <c r="D45" s="83"/>
      <c r="E45" s="8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7E9D9A-4B66-4757-B161-97EFD019EB6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>
        <v>1</v>
      </c>
      <c r="F8" s="14">
        <v>1</v>
      </c>
      <c r="G8" s="14"/>
      <c r="H8" s="14" t="s">
        <v>114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/>
      <c r="U8" s="14"/>
      <c r="V8" s="14"/>
      <c r="W8" s="14">
        <v>2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>
        <v>0</v>
      </c>
      <c r="F15" s="23">
        <v>1</v>
      </c>
      <c r="G15" s="23"/>
      <c r="H15" s="23" t="s">
        <v>113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10</v>
      </c>
      <c r="S15" s="23"/>
      <c r="T15" s="23"/>
      <c r="U15" s="23"/>
      <c r="V15" s="23"/>
      <c r="W15" s="23">
        <v>0</v>
      </c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1</v>
      </c>
      <c r="F16" s="27">
        <v>0</v>
      </c>
      <c r="G16" s="28"/>
      <c r="H16" s="28">
        <v>10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2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68</v>
      </c>
      <c r="I24" s="14"/>
      <c r="J24" s="14"/>
      <c r="K24" s="14">
        <v>1</v>
      </c>
      <c r="L24" s="14">
        <v>8</v>
      </c>
      <c r="M24" s="14">
        <v>481</v>
      </c>
      <c r="N24" s="14"/>
      <c r="O24" s="14"/>
      <c r="P24" s="14" t="s">
        <v>96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0</v>
      </c>
      <c r="I31" s="23"/>
      <c r="J31" s="23"/>
      <c r="K31" s="23">
        <v>1</v>
      </c>
      <c r="L31" s="23">
        <v>4</v>
      </c>
      <c r="M31" s="23">
        <v>96</v>
      </c>
      <c r="N31" s="23"/>
      <c r="O31" s="23"/>
      <c r="P31" s="23" t="s">
        <v>96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68</v>
      </c>
      <c r="I32" s="28"/>
      <c r="J32" s="28"/>
      <c r="K32" s="28">
        <v>0</v>
      </c>
      <c r="L32" s="28">
        <v>4</v>
      </c>
      <c r="M32" s="28">
        <v>385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278</v>
      </c>
      <c r="G36" s="43">
        <v>18</v>
      </c>
      <c r="H36" s="43">
        <v>7</v>
      </c>
      <c r="I36" s="43">
        <v>4</v>
      </c>
      <c r="J36" s="43"/>
      <c r="K36" s="43">
        <v>12</v>
      </c>
      <c r="L36" s="43"/>
      <c r="M36" s="43">
        <v>2</v>
      </c>
      <c r="N36" s="43"/>
      <c r="O36" s="43">
        <v>3</v>
      </c>
      <c r="P36" s="43">
        <v>1</v>
      </c>
      <c r="Q36" s="44">
        <v>73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278</v>
      </c>
      <c r="G42" s="43">
        <v>18</v>
      </c>
      <c r="H42" s="43">
        <v>7</v>
      </c>
      <c r="I42" s="43">
        <v>4</v>
      </c>
      <c r="J42" s="43"/>
      <c r="K42" s="43">
        <v>12</v>
      </c>
      <c r="L42" s="43"/>
      <c r="M42" s="43">
        <v>2</v>
      </c>
      <c r="N42" s="43"/>
      <c r="O42" s="43">
        <v>3</v>
      </c>
      <c r="P42" s="43">
        <v>1</v>
      </c>
      <c r="Q42" s="44">
        <v>73</v>
      </c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3">
        <f>1+10+2+68+4+385</f>
        <v>470</v>
      </c>
      <c r="D44" s="83"/>
      <c r="E44" s="83"/>
    </row>
    <row r="45" spans="2:25" x14ac:dyDescent="0.25">
      <c r="B45" s="77" t="s">
        <v>69</v>
      </c>
      <c r="C45" s="83"/>
      <c r="D45" s="83"/>
      <c r="E45" s="8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F0ED2-EC58-40B0-B919-1D79F53D806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>
        <v>15</v>
      </c>
      <c r="F8" s="14">
        <v>15</v>
      </c>
      <c r="G8" s="14"/>
      <c r="H8" s="14">
        <v>19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/>
      <c r="U8" s="14"/>
      <c r="V8" s="14"/>
      <c r="W8" s="14">
        <v>8</v>
      </c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>
        <v>0</v>
      </c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9</v>
      </c>
      <c r="S15" s="23"/>
      <c r="T15" s="23"/>
      <c r="U15" s="23"/>
      <c r="V15" s="23"/>
      <c r="W15" s="23">
        <v>2</v>
      </c>
      <c r="X15" s="62"/>
      <c r="Y15" s="24">
        <v>1</v>
      </c>
    </row>
    <row r="16" spans="2:27" ht="18" customHeight="1" thickBot="1" x14ac:dyDescent="0.3">
      <c r="B16" s="25" t="s">
        <v>26</v>
      </c>
      <c r="C16" s="58">
        <v>0</v>
      </c>
      <c r="D16" s="59">
        <v>0</v>
      </c>
      <c r="E16" s="27">
        <v>15</v>
      </c>
      <c r="F16" s="27">
        <v>15</v>
      </c>
      <c r="G16" s="28"/>
      <c r="H16" s="28">
        <v>19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1</v>
      </c>
      <c r="S16" s="28"/>
      <c r="T16" s="28"/>
      <c r="U16" s="28"/>
      <c r="V16" s="28"/>
      <c r="W16" s="57">
        <v>2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2</v>
      </c>
      <c r="D24" s="14"/>
      <c r="E24" s="14"/>
      <c r="F24" s="14">
        <v>2</v>
      </c>
      <c r="G24" s="14"/>
      <c r="H24" s="14">
        <v>140</v>
      </c>
      <c r="I24" s="14"/>
      <c r="J24" s="14"/>
      <c r="K24" s="14">
        <v>2</v>
      </c>
      <c r="L24" s="14">
        <v>15</v>
      </c>
      <c r="M24" s="14">
        <v>433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>
        <v>2</v>
      </c>
      <c r="G31" s="23"/>
      <c r="H31" s="23">
        <v>81</v>
      </c>
      <c r="I31" s="23"/>
      <c r="J31" s="23"/>
      <c r="K31" s="23">
        <v>2</v>
      </c>
      <c r="L31" s="23">
        <v>3</v>
      </c>
      <c r="M31" s="23">
        <v>1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2</v>
      </c>
      <c r="D32" s="27"/>
      <c r="E32" s="27"/>
      <c r="F32" s="27">
        <v>0</v>
      </c>
      <c r="G32" s="28"/>
      <c r="H32" s="28">
        <v>59</v>
      </c>
      <c r="I32" s="28"/>
      <c r="J32" s="28"/>
      <c r="K32" s="28">
        <v>0</v>
      </c>
      <c r="L32" s="28">
        <v>12</v>
      </c>
      <c r="M32" s="28">
        <v>432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510</v>
      </c>
      <c r="G36" s="43">
        <v>1</v>
      </c>
      <c r="H36" s="43">
        <v>5</v>
      </c>
      <c r="I36" s="43">
        <v>2</v>
      </c>
      <c r="J36" s="43"/>
      <c r="K36" s="43">
        <v>2</v>
      </c>
      <c r="L36" s="43">
        <v>2</v>
      </c>
      <c r="M36" s="43"/>
      <c r="N36" s="43">
        <v>2</v>
      </c>
      <c r="O36" s="43">
        <v>12</v>
      </c>
      <c r="P36" s="43">
        <v>18</v>
      </c>
      <c r="Q36" s="44">
        <v>19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510</v>
      </c>
      <c r="G42" s="43">
        <v>1</v>
      </c>
      <c r="H42" s="43">
        <v>5</v>
      </c>
      <c r="I42" s="43">
        <v>2</v>
      </c>
      <c r="J42" s="43"/>
      <c r="K42" s="43">
        <v>2</v>
      </c>
      <c r="L42" s="43">
        <v>2</v>
      </c>
      <c r="M42" s="43"/>
      <c r="N42" s="43">
        <v>2</v>
      </c>
      <c r="O42" s="43">
        <v>12</v>
      </c>
      <c r="P42" s="43">
        <v>18</v>
      </c>
      <c r="Q42" s="44">
        <v>19</v>
      </c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3">
        <f>15+15+19+1+2+2+59+12+432</f>
        <v>557</v>
      </c>
      <c r="D44" s="83"/>
      <c r="E44" s="83"/>
    </row>
    <row r="45" spans="2:25" x14ac:dyDescent="0.25">
      <c r="B45" s="77" t="s">
        <v>69</v>
      </c>
      <c r="C45" s="83"/>
      <c r="D45" s="83"/>
      <c r="E45" s="8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EE6314-D31F-4C57-A6E5-A6C5D2AD24B6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1F333B-2EFF-48D9-BA30-3570803545D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>
        <v>24</v>
      </c>
      <c r="I8" s="14"/>
      <c r="J8" s="14"/>
      <c r="K8" s="14"/>
      <c r="L8" s="14"/>
      <c r="M8" s="14"/>
      <c r="N8" s="14"/>
      <c r="O8" s="14"/>
      <c r="P8" s="14"/>
      <c r="Q8" s="14"/>
      <c r="R8" s="14">
        <v>6</v>
      </c>
      <c r="S8" s="14"/>
      <c r="T8" s="14"/>
      <c r="U8" s="14"/>
      <c r="V8" s="14"/>
      <c r="W8" s="14">
        <v>1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0</v>
      </c>
      <c r="D15" s="23"/>
      <c r="E15" s="23"/>
      <c r="F15" s="23"/>
      <c r="G15" s="23"/>
      <c r="H15" s="23" t="s">
        <v>125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4</v>
      </c>
      <c r="S15" s="23"/>
      <c r="T15" s="23"/>
      <c r="U15" s="23"/>
      <c r="V15" s="23"/>
      <c r="W15" s="23">
        <v>0</v>
      </c>
      <c r="X15" s="62"/>
      <c r="Y15" s="24"/>
    </row>
    <row r="16" spans="2:27" ht="18" customHeight="1" thickBot="1" x14ac:dyDescent="0.3">
      <c r="B16" s="25" t="s">
        <v>26</v>
      </c>
      <c r="C16" s="58">
        <v>1</v>
      </c>
      <c r="D16" s="59"/>
      <c r="E16" s="27"/>
      <c r="F16" s="27"/>
      <c r="G16" s="28"/>
      <c r="H16" s="28" t="s">
        <v>124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2</v>
      </c>
      <c r="S16" s="28"/>
      <c r="T16" s="28"/>
      <c r="U16" s="28"/>
      <c r="V16" s="28"/>
      <c r="W16" s="57">
        <v>1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92</v>
      </c>
      <c r="G24" s="14"/>
      <c r="H24" s="14">
        <v>67</v>
      </c>
      <c r="I24" s="14"/>
      <c r="J24" s="14"/>
      <c r="K24" s="14">
        <v>2</v>
      </c>
      <c r="L24" s="14">
        <v>55</v>
      </c>
      <c r="M24" s="14">
        <v>560</v>
      </c>
      <c r="N24" s="14"/>
      <c r="O24" s="14"/>
      <c r="P24" s="14">
        <v>4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0</v>
      </c>
      <c r="I31" s="23"/>
      <c r="J31" s="23"/>
      <c r="K31" s="23">
        <v>2</v>
      </c>
      <c r="L31" s="23">
        <v>0</v>
      </c>
      <c r="M31" s="23">
        <v>2</v>
      </c>
      <c r="N31" s="23"/>
      <c r="O31" s="23"/>
      <c r="P31" s="23">
        <v>4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 t="s">
        <v>92</v>
      </c>
      <c r="G32" s="28"/>
      <c r="H32" s="28">
        <v>67</v>
      </c>
      <c r="I32" s="28"/>
      <c r="J32" s="28"/>
      <c r="K32" s="28">
        <v>0</v>
      </c>
      <c r="L32" s="28">
        <v>55</v>
      </c>
      <c r="M32" s="28">
        <v>558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1</v>
      </c>
      <c r="D36" s="42"/>
      <c r="E36" s="43">
        <v>16</v>
      </c>
      <c r="F36" s="43">
        <v>462</v>
      </c>
      <c r="G36" s="43">
        <v>138</v>
      </c>
      <c r="H36" s="43">
        <v>1</v>
      </c>
      <c r="I36" s="43">
        <v>18</v>
      </c>
      <c r="J36" s="43">
        <v>30</v>
      </c>
      <c r="K36" s="43">
        <v>7</v>
      </c>
      <c r="L36" s="43">
        <v>2</v>
      </c>
      <c r="M36" s="43">
        <v>1</v>
      </c>
      <c r="N36" s="43"/>
      <c r="O36" s="43"/>
      <c r="P36" s="43"/>
      <c r="Q36" s="44">
        <v>19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1</v>
      </c>
      <c r="D42" s="42"/>
      <c r="E42" s="43">
        <v>16</v>
      </c>
      <c r="F42" s="43">
        <v>462</v>
      </c>
      <c r="G42" s="43">
        <v>138</v>
      </c>
      <c r="H42" s="43">
        <v>1</v>
      </c>
      <c r="I42" s="43">
        <v>18</v>
      </c>
      <c r="J42" s="43">
        <v>30</v>
      </c>
      <c r="K42" s="43">
        <v>7</v>
      </c>
      <c r="L42" s="43">
        <v>2</v>
      </c>
      <c r="M42" s="43">
        <v>1</v>
      </c>
      <c r="N42" s="43"/>
      <c r="O42" s="43"/>
      <c r="P42" s="43"/>
      <c r="Q42" s="44">
        <v>19</v>
      </c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3">
        <f>1+20+2+1+1+67+55+558</f>
        <v>705</v>
      </c>
      <c r="D44" s="83"/>
      <c r="E44" s="83"/>
    </row>
    <row r="45" spans="2:25" x14ac:dyDescent="0.25">
      <c r="B45" s="77" t="s">
        <v>69</v>
      </c>
      <c r="C45" s="83">
        <f>5+12</f>
        <v>17</v>
      </c>
      <c r="D45" s="83"/>
      <c r="E45" s="8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A88615-96CF-4C42-852A-3A592137003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/>
      <c r="F8" s="14">
        <v>1</v>
      </c>
      <c r="G8" s="14"/>
      <c r="H8" s="14" t="s">
        <v>121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/>
      <c r="U8" s="14"/>
      <c r="V8" s="14"/>
      <c r="W8" s="14">
        <v>2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/>
      <c r="F15" s="23">
        <v>1</v>
      </c>
      <c r="G15" s="23"/>
      <c r="H15" s="23" t="s">
        <v>122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10</v>
      </c>
      <c r="S15" s="23"/>
      <c r="T15" s="23"/>
      <c r="U15" s="23"/>
      <c r="V15" s="23"/>
      <c r="W15" s="23">
        <v>2</v>
      </c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/>
      <c r="F16" s="27">
        <v>0</v>
      </c>
      <c r="G16" s="28"/>
      <c r="H16" s="28" t="s">
        <v>123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0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118</v>
      </c>
      <c r="I24" s="14"/>
      <c r="J24" s="14"/>
      <c r="K24" s="14">
        <v>1</v>
      </c>
      <c r="L24" s="14">
        <v>4</v>
      </c>
      <c r="M24" s="14">
        <v>594</v>
      </c>
      <c r="N24" s="14"/>
      <c r="O24" s="14"/>
      <c r="P24" s="14" t="s">
        <v>96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0</v>
      </c>
      <c r="I31" s="23"/>
      <c r="J31" s="23"/>
      <c r="K31" s="23">
        <v>1</v>
      </c>
      <c r="L31" s="23">
        <v>3</v>
      </c>
      <c r="M31" s="23">
        <v>56</v>
      </c>
      <c r="N31" s="23"/>
      <c r="O31" s="23"/>
      <c r="P31" s="23" t="s">
        <v>96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118</v>
      </c>
      <c r="I32" s="28"/>
      <c r="J32" s="28"/>
      <c r="K32" s="28">
        <v>0</v>
      </c>
      <c r="L32" s="28">
        <v>1</v>
      </c>
      <c r="M32" s="28">
        <v>538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670</v>
      </c>
      <c r="G36" s="43">
        <v>1</v>
      </c>
      <c r="H36" s="43">
        <v>4</v>
      </c>
      <c r="I36" s="43">
        <v>1</v>
      </c>
      <c r="J36" s="43">
        <v>2</v>
      </c>
      <c r="K36" s="43"/>
      <c r="L36" s="43"/>
      <c r="M36" s="43"/>
      <c r="N36" s="43"/>
      <c r="O36" s="43">
        <v>6</v>
      </c>
      <c r="P36" s="43">
        <v>14</v>
      </c>
      <c r="Q36" s="44">
        <v>21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670</v>
      </c>
      <c r="G42" s="43">
        <v>1</v>
      </c>
      <c r="H42" s="43">
        <v>4</v>
      </c>
      <c r="I42" s="43">
        <v>1</v>
      </c>
      <c r="J42" s="43">
        <v>2</v>
      </c>
      <c r="K42" s="43"/>
      <c r="L42" s="43"/>
      <c r="M42" s="43"/>
      <c r="N42" s="43"/>
      <c r="O42" s="43">
        <v>6</v>
      </c>
      <c r="P42" s="43">
        <v>14</v>
      </c>
      <c r="Q42" s="44">
        <v>21</v>
      </c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3">
        <f>20+118+1+538</f>
        <v>677</v>
      </c>
      <c r="D44" s="83"/>
      <c r="E44" s="83"/>
    </row>
    <row r="45" spans="2:25" x14ac:dyDescent="0.25">
      <c r="B45" s="77" t="s">
        <v>69</v>
      </c>
      <c r="C45" s="83">
        <f>8</f>
        <v>8</v>
      </c>
      <c r="D45" s="83"/>
      <c r="E45" s="8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E32AC-8596-40F5-887B-DED678E230F2}">
  <dimension ref="B1:AA45"/>
  <sheetViews>
    <sheetView showGridLines="0" topLeftCell="A26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>
        <v>20</v>
      </c>
      <c r="I8" s="14"/>
      <c r="J8" s="14"/>
      <c r="K8" s="14"/>
      <c r="L8" s="14"/>
      <c r="M8" s="14"/>
      <c r="N8" s="14"/>
      <c r="O8" s="14"/>
      <c r="P8" s="14"/>
      <c r="Q8" s="14"/>
      <c r="R8" s="14">
        <v>9</v>
      </c>
      <c r="S8" s="14"/>
      <c r="T8" s="14"/>
      <c r="U8" s="14"/>
      <c r="V8" s="14"/>
      <c r="W8" s="14">
        <v>4</v>
      </c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>
        <v>5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8</v>
      </c>
      <c r="S15" s="23"/>
      <c r="T15" s="23"/>
      <c r="U15" s="23"/>
      <c r="V15" s="23"/>
      <c r="W15" s="23">
        <v>2</v>
      </c>
      <c r="X15" s="62"/>
      <c r="Y15" s="24">
        <v>1</v>
      </c>
    </row>
    <row r="16" spans="2:27" ht="18" customHeight="1" thickBot="1" x14ac:dyDescent="0.3">
      <c r="B16" s="25" t="s">
        <v>26</v>
      </c>
      <c r="C16" s="58">
        <v>0</v>
      </c>
      <c r="D16" s="59">
        <v>0</v>
      </c>
      <c r="E16" s="27"/>
      <c r="F16" s="27"/>
      <c r="G16" s="28"/>
      <c r="H16" s="28">
        <v>15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1</v>
      </c>
      <c r="S16" s="28"/>
      <c r="T16" s="28"/>
      <c r="U16" s="28"/>
      <c r="V16" s="28"/>
      <c r="W16" s="57">
        <v>2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81</v>
      </c>
      <c r="I24" s="14"/>
      <c r="J24" s="14"/>
      <c r="K24" s="14">
        <v>2</v>
      </c>
      <c r="L24" s="14">
        <v>15</v>
      </c>
      <c r="M24" s="14">
        <v>432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18</v>
      </c>
      <c r="I31" s="23"/>
      <c r="J31" s="23"/>
      <c r="K31" s="23">
        <v>1</v>
      </c>
      <c r="L31" s="23">
        <v>4</v>
      </c>
      <c r="M31" s="23">
        <v>63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63</v>
      </c>
      <c r="I32" s="28"/>
      <c r="J32" s="28"/>
      <c r="K32" s="28">
        <v>1</v>
      </c>
      <c r="L32" s="28">
        <v>11</v>
      </c>
      <c r="M32" s="28">
        <v>369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221</v>
      </c>
      <c r="G36" s="43"/>
      <c r="H36" s="43"/>
      <c r="I36" s="43">
        <v>6</v>
      </c>
      <c r="J36" s="43">
        <v>1</v>
      </c>
      <c r="K36" s="43">
        <v>7</v>
      </c>
      <c r="L36" s="43">
        <v>1</v>
      </c>
      <c r="M36" s="43"/>
      <c r="N36" s="43"/>
      <c r="O36" s="43">
        <v>4</v>
      </c>
      <c r="P36" s="43">
        <v>1</v>
      </c>
      <c r="Q36" s="44">
        <v>9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221</v>
      </c>
      <c r="G42" s="43"/>
      <c r="H42" s="43"/>
      <c r="I42" s="43">
        <v>6</v>
      </c>
      <c r="J42" s="43">
        <v>1</v>
      </c>
      <c r="K42" s="43">
        <v>7</v>
      </c>
      <c r="L42" s="43">
        <v>1</v>
      </c>
      <c r="M42" s="43"/>
      <c r="N42" s="43"/>
      <c r="O42" s="43">
        <v>4</v>
      </c>
      <c r="P42" s="43">
        <v>1</v>
      </c>
      <c r="Q42" s="44">
        <v>9</v>
      </c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3">
        <f>15+1+2+63+1+11+369</f>
        <v>462</v>
      </c>
      <c r="D44" s="83"/>
      <c r="E44" s="83"/>
    </row>
    <row r="45" spans="2:25" x14ac:dyDescent="0.25">
      <c r="B45" s="77" t="s">
        <v>69</v>
      </c>
      <c r="C45" s="83"/>
      <c r="D45" s="83"/>
      <c r="E45" s="8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6EC4AA-31C1-4389-B72D-6A40861A2618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1135A9-BB90-4F0D-AE87-8A25C13201C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1</v>
      </c>
      <c r="F8" s="14">
        <v>1</v>
      </c>
      <c r="G8" s="14"/>
      <c r="H8" s="14" t="s">
        <v>128</v>
      </c>
      <c r="I8" s="14"/>
      <c r="J8" s="14"/>
      <c r="K8" s="14"/>
      <c r="L8" s="14"/>
      <c r="M8" s="14"/>
      <c r="N8" s="14"/>
      <c r="O8" s="14"/>
      <c r="P8" s="14"/>
      <c r="Q8" s="14"/>
      <c r="R8" s="14">
        <v>4</v>
      </c>
      <c r="S8" s="14"/>
      <c r="T8" s="14">
        <v>2</v>
      </c>
      <c r="U8" s="14"/>
      <c r="V8" s="14"/>
      <c r="W8" s="14">
        <v>2</v>
      </c>
      <c r="X8" s="60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>
        <v>0</v>
      </c>
      <c r="F15" s="23">
        <v>0</v>
      </c>
      <c r="G15" s="23"/>
      <c r="H15" s="23" t="s">
        <v>127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4</v>
      </c>
      <c r="S15" s="23"/>
      <c r="T15" s="23">
        <v>2</v>
      </c>
      <c r="U15" s="23"/>
      <c r="V15" s="23"/>
      <c r="W15" s="23">
        <v>2</v>
      </c>
      <c r="X15" s="62">
        <v>1</v>
      </c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>
        <v>1</v>
      </c>
      <c r="F16" s="27">
        <v>1</v>
      </c>
      <c r="G16" s="28"/>
      <c r="H16" s="28" t="s">
        <v>126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0</v>
      </c>
      <c r="X16" s="63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1</v>
      </c>
      <c r="G24" s="14"/>
      <c r="H24" s="14">
        <v>20</v>
      </c>
      <c r="I24" s="14"/>
      <c r="J24" s="14"/>
      <c r="K24" s="14">
        <v>2</v>
      </c>
      <c r="L24" s="14">
        <v>5</v>
      </c>
      <c r="M24" s="14">
        <v>326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>
        <v>1</v>
      </c>
      <c r="G31" s="23"/>
      <c r="H31" s="23">
        <v>0</v>
      </c>
      <c r="I31" s="23"/>
      <c r="J31" s="23"/>
      <c r="K31" s="23">
        <v>2</v>
      </c>
      <c r="L31" s="23">
        <v>2</v>
      </c>
      <c r="M31" s="23">
        <v>2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>
        <v>0</v>
      </c>
      <c r="G32" s="28"/>
      <c r="H32" s="28">
        <v>20</v>
      </c>
      <c r="I32" s="28"/>
      <c r="J32" s="28"/>
      <c r="K32" s="28">
        <v>0</v>
      </c>
      <c r="L32" s="28">
        <v>3</v>
      </c>
      <c r="M32" s="28">
        <v>324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34</v>
      </c>
      <c r="G36" s="43">
        <v>1</v>
      </c>
      <c r="H36" s="43">
        <v>3</v>
      </c>
      <c r="I36" s="43">
        <v>3</v>
      </c>
      <c r="J36" s="43"/>
      <c r="K36" s="43">
        <v>5</v>
      </c>
      <c r="L36" s="43"/>
      <c r="M36" s="43"/>
      <c r="N36" s="43"/>
      <c r="O36" s="43">
        <v>4</v>
      </c>
      <c r="P36" s="43">
        <v>1</v>
      </c>
      <c r="Q36" s="44">
        <v>4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34</v>
      </c>
      <c r="G42" s="43">
        <v>1</v>
      </c>
      <c r="H42" s="43">
        <v>3</v>
      </c>
      <c r="I42" s="43">
        <v>3</v>
      </c>
      <c r="J42" s="43"/>
      <c r="K42" s="43">
        <v>5</v>
      </c>
      <c r="L42" s="43"/>
      <c r="M42" s="43"/>
      <c r="N42" s="43"/>
      <c r="O42" s="43">
        <v>4</v>
      </c>
      <c r="P42" s="43">
        <v>1</v>
      </c>
      <c r="Q42" s="44">
        <v>4</v>
      </c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3">
        <f>1+1+5+1+20+3+324</f>
        <v>355</v>
      </c>
      <c r="D44" s="83"/>
      <c r="E44" s="83"/>
    </row>
    <row r="45" spans="2:25" x14ac:dyDescent="0.25">
      <c r="B45" s="77" t="s">
        <v>69</v>
      </c>
      <c r="C45" s="83">
        <v>6</v>
      </c>
      <c r="D45" s="83"/>
      <c r="E45" s="8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45167-238B-4B67-8EEB-9AF2E722A20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/>
      <c r="E8" s="14">
        <v>1</v>
      </c>
      <c r="F8" s="14">
        <v>1</v>
      </c>
      <c r="G8" s="14"/>
      <c r="H8" s="14" t="s">
        <v>133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>
        <v>1</v>
      </c>
      <c r="U8" s="14"/>
      <c r="V8" s="14"/>
      <c r="W8" s="14">
        <v>2</v>
      </c>
      <c r="X8" s="60">
        <v>1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80</v>
      </c>
      <c r="D15" s="23"/>
      <c r="E15" s="23">
        <v>1</v>
      </c>
      <c r="F15" s="23">
        <v>1</v>
      </c>
      <c r="G15" s="23"/>
      <c r="H15" s="23" t="s">
        <v>132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135</v>
      </c>
      <c r="S15" s="23"/>
      <c r="T15" s="23">
        <v>1</v>
      </c>
      <c r="U15" s="23"/>
      <c r="V15" s="23"/>
      <c r="W15" s="23">
        <v>2</v>
      </c>
      <c r="X15" s="62">
        <v>1</v>
      </c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0</v>
      </c>
      <c r="F16" s="27">
        <v>0</v>
      </c>
      <c r="G16" s="28"/>
      <c r="H16" s="28" t="s">
        <v>131</v>
      </c>
      <c r="I16" s="28"/>
      <c r="J16" s="28"/>
      <c r="K16" s="57"/>
      <c r="L16" s="28"/>
      <c r="M16" s="28"/>
      <c r="N16" s="28"/>
      <c r="O16" s="28"/>
      <c r="P16" s="28"/>
      <c r="Q16" s="28"/>
      <c r="R16" s="28" t="s">
        <v>134</v>
      </c>
      <c r="S16" s="28"/>
      <c r="T16" s="28">
        <v>0</v>
      </c>
      <c r="U16" s="28"/>
      <c r="V16" s="28"/>
      <c r="W16" s="57">
        <v>0</v>
      </c>
      <c r="X16" s="63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2</v>
      </c>
      <c r="G24" s="14"/>
      <c r="H24" s="14">
        <v>30</v>
      </c>
      <c r="I24" s="14"/>
      <c r="J24" s="14"/>
      <c r="K24" s="14">
        <v>1</v>
      </c>
      <c r="L24" s="14">
        <v>10</v>
      </c>
      <c r="M24" s="14">
        <v>380</v>
      </c>
      <c r="N24" s="14"/>
      <c r="O24" s="14"/>
      <c r="P24" s="14" t="s">
        <v>136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>
        <v>2</v>
      </c>
      <c r="G31" s="23"/>
      <c r="H31" s="23">
        <v>1</v>
      </c>
      <c r="I31" s="23"/>
      <c r="J31" s="23"/>
      <c r="K31" s="23">
        <v>1</v>
      </c>
      <c r="L31" s="23">
        <v>4</v>
      </c>
      <c r="M31" s="23">
        <v>69</v>
      </c>
      <c r="N31" s="23"/>
      <c r="O31" s="23"/>
      <c r="P31" s="23" t="s">
        <v>136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/>
      <c r="E32" s="27"/>
      <c r="F32" s="27">
        <v>0</v>
      </c>
      <c r="G32" s="28"/>
      <c r="H32" s="28">
        <v>29</v>
      </c>
      <c r="I32" s="28"/>
      <c r="J32" s="28"/>
      <c r="K32" s="28">
        <v>0</v>
      </c>
      <c r="L32" s="28">
        <v>6</v>
      </c>
      <c r="M32" s="28">
        <v>311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449</v>
      </c>
      <c r="G36" s="43">
        <v>10</v>
      </c>
      <c r="H36" s="43">
        <v>5</v>
      </c>
      <c r="I36" s="43">
        <v>9</v>
      </c>
      <c r="J36" s="43">
        <v>2</v>
      </c>
      <c r="K36" s="43">
        <v>10</v>
      </c>
      <c r="L36" s="43"/>
      <c r="M36" s="43"/>
      <c r="N36" s="43">
        <v>1</v>
      </c>
      <c r="O36" s="43">
        <v>9</v>
      </c>
      <c r="P36" s="43">
        <v>1</v>
      </c>
      <c r="Q36" s="44">
        <v>22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449</v>
      </c>
      <c r="G42" s="43">
        <v>10</v>
      </c>
      <c r="H42" s="43">
        <v>5</v>
      </c>
      <c r="I42" s="43">
        <v>9</v>
      </c>
      <c r="J42" s="43">
        <v>2</v>
      </c>
      <c r="K42" s="43">
        <v>10</v>
      </c>
      <c r="L42" s="43"/>
      <c r="M42" s="43"/>
      <c r="N42" s="43">
        <v>1</v>
      </c>
      <c r="O42" s="43">
        <v>9</v>
      </c>
      <c r="P42" s="43">
        <v>1</v>
      </c>
      <c r="Q42" s="44">
        <v>22</v>
      </c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3">
        <f>11+29+6+311</f>
        <v>357</v>
      </c>
      <c r="D44" s="83"/>
      <c r="E44" s="83"/>
    </row>
    <row r="45" spans="2:25" x14ac:dyDescent="0.25">
      <c r="B45" s="77" t="s">
        <v>69</v>
      </c>
      <c r="C45" s="83">
        <f>6+5</f>
        <v>11</v>
      </c>
      <c r="D45" s="83"/>
      <c r="E45" s="8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8EDFD6-7B05-4856-BB2B-0D4EF75516F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>
        <v>8</v>
      </c>
      <c r="S8" s="14"/>
      <c r="T8" s="14"/>
      <c r="U8" s="14"/>
      <c r="V8" s="14"/>
      <c r="W8" s="14">
        <v>2</v>
      </c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/>
      <c r="F15" s="23"/>
      <c r="G15" s="23"/>
      <c r="H15" s="23" t="s">
        <v>130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8</v>
      </c>
      <c r="S15" s="23"/>
      <c r="T15" s="23"/>
      <c r="U15" s="23"/>
      <c r="V15" s="23"/>
      <c r="W15" s="23">
        <v>0</v>
      </c>
      <c r="X15" s="62"/>
      <c r="Y15" s="24">
        <v>1</v>
      </c>
    </row>
    <row r="16" spans="2:27" ht="18" customHeight="1" thickBot="1" x14ac:dyDescent="0.3">
      <c r="B16" s="25" t="s">
        <v>26</v>
      </c>
      <c r="C16" s="58">
        <v>1</v>
      </c>
      <c r="D16" s="59">
        <v>2</v>
      </c>
      <c r="E16" s="27"/>
      <c r="F16" s="27"/>
      <c r="G16" s="28"/>
      <c r="H16" s="28" t="s">
        <v>129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2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126</v>
      </c>
      <c r="I24" s="14"/>
      <c r="J24" s="14"/>
      <c r="K24" s="14">
        <v>1</v>
      </c>
      <c r="L24" s="14">
        <v>12</v>
      </c>
      <c r="M24" s="14">
        <v>337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105</v>
      </c>
      <c r="I31" s="23"/>
      <c r="J31" s="23"/>
      <c r="K31" s="23">
        <v>0</v>
      </c>
      <c r="L31" s="23">
        <v>7</v>
      </c>
      <c r="M31" s="23">
        <v>8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21</v>
      </c>
      <c r="I32" s="28"/>
      <c r="J32" s="28"/>
      <c r="K32" s="28">
        <v>1</v>
      </c>
      <c r="L32" s="28">
        <v>5</v>
      </c>
      <c r="M32" s="28">
        <v>329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2</v>
      </c>
      <c r="D36" s="42"/>
      <c r="E36" s="43"/>
      <c r="F36" s="43">
        <v>354</v>
      </c>
      <c r="G36" s="43"/>
      <c r="H36" s="43">
        <v>8</v>
      </c>
      <c r="I36" s="43">
        <v>12</v>
      </c>
      <c r="J36" s="43">
        <v>1</v>
      </c>
      <c r="K36" s="43">
        <v>3</v>
      </c>
      <c r="L36" s="43">
        <v>6</v>
      </c>
      <c r="M36" s="43"/>
      <c r="N36" s="43">
        <v>45</v>
      </c>
      <c r="O36" s="43">
        <v>9</v>
      </c>
      <c r="P36" s="43">
        <v>8</v>
      </c>
      <c r="Q36" s="44">
        <v>16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2</v>
      </c>
      <c r="D42" s="42"/>
      <c r="E42" s="43"/>
      <c r="F42" s="43">
        <v>354</v>
      </c>
      <c r="G42" s="43"/>
      <c r="H42" s="43">
        <v>8</v>
      </c>
      <c r="I42" s="43">
        <v>12</v>
      </c>
      <c r="J42" s="43">
        <v>1</v>
      </c>
      <c r="K42" s="43">
        <v>3</v>
      </c>
      <c r="L42" s="43">
        <v>6</v>
      </c>
      <c r="M42" s="43"/>
      <c r="N42" s="43">
        <v>45</v>
      </c>
      <c r="O42" s="43">
        <v>9</v>
      </c>
      <c r="P42" s="43">
        <v>8</v>
      </c>
      <c r="Q42" s="44">
        <v>16</v>
      </c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3">
        <f>1+2+14+2+2+21+1+5+329</f>
        <v>377</v>
      </c>
      <c r="D44" s="83"/>
      <c r="E44" s="83"/>
    </row>
    <row r="45" spans="2:25" x14ac:dyDescent="0.25">
      <c r="B45" s="77" t="s">
        <v>69</v>
      </c>
      <c r="C45" s="83">
        <f>20</f>
        <v>20</v>
      </c>
      <c r="D45" s="83"/>
      <c r="E45" s="8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A878F3-3C57-4B59-BACF-94DD23AD8BCE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174EDC-4FBB-4BB6-AD20-7EA84CC354F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1</v>
      </c>
      <c r="F8" s="14">
        <v>1</v>
      </c>
      <c r="G8" s="14">
        <v>1</v>
      </c>
      <c r="H8" s="14" t="s">
        <v>137</v>
      </c>
      <c r="I8" s="14"/>
      <c r="J8" s="14"/>
      <c r="K8" s="14"/>
      <c r="L8" s="14"/>
      <c r="M8" s="14">
        <v>1</v>
      </c>
      <c r="N8" s="14"/>
      <c r="O8" s="14"/>
      <c r="P8" s="14">
        <v>1</v>
      </c>
      <c r="Q8" s="14"/>
      <c r="R8" s="14">
        <v>4</v>
      </c>
      <c r="S8" s="14"/>
      <c r="T8" s="14">
        <v>2</v>
      </c>
      <c r="U8" s="14">
        <v>1</v>
      </c>
      <c r="V8" s="14"/>
      <c r="W8" s="14">
        <v>2</v>
      </c>
      <c r="X8" s="60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1</v>
      </c>
      <c r="F15" s="23">
        <v>0</v>
      </c>
      <c r="G15" s="23">
        <v>1</v>
      </c>
      <c r="H15" s="23" t="s">
        <v>138</v>
      </c>
      <c r="I15" s="23"/>
      <c r="J15" s="23"/>
      <c r="K15" s="23"/>
      <c r="L15" s="23"/>
      <c r="M15" s="23">
        <v>1</v>
      </c>
      <c r="N15" s="23"/>
      <c r="O15" s="23"/>
      <c r="P15" s="23">
        <v>1</v>
      </c>
      <c r="Q15" s="23"/>
      <c r="R15" s="23">
        <v>4</v>
      </c>
      <c r="S15" s="23"/>
      <c r="T15" s="23">
        <v>2</v>
      </c>
      <c r="U15" s="23">
        <v>1</v>
      </c>
      <c r="V15" s="23"/>
      <c r="W15" s="23">
        <v>2</v>
      </c>
      <c r="X15" s="62">
        <v>1</v>
      </c>
      <c r="Y15" s="24"/>
    </row>
    <row r="16" spans="2:27" ht="18" customHeight="1" thickBot="1" x14ac:dyDescent="0.3">
      <c r="B16" s="25" t="s">
        <v>26</v>
      </c>
      <c r="C16" s="58">
        <v>1</v>
      </c>
      <c r="D16" s="59"/>
      <c r="E16" s="27">
        <v>0</v>
      </c>
      <c r="F16" s="27">
        <v>1</v>
      </c>
      <c r="G16" s="28">
        <v>0</v>
      </c>
      <c r="H16" s="28" t="s">
        <v>139</v>
      </c>
      <c r="I16" s="28"/>
      <c r="J16" s="28"/>
      <c r="K16" s="57"/>
      <c r="L16" s="28"/>
      <c r="M16" s="28">
        <v>0</v>
      </c>
      <c r="N16" s="28"/>
      <c r="O16" s="28"/>
      <c r="P16" s="28">
        <v>0</v>
      </c>
      <c r="Q16" s="28"/>
      <c r="R16" s="28">
        <v>0</v>
      </c>
      <c r="S16" s="28"/>
      <c r="T16" s="28">
        <v>0</v>
      </c>
      <c r="U16" s="28">
        <v>0</v>
      </c>
      <c r="V16" s="28"/>
      <c r="W16" s="57">
        <v>0</v>
      </c>
      <c r="X16" s="63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1</v>
      </c>
      <c r="G24" s="14"/>
      <c r="H24" s="14"/>
      <c r="I24" s="14">
        <v>1</v>
      </c>
      <c r="J24" s="14"/>
      <c r="K24" s="14">
        <v>2</v>
      </c>
      <c r="L24" s="14">
        <v>2</v>
      </c>
      <c r="M24" s="14">
        <v>433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>
        <v>1</v>
      </c>
      <c r="G31" s="23"/>
      <c r="H31" s="23"/>
      <c r="I31" s="23">
        <v>1</v>
      </c>
      <c r="J31" s="23"/>
      <c r="K31" s="23">
        <v>2</v>
      </c>
      <c r="L31" s="23">
        <v>0</v>
      </c>
      <c r="M31" s="23">
        <v>22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/>
      <c r="E32" s="27"/>
      <c r="F32" s="27">
        <v>0</v>
      </c>
      <c r="G32" s="28"/>
      <c r="H32" s="28"/>
      <c r="I32" s="28">
        <v>0</v>
      </c>
      <c r="J32" s="28"/>
      <c r="K32" s="28">
        <v>0</v>
      </c>
      <c r="L32" s="28">
        <v>2</v>
      </c>
      <c r="M32" s="28">
        <v>411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3</v>
      </c>
      <c r="D36" s="42">
        <v>1</v>
      </c>
      <c r="E36" s="43">
        <v>23</v>
      </c>
      <c r="F36" s="43">
        <v>468</v>
      </c>
      <c r="G36" s="43">
        <v>4</v>
      </c>
      <c r="H36" s="43">
        <v>7</v>
      </c>
      <c r="I36" s="43">
        <v>14</v>
      </c>
      <c r="J36" s="43"/>
      <c r="K36" s="43">
        <v>2</v>
      </c>
      <c r="L36" s="43">
        <v>2</v>
      </c>
      <c r="M36" s="43">
        <v>1</v>
      </c>
      <c r="N36" s="43">
        <v>16</v>
      </c>
      <c r="O36" s="43">
        <v>4</v>
      </c>
      <c r="P36" s="43">
        <v>1</v>
      </c>
      <c r="Q36" s="44">
        <v>34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3</v>
      </c>
      <c r="D42" s="42">
        <v>1</v>
      </c>
      <c r="E42" s="43">
        <v>23</v>
      </c>
      <c r="F42" s="43">
        <v>468</v>
      </c>
      <c r="G42" s="43">
        <v>4</v>
      </c>
      <c r="H42" s="43">
        <v>7</v>
      </c>
      <c r="I42" s="43">
        <v>14</v>
      </c>
      <c r="J42" s="43"/>
      <c r="K42" s="43">
        <v>2</v>
      </c>
      <c r="L42" s="43">
        <v>2</v>
      </c>
      <c r="M42" s="43">
        <v>1</v>
      </c>
      <c r="N42" s="43">
        <v>16</v>
      </c>
      <c r="O42" s="43">
        <v>4</v>
      </c>
      <c r="P42" s="43">
        <v>1</v>
      </c>
      <c r="Q42" s="44">
        <v>34</v>
      </c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3">
        <f>1+1+15+2+411</f>
        <v>430</v>
      </c>
      <c r="D44" s="83"/>
      <c r="E44" s="83"/>
    </row>
    <row r="45" spans="2:25" x14ac:dyDescent="0.25">
      <c r="B45" s="77" t="s">
        <v>69</v>
      </c>
      <c r="C45" s="83">
        <f>21</f>
        <v>21</v>
      </c>
      <c r="D45" s="83"/>
      <c r="E45" s="8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B2958-2E0B-4895-A9B1-ECECEA07FBF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>
        <v>2</v>
      </c>
      <c r="F8" s="14">
        <v>1</v>
      </c>
      <c r="G8" s="14"/>
      <c r="H8" s="14" t="s">
        <v>142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143</v>
      </c>
      <c r="S8" s="14"/>
      <c r="T8" s="14">
        <v>1</v>
      </c>
      <c r="U8" s="14"/>
      <c r="V8" s="14"/>
      <c r="W8" s="14">
        <v>2</v>
      </c>
      <c r="X8" s="60">
        <v>1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>
        <v>2</v>
      </c>
      <c r="F15" s="23">
        <v>1</v>
      </c>
      <c r="G15" s="23"/>
      <c r="H15" s="23" t="s">
        <v>141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143</v>
      </c>
      <c r="S15" s="23"/>
      <c r="T15" s="23">
        <v>1</v>
      </c>
      <c r="U15" s="23"/>
      <c r="V15" s="23"/>
      <c r="W15" s="23">
        <v>2</v>
      </c>
      <c r="X15" s="62">
        <v>1</v>
      </c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0</v>
      </c>
      <c r="F16" s="27">
        <v>0</v>
      </c>
      <c r="G16" s="28"/>
      <c r="H16" s="28" t="s">
        <v>140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0</v>
      </c>
      <c r="X16" s="63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30</v>
      </c>
      <c r="I24" s="14"/>
      <c r="J24" s="14"/>
      <c r="K24" s="14">
        <v>1</v>
      </c>
      <c r="L24" s="14">
        <v>8</v>
      </c>
      <c r="M24" s="14">
        <v>393</v>
      </c>
      <c r="N24" s="14"/>
      <c r="O24" s="14"/>
      <c r="P24" s="14" t="s">
        <v>145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30</v>
      </c>
      <c r="I31" s="23"/>
      <c r="J31" s="23"/>
      <c r="K31" s="23">
        <v>1</v>
      </c>
      <c r="L31" s="23">
        <v>8</v>
      </c>
      <c r="M31" s="23">
        <v>45</v>
      </c>
      <c r="N31" s="23"/>
      <c r="O31" s="23"/>
      <c r="P31" s="23" t="s">
        <v>144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0</v>
      </c>
      <c r="I32" s="28"/>
      <c r="J32" s="28"/>
      <c r="K32" s="28">
        <v>0</v>
      </c>
      <c r="L32" s="28">
        <v>0</v>
      </c>
      <c r="M32" s="28">
        <v>348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348</v>
      </c>
      <c r="G36" s="43">
        <v>65</v>
      </c>
      <c r="H36" s="43"/>
      <c r="I36" s="43"/>
      <c r="J36" s="43"/>
      <c r="K36" s="43"/>
      <c r="L36" s="43"/>
      <c r="M36" s="43"/>
      <c r="N36" s="43"/>
      <c r="O36" s="43"/>
      <c r="P36" s="43">
        <v>16</v>
      </c>
      <c r="Q36" s="44">
        <v>3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348</v>
      </c>
      <c r="G42" s="43">
        <v>65</v>
      </c>
      <c r="H42" s="43"/>
      <c r="I42" s="43"/>
      <c r="J42" s="43"/>
      <c r="K42" s="43"/>
      <c r="L42" s="43"/>
      <c r="M42" s="43"/>
      <c r="N42" s="43"/>
      <c r="O42" s="43"/>
      <c r="P42" s="43">
        <v>16</v>
      </c>
      <c r="Q42" s="44">
        <v>3</v>
      </c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3">
        <f>10+348</f>
        <v>358</v>
      </c>
      <c r="D44" s="83"/>
      <c r="E44" s="83"/>
    </row>
    <row r="45" spans="2:25" x14ac:dyDescent="0.25">
      <c r="B45" s="77" t="s">
        <v>69</v>
      </c>
      <c r="C45" s="83">
        <f>7</f>
        <v>7</v>
      </c>
      <c r="D45" s="83"/>
      <c r="E45" s="8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20564D-E068-48F0-9D82-1D19DF1E17C1}">
  <dimension ref="B1:AA45"/>
  <sheetViews>
    <sheetView showGridLines="0" tabSelected="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4</v>
      </c>
      <c r="D8" s="14"/>
      <c r="E8" s="14">
        <v>1</v>
      </c>
      <c r="F8" s="14">
        <v>1</v>
      </c>
      <c r="G8" s="14"/>
      <c r="H8" s="14" t="s">
        <v>147</v>
      </c>
      <c r="I8" s="14"/>
      <c r="J8" s="14"/>
      <c r="K8" s="14"/>
      <c r="L8" s="14"/>
      <c r="M8" s="14"/>
      <c r="N8" s="14"/>
      <c r="O8" s="14"/>
      <c r="P8" s="14"/>
      <c r="Q8" s="14"/>
      <c r="R8" s="14">
        <v>8</v>
      </c>
      <c r="S8" s="14"/>
      <c r="T8" s="14">
        <v>2</v>
      </c>
      <c r="U8" s="14"/>
      <c r="V8" s="14"/>
      <c r="W8" s="14">
        <v>1</v>
      </c>
      <c r="X8" s="60">
        <v>2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4</v>
      </c>
      <c r="D15" s="23"/>
      <c r="E15" s="23">
        <v>0</v>
      </c>
      <c r="F15" s="23">
        <v>0</v>
      </c>
      <c r="G15" s="23"/>
      <c r="H15" s="23" t="s">
        <v>146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8</v>
      </c>
      <c r="S15" s="23"/>
      <c r="T15" s="23">
        <v>2</v>
      </c>
      <c r="U15" s="23"/>
      <c r="V15" s="23"/>
      <c r="W15" s="23">
        <v>0</v>
      </c>
      <c r="X15" s="62">
        <v>0</v>
      </c>
      <c r="Y15" s="24">
        <v>0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1</v>
      </c>
      <c r="F16" s="27">
        <v>1</v>
      </c>
      <c r="G16" s="28"/>
      <c r="H16" s="90" t="s">
        <v>90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1</v>
      </c>
      <c r="X16" s="63">
        <v>2</v>
      </c>
      <c r="Y16" s="29">
        <v>2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4</v>
      </c>
      <c r="G24" s="14"/>
      <c r="H24" s="14">
        <v>105</v>
      </c>
      <c r="I24" s="14"/>
      <c r="J24" s="14"/>
      <c r="K24" s="14">
        <v>2</v>
      </c>
      <c r="L24" s="14">
        <v>15</v>
      </c>
      <c r="M24" s="14">
        <v>440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100</v>
      </c>
      <c r="I31" s="23"/>
      <c r="J31" s="23"/>
      <c r="K31" s="23">
        <v>0</v>
      </c>
      <c r="L31" s="23">
        <v>0</v>
      </c>
      <c r="M31" s="23">
        <v>22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4</v>
      </c>
      <c r="G32" s="28"/>
      <c r="H32" s="28">
        <v>5</v>
      </c>
      <c r="I32" s="28"/>
      <c r="J32" s="28"/>
      <c r="K32" s="28">
        <v>2</v>
      </c>
      <c r="L32" s="28">
        <v>15</v>
      </c>
      <c r="M32" s="28">
        <v>418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1</v>
      </c>
      <c r="D36" s="42"/>
      <c r="E36" s="43"/>
      <c r="F36" s="43">
        <v>502</v>
      </c>
      <c r="G36" s="43">
        <v>1</v>
      </c>
      <c r="H36" s="43">
        <v>1</v>
      </c>
      <c r="I36" s="43">
        <v>17</v>
      </c>
      <c r="J36" s="43">
        <v>1</v>
      </c>
      <c r="K36" s="43">
        <v>6</v>
      </c>
      <c r="L36" s="43">
        <v>11</v>
      </c>
      <c r="M36" s="43"/>
      <c r="N36" s="43">
        <v>31</v>
      </c>
      <c r="O36" s="43">
        <v>9</v>
      </c>
      <c r="P36" s="43">
        <v>3</v>
      </c>
      <c r="Q36" s="44">
        <v>19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1</v>
      </c>
      <c r="D42" s="42"/>
      <c r="E42" s="43"/>
      <c r="F42" s="43">
        <v>502</v>
      </c>
      <c r="G42" s="43">
        <v>1</v>
      </c>
      <c r="H42" s="43">
        <v>1</v>
      </c>
      <c r="I42" s="43">
        <v>17</v>
      </c>
      <c r="J42" s="43">
        <v>1</v>
      </c>
      <c r="K42" s="43">
        <v>6</v>
      </c>
      <c r="L42" s="43">
        <v>11</v>
      </c>
      <c r="M42" s="43"/>
      <c r="N42" s="43">
        <v>31</v>
      </c>
      <c r="O42" s="43">
        <v>9</v>
      </c>
      <c r="P42" s="43">
        <v>3</v>
      </c>
      <c r="Q42" s="44">
        <v>19</v>
      </c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3">
        <f>1+1+11+1+2+2+4+5+2+15+418</f>
        <v>462</v>
      </c>
      <c r="D44" s="83"/>
      <c r="E44" s="83"/>
    </row>
    <row r="45" spans="2:25" x14ac:dyDescent="0.25">
      <c r="B45" s="77" t="s">
        <v>69</v>
      </c>
      <c r="C45" s="83">
        <f>14</f>
        <v>14</v>
      </c>
      <c r="D45" s="83"/>
      <c r="E45" s="8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FF406F-5DD9-41AA-BB2D-2C7F57038E3B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4CB74-31BD-4994-B9D6-8A3081A2857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3"/>
      <c r="D44" s="83"/>
      <c r="E44" s="83"/>
    </row>
    <row r="45" spans="2:25" x14ac:dyDescent="0.25">
      <c r="B45" s="77" t="s">
        <v>69</v>
      </c>
      <c r="C45" s="83"/>
      <c r="D45" s="83"/>
      <c r="E45" s="8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94FF8C-743C-423F-ABD1-52BACA5C051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3"/>
      <c r="D44" s="83"/>
      <c r="E44" s="83"/>
    </row>
    <row r="45" spans="2:25" x14ac:dyDescent="0.25">
      <c r="B45" s="77" t="s">
        <v>69</v>
      </c>
      <c r="C45" s="83"/>
      <c r="D45" s="83"/>
      <c r="E45" s="8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509004-9FB5-41A2-84A5-6BA680C9175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3"/>
      <c r="D44" s="83"/>
      <c r="E44" s="83"/>
    </row>
    <row r="45" spans="2:25" x14ac:dyDescent="0.25">
      <c r="B45" s="77" t="s">
        <v>69</v>
      </c>
      <c r="C45" s="83"/>
      <c r="D45" s="83"/>
      <c r="E45" s="8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24659A-B304-4EAA-BDC5-C605107A092E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73CE7C-5E15-4964-B433-DFDBB50A7AA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3"/>
      <c r="D44" s="83"/>
      <c r="E44" s="83"/>
    </row>
    <row r="45" spans="2:25" x14ac:dyDescent="0.25">
      <c r="B45" s="77" t="s">
        <v>69</v>
      </c>
      <c r="C45" s="83"/>
      <c r="D45" s="83"/>
      <c r="E45" s="8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028F72-F39A-4B3A-A7C9-5E725CC7E2B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3"/>
      <c r="D44" s="83"/>
      <c r="E44" s="83"/>
    </row>
    <row r="45" spans="2:25" x14ac:dyDescent="0.25">
      <c r="B45" s="77" t="s">
        <v>69</v>
      </c>
      <c r="C45" s="83"/>
      <c r="D45" s="83"/>
      <c r="E45" s="8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6299EB-1A65-4430-A7BF-7B0C525B31C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3"/>
      <c r="D44" s="83"/>
      <c r="E44" s="83"/>
    </row>
    <row r="45" spans="2:25" x14ac:dyDescent="0.25">
      <c r="B45" s="77" t="s">
        <v>69</v>
      </c>
      <c r="C45" s="83"/>
      <c r="D45" s="83"/>
      <c r="E45" s="8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9D2357-A37B-416D-8421-55EDDFCAF81B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E43615-C891-434B-926A-57B9413167E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3"/>
      <c r="D44" s="83"/>
      <c r="E44" s="83"/>
    </row>
    <row r="45" spans="2:25" x14ac:dyDescent="0.25">
      <c r="B45" s="77" t="s">
        <v>69</v>
      </c>
      <c r="C45" s="83"/>
      <c r="D45" s="83"/>
      <c r="E45" s="8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65760F-FF75-42BF-93D0-5231B761952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3"/>
      <c r="D44" s="83"/>
      <c r="E44" s="83"/>
    </row>
    <row r="45" spans="2:25" x14ac:dyDescent="0.25">
      <c r="B45" s="77" t="s">
        <v>69</v>
      </c>
      <c r="C45" s="83"/>
      <c r="D45" s="83"/>
      <c r="E45" s="8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FAAC9D-FE9B-4899-87B0-E8D063E8FD2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3"/>
      <c r="D44" s="83"/>
      <c r="E44" s="83"/>
    </row>
    <row r="45" spans="2:25" x14ac:dyDescent="0.25">
      <c r="B45" s="77" t="s">
        <v>69</v>
      </c>
      <c r="C45" s="83"/>
      <c r="D45" s="83"/>
      <c r="E45" s="8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AD4C6-136F-45DE-8A73-777863D10545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8D812-5BFA-4BBF-BDCB-32D37F3B7AE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3"/>
      <c r="D44" s="83"/>
      <c r="E44" s="83"/>
    </row>
    <row r="45" spans="2:25" x14ac:dyDescent="0.25">
      <c r="B45" s="77" t="s">
        <v>69</v>
      </c>
      <c r="C45" s="83"/>
      <c r="D45" s="83"/>
      <c r="E45" s="8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D5CC9A-7C01-425E-8EF0-15C27C72FFE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3"/>
      <c r="D44" s="83"/>
      <c r="E44" s="83"/>
    </row>
    <row r="45" spans="2:25" x14ac:dyDescent="0.25">
      <c r="B45" s="77" t="s">
        <v>69</v>
      </c>
      <c r="C45" s="83"/>
      <c r="D45" s="83"/>
      <c r="E45" s="8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4EF9AD-4104-4CA3-A65B-EF88E9266F6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4" t="s">
        <v>43</v>
      </c>
      <c r="C34" s="86" t="s">
        <v>21</v>
      </c>
      <c r="D34" s="86"/>
      <c r="E34" s="87"/>
      <c r="F34" s="88" t="s">
        <v>44</v>
      </c>
      <c r="G34" s="86"/>
      <c r="H34" s="87"/>
      <c r="I34" s="88" t="s">
        <v>45</v>
      </c>
      <c r="J34" s="86"/>
      <c r="K34" s="87"/>
      <c r="L34" s="88" t="s">
        <v>46</v>
      </c>
      <c r="M34" s="86"/>
      <c r="N34" s="87"/>
      <c r="O34" s="89" t="s">
        <v>47</v>
      </c>
      <c r="P34" s="89"/>
      <c r="Q34" s="89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5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3"/>
      <c r="D44" s="83"/>
      <c r="E44" s="83"/>
    </row>
    <row r="45" spans="2:25" x14ac:dyDescent="0.25">
      <c r="B45" s="77" t="s">
        <v>69</v>
      </c>
      <c r="C45" s="83"/>
      <c r="D45" s="83"/>
      <c r="E45" s="83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53</vt:i4>
      </vt:variant>
      <vt:variant>
        <vt:lpstr>Named Ranges</vt:lpstr>
      </vt:variant>
      <vt:variant>
        <vt:i4>52</vt:i4>
      </vt:variant>
    </vt:vector>
  </HeadingPairs>
  <TitlesOfParts>
    <vt:vector size="105" baseType="lpstr">
      <vt:lpstr>CSR | APRIL</vt:lpstr>
      <vt:lpstr>(2)</vt:lpstr>
      <vt:lpstr>03-02 R1</vt:lpstr>
      <vt:lpstr>03-02 R2</vt:lpstr>
      <vt:lpstr>03-02 R3</vt:lpstr>
      <vt:lpstr>(3)</vt:lpstr>
      <vt:lpstr>03-03 R1</vt:lpstr>
      <vt:lpstr>03-03 R2</vt:lpstr>
      <vt:lpstr>03-03 R3</vt:lpstr>
      <vt:lpstr>(4)</vt:lpstr>
      <vt:lpstr>03-04 R1</vt:lpstr>
      <vt:lpstr>03-04 R2</vt:lpstr>
      <vt:lpstr>03-04 R3</vt:lpstr>
      <vt:lpstr>(5)</vt:lpstr>
      <vt:lpstr>03-05 R1</vt:lpstr>
      <vt:lpstr>03-05 R2</vt:lpstr>
      <vt:lpstr>03-05 R3 NO TRIP</vt:lpstr>
      <vt:lpstr>(6)</vt:lpstr>
      <vt:lpstr>03-06 R1 NO TRIP</vt:lpstr>
      <vt:lpstr>03-06 R2 NO TRIP</vt:lpstr>
      <vt:lpstr>03-06 R3</vt:lpstr>
      <vt:lpstr>(7)</vt:lpstr>
      <vt:lpstr>03-07 R1</vt:lpstr>
      <vt:lpstr>03-07 R2</vt:lpstr>
      <vt:lpstr>03-07 R3</vt:lpstr>
      <vt:lpstr>(9)</vt:lpstr>
      <vt:lpstr>03-09 R1</vt:lpstr>
      <vt:lpstr>03-09 R2</vt:lpstr>
      <vt:lpstr>03-09 R3</vt:lpstr>
      <vt:lpstr>(10)</vt:lpstr>
      <vt:lpstr>03-10 R1</vt:lpstr>
      <vt:lpstr>03-10 R2</vt:lpstr>
      <vt:lpstr>03-10 R3</vt:lpstr>
      <vt:lpstr>(11)</vt:lpstr>
      <vt:lpstr>03-11 R1</vt:lpstr>
      <vt:lpstr>03-11 R2</vt:lpstr>
      <vt:lpstr>03-11 R3</vt:lpstr>
      <vt:lpstr>(12)</vt:lpstr>
      <vt:lpstr>03-12 R1</vt:lpstr>
      <vt:lpstr>03-12 R2</vt:lpstr>
      <vt:lpstr>03-12 R3</vt:lpstr>
      <vt:lpstr>(13)</vt:lpstr>
      <vt:lpstr>03-13 R1</vt:lpstr>
      <vt:lpstr>03-13 R2</vt:lpstr>
      <vt:lpstr>03-13 R3</vt:lpstr>
      <vt:lpstr>(14)</vt:lpstr>
      <vt:lpstr>03-14 R1</vt:lpstr>
      <vt:lpstr>03-14 R2</vt:lpstr>
      <vt:lpstr>03-14 R3</vt:lpstr>
      <vt:lpstr>(16)</vt:lpstr>
      <vt:lpstr>03-16 R1</vt:lpstr>
      <vt:lpstr>03-16 R2</vt:lpstr>
      <vt:lpstr>03-16 R3</vt:lpstr>
      <vt:lpstr>'(10)'!Print_Area</vt:lpstr>
      <vt:lpstr>'(11)'!Print_Area</vt:lpstr>
      <vt:lpstr>'(12)'!Print_Area</vt:lpstr>
      <vt:lpstr>'(13)'!Print_Area</vt:lpstr>
      <vt:lpstr>'(14)'!Print_Area</vt:lpstr>
      <vt:lpstr>'(16)'!Print_Area</vt:lpstr>
      <vt:lpstr>'(2)'!Print_Area</vt:lpstr>
      <vt:lpstr>'(3)'!Print_Area</vt:lpstr>
      <vt:lpstr>'(4)'!Print_Area</vt:lpstr>
      <vt:lpstr>'(5)'!Print_Area</vt:lpstr>
      <vt:lpstr>'(6)'!Print_Area</vt:lpstr>
      <vt:lpstr>'(7)'!Print_Area</vt:lpstr>
      <vt:lpstr>'(9)'!Print_Area</vt:lpstr>
      <vt:lpstr>'03-02 R1'!Print_Area</vt:lpstr>
      <vt:lpstr>'03-02 R2'!Print_Area</vt:lpstr>
      <vt:lpstr>'03-02 R3'!Print_Area</vt:lpstr>
      <vt:lpstr>'03-03 R1'!Print_Area</vt:lpstr>
      <vt:lpstr>'03-03 R2'!Print_Area</vt:lpstr>
      <vt:lpstr>'03-03 R3'!Print_Area</vt:lpstr>
      <vt:lpstr>'03-04 R1'!Print_Area</vt:lpstr>
      <vt:lpstr>'03-04 R2'!Print_Area</vt:lpstr>
      <vt:lpstr>'03-04 R3'!Print_Area</vt:lpstr>
      <vt:lpstr>'03-05 R1'!Print_Area</vt:lpstr>
      <vt:lpstr>'03-05 R2'!Print_Area</vt:lpstr>
      <vt:lpstr>'03-05 R3 NO TRIP'!Print_Area</vt:lpstr>
      <vt:lpstr>'03-06 R1 NO TRIP'!Print_Area</vt:lpstr>
      <vt:lpstr>'03-06 R2 NO TRIP'!Print_Area</vt:lpstr>
      <vt:lpstr>'03-06 R3'!Print_Area</vt:lpstr>
      <vt:lpstr>'03-07 R1'!Print_Area</vt:lpstr>
      <vt:lpstr>'03-07 R2'!Print_Area</vt:lpstr>
      <vt:lpstr>'03-07 R3'!Print_Area</vt:lpstr>
      <vt:lpstr>'03-09 R1'!Print_Area</vt:lpstr>
      <vt:lpstr>'03-09 R2'!Print_Area</vt:lpstr>
      <vt:lpstr>'03-09 R3'!Print_Area</vt:lpstr>
      <vt:lpstr>'03-10 R1'!Print_Area</vt:lpstr>
      <vt:lpstr>'03-10 R2'!Print_Area</vt:lpstr>
      <vt:lpstr>'03-10 R3'!Print_Area</vt:lpstr>
      <vt:lpstr>'03-11 R1'!Print_Area</vt:lpstr>
      <vt:lpstr>'03-11 R2'!Print_Area</vt:lpstr>
      <vt:lpstr>'03-11 R3'!Print_Area</vt:lpstr>
      <vt:lpstr>'03-12 R1'!Print_Area</vt:lpstr>
      <vt:lpstr>'03-12 R2'!Print_Area</vt:lpstr>
      <vt:lpstr>'03-12 R3'!Print_Area</vt:lpstr>
      <vt:lpstr>'03-13 R1'!Print_Area</vt:lpstr>
      <vt:lpstr>'03-13 R2'!Print_Area</vt:lpstr>
      <vt:lpstr>'03-13 R3'!Print_Area</vt:lpstr>
      <vt:lpstr>'03-14 R1'!Print_Area</vt:lpstr>
      <vt:lpstr>'03-14 R2'!Print_Area</vt:lpstr>
      <vt:lpstr>'03-14 R3'!Print_Area</vt:lpstr>
      <vt:lpstr>'03-16 R1'!Print_Area</vt:lpstr>
      <vt:lpstr>'03-16 R2'!Print_Area</vt:lpstr>
      <vt:lpstr>'03-16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Hu4fxw</cp:lastModifiedBy>
  <cp:lastPrinted>2026-02-19T02:10:22Z</cp:lastPrinted>
  <dcterms:created xsi:type="dcterms:W3CDTF">2024-09-01T22:48:10Z</dcterms:created>
  <dcterms:modified xsi:type="dcterms:W3CDTF">2026-03-11T13:25:47Z</dcterms:modified>
</cp:coreProperties>
</file>