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1931132-CCC8-4FED-8716-35106DAE6B54}" xr6:coauthVersionLast="45" xr6:coauthVersionMax="47" xr10:uidLastSave="{00000000-0000-0000-0000-000000000000}"/>
  <bookViews>
    <workbookView xWindow="-120" yWindow="-120" windowWidth="29040" windowHeight="15840" firstSheet="29" activeTab="36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03-13 R1" sheetId="1488" r:id="rId43"/>
    <sheet name="03-13 R2" sheetId="1489" r:id="rId44"/>
    <sheet name="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" sheetId="1496" r:id="rId51"/>
    <sheet name="03-16 R2" sheetId="1497" r:id="rId52"/>
    <sheet name="03-16 R3" sheetId="1498" r:id="rId53"/>
  </sheets>
  <externalReferences>
    <externalReference r:id="rId5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2">'03-13 R1'!$A$1:$Z$43</definedName>
    <definedName name="_xlnm.Print_Area" localSheetId="43">'03-13 R2'!$A$1:$V$44</definedName>
    <definedName name="_xlnm.Print_Area" localSheetId="44">'03-13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R1'!$A$1:$Z$43</definedName>
    <definedName name="_xlnm.Print_Area" localSheetId="51">'03-16 R2'!$A$1:$V$44</definedName>
    <definedName name="_xlnm.Print_Area" localSheetId="52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5" i="1499" l="1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<sst xmlns="http://schemas.openxmlformats.org/spreadsheetml/2006/main" count="4692" uniqueCount="148">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</sst>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1+1+1+6+2+2+18+1+12+308</f>
        <v>352</v>
      </c>
      <c r="D44" s="90"/>
      <c r="E44" s="90"/>
    </row>
    <row r="45" spans="2:25" x14ac:dyDescent="0.25">
      <c r="B45" s="77" t="s">
        <v>69</v>
      </c>
      <c r="C45" s="90">
        <f>5</f>
        <v>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2+9+1+10+40+1+351</f>
        <v>414</v>
      </c>
      <c r="D44" s="90"/>
      <c r="E44" s="90"/>
    </row>
    <row r="45" spans="2:25" x14ac:dyDescent="0.25">
      <c r="B45" s="77" t="s">
        <v>69</v>
      </c>
      <c r="C45" s="90">
        <f>3+12</f>
        <v>15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12+2+1+57+9+266+1</f>
        <v>348</v>
      </c>
      <c r="D44" s="90"/>
      <c r="E44" s="90"/>
    </row>
    <row r="45" spans="2:25" x14ac:dyDescent="0.25">
      <c r="B45" s="77" t="s">
        <v>69</v>
      </c>
      <c r="C45" s="90">
        <f>8</f>
        <v>8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1+1+31+7+382+3</f>
        <v>425</v>
      </c>
      <c r="D44" s="90"/>
      <c r="E44" s="90"/>
    </row>
    <row r="45" spans="2:25" x14ac:dyDescent="0.25">
      <c r="B45" s="77" t="s">
        <v>69</v>
      </c>
      <c r="C45" s="90">
        <v>9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2+7+1+71+2+224</f>
        <v>307</v>
      </c>
      <c r="D44" s="90"/>
      <c r="E44" s="90"/>
    </row>
    <row r="45" spans="2:25" x14ac:dyDescent="0.25">
      <c r="B45" s="77" t="s">
        <v>69</v>
      </c>
      <c r="C45" s="90">
        <v>14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1+1+15+3+36+1+20+291</f>
        <v>368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18+2+3+10+117+6+359+3</f>
        <v>518</v>
      </c>
      <c r="D44" s="90"/>
      <c r="E44" s="90"/>
    </row>
    <row r="45" spans="2:25" x14ac:dyDescent="0.25">
      <c r="B45" s="77" t="s">
        <v>69</v>
      </c>
      <c r="C45" s="90">
        <f>14</f>
        <v>14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2+14+326</f>
        <v>342</v>
      </c>
      <c r="D44" s="90"/>
      <c r="E44" s="90"/>
    </row>
    <row r="45" spans="2:25" x14ac:dyDescent="0.25">
      <c r="B45" s="77" t="s">
        <v>69</v>
      </c>
      <c r="C45" s="90">
        <f>5</f>
        <v>5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8+1+8+29+1+270</f>
        <v>317</v>
      </c>
      <c r="D44" s="90"/>
      <c r="E44" s="90"/>
    </row>
    <row r="45" spans="2:25" x14ac:dyDescent="0.25">
      <c r="B45" s="77" t="s">
        <v>69</v>
      </c>
      <c r="C45" s="90">
        <f>7</f>
        <v>7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10+2+1+10+377</f>
        <v>400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17+13+7+4+2+11+3+24+6+1+246+4+1</f>
        <v>339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13+111+10+355</f>
        <v>489</v>
      </c>
      <c r="D44" s="90"/>
      <c r="E44" s="90"/>
    </row>
    <row r="45" spans="2:25" x14ac:dyDescent="0.25">
      <c r="B45" s="77" t="s">
        <v>69</v>
      </c>
      <c r="C45" s="90">
        <f>13</f>
        <v>13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2+1+1+2+2+1+17+50+319+1</f>
        <v>396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1+10+2+68+4+385</f>
        <v>470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15+15+19+1+2+2+59+12+432</f>
        <v>557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1+20+2+1+1+67+55+558</f>
        <v>705</v>
      </c>
      <c r="D44" s="90"/>
      <c r="E44" s="90"/>
    </row>
    <row r="45" spans="2:25" x14ac:dyDescent="0.25">
      <c r="B45" s="77" t="s">
        <v>69</v>
      </c>
      <c r="C45" s="90">
        <f>5+12</f>
        <v>17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20+118+1+538</f>
        <v>677</v>
      </c>
      <c r="D44" s="90"/>
      <c r="E44" s="90"/>
    </row>
    <row r="45" spans="2:25" x14ac:dyDescent="0.25">
      <c r="B45" s="77" t="s">
        <v>69</v>
      </c>
      <c r="C45" s="90">
        <f>8</f>
        <v>8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15+1+2+63+1+11+369</f>
        <v>462</v>
      </c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1+1+5+1+20+3+324</f>
        <v>355</v>
      </c>
      <c r="D44" s="90"/>
      <c r="E44" s="90"/>
    </row>
    <row r="45" spans="2:25" x14ac:dyDescent="0.25">
      <c r="B45" s="77" t="s">
        <v>69</v>
      </c>
      <c r="C45" s="90">
        <v>6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11+29+6+311</f>
        <v>357</v>
      </c>
      <c r="D44" s="90"/>
      <c r="E44" s="90"/>
    </row>
    <row r="45" spans="2:25" x14ac:dyDescent="0.25">
      <c r="B45" s="77" t="s">
        <v>69</v>
      </c>
      <c r="C45" s="90">
        <f>6+5</f>
        <v>11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1+2+14+2+2+21+1+5+329</f>
        <v>377</v>
      </c>
      <c r="D44" s="90"/>
      <c r="E44" s="90"/>
    </row>
    <row r="45" spans="2:25" x14ac:dyDescent="0.25">
      <c r="B45" s="77" t="s">
        <v>69</v>
      </c>
      <c r="C45" s="90">
        <f>20</f>
        <v>20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1+1+15+2+411</f>
        <v>430</v>
      </c>
      <c r="D44" s="90"/>
      <c r="E44" s="90"/>
    </row>
    <row r="45" spans="2:25" x14ac:dyDescent="0.25">
      <c r="B45" s="77" t="s">
        <v>69</v>
      </c>
      <c r="C45" s="90">
        <f>21</f>
        <v>21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10+348</f>
        <v>358</v>
      </c>
      <c r="D44" s="90"/>
      <c r="E44" s="90"/>
    </row>
    <row r="45" spans="2:25" x14ac:dyDescent="0.25">
      <c r="B45" s="77" t="s">
        <v>69</v>
      </c>
      <c r="C45" s="90">
        <f>7</f>
        <v>7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>
        <f>1+1+11+1+2+2+4+5+2+15+418</f>
        <v>462</v>
      </c>
      <c r="D44" s="90"/>
      <c r="E44" s="90"/>
    </row>
    <row r="45" spans="2:25" x14ac:dyDescent="0.25">
      <c r="B45" s="77" t="s">
        <v>69</v>
      </c>
      <c r="C45" s="90">
        <f>14</f>
        <v>14</v>
      </c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9" t="s">
        <v>48</v>
      </c>
      <c r="S34" s="80"/>
      <c r="T34" s="80"/>
      <c r="U34" s="81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2" t="s">
        <v>54</v>
      </c>
      <c r="S42" s="83"/>
      <c r="T42" s="83"/>
      <c r="U42" s="83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0"/>
      <c r="D44" s="90"/>
      <c r="E44" s="90"/>
    </row>
    <row r="45" spans="2:25" x14ac:dyDescent="0.25">
      <c r="B45" s="77" t="s">
        <v>69</v>
      </c>
      <c r="C45" s="90"/>
      <c r="D45" s="90"/>
      <c r="E45" s="9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2026-03-11T23:29:38Z</dcterms:modified>
</cp:coreProperties>
</file>