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180E57C-B090-4344-9206-5BAAD95C43B4}" xr6:coauthVersionLast="45" xr6:coauthVersionMax="47" xr10:uidLastSave="{00000000-0000-0000-0000-000000000000}"/>
  <bookViews>
    <workbookView xWindow="-120" yWindow="-120" windowWidth="29040" windowHeight="15840" firstSheet="90" activeTab="94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 NO TRIP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 NO TRIP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 NO TRIP" sheetId="1537" r:id="rId91"/>
    <sheet name="03-28 R2 NO TRIP" sheetId="1538" r:id="rId92"/>
    <sheet name="03-28 R3 NO TRIP" sheetId="1539" r:id="rId93"/>
    <sheet name="(30)" sheetId="1540" r:id="rId94"/>
    <sheet name="03-30 R1" sheetId="1541" r:id="rId95"/>
    <sheet name="03-30 R2 NO TRIP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 NO TRIP'!$A$1:$Z$43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 NO TRIP'!$A$1:$V$44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 NO TRIP'!$A$1:$Z$43</definedName>
    <definedName name="_xlnm.Print_Area" localSheetId="91">'03-28 R2 NO TRIP'!$A$1:$V$44</definedName>
    <definedName name="_xlnm.Print_Area" localSheetId="92">'03-28 R3 NO TRIP'!$A$1:$V$44</definedName>
    <definedName name="_xlnm.Print_Area" localSheetId="94">'03-30 R1'!$A$1:$Z$43</definedName>
    <definedName name="_xlnm.Print_Area" localSheetId="95">'03-30 R2 NO TRIP'!$A$1:$V$44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41" l="1"/>
  <c r="C44" i="1541"/>
  <c r="C45" i="1543"/>
  <c r="C44" i="1543"/>
  <c r="C45" i="1535" l="1"/>
  <c r="C44" i="1535"/>
  <c r="C45" i="1533"/>
  <c r="C44" i="1533"/>
  <c r="C44" i="1534" l="1"/>
  <c r="C45" i="1530" l="1"/>
  <c r="C44" i="1530"/>
  <c r="C45" i="1529"/>
  <c r="C44" i="1529"/>
  <c r="M24" i="1529"/>
  <c r="C45" i="1527" l="1"/>
  <c r="C44" i="1527"/>
  <c r="C44" i="1526"/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<sst xmlns="http://schemas.openxmlformats.org/spreadsheetml/2006/main" count="9111" uniqueCount="250">
  <si>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</si>
  <si>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</si>
  <si>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</si>
  <si>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</si>
  <si>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</si>
  <si>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</si>
  <si>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</si>
  <si>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</si>
  <si>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</si>
  <si>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</si>
  <si>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</si>
  <si>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</si>
  <si>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</si>
  <si>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</si>
  <si>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</si>
  <si>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</si>
  <si>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</si>
  <si>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</si>
  <si>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</si>
  <si>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</si>
  <si>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</si>
  <si>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</si>
  <si>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</si>
  <si>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</si>
  <si>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</si>
  <si>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</si>
  <si>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</si>
  <si>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</si>
  <si>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</si>
  <si>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</si>
  <si>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</si>
  <si>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</si>
  <si>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</si>
  <si>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</si>
  <si>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</si>
  <si>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</si>
  <si>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</si>
  <si>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</si>
  <si>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</si>
  <si>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</si>
  <si>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</si>
  <si>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</si>
  <si>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</si>
  <si>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</si>
  <si>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</si>
  <si>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</si>
  <si>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</si>
  <si>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</si>
  <si>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</si>
  <si>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</si>
  <si>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</si>
  <si>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</si>
  <si>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</si>
  <si>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</si>
  <si>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</si>
  <si>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</si>
  <si>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</si>
  <si>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</si>
  <si>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</si>
  <si>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</si>
  <si>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</si>
  <si>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</si>
  <si>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</si>
  <si>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</si>
  <si>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</si>
  <si>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</si>
  <si>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</si>
  <si>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</si>
  <si>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</si>
  <si>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</si>
  <si>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</si>
  <si>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</si>
  <si>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</si>
  <si>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</si>
  <si>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</si>
  <si>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</si>
  <si>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</si>
  <si>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</si>
  <si>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</si>
  <si>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</si>
  <si>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</si>
  <si>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</si>
  <si>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</si>
  <si>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</si>
  <si>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</si>
  <si>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</si>
  <si>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</si>
  <si>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</si>
  <si>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</si>
  <si>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</si>
  <si>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</si>
  <si>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</si>
  <si>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</si>
  <si>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</si>
  <si>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</si>
  <si>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</si>
  <si>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</si>
  <si>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</si>
  <si>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</si>
  <si>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</si>
  <si>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</si>
  <si>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</si>
  <si>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</si>
  <si>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</si>
  <si>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</si>
  <si>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</si>
  <si>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</si>
  <si>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</si>
  <si>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</si>
  <si>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</si>
  <si>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</si>
  <si>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</si>
  <si>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</si>
  <si>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</si>
  <si>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</si>
  <si>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</si>
  <si>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</si>
  <si>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</si>
  <si>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</si>
  <si>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</si>
  <si>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</si>
  <si>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</si>
  <si>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</si>
  <si>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</si>
  <si>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</si>
  <si>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</si>
  <si>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</si>
  <si>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</si>
  <si>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</si>
  <si>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</si>
  <si>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</si>
  <si>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</si>
  <si>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</si>
  <si>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</si>
  <si>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</si>
  <si>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</si>
  <si>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</si>
  <si>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</si>
  <si>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</si>
  <si>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</si>
  <si>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</si>
  <si>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</si>
  <si>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</si>
  <si>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</si>
  <si>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</si>
  <si>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</si>
  <si>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</si>
  <si>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</si>
  <si>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</si>
  <si>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</si>
  <si>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</si>
  <si>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</si>
  <si>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</si>
  <si>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</si>
  <si>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</si>
  <si>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</si>
  <si>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</si>
  <si>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</si>
  <si>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</si>
  <si>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</si>
  <si>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</si>
  <si>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</si>
  <si>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</si>
  <si>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</si>
  <si>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</si>
  <si>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</si>
  <si>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</si>
  <si>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</si>
  <si>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</si>
  <si>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</si>
  <si>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</si>
  <si>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</si>
  <si>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</si>
  <si>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</si>
  <si>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</si>
  <si>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</si>
  <si>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</si>
  <si>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</si>
  <si>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</si>
  <si>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</si>
  <si>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</si>
  <si>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</si>
  <si>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</si>
  <si>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</si>
  <si>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</si>
  <si>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</si>
  <si>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</si>
  <si>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</si>
  <si>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</si>
  <si>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</si>
  <si>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</si>
  <si>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</si>
  <si>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</si>
  <si>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</si>
  <si>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</si>
  <si>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</si>
  <si>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</si>
  <si>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</si>
  <si>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</si>
  <si>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</si>
  <si>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</si>
  <si>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</si>
  <si>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</si>
  <si>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</si>
  <si>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</si>
  <si>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</si>
  <si>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</si>
  <si>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</si>
  <si>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</si>
  <si>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</si>
  <si>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</si>
  <si>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</si>
  <si>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</si>
  <si>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</si>
  <si>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</si>
  <si>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</si>
  <si>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</si>
  <si>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</si>
  <si>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</si>
  <si>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</si>
  <si>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</si>
  <si>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</si>
  <si>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</si>
  <si>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</si>
  <si>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</si>
  <si>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</si>
  <si>
    <t>10/20B</t>
  </si>
  <si>
    <t>18B</t>
  </si>
  <si>
    <t>17/10B</t>
  </si>
  <si>
    <t>7/20b</t>
  </si>
  <si>
    <t>22b</t>
  </si>
  <si>
    <t>8/18b</t>
  </si>
  <si>
    <t>1/19b</t>
  </si>
  <si>
    <t>16/5b</t>
  </si>
  <si>
    <t>6/10b</t>
  </si>
  <si>
    <t>22/15b</t>
  </si>
  <si>
    <t>13/22b</t>
  </si>
  <si>
    <t>19b</t>
  </si>
  <si>
    <t>13/3b</t>
  </si>
  <si>
    <t>14/10b</t>
  </si>
  <si>
    <t>9/11b</t>
  </si>
  <si>
    <t>4/23b</t>
  </si>
  <si>
    <t>20/6b</t>
  </si>
  <si>
    <t>4/18b</t>
  </si>
  <si>
    <t>19/18B</t>
  </si>
  <si>
    <t>11/1B</t>
  </si>
  <si>
    <t>8/17B</t>
  </si>
  <si>
    <t>33/5B</t>
  </si>
  <si>
    <t>2/6B</t>
  </si>
  <si>
    <t>35/11B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</si>
</sst>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90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6</v>
      </c>
      <c r="M24" s="14">
        <v>397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20</v>
      </c>
      <c r="I31" s="23"/>
      <c r="J31" s="23"/>
      <c r="K31" s="23">
        <v>1</v>
      </c>
      <c r="L31" s="23">
        <v>3</v>
      </c>
      <c r="M31" s="23">
        <v>99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3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202</v>
      </c>
      <c r="G36" s="43">
        <v>26</v>
      </c>
      <c r="H36" s="43">
        <v>4</v>
      </c>
      <c r="I36" s="43">
        <v>25</v>
      </c>
      <c r="J36" s="43">
        <v>1</v>
      </c>
      <c r="K36" s="43">
        <v>13</v>
      </c>
      <c r="L36" s="43"/>
      <c r="M36" s="43"/>
      <c r="N36" s="43">
        <v>4</v>
      </c>
      <c r="O36" s="43">
        <v>1</v>
      </c>
      <c r="P36" s="43">
        <v>3</v>
      </c>
      <c r="Q36" s="44">
        <v>8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202</v>
      </c>
      <c r="G42" s="43">
        <v>26</v>
      </c>
      <c r="H42" s="43">
        <v>4</v>
      </c>
      <c r="I42" s="43">
        <v>25</v>
      </c>
      <c r="J42" s="43">
        <v>1</v>
      </c>
      <c r="K42" s="43">
        <v>13</v>
      </c>
      <c r="L42" s="43"/>
      <c r="M42" s="43"/>
      <c r="N42" s="43">
        <v>4</v>
      </c>
      <c r="O42" s="43">
        <v>1</v>
      </c>
      <c r="P42" s="43">
        <v>3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10+3+298</f>
        <v>311</v>
      </c>
      <c r="D44" s="93"/>
      <c r="E44" s="93"/>
    </row>
    <row r="45" spans="2:25" x14ac:dyDescent="0.25">
      <c r="B45" s="77" t="s">
        <v>69</v>
      </c>
      <c r="C45" s="93"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228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75</v>
      </c>
      <c r="I24" s="14"/>
      <c r="J24" s="14"/>
      <c r="K24" s="14"/>
      <c r="L24" s="14">
        <v>22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>
        <v>20</v>
      </c>
      <c r="M31" s="23">
        <v>65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75</v>
      </c>
      <c r="I32" s="28"/>
      <c r="J32" s="28"/>
      <c r="K32" s="28"/>
      <c r="L32" s="28">
        <v>2</v>
      </c>
      <c r="M32" s="28">
        <v>479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>
        <v>2</v>
      </c>
      <c r="F36" s="43">
        <v>498</v>
      </c>
      <c r="G36" s="43">
        <v>16</v>
      </c>
      <c r="H36" s="43"/>
      <c r="I36" s="43">
        <v>4</v>
      </c>
      <c r="J36" s="43"/>
      <c r="K36" s="43">
        <v>7</v>
      </c>
      <c r="L36" s="43">
        <v>4</v>
      </c>
      <c r="M36" s="43"/>
      <c r="N36" s="43">
        <v>2</v>
      </c>
      <c r="O36" s="43">
        <v>6</v>
      </c>
      <c r="P36" s="43">
        <v>11</v>
      </c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>
        <v>2</v>
      </c>
      <c r="F42" s="43">
        <v>498</v>
      </c>
      <c r="G42" s="43">
        <v>16</v>
      </c>
      <c r="H42" s="43"/>
      <c r="I42" s="43">
        <v>4</v>
      </c>
      <c r="J42" s="43"/>
      <c r="K42" s="43">
        <v>7</v>
      </c>
      <c r="L42" s="43">
        <v>4</v>
      </c>
      <c r="M42" s="43"/>
      <c r="N42" s="43">
        <v>2</v>
      </c>
      <c r="O42" s="43">
        <v>6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1+17+2+1+75+2+479</f>
        <v>577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235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234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>
        <v>2</v>
      </c>
      <c r="F16" s="27"/>
      <c r="G16" s="28"/>
      <c r="H16" s="28" t="s">
        <v>233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8</v>
      </c>
      <c r="I24" s="14"/>
      <c r="J24" s="14"/>
      <c r="K24" s="14"/>
      <c r="L24" s="14">
        <v>40</v>
      </c>
      <c r="M24" s="14">
        <f>508+33</f>
        <v>541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/>
      <c r="L31" s="23">
        <v>0</v>
      </c>
      <c r="M31" s="23">
        <v>33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6</v>
      </c>
      <c r="I32" s="28"/>
      <c r="J32" s="28"/>
      <c r="K32" s="28"/>
      <c r="L32" s="28">
        <v>40</v>
      </c>
      <c r="M32" s="28">
        <v>508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/>
      <c r="F36" s="43">
        <v>585</v>
      </c>
      <c r="G36" s="43">
        <v>8</v>
      </c>
      <c r="H36" s="43"/>
      <c r="I36" s="43">
        <v>19</v>
      </c>
      <c r="J36" s="43"/>
      <c r="K36" s="43"/>
      <c r="L36" s="43">
        <v>6</v>
      </c>
      <c r="M36" s="43"/>
      <c r="N36" s="43"/>
      <c r="O36" s="43">
        <v>4</v>
      </c>
      <c r="P36" s="43">
        <v>1</v>
      </c>
      <c r="Q36" s="44">
        <v>16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/>
      <c r="F42" s="43">
        <v>585</v>
      </c>
      <c r="G42" s="43">
        <v>8</v>
      </c>
      <c r="H42" s="43"/>
      <c r="I42" s="43">
        <v>19</v>
      </c>
      <c r="J42" s="43"/>
      <c r="K42" s="43"/>
      <c r="L42" s="43">
        <v>6</v>
      </c>
      <c r="M42" s="43"/>
      <c r="N42" s="43"/>
      <c r="O42" s="43">
        <v>4</v>
      </c>
      <c r="P42" s="43">
        <v>1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2+16+2+11+6+40+508</f>
        <v>585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230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81</v>
      </c>
      <c r="U16" s="28"/>
      <c r="V16" s="28"/>
      <c r="W16" s="57" t="s">
        <v>84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363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1</v>
      </c>
      <c r="M31" s="23">
        <v>56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4</v>
      </c>
      <c r="M32" s="28">
        <v>307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292</v>
      </c>
      <c r="G36" s="43">
        <v>5</v>
      </c>
      <c r="H36" s="43">
        <v>3</v>
      </c>
      <c r="I36" s="43">
        <v>3</v>
      </c>
      <c r="J36" s="43">
        <v>2</v>
      </c>
      <c r="K36" s="43">
        <v>4</v>
      </c>
      <c r="L36" s="43">
        <v>3</v>
      </c>
      <c r="M36" s="43"/>
      <c r="N36" s="43"/>
      <c r="O36" s="43">
        <v>3</v>
      </c>
      <c r="P36" s="43">
        <v>4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292</v>
      </c>
      <c r="G42" s="43">
        <v>5</v>
      </c>
      <c r="H42" s="43">
        <v>3</v>
      </c>
      <c r="I42" s="43">
        <v>3</v>
      </c>
      <c r="J42" s="43">
        <v>2</v>
      </c>
      <c r="K42" s="43">
        <v>4</v>
      </c>
      <c r="L42" s="43">
        <v>3</v>
      </c>
      <c r="M42" s="43"/>
      <c r="N42" s="43"/>
      <c r="O42" s="43">
        <v>3</v>
      </c>
      <c r="P42" s="43">
        <v>4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7+1+19+4+307</f>
        <v>338</v>
      </c>
      <c r="D44" s="93"/>
      <c r="E44" s="93"/>
    </row>
    <row r="45" spans="2:25" x14ac:dyDescent="0.25">
      <c r="B45" s="77" t="s">
        <v>69</v>
      </c>
      <c r="C45" s="93">
        <f>20+12+12</f>
        <v>44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239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1</v>
      </c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240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241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1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/>
      <c r="L24" s="14">
        <v>10</v>
      </c>
      <c r="M24" s="14">
        <v>277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/>
      <c r="L31" s="23">
        <v>4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6</v>
      </c>
      <c r="M32" s="28">
        <v>275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258</v>
      </c>
      <c r="G36" s="43">
        <v>2</v>
      </c>
      <c r="H36" s="43">
        <v>6</v>
      </c>
      <c r="I36" s="43">
        <v>2</v>
      </c>
      <c r="J36" s="43"/>
      <c r="K36" s="43">
        <v>5</v>
      </c>
      <c r="L36" s="43"/>
      <c r="M36" s="43">
        <v>1</v>
      </c>
      <c r="N36" s="43">
        <v>18</v>
      </c>
      <c r="O36" s="43">
        <v>6</v>
      </c>
      <c r="P36" s="43">
        <v>1</v>
      </c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258</v>
      </c>
      <c r="G42" s="43">
        <v>2</v>
      </c>
      <c r="H42" s="43">
        <v>6</v>
      </c>
      <c r="I42" s="43">
        <v>2</v>
      </c>
      <c r="J42" s="43"/>
      <c r="K42" s="43">
        <v>5</v>
      </c>
      <c r="L42" s="43"/>
      <c r="M42" s="43">
        <v>1</v>
      </c>
      <c r="N42" s="43">
        <v>18</v>
      </c>
      <c r="O42" s="43">
        <v>6</v>
      </c>
      <c r="P42" s="43">
        <v>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4+1+1+25+6+275</f>
        <v>312</v>
      </c>
      <c r="D44" s="93"/>
      <c r="E44" s="93"/>
    </row>
    <row r="45" spans="2:25" x14ac:dyDescent="0.25">
      <c r="B45" s="77" t="s">
        <v>69</v>
      </c>
      <c r="C45" s="93">
        <f>23</f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/>
      <c r="G8" s="14"/>
      <c r="H8" s="14" t="s">
        <v>236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 t="s">
        <v>81</v>
      </c>
      <c r="U8" s="14"/>
      <c r="V8" s="14"/>
      <c r="W8" s="14" t="s">
        <v>84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84</v>
      </c>
      <c r="D15" s="23"/>
      <c r="E15" s="23">
        <v>0</v>
      </c>
      <c r="F15" s="23"/>
      <c r="G15" s="23"/>
      <c r="H15" s="23" t="s">
        <v>237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 t="s">
        <v>238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9</v>
      </c>
      <c r="M24" s="14">
        <v>487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>
        <v>0</v>
      </c>
      <c r="L32" s="28">
        <v>9</v>
      </c>
      <c r="M32" s="28">
        <v>437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>
        <v>2</v>
      </c>
      <c r="F36" s="43">
        <v>437</v>
      </c>
      <c r="G36" s="43">
        <v>4</v>
      </c>
      <c r="H36" s="43">
        <v>4</v>
      </c>
      <c r="I36" s="43">
        <v>5</v>
      </c>
      <c r="J36" s="43">
        <v>4</v>
      </c>
      <c r="K36" s="43">
        <v>2</v>
      </c>
      <c r="L36" s="43">
        <v>1</v>
      </c>
      <c r="M36" s="43"/>
      <c r="N36" s="43"/>
      <c r="O36" s="43">
        <v>3</v>
      </c>
      <c r="P36" s="43">
        <v>11</v>
      </c>
      <c r="Q36" s="44">
        <v>3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>
        <v>2</v>
      </c>
      <c r="F42" s="43">
        <v>437</v>
      </c>
      <c r="G42" s="43">
        <v>4</v>
      </c>
      <c r="H42" s="43">
        <v>4</v>
      </c>
      <c r="I42" s="43">
        <v>5</v>
      </c>
      <c r="J42" s="43">
        <v>4</v>
      </c>
      <c r="K42" s="43">
        <v>2</v>
      </c>
      <c r="L42" s="43">
        <v>1</v>
      </c>
      <c r="M42" s="43"/>
      <c r="N42" s="43"/>
      <c r="O42" s="43">
        <v>3</v>
      </c>
      <c r="P42" s="43">
        <v>11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1+1+13+45+9+437</f>
        <v>506</v>
      </c>
      <c r="D44" s="93"/>
      <c r="E44" s="93"/>
    </row>
    <row r="45" spans="2:25" x14ac:dyDescent="0.25">
      <c r="B45" s="77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2</v>
      </c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3</v>
      </c>
      <c r="D15" s="23">
        <v>1</v>
      </c>
      <c r="E15" s="23">
        <v>0</v>
      </c>
      <c r="F15" s="23"/>
      <c r="G15" s="23"/>
      <c r="H15" s="23" t="s">
        <v>243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2</v>
      </c>
      <c r="F16" s="27"/>
      <c r="G16" s="28"/>
      <c r="H16" s="28" t="s">
        <v>242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20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8</v>
      </c>
      <c r="I31" s="23"/>
      <c r="J31" s="23"/>
      <c r="K31" s="23">
        <v>2</v>
      </c>
      <c r="L31" s="23">
        <v>3</v>
      </c>
      <c r="M31" s="23">
        <v>29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100</v>
      </c>
      <c r="I32" s="28"/>
      <c r="J32" s="28"/>
      <c r="K32" s="28">
        <v>0</v>
      </c>
      <c r="L32" s="28">
        <v>17</v>
      </c>
      <c r="M32" s="28">
        <v>513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3</v>
      </c>
      <c r="F36" s="43">
        <v>568</v>
      </c>
      <c r="G36" s="43">
        <v>19</v>
      </c>
      <c r="H36" s="43">
        <v>1</v>
      </c>
      <c r="I36" s="43">
        <v>29</v>
      </c>
      <c r="J36" s="43"/>
      <c r="K36" s="43"/>
      <c r="L36" s="43"/>
      <c r="M36" s="43"/>
      <c r="N36" s="43">
        <v>5</v>
      </c>
      <c r="O36" s="43">
        <v>13</v>
      </c>
      <c r="P36" s="43">
        <v>2</v>
      </c>
      <c r="Q36" s="44">
        <v>4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3</v>
      </c>
      <c r="F42" s="43">
        <v>568</v>
      </c>
      <c r="G42" s="43">
        <v>19</v>
      </c>
      <c r="H42" s="43">
        <v>1</v>
      </c>
      <c r="I42" s="43">
        <v>29</v>
      </c>
      <c r="J42" s="43"/>
      <c r="K42" s="43"/>
      <c r="L42" s="43"/>
      <c r="M42" s="43"/>
      <c r="N42" s="43">
        <v>5</v>
      </c>
      <c r="O42" s="43">
        <v>13</v>
      </c>
      <c r="P42" s="43">
        <v>2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2+20+3+1+100+17+513</f>
        <v>656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247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</v>
      </c>
      <c r="I24" s="14"/>
      <c r="J24" s="14"/>
      <c r="K24" s="14"/>
      <c r="L24" s="14">
        <v>27</v>
      </c>
      <c r="M24" s="14">
        <v>893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/>
      <c r="L31" s="23">
        <v>0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/>
      <c r="L32" s="28">
        <v>27</v>
      </c>
      <c r="M32" s="28">
        <v>886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928</v>
      </c>
      <c r="G36" s="43">
        <v>7</v>
      </c>
      <c r="H36" s="43">
        <v>2</v>
      </c>
      <c r="I36" s="43">
        <v>4</v>
      </c>
      <c r="J36" s="43"/>
      <c r="K36" s="43">
        <v>10</v>
      </c>
      <c r="L36" s="43">
        <v>3</v>
      </c>
      <c r="M36" s="43"/>
      <c r="N36" s="43"/>
      <c r="O36" s="43">
        <v>9</v>
      </c>
      <c r="P36" s="43">
        <v>21</v>
      </c>
      <c r="Q36" s="44">
        <v>32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928</v>
      </c>
      <c r="G42" s="43">
        <v>7</v>
      </c>
      <c r="H42" s="43">
        <v>2</v>
      </c>
      <c r="I42" s="43">
        <v>4</v>
      </c>
      <c r="J42" s="43"/>
      <c r="K42" s="43">
        <v>10</v>
      </c>
      <c r="L42" s="43">
        <v>3</v>
      </c>
      <c r="M42" s="43"/>
      <c r="N42" s="43"/>
      <c r="O42" s="43">
        <v>9</v>
      </c>
      <c r="P42" s="43">
        <v>21</v>
      </c>
      <c r="Q42" s="44">
        <v>32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33+3+5+27+886</f>
        <v>954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/>
      <c r="F8" s="14"/>
      <c r="G8" s="14"/>
      <c r="H8" s="14" t="s">
        <v>244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245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246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167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13</v>
      </c>
      <c r="M32" s="28">
        <v>374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469</v>
      </c>
      <c r="G36" s="43">
        <v>27</v>
      </c>
      <c r="H36" s="43">
        <v>1</v>
      </c>
      <c r="I36" s="43">
        <v>14</v>
      </c>
      <c r="J36" s="43"/>
      <c r="K36" s="43">
        <v>1</v>
      </c>
      <c r="L36" s="43">
        <v>1</v>
      </c>
      <c r="M36" s="43">
        <v>3</v>
      </c>
      <c r="N36" s="43">
        <v>21</v>
      </c>
      <c r="O36" s="43">
        <v>1</v>
      </c>
      <c r="P36" s="43">
        <v>3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469</v>
      </c>
      <c r="G42" s="43">
        <v>27</v>
      </c>
      <c r="H42" s="43">
        <v>1</v>
      </c>
      <c r="I42" s="43">
        <v>14</v>
      </c>
      <c r="J42" s="43"/>
      <c r="K42" s="43">
        <v>1</v>
      </c>
      <c r="L42" s="43">
        <v>1</v>
      </c>
      <c r="M42" s="43">
        <v>3</v>
      </c>
      <c r="N42" s="43">
        <v>21</v>
      </c>
      <c r="O42" s="43">
        <v>1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1+1+8+2+112+13+374+2</f>
        <v>513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 NO TRIP</vt:lpstr>
      <vt:lpstr>03-25 R2</vt:lpstr>
      <vt:lpstr>03-25 R3</vt:lpstr>
      <vt:lpstr>(26)</vt:lpstr>
      <vt:lpstr>03-26 R1</vt:lpstr>
      <vt:lpstr>03-26 R2</vt:lpstr>
      <vt:lpstr>03-26 R3 NO TRIP</vt:lpstr>
      <vt:lpstr>(27)</vt:lpstr>
      <vt:lpstr>03-27 R1</vt:lpstr>
      <vt:lpstr>03-27 R2</vt:lpstr>
      <vt:lpstr>03-27 R3</vt:lpstr>
      <vt:lpstr>(28)</vt:lpstr>
      <vt:lpstr>03-28 R1 NO TRIP</vt:lpstr>
      <vt:lpstr>03-28 R2 NO TRIP</vt:lpstr>
      <vt:lpstr>03-28 R3 NO TRIP</vt:lpstr>
      <vt:lpstr>(30)</vt:lpstr>
      <vt:lpstr>03-30 R1</vt:lpstr>
      <vt:lpstr>03-30 R2 NO TRIP</vt:lpstr>
      <vt:lpstr>03-30 R3</vt:lpstr>
      <vt:lpstr>(31)</vt:lpstr>
      <vt:lpstr>03-31 R1</vt:lpstr>
      <vt:lpstr>03-31 R2</vt:lpstr>
      <vt:lpstr>03-31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 NO TRIP'!Print_Area</vt:lpstr>
      <vt:lpstr>'03-25 R2'!Print_Area</vt:lpstr>
      <vt:lpstr>'03-25 R3'!Print_Area</vt:lpstr>
      <vt:lpstr>'03-26 R1'!Print_Area</vt:lpstr>
      <vt:lpstr>'03-26 R2'!Print_Area</vt:lpstr>
      <vt:lpstr>'03-26 R3 NO TRIP'!Print_Area</vt:lpstr>
      <vt:lpstr>'03-27 R1'!Print_Area</vt:lpstr>
      <vt:lpstr>'03-27 R2'!Print_Area</vt:lpstr>
      <vt:lpstr>'03-27 R3'!Print_Area</vt:lpstr>
      <vt:lpstr>'03-28 R1 NO TRIP'!Print_Area</vt:lpstr>
      <vt:lpstr>'03-28 R2 NO TRIP'!Print_Area</vt:lpstr>
      <vt:lpstr>'03-28 R3 NO TRIP'!Print_Area</vt:lpstr>
      <vt:lpstr>'03-30 R1'!Print_Area</vt:lpstr>
      <vt:lpstr>'03-30 R2 NO TRIP'!Print_Area</vt:lpstr>
      <vt:lpstr>'03-30 R3'!Print_Area</vt:lpstr>
      <vt:lpstr>'03-31 R1'!Print_Area</vt:lpstr>
      <vt:lpstr>'03-31 R2'!Print_Area</vt:lpstr>
      <vt:lpstr>'03-31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2026-03-31T00:13:16Z</dcterms:modified>
</cp:coreProperties>
</file>