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218E4235-FC43-4D3D-B78E-499A657F2C25}" xr6:coauthVersionLast="45" xr6:coauthVersionMax="47" xr10:uidLastSave="{00000000-0000-0000-0000-000000000000}"/>
  <bookViews>
    <workbookView xWindow="-120" yWindow="-120" windowWidth="29040" windowHeight="15840" firstSheet="68" activeTab="72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03-11 R3" sheetId="1499" r:id="rId37"/>
    <sheet name="(12)" sheetId="1484" r:id="rId38"/>
    <sheet name="03-12 R1" sheetId="1485" r:id="rId39"/>
    <sheet name="03-12 R2" sheetId="1486" r:id="rId40"/>
    <sheet name="03-12 R3" sheetId="1483" r:id="rId41"/>
    <sheet name="(13)" sheetId="1487" r:id="rId42"/>
    <sheet name="NO TRIP 03-13 R1" sheetId="1488" r:id="rId43"/>
    <sheet name="NO TRIP 03-13 R2" sheetId="1489" r:id="rId44"/>
    <sheet name="NO TRIP 03-13 R3" sheetId="1490" r:id="rId45"/>
    <sheet name="(14)" sheetId="1491" r:id="rId46"/>
    <sheet name="03-14 R1" sheetId="1492" r:id="rId47"/>
    <sheet name="03-14 R2" sheetId="1493" r:id="rId48"/>
    <sheet name="03-14 R3" sheetId="1494" r:id="rId49"/>
    <sheet name="(16)" sheetId="1495" r:id="rId50"/>
    <sheet name="03-16 R1 NO TRIP" sheetId="1496" r:id="rId51"/>
    <sheet name="03-16 R2" sheetId="1497" r:id="rId52"/>
    <sheet name="03-16 R3" sheetId="1498" r:id="rId53"/>
    <sheet name="(17)" sheetId="1500" r:id="rId54"/>
    <sheet name="03-17 R1" sheetId="1501" r:id="rId55"/>
    <sheet name="03-17 R2" sheetId="1502" r:id="rId56"/>
    <sheet name="03-17 R3" sheetId="1503" r:id="rId57"/>
    <sheet name="(18)" sheetId="1504" r:id="rId58"/>
    <sheet name="03-18 R1" sheetId="1505" r:id="rId59"/>
    <sheet name="03-18 R2" sheetId="1506" r:id="rId60"/>
    <sheet name="03-18 R3" sheetId="1507" r:id="rId61"/>
    <sheet name="(19)" sheetId="1508" r:id="rId62"/>
    <sheet name="03-19 R1" sheetId="1509" r:id="rId63"/>
    <sheet name="03-19 R2" sheetId="1510" r:id="rId64"/>
    <sheet name="03-19 R3" sheetId="1511" r:id="rId65"/>
    <sheet name="(20)" sheetId="1512" r:id="rId66"/>
    <sheet name="03-20 R1" sheetId="1513" r:id="rId67"/>
    <sheet name="03-20 R2" sheetId="1514" r:id="rId68"/>
    <sheet name="03-20 R3" sheetId="1515" r:id="rId69"/>
    <sheet name="(23)" sheetId="1516" r:id="rId70"/>
    <sheet name="03-23 R1" sheetId="1517" r:id="rId71"/>
    <sheet name="03-23 R2" sheetId="1518" r:id="rId72"/>
    <sheet name="03-23 R3" sheetId="1519" r:id="rId73"/>
    <sheet name="(24)" sheetId="1520" r:id="rId74"/>
    <sheet name="03-24 R1" sheetId="1521" r:id="rId75"/>
    <sheet name="03-24 R2" sheetId="1522" r:id="rId76"/>
    <sheet name="03-24 R3" sheetId="1523" r:id="rId77"/>
    <sheet name="(25)" sheetId="1524" r:id="rId78"/>
    <sheet name="03-25 R1" sheetId="1525" r:id="rId79"/>
    <sheet name="03-25 R2" sheetId="1526" r:id="rId80"/>
    <sheet name="03-25 R3" sheetId="1527" r:id="rId81"/>
  </sheets>
  <externalReferences>
    <externalReference r:id="rId82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1">'(2)'!$A$1:$Z$44</definedName>
    <definedName name="_xlnm.Print_Area" localSheetId="65">'(20)'!$A$1:$Z$44</definedName>
    <definedName name="_xlnm.Print_Area" localSheetId="69">'(23)'!$A$1:$Z$44</definedName>
    <definedName name="_xlnm.Print_Area" localSheetId="73">'(24)'!$A$1:$Z$44</definedName>
    <definedName name="_xlnm.Print_Area" localSheetId="77">'(25)'!$A$1:$Z$44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6">'03-11 R3'!$A$1:$V$44</definedName>
    <definedName name="_xlnm.Print_Area" localSheetId="38">'03-12 R1'!$A$1:$Z$43</definedName>
    <definedName name="_xlnm.Print_Area" localSheetId="39">'03-12 R2'!$A$1:$V$44</definedName>
    <definedName name="_xlnm.Print_Area" localSheetId="40">'03-12 R3'!$A$1:$V$44</definedName>
    <definedName name="_xlnm.Print_Area" localSheetId="46">'03-14 R1'!$A$1:$Z$43</definedName>
    <definedName name="_xlnm.Print_Area" localSheetId="47">'03-14 R2'!$A$1:$V$44</definedName>
    <definedName name="_xlnm.Print_Area" localSheetId="48">'03-14 R3'!$A$1:$V$44</definedName>
    <definedName name="_xlnm.Print_Area" localSheetId="50">'03-16 R1 NO TRIP'!$A$1:$Z$43</definedName>
    <definedName name="_xlnm.Print_Area" localSheetId="51">'03-16 R2'!$A$1:$V$44</definedName>
    <definedName name="_xlnm.Print_Area" localSheetId="52">'03-16 R3'!$A$1:$V$44</definedName>
    <definedName name="_xlnm.Print_Area" localSheetId="54">'03-17 R1'!$A$1:$Z$43</definedName>
    <definedName name="_xlnm.Print_Area" localSheetId="55">'03-17 R2'!$A$1:$V$44</definedName>
    <definedName name="_xlnm.Print_Area" localSheetId="56">'03-17 R3'!$A$1:$V$44</definedName>
    <definedName name="_xlnm.Print_Area" localSheetId="58">'03-18 R1'!$A$1:$Z$43</definedName>
    <definedName name="_xlnm.Print_Area" localSheetId="59">'03-18 R2'!$A$1:$V$44</definedName>
    <definedName name="_xlnm.Print_Area" localSheetId="60">'03-18 R3'!$A$1:$V$44</definedName>
    <definedName name="_xlnm.Print_Area" localSheetId="62">'03-19 R1'!$A$1:$Z$43</definedName>
    <definedName name="_xlnm.Print_Area" localSheetId="63">'03-19 R2'!$A$1:$V$44</definedName>
    <definedName name="_xlnm.Print_Area" localSheetId="64">'03-19 R3'!$A$1:$V$44</definedName>
    <definedName name="_xlnm.Print_Area" localSheetId="66">'03-20 R1'!$A$1:$Z$43</definedName>
    <definedName name="_xlnm.Print_Area" localSheetId="67">'03-20 R2'!$A$1:$V$44</definedName>
    <definedName name="_xlnm.Print_Area" localSheetId="68">'03-20 R3'!$A$1:$V$44</definedName>
    <definedName name="_xlnm.Print_Area" localSheetId="70">'03-23 R1'!$A$1:$Z$43</definedName>
    <definedName name="_xlnm.Print_Area" localSheetId="71">'03-23 R2'!$A$1:$V$44</definedName>
    <definedName name="_xlnm.Print_Area" localSheetId="72">'03-23 R3'!$A$1:$V$44</definedName>
    <definedName name="_xlnm.Print_Area" localSheetId="74">'03-24 R1'!$A$1:$Z$43</definedName>
    <definedName name="_xlnm.Print_Area" localSheetId="75">'03-24 R2'!$A$1:$V$44</definedName>
    <definedName name="_xlnm.Print_Area" localSheetId="76">'03-24 R3'!$A$1:$V$44</definedName>
    <definedName name="_xlnm.Print_Area" localSheetId="78">'03-25 R1'!$A$1:$Z$43</definedName>
    <definedName name="_xlnm.Print_Area" localSheetId="79">'03-25 R2'!$A$1:$V$44</definedName>
    <definedName name="_xlnm.Print_Area" localSheetId="80">'03-25 R3'!$A$1:$V$44</definedName>
    <definedName name="_xlnm.Print_Area" localSheetId="42">'NO TRIP 03-13 R1'!$A$1:$Z$43</definedName>
    <definedName name="_xlnm.Print_Area" localSheetId="43">'NO TRIP 03-13 R2'!$A$1:$V$44</definedName>
    <definedName name="_xlnm.Print_Area" localSheetId="44">'NO TRIP 03-13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519" l="1"/>
  <c r="C44" i="1519"/>
  <c r="C45" i="1518"/>
  <c r="C44" i="1518"/>
  <c r="C44" i="1517"/>
  <c r="F36" i="1517"/>
  <c r="F42" i="1517"/>
  <c r="F21" i="1527"/>
  <c r="Y19" i="1527"/>
  <c r="W19" i="1527"/>
  <c r="V19" i="1527"/>
  <c r="U19" i="1527"/>
  <c r="T19" i="1527"/>
  <c r="P19" i="1527"/>
  <c r="O19" i="1527"/>
  <c r="N19" i="1527"/>
  <c r="M19" i="1527"/>
  <c r="L19" i="1527"/>
  <c r="K19" i="1527"/>
  <c r="J19" i="1527"/>
  <c r="I19" i="1527"/>
  <c r="H19" i="1527"/>
  <c r="G19" i="1527"/>
  <c r="F19" i="1527"/>
  <c r="E19" i="1527"/>
  <c r="D19" i="1527"/>
  <c r="C19" i="1527"/>
  <c r="Y18" i="1527"/>
  <c r="W18" i="1527"/>
  <c r="V18" i="1527"/>
  <c r="U18" i="1527"/>
  <c r="T18" i="1527"/>
  <c r="P18" i="1527"/>
  <c r="O18" i="1527"/>
  <c r="N18" i="1527"/>
  <c r="M18" i="1527"/>
  <c r="L18" i="1527"/>
  <c r="K18" i="1527"/>
  <c r="J18" i="1527"/>
  <c r="I18" i="1527"/>
  <c r="H18" i="1527"/>
  <c r="G18" i="1527"/>
  <c r="F18" i="1527"/>
  <c r="E18" i="1527"/>
  <c r="D18" i="1527"/>
  <c r="C18" i="1527"/>
  <c r="Y4" i="1527"/>
  <c r="W4" i="1527"/>
  <c r="V4" i="1527"/>
  <c r="U4" i="1527"/>
  <c r="T4" i="1527"/>
  <c r="P4" i="1527"/>
  <c r="O4" i="1527"/>
  <c r="N4" i="1527"/>
  <c r="M4" i="1527"/>
  <c r="L4" i="1527"/>
  <c r="K4" i="1527"/>
  <c r="J4" i="1527"/>
  <c r="I4" i="1527"/>
  <c r="H4" i="1527"/>
  <c r="G4" i="1527"/>
  <c r="F4" i="1527"/>
  <c r="E4" i="1527"/>
  <c r="D4" i="1527"/>
  <c r="C4" i="1527"/>
  <c r="Y3" i="1527"/>
  <c r="W3" i="1527"/>
  <c r="V3" i="1527"/>
  <c r="U3" i="1527"/>
  <c r="T3" i="1527"/>
  <c r="P3" i="1527"/>
  <c r="O3" i="1527"/>
  <c r="N3" i="1527"/>
  <c r="M3" i="1527"/>
  <c r="L3" i="1527"/>
  <c r="K3" i="1527"/>
  <c r="J3" i="1527"/>
  <c r="I3" i="1527"/>
  <c r="H3" i="1527"/>
  <c r="G3" i="1527"/>
  <c r="F3" i="1527"/>
  <c r="E3" i="1527"/>
  <c r="D3" i="1527"/>
  <c r="C3" i="1527"/>
  <c r="F21" i="1526"/>
  <c r="Y19" i="1526"/>
  <c r="W19" i="1526"/>
  <c r="V19" i="1526"/>
  <c r="U19" i="1526"/>
  <c r="T19" i="1526"/>
  <c r="P19" i="1526"/>
  <c r="O19" i="1526"/>
  <c r="N19" i="1526"/>
  <c r="M19" i="1526"/>
  <c r="L19" i="1526"/>
  <c r="K19" i="1526"/>
  <c r="J19" i="1526"/>
  <c r="I19" i="1526"/>
  <c r="H19" i="1526"/>
  <c r="G19" i="1526"/>
  <c r="F19" i="1526"/>
  <c r="E19" i="1526"/>
  <c r="D19" i="1526"/>
  <c r="C19" i="1526"/>
  <c r="Y18" i="1526"/>
  <c r="W18" i="1526"/>
  <c r="V18" i="1526"/>
  <c r="U18" i="1526"/>
  <c r="T18" i="1526"/>
  <c r="P18" i="1526"/>
  <c r="O18" i="1526"/>
  <c r="N18" i="1526"/>
  <c r="M18" i="1526"/>
  <c r="L18" i="1526"/>
  <c r="K18" i="1526"/>
  <c r="J18" i="1526"/>
  <c r="I18" i="1526"/>
  <c r="H18" i="1526"/>
  <c r="G18" i="1526"/>
  <c r="F18" i="1526"/>
  <c r="E18" i="1526"/>
  <c r="D18" i="1526"/>
  <c r="C18" i="1526"/>
  <c r="Y4" i="1526"/>
  <c r="W4" i="1526"/>
  <c r="V4" i="1526"/>
  <c r="U4" i="1526"/>
  <c r="T4" i="1526"/>
  <c r="P4" i="1526"/>
  <c r="O4" i="1526"/>
  <c r="N4" i="1526"/>
  <c r="M4" i="1526"/>
  <c r="L4" i="1526"/>
  <c r="K4" i="1526"/>
  <c r="J4" i="1526"/>
  <c r="I4" i="1526"/>
  <c r="H4" i="1526"/>
  <c r="G4" i="1526"/>
  <c r="F4" i="1526"/>
  <c r="E4" i="1526"/>
  <c r="D4" i="1526"/>
  <c r="C4" i="1526"/>
  <c r="Y3" i="1526"/>
  <c r="W3" i="1526"/>
  <c r="V3" i="1526"/>
  <c r="U3" i="1526"/>
  <c r="T3" i="1526"/>
  <c r="P3" i="1526"/>
  <c r="O3" i="1526"/>
  <c r="N3" i="1526"/>
  <c r="M3" i="1526"/>
  <c r="L3" i="1526"/>
  <c r="K3" i="1526"/>
  <c r="J3" i="1526"/>
  <c r="I3" i="1526"/>
  <c r="H3" i="1526"/>
  <c r="G3" i="1526"/>
  <c r="F3" i="1526"/>
  <c r="E3" i="1526"/>
  <c r="D3" i="1526"/>
  <c r="C3" i="1526"/>
  <c r="F21" i="1525"/>
  <c r="Y19" i="1525"/>
  <c r="W19" i="1525"/>
  <c r="V19" i="1525"/>
  <c r="U19" i="1525"/>
  <c r="T19" i="1525"/>
  <c r="P19" i="1525"/>
  <c r="O19" i="1525"/>
  <c r="N19" i="1525"/>
  <c r="M19" i="1525"/>
  <c r="L19" i="1525"/>
  <c r="K19" i="1525"/>
  <c r="J19" i="1525"/>
  <c r="I19" i="1525"/>
  <c r="H19" i="1525"/>
  <c r="G19" i="1525"/>
  <c r="F19" i="1525"/>
  <c r="E19" i="1525"/>
  <c r="D19" i="1525"/>
  <c r="C19" i="1525"/>
  <c r="Y18" i="1525"/>
  <c r="W18" i="1525"/>
  <c r="V18" i="1525"/>
  <c r="U18" i="1525"/>
  <c r="T18" i="1525"/>
  <c r="P18" i="1525"/>
  <c r="O18" i="1525"/>
  <c r="N18" i="1525"/>
  <c r="M18" i="1525"/>
  <c r="L18" i="1525"/>
  <c r="K18" i="1525"/>
  <c r="J18" i="1525"/>
  <c r="I18" i="1525"/>
  <c r="H18" i="1525"/>
  <c r="G18" i="1525"/>
  <c r="F18" i="1525"/>
  <c r="E18" i="1525"/>
  <c r="D18" i="1525"/>
  <c r="C18" i="1525"/>
  <c r="Y4" i="1525"/>
  <c r="W4" i="1525"/>
  <c r="V4" i="1525"/>
  <c r="U4" i="1525"/>
  <c r="T4" i="1525"/>
  <c r="P4" i="1525"/>
  <c r="O4" i="1525"/>
  <c r="N4" i="1525"/>
  <c r="M4" i="1525"/>
  <c r="L4" i="1525"/>
  <c r="K4" i="1525"/>
  <c r="J4" i="1525"/>
  <c r="I4" i="1525"/>
  <c r="H4" i="1525"/>
  <c r="G4" i="1525"/>
  <c r="F4" i="1525"/>
  <c r="E4" i="1525"/>
  <c r="D4" i="1525"/>
  <c r="C4" i="1525"/>
  <c r="Y3" i="1525"/>
  <c r="W3" i="1525"/>
  <c r="V3" i="1525"/>
  <c r="U3" i="1525"/>
  <c r="T3" i="1525"/>
  <c r="P3" i="1525"/>
  <c r="O3" i="1525"/>
  <c r="N3" i="1525"/>
  <c r="M3" i="1525"/>
  <c r="L3" i="1525"/>
  <c r="K3" i="1525"/>
  <c r="J3" i="1525"/>
  <c r="I3" i="1525"/>
  <c r="H3" i="1525"/>
  <c r="G3" i="1525"/>
  <c r="F3" i="1525"/>
  <c r="E3" i="1525"/>
  <c r="D3" i="1525"/>
  <c r="C3" i="1525"/>
  <c r="F21" i="1524"/>
  <c r="Y19" i="1524"/>
  <c r="W19" i="1524"/>
  <c r="V19" i="1524"/>
  <c r="U19" i="1524"/>
  <c r="T19" i="1524"/>
  <c r="P19" i="1524"/>
  <c r="O19" i="1524"/>
  <c r="N19" i="1524"/>
  <c r="M19" i="1524"/>
  <c r="L19" i="1524"/>
  <c r="K19" i="1524"/>
  <c r="J19" i="1524"/>
  <c r="I19" i="1524"/>
  <c r="H19" i="1524"/>
  <c r="G19" i="1524"/>
  <c r="F19" i="1524"/>
  <c r="E19" i="1524"/>
  <c r="D19" i="1524"/>
  <c r="C19" i="1524"/>
  <c r="Y18" i="1524"/>
  <c r="W18" i="1524"/>
  <c r="V18" i="1524"/>
  <c r="U18" i="1524"/>
  <c r="T18" i="1524"/>
  <c r="P18" i="1524"/>
  <c r="O18" i="1524"/>
  <c r="N18" i="1524"/>
  <c r="M18" i="1524"/>
  <c r="L18" i="1524"/>
  <c r="K18" i="1524"/>
  <c r="J18" i="1524"/>
  <c r="I18" i="1524"/>
  <c r="H18" i="1524"/>
  <c r="G18" i="1524"/>
  <c r="F18" i="1524"/>
  <c r="E18" i="1524"/>
  <c r="D18" i="1524"/>
  <c r="C18" i="1524"/>
  <c r="Y4" i="1524"/>
  <c r="W4" i="1524"/>
  <c r="V4" i="1524"/>
  <c r="U4" i="1524"/>
  <c r="T4" i="1524"/>
  <c r="P4" i="1524"/>
  <c r="O4" i="1524"/>
  <c r="N4" i="1524"/>
  <c r="M4" i="1524"/>
  <c r="L4" i="1524"/>
  <c r="K4" i="1524"/>
  <c r="J4" i="1524"/>
  <c r="I4" i="1524"/>
  <c r="H4" i="1524"/>
  <c r="G4" i="1524"/>
  <c r="F4" i="1524"/>
  <c r="E4" i="1524"/>
  <c r="D4" i="1524"/>
  <c r="C4" i="1524"/>
  <c r="Y3" i="1524"/>
  <c r="W3" i="1524"/>
  <c r="V3" i="1524"/>
  <c r="U3" i="1524"/>
  <c r="T3" i="1524"/>
  <c r="P3" i="1524"/>
  <c r="O3" i="1524"/>
  <c r="N3" i="1524"/>
  <c r="M3" i="1524"/>
  <c r="L3" i="1524"/>
  <c r="K3" i="1524"/>
  <c r="J3" i="1524"/>
  <c r="I3" i="1524"/>
  <c r="H3" i="1524"/>
  <c r="G3" i="1524"/>
  <c r="F3" i="1524"/>
  <c r="E3" i="1524"/>
  <c r="D3" i="1524"/>
  <c r="C3" i="1524"/>
  <c r="F21" i="1523"/>
  <c r="Y19" i="1523"/>
  <c r="W19" i="1523"/>
  <c r="V19" i="1523"/>
  <c r="U19" i="1523"/>
  <c r="T19" i="1523"/>
  <c r="P19" i="1523"/>
  <c r="O19" i="1523"/>
  <c r="N19" i="1523"/>
  <c r="M19" i="1523"/>
  <c r="L19" i="1523"/>
  <c r="K19" i="1523"/>
  <c r="J19" i="1523"/>
  <c r="I19" i="1523"/>
  <c r="H19" i="1523"/>
  <c r="G19" i="1523"/>
  <c r="F19" i="1523"/>
  <c r="E19" i="1523"/>
  <c r="D19" i="1523"/>
  <c r="C19" i="1523"/>
  <c r="Y18" i="1523"/>
  <c r="W18" i="1523"/>
  <c r="V18" i="1523"/>
  <c r="U18" i="1523"/>
  <c r="T18" i="1523"/>
  <c r="P18" i="1523"/>
  <c r="O18" i="1523"/>
  <c r="N18" i="1523"/>
  <c r="M18" i="1523"/>
  <c r="L18" i="1523"/>
  <c r="K18" i="1523"/>
  <c r="J18" i="1523"/>
  <c r="I18" i="1523"/>
  <c r="H18" i="1523"/>
  <c r="G18" i="1523"/>
  <c r="F18" i="1523"/>
  <c r="E18" i="1523"/>
  <c r="D18" i="1523"/>
  <c r="C18" i="1523"/>
  <c r="Y4" i="1523"/>
  <c r="W4" i="1523"/>
  <c r="V4" i="1523"/>
  <c r="U4" i="1523"/>
  <c r="T4" i="1523"/>
  <c r="P4" i="1523"/>
  <c r="O4" i="1523"/>
  <c r="N4" i="1523"/>
  <c r="M4" i="1523"/>
  <c r="L4" i="1523"/>
  <c r="K4" i="1523"/>
  <c r="J4" i="1523"/>
  <c r="I4" i="1523"/>
  <c r="H4" i="1523"/>
  <c r="G4" i="1523"/>
  <c r="F4" i="1523"/>
  <c r="E4" i="1523"/>
  <c r="D4" i="1523"/>
  <c r="C4" i="1523"/>
  <c r="Y3" i="1523"/>
  <c r="W3" i="1523"/>
  <c r="V3" i="1523"/>
  <c r="U3" i="1523"/>
  <c r="T3" i="1523"/>
  <c r="P3" i="1523"/>
  <c r="O3" i="1523"/>
  <c r="N3" i="1523"/>
  <c r="M3" i="1523"/>
  <c r="L3" i="1523"/>
  <c r="K3" i="1523"/>
  <c r="J3" i="1523"/>
  <c r="I3" i="1523"/>
  <c r="H3" i="1523"/>
  <c r="G3" i="1523"/>
  <c r="F3" i="1523"/>
  <c r="E3" i="1523"/>
  <c r="D3" i="1523"/>
  <c r="C3" i="1523"/>
  <c r="F21" i="1522"/>
  <c r="Y19" i="1522"/>
  <c r="W19" i="1522"/>
  <c r="V19" i="1522"/>
  <c r="U19" i="1522"/>
  <c r="T19" i="1522"/>
  <c r="P19" i="1522"/>
  <c r="O19" i="1522"/>
  <c r="N19" i="1522"/>
  <c r="M19" i="1522"/>
  <c r="L19" i="1522"/>
  <c r="K19" i="1522"/>
  <c r="J19" i="1522"/>
  <c r="I19" i="1522"/>
  <c r="H19" i="1522"/>
  <c r="G19" i="1522"/>
  <c r="F19" i="1522"/>
  <c r="E19" i="1522"/>
  <c r="D19" i="1522"/>
  <c r="C19" i="1522"/>
  <c r="Y18" i="1522"/>
  <c r="W18" i="1522"/>
  <c r="V18" i="1522"/>
  <c r="U18" i="1522"/>
  <c r="T18" i="1522"/>
  <c r="P18" i="1522"/>
  <c r="O18" i="1522"/>
  <c r="N18" i="1522"/>
  <c r="M18" i="1522"/>
  <c r="L18" i="1522"/>
  <c r="K18" i="1522"/>
  <c r="J18" i="1522"/>
  <c r="I18" i="1522"/>
  <c r="H18" i="1522"/>
  <c r="G18" i="1522"/>
  <c r="F18" i="1522"/>
  <c r="E18" i="1522"/>
  <c r="D18" i="1522"/>
  <c r="C18" i="1522"/>
  <c r="Y4" i="1522"/>
  <c r="W4" i="1522"/>
  <c r="V4" i="1522"/>
  <c r="U4" i="1522"/>
  <c r="T4" i="1522"/>
  <c r="P4" i="1522"/>
  <c r="O4" i="1522"/>
  <c r="N4" i="1522"/>
  <c r="M4" i="1522"/>
  <c r="L4" i="1522"/>
  <c r="K4" i="1522"/>
  <c r="J4" i="1522"/>
  <c r="I4" i="1522"/>
  <c r="H4" i="1522"/>
  <c r="G4" i="1522"/>
  <c r="F4" i="1522"/>
  <c r="E4" i="1522"/>
  <c r="D4" i="1522"/>
  <c r="C4" i="1522"/>
  <c r="Y3" i="1522"/>
  <c r="W3" i="1522"/>
  <c r="V3" i="1522"/>
  <c r="U3" i="1522"/>
  <c r="T3" i="1522"/>
  <c r="P3" i="1522"/>
  <c r="O3" i="1522"/>
  <c r="N3" i="1522"/>
  <c r="M3" i="1522"/>
  <c r="L3" i="1522"/>
  <c r="K3" i="1522"/>
  <c r="J3" i="1522"/>
  <c r="I3" i="1522"/>
  <c r="H3" i="1522"/>
  <c r="G3" i="1522"/>
  <c r="F3" i="1522"/>
  <c r="E3" i="1522"/>
  <c r="D3" i="1522"/>
  <c r="C3" i="1522"/>
  <c r="F21" i="1521"/>
  <c r="Y19" i="1521"/>
  <c r="W19" i="1521"/>
  <c r="V19" i="1521"/>
  <c r="U19" i="1521"/>
  <c r="T19" i="1521"/>
  <c r="P19" i="1521"/>
  <c r="O19" i="1521"/>
  <c r="N19" i="1521"/>
  <c r="M19" i="1521"/>
  <c r="L19" i="1521"/>
  <c r="K19" i="1521"/>
  <c r="J19" i="1521"/>
  <c r="I19" i="1521"/>
  <c r="H19" i="1521"/>
  <c r="G19" i="1521"/>
  <c r="F19" i="1521"/>
  <c r="E19" i="1521"/>
  <c r="D19" i="1521"/>
  <c r="C19" i="1521"/>
  <c r="Y18" i="1521"/>
  <c r="W18" i="1521"/>
  <c r="V18" i="1521"/>
  <c r="U18" i="1521"/>
  <c r="T18" i="1521"/>
  <c r="P18" i="1521"/>
  <c r="O18" i="1521"/>
  <c r="N18" i="1521"/>
  <c r="M18" i="1521"/>
  <c r="L18" i="1521"/>
  <c r="K18" i="1521"/>
  <c r="J18" i="1521"/>
  <c r="I18" i="1521"/>
  <c r="H18" i="1521"/>
  <c r="G18" i="1521"/>
  <c r="F18" i="1521"/>
  <c r="E18" i="1521"/>
  <c r="D18" i="1521"/>
  <c r="C18" i="1521"/>
  <c r="Y4" i="1521"/>
  <c r="W4" i="1521"/>
  <c r="V4" i="1521"/>
  <c r="U4" i="1521"/>
  <c r="T4" i="1521"/>
  <c r="P4" i="1521"/>
  <c r="O4" i="1521"/>
  <c r="N4" i="1521"/>
  <c r="M4" i="1521"/>
  <c r="L4" i="1521"/>
  <c r="K4" i="1521"/>
  <c r="J4" i="1521"/>
  <c r="I4" i="1521"/>
  <c r="H4" i="1521"/>
  <c r="G4" i="1521"/>
  <c r="F4" i="1521"/>
  <c r="E4" i="1521"/>
  <c r="D4" i="1521"/>
  <c r="C4" i="1521"/>
  <c r="Y3" i="1521"/>
  <c r="W3" i="1521"/>
  <c r="V3" i="1521"/>
  <c r="U3" i="1521"/>
  <c r="T3" i="1521"/>
  <c r="P3" i="1521"/>
  <c r="O3" i="1521"/>
  <c r="N3" i="1521"/>
  <c r="M3" i="1521"/>
  <c r="L3" i="1521"/>
  <c r="K3" i="1521"/>
  <c r="J3" i="1521"/>
  <c r="I3" i="1521"/>
  <c r="H3" i="1521"/>
  <c r="G3" i="1521"/>
  <c r="F3" i="1521"/>
  <c r="E3" i="1521"/>
  <c r="D3" i="1521"/>
  <c r="C3" i="1521"/>
  <c r="F21" i="1520"/>
  <c r="Y19" i="1520"/>
  <c r="W19" i="1520"/>
  <c r="V19" i="1520"/>
  <c r="U19" i="1520"/>
  <c r="T19" i="1520"/>
  <c r="P19" i="1520"/>
  <c r="O19" i="1520"/>
  <c r="N19" i="1520"/>
  <c r="M19" i="1520"/>
  <c r="L19" i="1520"/>
  <c r="K19" i="1520"/>
  <c r="J19" i="1520"/>
  <c r="I19" i="1520"/>
  <c r="H19" i="1520"/>
  <c r="G19" i="1520"/>
  <c r="F19" i="1520"/>
  <c r="E19" i="1520"/>
  <c r="D19" i="1520"/>
  <c r="C19" i="1520"/>
  <c r="Y18" i="1520"/>
  <c r="W18" i="1520"/>
  <c r="V18" i="1520"/>
  <c r="U18" i="1520"/>
  <c r="T18" i="1520"/>
  <c r="P18" i="1520"/>
  <c r="O18" i="1520"/>
  <c r="N18" i="1520"/>
  <c r="M18" i="1520"/>
  <c r="L18" i="1520"/>
  <c r="K18" i="1520"/>
  <c r="J18" i="1520"/>
  <c r="I18" i="1520"/>
  <c r="H18" i="1520"/>
  <c r="G18" i="1520"/>
  <c r="F18" i="1520"/>
  <c r="E18" i="1520"/>
  <c r="D18" i="1520"/>
  <c r="C18" i="1520"/>
  <c r="Y4" i="1520"/>
  <c r="W4" i="1520"/>
  <c r="V4" i="1520"/>
  <c r="U4" i="1520"/>
  <c r="T4" i="1520"/>
  <c r="P4" i="1520"/>
  <c r="O4" i="1520"/>
  <c r="N4" i="1520"/>
  <c r="M4" i="1520"/>
  <c r="L4" i="1520"/>
  <c r="K4" i="1520"/>
  <c r="J4" i="1520"/>
  <c r="I4" i="1520"/>
  <c r="H4" i="1520"/>
  <c r="G4" i="1520"/>
  <c r="F4" i="1520"/>
  <c r="E4" i="1520"/>
  <c r="D4" i="1520"/>
  <c r="C4" i="1520"/>
  <c r="Y3" i="1520"/>
  <c r="W3" i="1520"/>
  <c r="V3" i="1520"/>
  <c r="U3" i="1520"/>
  <c r="T3" i="1520"/>
  <c r="P3" i="1520"/>
  <c r="O3" i="1520"/>
  <c r="N3" i="1520"/>
  <c r="M3" i="1520"/>
  <c r="L3" i="1520"/>
  <c r="K3" i="1520"/>
  <c r="J3" i="1520"/>
  <c r="I3" i="1520"/>
  <c r="H3" i="1520"/>
  <c r="G3" i="1520"/>
  <c r="F3" i="1520"/>
  <c r="E3" i="1520"/>
  <c r="D3" i="1520"/>
  <c r="C3" i="1520"/>
  <c r="C44" i="1515" l="1"/>
  <c r="C44" i="1514"/>
  <c r="C45" i="1513"/>
  <c r="C44" i="1513"/>
  <c r="C45" i="1511" l="1"/>
  <c r="C44" i="1511"/>
  <c r="C44" i="1510"/>
  <c r="C45" i="1507" l="1"/>
  <c r="C44" i="1507"/>
  <c r="C45" i="1505" l="1"/>
  <c r="C44" i="1505"/>
  <c r="C45" i="1506"/>
  <c r="C44" i="1506"/>
  <c r="C44" i="1503" l="1"/>
  <c r="C44" i="1502"/>
  <c r="C45" i="1501"/>
  <c r="C44" i="1501"/>
  <c r="C45" i="1497" l="1"/>
  <c r="C44" i="1497"/>
  <c r="C44" i="1498"/>
  <c r="H31" i="1498"/>
  <c r="F21" i="1519" l="1"/>
  <c r="Y19" i="1519"/>
  <c r="W19" i="1519"/>
  <c r="V19" i="1519"/>
  <c r="U19" i="1519"/>
  <c r="T19" i="1519"/>
  <c r="P19" i="1519"/>
  <c r="O19" i="1519"/>
  <c r="N19" i="1519"/>
  <c r="M19" i="1519"/>
  <c r="L19" i="1519"/>
  <c r="K19" i="1519"/>
  <c r="J19" i="1519"/>
  <c r="I19" i="1519"/>
  <c r="H19" i="1519"/>
  <c r="G19" i="1519"/>
  <c r="F19" i="1519"/>
  <c r="E19" i="1519"/>
  <c r="D19" i="1519"/>
  <c r="C19" i="1519"/>
  <c r="Y18" i="1519"/>
  <c r="W18" i="1519"/>
  <c r="V18" i="1519"/>
  <c r="U18" i="1519"/>
  <c r="T18" i="1519"/>
  <c r="P18" i="1519"/>
  <c r="O18" i="1519"/>
  <c r="N18" i="1519"/>
  <c r="M18" i="1519"/>
  <c r="L18" i="1519"/>
  <c r="K18" i="1519"/>
  <c r="J18" i="1519"/>
  <c r="I18" i="1519"/>
  <c r="H18" i="1519"/>
  <c r="G18" i="1519"/>
  <c r="F18" i="1519"/>
  <c r="E18" i="1519"/>
  <c r="D18" i="1519"/>
  <c r="C18" i="1519"/>
  <c r="Y4" i="1519"/>
  <c r="W4" i="1519"/>
  <c r="V4" i="1519"/>
  <c r="U4" i="1519"/>
  <c r="T4" i="1519"/>
  <c r="P4" i="1519"/>
  <c r="O4" i="1519"/>
  <c r="N4" i="1519"/>
  <c r="M4" i="1519"/>
  <c r="L4" i="1519"/>
  <c r="K4" i="1519"/>
  <c r="J4" i="1519"/>
  <c r="I4" i="1519"/>
  <c r="H4" i="1519"/>
  <c r="G4" i="1519"/>
  <c r="F4" i="1519"/>
  <c r="E4" i="1519"/>
  <c r="D4" i="1519"/>
  <c r="C4" i="1519"/>
  <c r="Y3" i="1519"/>
  <c r="W3" i="1519"/>
  <c r="V3" i="1519"/>
  <c r="U3" i="1519"/>
  <c r="T3" i="1519"/>
  <c r="P3" i="1519"/>
  <c r="O3" i="1519"/>
  <c r="N3" i="1519"/>
  <c r="M3" i="1519"/>
  <c r="L3" i="1519"/>
  <c r="K3" i="1519"/>
  <c r="J3" i="1519"/>
  <c r="I3" i="1519"/>
  <c r="H3" i="1519"/>
  <c r="G3" i="1519"/>
  <c r="F3" i="1519"/>
  <c r="E3" i="1519"/>
  <c r="D3" i="1519"/>
  <c r="C3" i="1519"/>
  <c r="F21" i="1518"/>
  <c r="Y19" i="1518"/>
  <c r="W19" i="1518"/>
  <c r="V19" i="1518"/>
  <c r="U19" i="1518"/>
  <c r="T19" i="1518"/>
  <c r="P19" i="1518"/>
  <c r="O19" i="1518"/>
  <c r="N19" i="1518"/>
  <c r="M19" i="1518"/>
  <c r="L19" i="1518"/>
  <c r="K19" i="1518"/>
  <c r="J19" i="1518"/>
  <c r="I19" i="1518"/>
  <c r="H19" i="1518"/>
  <c r="G19" i="1518"/>
  <c r="F19" i="1518"/>
  <c r="E19" i="1518"/>
  <c r="D19" i="1518"/>
  <c r="C19" i="1518"/>
  <c r="Y18" i="1518"/>
  <c r="W18" i="1518"/>
  <c r="V18" i="1518"/>
  <c r="U18" i="1518"/>
  <c r="T18" i="1518"/>
  <c r="P18" i="1518"/>
  <c r="O18" i="1518"/>
  <c r="N18" i="1518"/>
  <c r="M18" i="1518"/>
  <c r="L18" i="1518"/>
  <c r="K18" i="1518"/>
  <c r="J18" i="1518"/>
  <c r="I18" i="1518"/>
  <c r="H18" i="1518"/>
  <c r="G18" i="1518"/>
  <c r="F18" i="1518"/>
  <c r="E18" i="1518"/>
  <c r="D18" i="1518"/>
  <c r="C18" i="1518"/>
  <c r="Y4" i="1518"/>
  <c r="W4" i="1518"/>
  <c r="V4" i="1518"/>
  <c r="U4" i="1518"/>
  <c r="T4" i="1518"/>
  <c r="P4" i="1518"/>
  <c r="O4" i="1518"/>
  <c r="N4" i="1518"/>
  <c r="M4" i="1518"/>
  <c r="L4" i="1518"/>
  <c r="K4" i="1518"/>
  <c r="J4" i="1518"/>
  <c r="I4" i="1518"/>
  <c r="H4" i="1518"/>
  <c r="G4" i="1518"/>
  <c r="F4" i="1518"/>
  <c r="E4" i="1518"/>
  <c r="D4" i="1518"/>
  <c r="C4" i="1518"/>
  <c r="Y3" i="1518"/>
  <c r="W3" i="1518"/>
  <c r="V3" i="1518"/>
  <c r="U3" i="1518"/>
  <c r="T3" i="1518"/>
  <c r="P3" i="1518"/>
  <c r="O3" i="1518"/>
  <c r="N3" i="1518"/>
  <c r="M3" i="1518"/>
  <c r="L3" i="1518"/>
  <c r="K3" i="1518"/>
  <c r="J3" i="1518"/>
  <c r="I3" i="1518"/>
  <c r="H3" i="1518"/>
  <c r="G3" i="1518"/>
  <c r="F3" i="1518"/>
  <c r="E3" i="1518"/>
  <c r="D3" i="1518"/>
  <c r="C3" i="1518"/>
  <c r="F21" i="1517"/>
  <c r="Y19" i="1517"/>
  <c r="W19" i="1517"/>
  <c r="V19" i="1517"/>
  <c r="U19" i="1517"/>
  <c r="T19" i="1517"/>
  <c r="P19" i="1517"/>
  <c r="O19" i="1517"/>
  <c r="N19" i="1517"/>
  <c r="M19" i="1517"/>
  <c r="L19" i="1517"/>
  <c r="K19" i="1517"/>
  <c r="J19" i="1517"/>
  <c r="I19" i="1517"/>
  <c r="H19" i="1517"/>
  <c r="G19" i="1517"/>
  <c r="F19" i="1517"/>
  <c r="E19" i="1517"/>
  <c r="D19" i="1517"/>
  <c r="C19" i="1517"/>
  <c r="Y18" i="1517"/>
  <c r="W18" i="1517"/>
  <c r="V18" i="1517"/>
  <c r="U18" i="1517"/>
  <c r="T18" i="1517"/>
  <c r="P18" i="1517"/>
  <c r="O18" i="1517"/>
  <c r="N18" i="1517"/>
  <c r="M18" i="1517"/>
  <c r="L18" i="1517"/>
  <c r="K18" i="1517"/>
  <c r="J18" i="1517"/>
  <c r="I18" i="1517"/>
  <c r="H18" i="1517"/>
  <c r="G18" i="1517"/>
  <c r="F18" i="1517"/>
  <c r="E18" i="1517"/>
  <c r="D18" i="1517"/>
  <c r="C18" i="1517"/>
  <c r="Y4" i="1517"/>
  <c r="W4" i="1517"/>
  <c r="V4" i="1517"/>
  <c r="U4" i="1517"/>
  <c r="T4" i="1517"/>
  <c r="P4" i="1517"/>
  <c r="O4" i="1517"/>
  <c r="N4" i="1517"/>
  <c r="M4" i="1517"/>
  <c r="L4" i="1517"/>
  <c r="K4" i="1517"/>
  <c r="J4" i="1517"/>
  <c r="I4" i="1517"/>
  <c r="H4" i="1517"/>
  <c r="G4" i="1517"/>
  <c r="F4" i="1517"/>
  <c r="E4" i="1517"/>
  <c r="D4" i="1517"/>
  <c r="C4" i="1517"/>
  <c r="Y3" i="1517"/>
  <c r="W3" i="1517"/>
  <c r="V3" i="1517"/>
  <c r="U3" i="1517"/>
  <c r="T3" i="1517"/>
  <c r="P3" i="1517"/>
  <c r="O3" i="1517"/>
  <c r="N3" i="1517"/>
  <c r="M3" i="1517"/>
  <c r="L3" i="1517"/>
  <c r="K3" i="1517"/>
  <c r="J3" i="1517"/>
  <c r="I3" i="1517"/>
  <c r="H3" i="1517"/>
  <c r="G3" i="1517"/>
  <c r="F3" i="1517"/>
  <c r="E3" i="1517"/>
  <c r="D3" i="1517"/>
  <c r="C3" i="1517"/>
  <c r="F21" i="1516"/>
  <c r="Y19" i="1516"/>
  <c r="W19" i="1516"/>
  <c r="V19" i="1516"/>
  <c r="U19" i="1516"/>
  <c r="T19" i="1516"/>
  <c r="P19" i="1516"/>
  <c r="O19" i="1516"/>
  <c r="N19" i="1516"/>
  <c r="M19" i="1516"/>
  <c r="L19" i="1516"/>
  <c r="K19" i="1516"/>
  <c r="J19" i="1516"/>
  <c r="I19" i="1516"/>
  <c r="H19" i="1516"/>
  <c r="G19" i="1516"/>
  <c r="F19" i="1516"/>
  <c r="E19" i="1516"/>
  <c r="D19" i="1516"/>
  <c r="C19" i="1516"/>
  <c r="Y18" i="1516"/>
  <c r="W18" i="1516"/>
  <c r="V18" i="1516"/>
  <c r="U18" i="1516"/>
  <c r="T18" i="1516"/>
  <c r="P18" i="1516"/>
  <c r="O18" i="1516"/>
  <c r="N18" i="1516"/>
  <c r="M18" i="1516"/>
  <c r="L18" i="1516"/>
  <c r="K18" i="1516"/>
  <c r="J18" i="1516"/>
  <c r="I18" i="1516"/>
  <c r="H18" i="1516"/>
  <c r="G18" i="1516"/>
  <c r="F18" i="1516"/>
  <c r="E18" i="1516"/>
  <c r="D18" i="1516"/>
  <c r="C18" i="1516"/>
  <c r="Y4" i="1516"/>
  <c r="W4" i="1516"/>
  <c r="V4" i="1516"/>
  <c r="U4" i="1516"/>
  <c r="T4" i="1516"/>
  <c r="P4" i="1516"/>
  <c r="O4" i="1516"/>
  <c r="N4" i="1516"/>
  <c r="M4" i="1516"/>
  <c r="L4" i="1516"/>
  <c r="K4" i="1516"/>
  <c r="J4" i="1516"/>
  <c r="I4" i="1516"/>
  <c r="H4" i="1516"/>
  <c r="G4" i="1516"/>
  <c r="F4" i="1516"/>
  <c r="E4" i="1516"/>
  <c r="D4" i="1516"/>
  <c r="C4" i="1516"/>
  <c r="Y3" i="1516"/>
  <c r="W3" i="1516"/>
  <c r="V3" i="1516"/>
  <c r="U3" i="1516"/>
  <c r="T3" i="1516"/>
  <c r="P3" i="1516"/>
  <c r="O3" i="1516"/>
  <c r="N3" i="1516"/>
  <c r="M3" i="1516"/>
  <c r="L3" i="1516"/>
  <c r="K3" i="1516"/>
  <c r="J3" i="1516"/>
  <c r="I3" i="1516"/>
  <c r="H3" i="1516"/>
  <c r="G3" i="1516"/>
  <c r="F3" i="1516"/>
  <c r="E3" i="1516"/>
  <c r="D3" i="1516"/>
  <c r="C3" i="1516"/>
  <c r="F21" i="1515"/>
  <c r="Y19" i="1515"/>
  <c r="W19" i="1515"/>
  <c r="V19" i="1515"/>
  <c r="U19" i="1515"/>
  <c r="T19" i="1515"/>
  <c r="P19" i="1515"/>
  <c r="O19" i="1515"/>
  <c r="N19" i="1515"/>
  <c r="M19" i="1515"/>
  <c r="L19" i="1515"/>
  <c r="K19" i="1515"/>
  <c r="J19" i="1515"/>
  <c r="I19" i="1515"/>
  <c r="H19" i="1515"/>
  <c r="G19" i="1515"/>
  <c r="F19" i="1515"/>
  <c r="E19" i="1515"/>
  <c r="D19" i="1515"/>
  <c r="C19" i="1515"/>
  <c r="Y18" i="1515"/>
  <c r="W18" i="1515"/>
  <c r="V18" i="1515"/>
  <c r="U18" i="1515"/>
  <c r="T18" i="1515"/>
  <c r="P18" i="1515"/>
  <c r="O18" i="1515"/>
  <c r="N18" i="1515"/>
  <c r="M18" i="1515"/>
  <c r="L18" i="1515"/>
  <c r="K18" i="1515"/>
  <c r="J18" i="1515"/>
  <c r="I18" i="1515"/>
  <c r="H18" i="1515"/>
  <c r="G18" i="1515"/>
  <c r="F18" i="1515"/>
  <c r="E18" i="1515"/>
  <c r="D18" i="1515"/>
  <c r="C18" i="1515"/>
  <c r="Y4" i="1515"/>
  <c r="W4" i="1515"/>
  <c r="V4" i="1515"/>
  <c r="U4" i="1515"/>
  <c r="T4" i="1515"/>
  <c r="P4" i="1515"/>
  <c r="O4" i="1515"/>
  <c r="N4" i="1515"/>
  <c r="M4" i="1515"/>
  <c r="L4" i="1515"/>
  <c r="K4" i="1515"/>
  <c r="J4" i="1515"/>
  <c r="I4" i="1515"/>
  <c r="H4" i="1515"/>
  <c r="G4" i="1515"/>
  <c r="F4" i="1515"/>
  <c r="E4" i="1515"/>
  <c r="D4" i="1515"/>
  <c r="C4" i="1515"/>
  <c r="Y3" i="1515"/>
  <c r="W3" i="1515"/>
  <c r="V3" i="1515"/>
  <c r="U3" i="1515"/>
  <c r="T3" i="1515"/>
  <c r="P3" i="1515"/>
  <c r="O3" i="1515"/>
  <c r="N3" i="1515"/>
  <c r="M3" i="1515"/>
  <c r="L3" i="1515"/>
  <c r="K3" i="1515"/>
  <c r="J3" i="1515"/>
  <c r="I3" i="1515"/>
  <c r="H3" i="1515"/>
  <c r="G3" i="1515"/>
  <c r="F3" i="1515"/>
  <c r="E3" i="1515"/>
  <c r="D3" i="1515"/>
  <c r="C3" i="1515"/>
  <c r="F21" i="1514"/>
  <c r="Y19" i="1514"/>
  <c r="W19" i="1514"/>
  <c r="V19" i="1514"/>
  <c r="U19" i="1514"/>
  <c r="T19" i="1514"/>
  <c r="P19" i="1514"/>
  <c r="O19" i="1514"/>
  <c r="N19" i="1514"/>
  <c r="M19" i="1514"/>
  <c r="L19" i="1514"/>
  <c r="K19" i="1514"/>
  <c r="J19" i="1514"/>
  <c r="I19" i="1514"/>
  <c r="H19" i="1514"/>
  <c r="G19" i="1514"/>
  <c r="F19" i="1514"/>
  <c r="E19" i="1514"/>
  <c r="D19" i="1514"/>
  <c r="C19" i="1514"/>
  <c r="Y18" i="1514"/>
  <c r="W18" i="1514"/>
  <c r="V18" i="1514"/>
  <c r="U18" i="1514"/>
  <c r="T18" i="1514"/>
  <c r="P18" i="1514"/>
  <c r="O18" i="1514"/>
  <c r="N18" i="1514"/>
  <c r="M18" i="1514"/>
  <c r="L18" i="1514"/>
  <c r="K18" i="1514"/>
  <c r="J18" i="1514"/>
  <c r="I18" i="1514"/>
  <c r="H18" i="1514"/>
  <c r="G18" i="1514"/>
  <c r="F18" i="1514"/>
  <c r="E18" i="1514"/>
  <c r="D18" i="1514"/>
  <c r="C18" i="1514"/>
  <c r="Y4" i="1514"/>
  <c r="W4" i="1514"/>
  <c r="V4" i="1514"/>
  <c r="U4" i="1514"/>
  <c r="T4" i="1514"/>
  <c r="P4" i="1514"/>
  <c r="O4" i="1514"/>
  <c r="N4" i="1514"/>
  <c r="M4" i="1514"/>
  <c r="L4" i="1514"/>
  <c r="K4" i="1514"/>
  <c r="J4" i="1514"/>
  <c r="I4" i="1514"/>
  <c r="H4" i="1514"/>
  <c r="G4" i="1514"/>
  <c r="F4" i="1514"/>
  <c r="E4" i="1514"/>
  <c r="D4" i="1514"/>
  <c r="C4" i="1514"/>
  <c r="Y3" i="1514"/>
  <c r="W3" i="1514"/>
  <c r="V3" i="1514"/>
  <c r="U3" i="1514"/>
  <c r="T3" i="1514"/>
  <c r="P3" i="1514"/>
  <c r="O3" i="1514"/>
  <c r="N3" i="1514"/>
  <c r="M3" i="1514"/>
  <c r="L3" i="1514"/>
  <c r="K3" i="1514"/>
  <c r="J3" i="1514"/>
  <c r="I3" i="1514"/>
  <c r="H3" i="1514"/>
  <c r="G3" i="1514"/>
  <c r="F3" i="1514"/>
  <c r="E3" i="1514"/>
  <c r="D3" i="1514"/>
  <c r="C3" i="1514"/>
  <c r="F21" i="1513"/>
  <c r="Y19" i="1513"/>
  <c r="W19" i="1513"/>
  <c r="V19" i="1513"/>
  <c r="U19" i="1513"/>
  <c r="T19" i="1513"/>
  <c r="P19" i="1513"/>
  <c r="O19" i="1513"/>
  <c r="N19" i="1513"/>
  <c r="M19" i="1513"/>
  <c r="L19" i="1513"/>
  <c r="K19" i="1513"/>
  <c r="J19" i="1513"/>
  <c r="I19" i="1513"/>
  <c r="H19" i="1513"/>
  <c r="G19" i="1513"/>
  <c r="F19" i="1513"/>
  <c r="E19" i="1513"/>
  <c r="D19" i="1513"/>
  <c r="C19" i="1513"/>
  <c r="Y18" i="1513"/>
  <c r="W18" i="1513"/>
  <c r="V18" i="1513"/>
  <c r="U18" i="1513"/>
  <c r="T18" i="1513"/>
  <c r="P18" i="1513"/>
  <c r="O18" i="1513"/>
  <c r="N18" i="1513"/>
  <c r="M18" i="1513"/>
  <c r="L18" i="1513"/>
  <c r="K18" i="1513"/>
  <c r="J18" i="1513"/>
  <c r="I18" i="1513"/>
  <c r="H18" i="1513"/>
  <c r="G18" i="1513"/>
  <c r="F18" i="1513"/>
  <c r="E18" i="1513"/>
  <c r="D18" i="1513"/>
  <c r="C18" i="1513"/>
  <c r="Y4" i="1513"/>
  <c r="W4" i="1513"/>
  <c r="V4" i="1513"/>
  <c r="U4" i="1513"/>
  <c r="T4" i="1513"/>
  <c r="P4" i="1513"/>
  <c r="O4" i="1513"/>
  <c r="N4" i="1513"/>
  <c r="M4" i="1513"/>
  <c r="L4" i="1513"/>
  <c r="K4" i="1513"/>
  <c r="J4" i="1513"/>
  <c r="I4" i="1513"/>
  <c r="H4" i="1513"/>
  <c r="G4" i="1513"/>
  <c r="F4" i="1513"/>
  <c r="E4" i="1513"/>
  <c r="D4" i="1513"/>
  <c r="C4" i="1513"/>
  <c r="Y3" i="1513"/>
  <c r="W3" i="1513"/>
  <c r="V3" i="1513"/>
  <c r="U3" i="1513"/>
  <c r="T3" i="1513"/>
  <c r="P3" i="1513"/>
  <c r="O3" i="1513"/>
  <c r="N3" i="1513"/>
  <c r="M3" i="1513"/>
  <c r="L3" i="1513"/>
  <c r="K3" i="1513"/>
  <c r="J3" i="1513"/>
  <c r="I3" i="1513"/>
  <c r="H3" i="1513"/>
  <c r="G3" i="1513"/>
  <c r="F3" i="1513"/>
  <c r="E3" i="1513"/>
  <c r="D3" i="1513"/>
  <c r="C3" i="1513"/>
  <c r="F21" i="1512"/>
  <c r="Y19" i="1512"/>
  <c r="W19" i="1512"/>
  <c r="V19" i="1512"/>
  <c r="U19" i="1512"/>
  <c r="T19" i="1512"/>
  <c r="P19" i="1512"/>
  <c r="O19" i="1512"/>
  <c r="N19" i="1512"/>
  <c r="M19" i="1512"/>
  <c r="L19" i="1512"/>
  <c r="K19" i="1512"/>
  <c r="J19" i="1512"/>
  <c r="I19" i="1512"/>
  <c r="H19" i="1512"/>
  <c r="G19" i="1512"/>
  <c r="F19" i="1512"/>
  <c r="E19" i="1512"/>
  <c r="D19" i="1512"/>
  <c r="C19" i="1512"/>
  <c r="Y18" i="1512"/>
  <c r="W18" i="1512"/>
  <c r="V18" i="1512"/>
  <c r="U18" i="1512"/>
  <c r="T18" i="1512"/>
  <c r="P18" i="1512"/>
  <c r="O18" i="1512"/>
  <c r="N18" i="1512"/>
  <c r="M18" i="1512"/>
  <c r="L18" i="1512"/>
  <c r="K18" i="1512"/>
  <c r="J18" i="1512"/>
  <c r="I18" i="1512"/>
  <c r="H18" i="1512"/>
  <c r="G18" i="1512"/>
  <c r="F18" i="1512"/>
  <c r="E18" i="1512"/>
  <c r="D18" i="1512"/>
  <c r="C18" i="1512"/>
  <c r="Y4" i="1512"/>
  <c r="W4" i="1512"/>
  <c r="V4" i="1512"/>
  <c r="U4" i="1512"/>
  <c r="T4" i="1512"/>
  <c r="P4" i="1512"/>
  <c r="O4" i="1512"/>
  <c r="N4" i="1512"/>
  <c r="M4" i="1512"/>
  <c r="L4" i="1512"/>
  <c r="K4" i="1512"/>
  <c r="J4" i="1512"/>
  <c r="I4" i="1512"/>
  <c r="H4" i="1512"/>
  <c r="G4" i="1512"/>
  <c r="F4" i="1512"/>
  <c r="E4" i="1512"/>
  <c r="D4" i="1512"/>
  <c r="C4" i="1512"/>
  <c r="Y3" i="1512"/>
  <c r="W3" i="1512"/>
  <c r="V3" i="1512"/>
  <c r="U3" i="1512"/>
  <c r="T3" i="1512"/>
  <c r="P3" i="1512"/>
  <c r="O3" i="1512"/>
  <c r="N3" i="1512"/>
  <c r="M3" i="1512"/>
  <c r="L3" i="1512"/>
  <c r="K3" i="1512"/>
  <c r="J3" i="1512"/>
  <c r="I3" i="1512"/>
  <c r="H3" i="1512"/>
  <c r="G3" i="1512"/>
  <c r="F3" i="1512"/>
  <c r="E3" i="1512"/>
  <c r="D3" i="1512"/>
  <c r="C3" i="1512"/>
  <c r="F21" i="1511"/>
  <c r="Y19" i="1511"/>
  <c r="W19" i="1511"/>
  <c r="V19" i="1511"/>
  <c r="U19" i="1511"/>
  <c r="T19" i="1511"/>
  <c r="P19" i="1511"/>
  <c r="O19" i="1511"/>
  <c r="N19" i="1511"/>
  <c r="M19" i="1511"/>
  <c r="L19" i="1511"/>
  <c r="K19" i="1511"/>
  <c r="J19" i="1511"/>
  <c r="I19" i="1511"/>
  <c r="H19" i="1511"/>
  <c r="G19" i="1511"/>
  <c r="F19" i="1511"/>
  <c r="E19" i="1511"/>
  <c r="D19" i="1511"/>
  <c r="C19" i="1511"/>
  <c r="Y18" i="1511"/>
  <c r="W18" i="1511"/>
  <c r="V18" i="1511"/>
  <c r="U18" i="1511"/>
  <c r="T18" i="1511"/>
  <c r="P18" i="1511"/>
  <c r="O18" i="1511"/>
  <c r="N18" i="1511"/>
  <c r="M18" i="1511"/>
  <c r="L18" i="1511"/>
  <c r="K18" i="1511"/>
  <c r="J18" i="1511"/>
  <c r="I18" i="1511"/>
  <c r="H18" i="1511"/>
  <c r="G18" i="1511"/>
  <c r="F18" i="1511"/>
  <c r="E18" i="1511"/>
  <c r="D18" i="1511"/>
  <c r="C18" i="1511"/>
  <c r="Y4" i="1511"/>
  <c r="W4" i="1511"/>
  <c r="V4" i="1511"/>
  <c r="U4" i="1511"/>
  <c r="T4" i="1511"/>
  <c r="P4" i="1511"/>
  <c r="O4" i="1511"/>
  <c r="N4" i="1511"/>
  <c r="M4" i="1511"/>
  <c r="L4" i="1511"/>
  <c r="K4" i="1511"/>
  <c r="J4" i="1511"/>
  <c r="I4" i="1511"/>
  <c r="H4" i="1511"/>
  <c r="G4" i="1511"/>
  <c r="F4" i="1511"/>
  <c r="E4" i="1511"/>
  <c r="D4" i="1511"/>
  <c r="C4" i="1511"/>
  <c r="Y3" i="1511"/>
  <c r="W3" i="1511"/>
  <c r="V3" i="1511"/>
  <c r="U3" i="1511"/>
  <c r="T3" i="1511"/>
  <c r="P3" i="1511"/>
  <c r="O3" i="1511"/>
  <c r="N3" i="1511"/>
  <c r="M3" i="1511"/>
  <c r="L3" i="1511"/>
  <c r="K3" i="1511"/>
  <c r="J3" i="1511"/>
  <c r="I3" i="1511"/>
  <c r="H3" i="1511"/>
  <c r="G3" i="1511"/>
  <c r="F3" i="1511"/>
  <c r="E3" i="1511"/>
  <c r="D3" i="1511"/>
  <c r="C3" i="1511"/>
  <c r="F21" i="1510"/>
  <c r="Y19" i="1510"/>
  <c r="W19" i="1510"/>
  <c r="V19" i="1510"/>
  <c r="U19" i="1510"/>
  <c r="T19" i="1510"/>
  <c r="P19" i="1510"/>
  <c r="O19" i="1510"/>
  <c r="N19" i="1510"/>
  <c r="M19" i="1510"/>
  <c r="L19" i="1510"/>
  <c r="K19" i="1510"/>
  <c r="J19" i="1510"/>
  <c r="I19" i="1510"/>
  <c r="H19" i="1510"/>
  <c r="G19" i="1510"/>
  <c r="F19" i="1510"/>
  <c r="E19" i="1510"/>
  <c r="D19" i="1510"/>
  <c r="C19" i="1510"/>
  <c r="Y18" i="1510"/>
  <c r="W18" i="1510"/>
  <c r="V18" i="1510"/>
  <c r="U18" i="1510"/>
  <c r="T18" i="1510"/>
  <c r="P18" i="1510"/>
  <c r="O18" i="1510"/>
  <c r="N18" i="1510"/>
  <c r="M18" i="1510"/>
  <c r="L18" i="1510"/>
  <c r="K18" i="1510"/>
  <c r="J18" i="1510"/>
  <c r="I18" i="1510"/>
  <c r="H18" i="1510"/>
  <c r="G18" i="1510"/>
  <c r="F18" i="1510"/>
  <c r="E18" i="1510"/>
  <c r="D18" i="1510"/>
  <c r="C18" i="1510"/>
  <c r="Y4" i="1510"/>
  <c r="W4" i="1510"/>
  <c r="V4" i="1510"/>
  <c r="U4" i="1510"/>
  <c r="T4" i="1510"/>
  <c r="P4" i="1510"/>
  <c r="O4" i="1510"/>
  <c r="N4" i="1510"/>
  <c r="M4" i="1510"/>
  <c r="L4" i="1510"/>
  <c r="K4" i="1510"/>
  <c r="J4" i="1510"/>
  <c r="I4" i="1510"/>
  <c r="H4" i="1510"/>
  <c r="G4" i="1510"/>
  <c r="F4" i="1510"/>
  <c r="E4" i="1510"/>
  <c r="D4" i="1510"/>
  <c r="C4" i="1510"/>
  <c r="Y3" i="1510"/>
  <c r="W3" i="1510"/>
  <c r="V3" i="1510"/>
  <c r="U3" i="1510"/>
  <c r="T3" i="1510"/>
  <c r="P3" i="1510"/>
  <c r="O3" i="1510"/>
  <c r="N3" i="1510"/>
  <c r="M3" i="1510"/>
  <c r="L3" i="1510"/>
  <c r="K3" i="1510"/>
  <c r="J3" i="1510"/>
  <c r="I3" i="1510"/>
  <c r="H3" i="1510"/>
  <c r="G3" i="1510"/>
  <c r="F3" i="1510"/>
  <c r="E3" i="1510"/>
  <c r="D3" i="1510"/>
  <c r="C3" i="1510"/>
  <c r="F21" i="1509"/>
  <c r="Y19" i="1509"/>
  <c r="W19" i="1509"/>
  <c r="V19" i="1509"/>
  <c r="U19" i="1509"/>
  <c r="T19" i="1509"/>
  <c r="P19" i="1509"/>
  <c r="O19" i="1509"/>
  <c r="N19" i="1509"/>
  <c r="M19" i="1509"/>
  <c r="L19" i="1509"/>
  <c r="K19" i="1509"/>
  <c r="J19" i="1509"/>
  <c r="I19" i="1509"/>
  <c r="H19" i="1509"/>
  <c r="G19" i="1509"/>
  <c r="F19" i="1509"/>
  <c r="E19" i="1509"/>
  <c r="D19" i="1509"/>
  <c r="C19" i="1509"/>
  <c r="Y18" i="1509"/>
  <c r="W18" i="1509"/>
  <c r="V18" i="1509"/>
  <c r="U18" i="1509"/>
  <c r="T18" i="1509"/>
  <c r="P18" i="1509"/>
  <c r="O18" i="1509"/>
  <c r="N18" i="1509"/>
  <c r="M18" i="1509"/>
  <c r="L18" i="1509"/>
  <c r="K18" i="1509"/>
  <c r="J18" i="1509"/>
  <c r="I18" i="1509"/>
  <c r="H18" i="1509"/>
  <c r="G18" i="1509"/>
  <c r="F18" i="1509"/>
  <c r="E18" i="1509"/>
  <c r="D18" i="1509"/>
  <c r="C18" i="1509"/>
  <c r="Y4" i="1509"/>
  <c r="W4" i="1509"/>
  <c r="V4" i="1509"/>
  <c r="U4" i="1509"/>
  <c r="T4" i="1509"/>
  <c r="P4" i="1509"/>
  <c r="O4" i="1509"/>
  <c r="N4" i="1509"/>
  <c r="M4" i="1509"/>
  <c r="L4" i="1509"/>
  <c r="K4" i="1509"/>
  <c r="J4" i="1509"/>
  <c r="I4" i="1509"/>
  <c r="H4" i="1509"/>
  <c r="G4" i="1509"/>
  <c r="F4" i="1509"/>
  <c r="E4" i="1509"/>
  <c r="D4" i="1509"/>
  <c r="C4" i="1509"/>
  <c r="Y3" i="1509"/>
  <c r="W3" i="1509"/>
  <c r="V3" i="1509"/>
  <c r="U3" i="1509"/>
  <c r="T3" i="1509"/>
  <c r="P3" i="1509"/>
  <c r="O3" i="1509"/>
  <c r="N3" i="1509"/>
  <c r="M3" i="1509"/>
  <c r="L3" i="1509"/>
  <c r="K3" i="1509"/>
  <c r="J3" i="1509"/>
  <c r="I3" i="1509"/>
  <c r="H3" i="1509"/>
  <c r="G3" i="1509"/>
  <c r="F3" i="1509"/>
  <c r="E3" i="1509"/>
  <c r="D3" i="1509"/>
  <c r="C3" i="1509"/>
  <c r="F21" i="1508"/>
  <c r="Y19" i="1508"/>
  <c r="W19" i="1508"/>
  <c r="V19" i="1508"/>
  <c r="U19" i="1508"/>
  <c r="T19" i="1508"/>
  <c r="P19" i="1508"/>
  <c r="O19" i="1508"/>
  <c r="N19" i="1508"/>
  <c r="M19" i="1508"/>
  <c r="L19" i="1508"/>
  <c r="K19" i="1508"/>
  <c r="J19" i="1508"/>
  <c r="I19" i="1508"/>
  <c r="H19" i="1508"/>
  <c r="G19" i="1508"/>
  <c r="F19" i="1508"/>
  <c r="E19" i="1508"/>
  <c r="D19" i="1508"/>
  <c r="C19" i="1508"/>
  <c r="Y18" i="1508"/>
  <c r="W18" i="1508"/>
  <c r="V18" i="1508"/>
  <c r="U18" i="1508"/>
  <c r="T18" i="1508"/>
  <c r="P18" i="1508"/>
  <c r="O18" i="1508"/>
  <c r="N18" i="1508"/>
  <c r="M18" i="1508"/>
  <c r="L18" i="1508"/>
  <c r="K18" i="1508"/>
  <c r="J18" i="1508"/>
  <c r="I18" i="1508"/>
  <c r="H18" i="1508"/>
  <c r="G18" i="1508"/>
  <c r="F18" i="1508"/>
  <c r="E18" i="1508"/>
  <c r="D18" i="1508"/>
  <c r="C18" i="1508"/>
  <c r="Y4" i="1508"/>
  <c r="W4" i="1508"/>
  <c r="V4" i="1508"/>
  <c r="U4" i="1508"/>
  <c r="T4" i="1508"/>
  <c r="P4" i="1508"/>
  <c r="O4" i="1508"/>
  <c r="N4" i="1508"/>
  <c r="M4" i="1508"/>
  <c r="L4" i="1508"/>
  <c r="K4" i="1508"/>
  <c r="J4" i="1508"/>
  <c r="I4" i="1508"/>
  <c r="H4" i="1508"/>
  <c r="G4" i="1508"/>
  <c r="F4" i="1508"/>
  <c r="E4" i="1508"/>
  <c r="D4" i="1508"/>
  <c r="C4" i="1508"/>
  <c r="Y3" i="1508"/>
  <c r="W3" i="1508"/>
  <c r="V3" i="1508"/>
  <c r="U3" i="1508"/>
  <c r="T3" i="1508"/>
  <c r="P3" i="1508"/>
  <c r="O3" i="1508"/>
  <c r="N3" i="1508"/>
  <c r="M3" i="1508"/>
  <c r="L3" i="1508"/>
  <c r="K3" i="1508"/>
  <c r="J3" i="1508"/>
  <c r="I3" i="1508"/>
  <c r="H3" i="1508"/>
  <c r="G3" i="1508"/>
  <c r="F3" i="1508"/>
  <c r="E3" i="1508"/>
  <c r="D3" i="1508"/>
  <c r="C3" i="1508"/>
  <c r="F21" i="1507"/>
  <c r="Y19" i="1507"/>
  <c r="W19" i="1507"/>
  <c r="V19" i="1507"/>
  <c r="U19" i="1507"/>
  <c r="T19" i="1507"/>
  <c r="P19" i="1507"/>
  <c r="O19" i="1507"/>
  <c r="N19" i="1507"/>
  <c r="M19" i="1507"/>
  <c r="L19" i="1507"/>
  <c r="K19" i="1507"/>
  <c r="J19" i="1507"/>
  <c r="I19" i="1507"/>
  <c r="H19" i="1507"/>
  <c r="G19" i="1507"/>
  <c r="F19" i="1507"/>
  <c r="E19" i="1507"/>
  <c r="D19" i="1507"/>
  <c r="C19" i="1507"/>
  <c r="Y18" i="1507"/>
  <c r="W18" i="1507"/>
  <c r="V18" i="1507"/>
  <c r="U18" i="1507"/>
  <c r="T18" i="1507"/>
  <c r="P18" i="1507"/>
  <c r="O18" i="1507"/>
  <c r="N18" i="1507"/>
  <c r="M18" i="1507"/>
  <c r="L18" i="1507"/>
  <c r="K18" i="1507"/>
  <c r="J18" i="1507"/>
  <c r="I18" i="1507"/>
  <c r="H18" i="1507"/>
  <c r="G18" i="1507"/>
  <c r="F18" i="1507"/>
  <c r="E18" i="1507"/>
  <c r="D18" i="1507"/>
  <c r="C18" i="1507"/>
  <c r="Y4" i="1507"/>
  <c r="W4" i="1507"/>
  <c r="V4" i="1507"/>
  <c r="U4" i="1507"/>
  <c r="T4" i="1507"/>
  <c r="P4" i="1507"/>
  <c r="O4" i="1507"/>
  <c r="N4" i="1507"/>
  <c r="M4" i="1507"/>
  <c r="L4" i="1507"/>
  <c r="K4" i="1507"/>
  <c r="J4" i="1507"/>
  <c r="I4" i="1507"/>
  <c r="H4" i="1507"/>
  <c r="G4" i="1507"/>
  <c r="F4" i="1507"/>
  <c r="E4" i="1507"/>
  <c r="D4" i="1507"/>
  <c r="C4" i="1507"/>
  <c r="Y3" i="1507"/>
  <c r="W3" i="1507"/>
  <c r="V3" i="1507"/>
  <c r="U3" i="1507"/>
  <c r="T3" i="1507"/>
  <c r="P3" i="1507"/>
  <c r="O3" i="1507"/>
  <c r="N3" i="1507"/>
  <c r="M3" i="1507"/>
  <c r="L3" i="1507"/>
  <c r="K3" i="1507"/>
  <c r="J3" i="1507"/>
  <c r="I3" i="1507"/>
  <c r="H3" i="1507"/>
  <c r="G3" i="1507"/>
  <c r="F3" i="1507"/>
  <c r="E3" i="1507"/>
  <c r="D3" i="1507"/>
  <c r="C3" i="1507"/>
  <c r="F21" i="1506"/>
  <c r="Y19" i="1506"/>
  <c r="W19" i="1506"/>
  <c r="V19" i="1506"/>
  <c r="U19" i="1506"/>
  <c r="T19" i="1506"/>
  <c r="P19" i="1506"/>
  <c r="O19" i="1506"/>
  <c r="N19" i="1506"/>
  <c r="M19" i="1506"/>
  <c r="L19" i="1506"/>
  <c r="K19" i="1506"/>
  <c r="J19" i="1506"/>
  <c r="I19" i="1506"/>
  <c r="H19" i="1506"/>
  <c r="G19" i="1506"/>
  <c r="F19" i="1506"/>
  <c r="E19" i="1506"/>
  <c r="D19" i="1506"/>
  <c r="C19" i="1506"/>
  <c r="Y18" i="1506"/>
  <c r="W18" i="1506"/>
  <c r="V18" i="1506"/>
  <c r="U18" i="1506"/>
  <c r="T18" i="1506"/>
  <c r="P18" i="1506"/>
  <c r="O18" i="1506"/>
  <c r="N18" i="1506"/>
  <c r="M18" i="1506"/>
  <c r="L18" i="1506"/>
  <c r="K18" i="1506"/>
  <c r="J18" i="1506"/>
  <c r="I18" i="1506"/>
  <c r="H18" i="1506"/>
  <c r="G18" i="1506"/>
  <c r="F18" i="1506"/>
  <c r="E18" i="1506"/>
  <c r="D18" i="1506"/>
  <c r="C18" i="1506"/>
  <c r="Y4" i="1506"/>
  <c r="W4" i="1506"/>
  <c r="V4" i="1506"/>
  <c r="U4" i="1506"/>
  <c r="T4" i="1506"/>
  <c r="P4" i="1506"/>
  <c r="O4" i="1506"/>
  <c r="N4" i="1506"/>
  <c r="M4" i="1506"/>
  <c r="L4" i="1506"/>
  <c r="K4" i="1506"/>
  <c r="J4" i="1506"/>
  <c r="I4" i="1506"/>
  <c r="H4" i="1506"/>
  <c r="G4" i="1506"/>
  <c r="F4" i="1506"/>
  <c r="E4" i="1506"/>
  <c r="D4" i="1506"/>
  <c r="C4" i="1506"/>
  <c r="Y3" i="1506"/>
  <c r="W3" i="1506"/>
  <c r="V3" i="1506"/>
  <c r="U3" i="1506"/>
  <c r="T3" i="1506"/>
  <c r="P3" i="1506"/>
  <c r="O3" i="1506"/>
  <c r="N3" i="1506"/>
  <c r="M3" i="1506"/>
  <c r="L3" i="1506"/>
  <c r="K3" i="1506"/>
  <c r="J3" i="1506"/>
  <c r="I3" i="1506"/>
  <c r="H3" i="1506"/>
  <c r="G3" i="1506"/>
  <c r="F3" i="1506"/>
  <c r="E3" i="1506"/>
  <c r="D3" i="1506"/>
  <c r="C3" i="1506"/>
  <c r="F21" i="1505"/>
  <c r="Y19" i="1505"/>
  <c r="W19" i="1505"/>
  <c r="V19" i="1505"/>
  <c r="U19" i="1505"/>
  <c r="T19" i="1505"/>
  <c r="P19" i="1505"/>
  <c r="O19" i="1505"/>
  <c r="N19" i="1505"/>
  <c r="M19" i="1505"/>
  <c r="L19" i="1505"/>
  <c r="K19" i="1505"/>
  <c r="J19" i="1505"/>
  <c r="I19" i="1505"/>
  <c r="H19" i="1505"/>
  <c r="G19" i="1505"/>
  <c r="F19" i="1505"/>
  <c r="E19" i="1505"/>
  <c r="D19" i="1505"/>
  <c r="C19" i="1505"/>
  <c r="Y18" i="1505"/>
  <c r="W18" i="1505"/>
  <c r="V18" i="1505"/>
  <c r="U18" i="1505"/>
  <c r="T18" i="1505"/>
  <c r="P18" i="1505"/>
  <c r="O18" i="1505"/>
  <c r="N18" i="1505"/>
  <c r="M18" i="1505"/>
  <c r="L18" i="1505"/>
  <c r="K18" i="1505"/>
  <c r="J18" i="1505"/>
  <c r="I18" i="1505"/>
  <c r="H18" i="1505"/>
  <c r="G18" i="1505"/>
  <c r="F18" i="1505"/>
  <c r="E18" i="1505"/>
  <c r="D18" i="1505"/>
  <c r="C18" i="1505"/>
  <c r="Y4" i="1505"/>
  <c r="W4" i="1505"/>
  <c r="V4" i="1505"/>
  <c r="U4" i="1505"/>
  <c r="T4" i="1505"/>
  <c r="P4" i="1505"/>
  <c r="O4" i="1505"/>
  <c r="N4" i="1505"/>
  <c r="M4" i="1505"/>
  <c r="L4" i="1505"/>
  <c r="K4" i="1505"/>
  <c r="J4" i="1505"/>
  <c r="I4" i="1505"/>
  <c r="H4" i="1505"/>
  <c r="G4" i="1505"/>
  <c r="F4" i="1505"/>
  <c r="E4" i="1505"/>
  <c r="D4" i="1505"/>
  <c r="C4" i="1505"/>
  <c r="Y3" i="1505"/>
  <c r="W3" i="1505"/>
  <c r="V3" i="1505"/>
  <c r="U3" i="1505"/>
  <c r="T3" i="1505"/>
  <c r="P3" i="1505"/>
  <c r="O3" i="1505"/>
  <c r="N3" i="1505"/>
  <c r="M3" i="1505"/>
  <c r="L3" i="1505"/>
  <c r="K3" i="1505"/>
  <c r="J3" i="1505"/>
  <c r="I3" i="1505"/>
  <c r="H3" i="1505"/>
  <c r="G3" i="1505"/>
  <c r="F3" i="1505"/>
  <c r="E3" i="1505"/>
  <c r="D3" i="1505"/>
  <c r="C3" i="1505"/>
  <c r="F21" i="1504"/>
  <c r="Y19" i="1504"/>
  <c r="W19" i="1504"/>
  <c r="V19" i="1504"/>
  <c r="U19" i="1504"/>
  <c r="T19" i="1504"/>
  <c r="P19" i="1504"/>
  <c r="O19" i="1504"/>
  <c r="N19" i="1504"/>
  <c r="M19" i="1504"/>
  <c r="L19" i="1504"/>
  <c r="K19" i="1504"/>
  <c r="J19" i="1504"/>
  <c r="I19" i="1504"/>
  <c r="H19" i="1504"/>
  <c r="G19" i="1504"/>
  <c r="F19" i="1504"/>
  <c r="E19" i="1504"/>
  <c r="D19" i="1504"/>
  <c r="C19" i="1504"/>
  <c r="Y18" i="1504"/>
  <c r="W18" i="1504"/>
  <c r="V18" i="1504"/>
  <c r="U18" i="1504"/>
  <c r="T18" i="1504"/>
  <c r="P18" i="1504"/>
  <c r="O18" i="1504"/>
  <c r="N18" i="1504"/>
  <c r="M18" i="1504"/>
  <c r="L18" i="1504"/>
  <c r="K18" i="1504"/>
  <c r="J18" i="1504"/>
  <c r="I18" i="1504"/>
  <c r="H18" i="1504"/>
  <c r="G18" i="1504"/>
  <c r="F18" i="1504"/>
  <c r="E18" i="1504"/>
  <c r="D18" i="1504"/>
  <c r="C18" i="1504"/>
  <c r="Y4" i="1504"/>
  <c r="W4" i="1504"/>
  <c r="V4" i="1504"/>
  <c r="U4" i="1504"/>
  <c r="T4" i="1504"/>
  <c r="P4" i="1504"/>
  <c r="O4" i="1504"/>
  <c r="N4" i="1504"/>
  <c r="M4" i="1504"/>
  <c r="L4" i="1504"/>
  <c r="K4" i="1504"/>
  <c r="J4" i="1504"/>
  <c r="I4" i="1504"/>
  <c r="H4" i="1504"/>
  <c r="G4" i="1504"/>
  <c r="F4" i="1504"/>
  <c r="E4" i="1504"/>
  <c r="D4" i="1504"/>
  <c r="C4" i="1504"/>
  <c r="Y3" i="1504"/>
  <c r="W3" i="1504"/>
  <c r="V3" i="1504"/>
  <c r="U3" i="1504"/>
  <c r="T3" i="1504"/>
  <c r="P3" i="1504"/>
  <c r="O3" i="1504"/>
  <c r="N3" i="1504"/>
  <c r="M3" i="1504"/>
  <c r="L3" i="1504"/>
  <c r="K3" i="1504"/>
  <c r="J3" i="1504"/>
  <c r="I3" i="1504"/>
  <c r="H3" i="1504"/>
  <c r="G3" i="1504"/>
  <c r="F3" i="1504"/>
  <c r="E3" i="1504"/>
  <c r="D3" i="1504"/>
  <c r="C3" i="1504"/>
  <c r="F21" i="1503"/>
  <c r="Y19" i="1503"/>
  <c r="W19" i="1503"/>
  <c r="V19" i="1503"/>
  <c r="U19" i="1503"/>
  <c r="T19" i="1503"/>
  <c r="P19" i="1503"/>
  <c r="O19" i="1503"/>
  <c r="N19" i="1503"/>
  <c r="M19" i="1503"/>
  <c r="L19" i="1503"/>
  <c r="K19" i="1503"/>
  <c r="J19" i="1503"/>
  <c r="I19" i="1503"/>
  <c r="H19" i="1503"/>
  <c r="G19" i="1503"/>
  <c r="F19" i="1503"/>
  <c r="E19" i="1503"/>
  <c r="D19" i="1503"/>
  <c r="C19" i="1503"/>
  <c r="Y18" i="1503"/>
  <c r="W18" i="1503"/>
  <c r="V18" i="1503"/>
  <c r="U18" i="1503"/>
  <c r="T18" i="1503"/>
  <c r="P18" i="1503"/>
  <c r="O18" i="1503"/>
  <c r="N18" i="1503"/>
  <c r="M18" i="1503"/>
  <c r="L18" i="1503"/>
  <c r="K18" i="1503"/>
  <c r="J18" i="1503"/>
  <c r="I18" i="1503"/>
  <c r="H18" i="1503"/>
  <c r="G18" i="1503"/>
  <c r="F18" i="1503"/>
  <c r="E18" i="1503"/>
  <c r="D18" i="1503"/>
  <c r="C18" i="1503"/>
  <c r="Y4" i="1503"/>
  <c r="W4" i="1503"/>
  <c r="V4" i="1503"/>
  <c r="U4" i="1503"/>
  <c r="T4" i="1503"/>
  <c r="P4" i="1503"/>
  <c r="O4" i="1503"/>
  <c r="N4" i="1503"/>
  <c r="M4" i="1503"/>
  <c r="L4" i="1503"/>
  <c r="K4" i="1503"/>
  <c r="J4" i="1503"/>
  <c r="I4" i="1503"/>
  <c r="H4" i="1503"/>
  <c r="G4" i="1503"/>
  <c r="F4" i="1503"/>
  <c r="E4" i="1503"/>
  <c r="D4" i="1503"/>
  <c r="C4" i="1503"/>
  <c r="Y3" i="1503"/>
  <c r="W3" i="1503"/>
  <c r="V3" i="1503"/>
  <c r="U3" i="1503"/>
  <c r="T3" i="1503"/>
  <c r="P3" i="1503"/>
  <c r="O3" i="1503"/>
  <c r="N3" i="1503"/>
  <c r="M3" i="1503"/>
  <c r="L3" i="1503"/>
  <c r="K3" i="1503"/>
  <c r="J3" i="1503"/>
  <c r="I3" i="1503"/>
  <c r="H3" i="1503"/>
  <c r="G3" i="1503"/>
  <c r="F3" i="1503"/>
  <c r="E3" i="1503"/>
  <c r="D3" i="1503"/>
  <c r="C3" i="1503"/>
  <c r="F21" i="1502"/>
  <c r="Y19" i="1502"/>
  <c r="W19" i="1502"/>
  <c r="V19" i="1502"/>
  <c r="U19" i="1502"/>
  <c r="T19" i="1502"/>
  <c r="P19" i="1502"/>
  <c r="O19" i="1502"/>
  <c r="N19" i="1502"/>
  <c r="M19" i="1502"/>
  <c r="L19" i="1502"/>
  <c r="K19" i="1502"/>
  <c r="J19" i="1502"/>
  <c r="I19" i="1502"/>
  <c r="H19" i="1502"/>
  <c r="G19" i="1502"/>
  <c r="F19" i="1502"/>
  <c r="E19" i="1502"/>
  <c r="D19" i="1502"/>
  <c r="C19" i="1502"/>
  <c r="Y18" i="1502"/>
  <c r="W18" i="1502"/>
  <c r="V18" i="1502"/>
  <c r="U18" i="1502"/>
  <c r="T18" i="1502"/>
  <c r="P18" i="1502"/>
  <c r="O18" i="1502"/>
  <c r="N18" i="1502"/>
  <c r="M18" i="1502"/>
  <c r="L18" i="1502"/>
  <c r="K18" i="1502"/>
  <c r="J18" i="1502"/>
  <c r="I18" i="1502"/>
  <c r="H18" i="1502"/>
  <c r="G18" i="1502"/>
  <c r="F18" i="1502"/>
  <c r="E18" i="1502"/>
  <c r="D18" i="1502"/>
  <c r="C18" i="1502"/>
  <c r="Y4" i="1502"/>
  <c r="W4" i="1502"/>
  <c r="V4" i="1502"/>
  <c r="U4" i="1502"/>
  <c r="T4" i="1502"/>
  <c r="P4" i="1502"/>
  <c r="O4" i="1502"/>
  <c r="N4" i="1502"/>
  <c r="M4" i="1502"/>
  <c r="L4" i="1502"/>
  <c r="K4" i="1502"/>
  <c r="J4" i="1502"/>
  <c r="I4" i="1502"/>
  <c r="H4" i="1502"/>
  <c r="G4" i="1502"/>
  <c r="F4" i="1502"/>
  <c r="E4" i="1502"/>
  <c r="D4" i="1502"/>
  <c r="C4" i="1502"/>
  <c r="Y3" i="1502"/>
  <c r="W3" i="1502"/>
  <c r="V3" i="1502"/>
  <c r="U3" i="1502"/>
  <c r="T3" i="1502"/>
  <c r="P3" i="1502"/>
  <c r="O3" i="1502"/>
  <c r="N3" i="1502"/>
  <c r="M3" i="1502"/>
  <c r="L3" i="1502"/>
  <c r="K3" i="1502"/>
  <c r="J3" i="1502"/>
  <c r="I3" i="1502"/>
  <c r="H3" i="1502"/>
  <c r="G3" i="1502"/>
  <c r="F3" i="1502"/>
  <c r="E3" i="1502"/>
  <c r="D3" i="1502"/>
  <c r="C3" i="1502"/>
  <c r="F21" i="1501"/>
  <c r="Y19" i="1501"/>
  <c r="W19" i="1501"/>
  <c r="V19" i="1501"/>
  <c r="U19" i="1501"/>
  <c r="T19" i="1501"/>
  <c r="P19" i="1501"/>
  <c r="O19" i="1501"/>
  <c r="N19" i="1501"/>
  <c r="M19" i="1501"/>
  <c r="L19" i="1501"/>
  <c r="K19" i="1501"/>
  <c r="J19" i="1501"/>
  <c r="I19" i="1501"/>
  <c r="H19" i="1501"/>
  <c r="G19" i="1501"/>
  <c r="F19" i="1501"/>
  <c r="E19" i="1501"/>
  <c r="D19" i="1501"/>
  <c r="C19" i="1501"/>
  <c r="Y18" i="1501"/>
  <c r="W18" i="1501"/>
  <c r="V18" i="1501"/>
  <c r="U18" i="1501"/>
  <c r="T18" i="1501"/>
  <c r="P18" i="1501"/>
  <c r="O18" i="1501"/>
  <c r="N18" i="1501"/>
  <c r="M18" i="1501"/>
  <c r="L18" i="1501"/>
  <c r="K18" i="1501"/>
  <c r="J18" i="1501"/>
  <c r="I18" i="1501"/>
  <c r="H18" i="1501"/>
  <c r="G18" i="1501"/>
  <c r="F18" i="1501"/>
  <c r="E18" i="1501"/>
  <c r="D18" i="1501"/>
  <c r="C18" i="1501"/>
  <c r="Y4" i="1501"/>
  <c r="W4" i="1501"/>
  <c r="V4" i="1501"/>
  <c r="U4" i="1501"/>
  <c r="T4" i="1501"/>
  <c r="P4" i="1501"/>
  <c r="O4" i="1501"/>
  <c r="N4" i="1501"/>
  <c r="M4" i="1501"/>
  <c r="L4" i="1501"/>
  <c r="K4" i="1501"/>
  <c r="J4" i="1501"/>
  <c r="I4" i="1501"/>
  <c r="H4" i="1501"/>
  <c r="G4" i="1501"/>
  <c r="F4" i="1501"/>
  <c r="E4" i="1501"/>
  <c r="D4" i="1501"/>
  <c r="C4" i="1501"/>
  <c r="Y3" i="1501"/>
  <c r="W3" i="1501"/>
  <c r="V3" i="1501"/>
  <c r="U3" i="1501"/>
  <c r="T3" i="1501"/>
  <c r="P3" i="1501"/>
  <c r="O3" i="1501"/>
  <c r="N3" i="1501"/>
  <c r="M3" i="1501"/>
  <c r="L3" i="1501"/>
  <c r="K3" i="1501"/>
  <c r="J3" i="1501"/>
  <c r="I3" i="1501"/>
  <c r="H3" i="1501"/>
  <c r="G3" i="1501"/>
  <c r="F3" i="1501"/>
  <c r="E3" i="1501"/>
  <c r="D3" i="1501"/>
  <c r="C3" i="1501"/>
  <c r="F21" i="1500"/>
  <c r="Y19" i="1500"/>
  <c r="W19" i="1500"/>
  <c r="V19" i="1500"/>
  <c r="U19" i="1500"/>
  <c r="T19" i="1500"/>
  <c r="P19" i="1500"/>
  <c r="O19" i="1500"/>
  <c r="N19" i="1500"/>
  <c r="M19" i="1500"/>
  <c r="L19" i="1500"/>
  <c r="K19" i="1500"/>
  <c r="J19" i="1500"/>
  <c r="I19" i="1500"/>
  <c r="H19" i="1500"/>
  <c r="G19" i="1500"/>
  <c r="F19" i="1500"/>
  <c r="E19" i="1500"/>
  <c r="D19" i="1500"/>
  <c r="C19" i="1500"/>
  <c r="Y18" i="1500"/>
  <c r="W18" i="1500"/>
  <c r="V18" i="1500"/>
  <c r="U18" i="1500"/>
  <c r="T18" i="1500"/>
  <c r="P18" i="1500"/>
  <c r="O18" i="1500"/>
  <c r="N18" i="1500"/>
  <c r="M18" i="1500"/>
  <c r="L18" i="1500"/>
  <c r="K18" i="1500"/>
  <c r="J18" i="1500"/>
  <c r="I18" i="1500"/>
  <c r="H18" i="1500"/>
  <c r="G18" i="1500"/>
  <c r="F18" i="1500"/>
  <c r="E18" i="1500"/>
  <c r="D18" i="1500"/>
  <c r="C18" i="1500"/>
  <c r="Y4" i="1500"/>
  <c r="W4" i="1500"/>
  <c r="V4" i="1500"/>
  <c r="U4" i="1500"/>
  <c r="T4" i="1500"/>
  <c r="P4" i="1500"/>
  <c r="O4" i="1500"/>
  <c r="N4" i="1500"/>
  <c r="M4" i="1500"/>
  <c r="L4" i="1500"/>
  <c r="K4" i="1500"/>
  <c r="J4" i="1500"/>
  <c r="I4" i="1500"/>
  <c r="H4" i="1500"/>
  <c r="G4" i="1500"/>
  <c r="F4" i="1500"/>
  <c r="E4" i="1500"/>
  <c r="D4" i="1500"/>
  <c r="C4" i="1500"/>
  <c r="Y3" i="1500"/>
  <c r="W3" i="1500"/>
  <c r="V3" i="1500"/>
  <c r="U3" i="1500"/>
  <c r="T3" i="1500"/>
  <c r="P3" i="1500"/>
  <c r="O3" i="1500"/>
  <c r="N3" i="1500"/>
  <c r="M3" i="1500"/>
  <c r="L3" i="1500"/>
  <c r="K3" i="1500"/>
  <c r="J3" i="1500"/>
  <c r="I3" i="1500"/>
  <c r="H3" i="1500"/>
  <c r="G3" i="1500"/>
  <c r="F3" i="1500"/>
  <c r="E3" i="1500"/>
  <c r="D3" i="1500"/>
  <c r="C3" i="1500"/>
  <c r="C45" i="1494"/>
  <c r="C44" i="1494"/>
  <c r="C45" i="1492"/>
  <c r="C44" i="1492"/>
  <c r="C45" i="1493"/>
  <c r="C44" i="1493"/>
  <c r="C45" i="1483" l="1"/>
  <c r="C44" i="1483"/>
  <c r="C45" i="1486"/>
  <c r="C44" i="1486"/>
  <c r="C44" i="1485"/>
  <c r="C45" i="1499"/>
  <c r="C44" i="1499"/>
  <c r="C45" i="1482"/>
  <c r="C44" i="1482"/>
  <c r="F21" i="1499"/>
  <c r="Y19" i="1499"/>
  <c r="W19" i="1499"/>
  <c r="V19" i="1499"/>
  <c r="U19" i="1499"/>
  <c r="T19" i="1499"/>
  <c r="P19" i="1499"/>
  <c r="O19" i="1499"/>
  <c r="N19" i="1499"/>
  <c r="M19" i="1499"/>
  <c r="L19" i="1499"/>
  <c r="K19" i="1499"/>
  <c r="J19" i="1499"/>
  <c r="I19" i="1499"/>
  <c r="H19" i="1499"/>
  <c r="G19" i="1499"/>
  <c r="F19" i="1499"/>
  <c r="E19" i="1499"/>
  <c r="D19" i="1499"/>
  <c r="C19" i="1499"/>
  <c r="Y18" i="1499"/>
  <c r="W18" i="1499"/>
  <c r="V18" i="1499"/>
  <c r="U18" i="1499"/>
  <c r="T18" i="1499"/>
  <c r="P18" i="1499"/>
  <c r="O18" i="1499"/>
  <c r="N18" i="1499"/>
  <c r="M18" i="1499"/>
  <c r="L18" i="1499"/>
  <c r="K18" i="1499"/>
  <c r="J18" i="1499"/>
  <c r="I18" i="1499"/>
  <c r="H18" i="1499"/>
  <c r="G18" i="1499"/>
  <c r="F18" i="1499"/>
  <c r="E18" i="1499"/>
  <c r="D18" i="1499"/>
  <c r="C18" i="1499"/>
  <c r="Y4" i="1499"/>
  <c r="W4" i="1499"/>
  <c r="V4" i="1499"/>
  <c r="U4" i="1499"/>
  <c r="T4" i="1499"/>
  <c r="P4" i="1499"/>
  <c r="O4" i="1499"/>
  <c r="N4" i="1499"/>
  <c r="M4" i="1499"/>
  <c r="L4" i="1499"/>
  <c r="K4" i="1499"/>
  <c r="J4" i="1499"/>
  <c r="I4" i="1499"/>
  <c r="H4" i="1499"/>
  <c r="G4" i="1499"/>
  <c r="F4" i="1499"/>
  <c r="E4" i="1499"/>
  <c r="D4" i="1499"/>
  <c r="C4" i="1499"/>
  <c r="Y3" i="1499"/>
  <c r="W3" i="1499"/>
  <c r="V3" i="1499"/>
  <c r="U3" i="1499"/>
  <c r="T3" i="1499"/>
  <c r="P3" i="1499"/>
  <c r="O3" i="1499"/>
  <c r="N3" i="1499"/>
  <c r="M3" i="1499"/>
  <c r="L3" i="1499"/>
  <c r="K3" i="1499"/>
  <c r="J3" i="1499"/>
  <c r="I3" i="1499"/>
  <c r="H3" i="1499"/>
  <c r="G3" i="1499"/>
  <c r="F3" i="1499"/>
  <c r="E3" i="1499"/>
  <c r="D3" i="1499"/>
  <c r="C3" i="1499"/>
  <c r="C45" i="1481"/>
  <c r="C44" i="1481"/>
  <c r="C45" i="1478"/>
  <c r="C44" i="1478"/>
  <c r="C45" i="1479"/>
  <c r="C44" i="1479"/>
  <c r="C44" i="1477"/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<sst xmlns="http://schemas.openxmlformats.org/spreadsheetml/2006/main" count="7281" uniqueCount="213">
  <si>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</si>
  <si>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</si>
  <si>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</si>
  <si>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</si>
  <si>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</si>
  <si>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</si>
  <si>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</si>
  <si>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</si>
  <si>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</si>
  <si>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</si>
  <si>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</si>
  <si>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</si>
  <si>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</si>
  <si>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</si>
  <si>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</si>
  <si>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</si>
  <si>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</si>
  <si>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</si>
  <si>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</si>
  <si>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</si>
  <si>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</si>
  <si>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</si>
  <si>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</si>
  <si>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</si>
  <si>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</si>
  <si>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</si>
  <si>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</si>
  <si>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</si>
  <si>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</si>
  <si>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</si>
  <si>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</si>
  <si>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</si>
  <si>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</si>
  <si>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</si>
  <si>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</si>
  <si>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</si>
  <si>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</si>
  <si>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</si>
  <si>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</si>
  <si>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</si>
  <si>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</si>
  <si>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</si>
  <si>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</si>
  <si>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</si>
  <si>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</si>
  <si>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</si>
  <si>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</si>
  <si>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</si>
  <si>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</si>
  <si>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</si>
  <si>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</si>
  <si>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</si>
  <si>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</si>
  <si>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</si>
  <si>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</si>
  <si>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</si>
  <si>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</si>
  <si>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</si>
  <si>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</si>
  <si>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</si>
  <si>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</si>
  <si>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</si>
  <si>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</si>
  <si>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</si>
  <si>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</si>
  <si>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</si>
  <si>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</si>
  <si>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</si>
  <si>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</si>
  <si>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</si>
  <si>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</si>
  <si>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</si>
  <si>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</si>
  <si>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</si>
  <si>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</si>
  <si>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</si>
  <si>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</si>
  <si>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</si>
  <si>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</si>
  <si>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</si>
  <si>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</si>
  <si>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</si>
  <si>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</si>
  <si>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</si>
  <si>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</si>
  <si>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</si>
  <si>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</si>
  <si>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</si>
  <si>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</si>
  <si>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</si>
  <si>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</si>
  <si>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</si>
  <si>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</si>
  <si>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</si>
  <si>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</si>
  <si>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</si>
  <si>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</si>
  <si>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</si>
  <si>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</si>
  <si>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</si>
  <si>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</si>
  <si>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</si>
  <si>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</si>
  <si>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</si>
  <si>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</si>
  <si>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</si>
  <si>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</si>
  <si>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</si>
  <si>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</si>
  <si>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</si>
  <si>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</si>
  <si>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</si>
  <si>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</si>
  <si>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</si>
  <si>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</si>
  <si>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</si>
  <si>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</si>
  <si>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</si>
  <si>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</si>
  <si>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</si>
  <si>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</si>
  <si>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</si>
  <si>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</si>
  <si>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</si>
  <si>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</si>
  <si>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</si>
  <si>
    <t>5/6b</t>
  </si>
  <si>
    <t>6/13b</t>
  </si>
  <si>
    <t>11/19b</t>
  </si>
  <si>
    <t>14/20B</t>
  </si>
  <si>
    <t>4B</t>
  </si>
  <si>
    <t>11/6b</t>
  </si>
  <si>
    <t>2/15b</t>
  </si>
  <si>
    <t>13/21b</t>
  </si>
  <si>
    <t>5b</t>
  </si>
  <si>
    <t>9/19b</t>
  </si>
  <si>
    <t>9/4b</t>
  </si>
  <si>
    <t>20/13B</t>
  </si>
  <si>
    <t>4/16B</t>
  </si>
  <si>
    <t>15/21B</t>
  </si>
  <si>
    <t>10/7B</t>
  </si>
  <si>
    <t>2/8B</t>
  </si>
  <si>
    <t>12/15B</t>
  </si>
  <si>
    <t>9/19B</t>
  </si>
  <si>
    <t>8/4B</t>
  </si>
  <si>
    <t>9/4B</t>
  </si>
  <si>
    <t>10/14B</t>
  </si>
  <si>
    <t>22/4B</t>
  </si>
  <si>
    <t>19/16B</t>
  </si>
  <si>
    <t>16/17B</t>
  </si>
  <si>
    <t>15B</t>
  </si>
  <si>
    <t>17/8B</t>
  </si>
  <si>
    <t>14/4B</t>
  </si>
  <si>
    <t>6/10B</t>
  </si>
  <si>
    <t>20/14B</t>
  </si>
  <si>
    <t>4/8B</t>
  </si>
  <si>
    <t>8/14B</t>
  </si>
  <si>
    <t>6/4B</t>
  </si>
  <si>
    <t>25/16B</t>
  </si>
  <si>
    <t>5/12B</t>
  </si>
  <si>
    <t>20/4B</t>
  </si>
  <si>
    <t>15/22B</t>
  </si>
  <si>
    <t>26/10B</t>
  </si>
  <si>
    <t>DATE ___________03/17/2026___________</t>
  </si>
  <si>
    <t>DATE ___________03/18/2026___________</t>
  </si>
  <si>
    <t>DATE ___________03/19/2026___________</t>
  </si>
  <si>
    <t>DATE ___________03/20/2026___________</t>
  </si>
  <si>
    <t>20/22B</t>
  </si>
  <si>
    <t>15/14B</t>
  </si>
  <si>
    <t>5/8B</t>
  </si>
  <si>
    <t>16/13B</t>
  </si>
  <si>
    <t>2/19B</t>
  </si>
  <si>
    <t>19/8B</t>
  </si>
  <si>
    <t>6/8B</t>
  </si>
  <si>
    <t>41/12B</t>
  </si>
  <si>
    <t>5/6B</t>
  </si>
  <si>
    <t>36/6B</t>
  </si>
  <si>
    <t>12/8B</t>
  </si>
  <si>
    <t>5/11B</t>
  </si>
  <si>
    <t>17/19B</t>
  </si>
  <si>
    <t>5/14B</t>
  </si>
  <si>
    <t>1/6B</t>
  </si>
  <si>
    <t>15/11B</t>
  </si>
  <si>
    <t>3/17B</t>
  </si>
  <si>
    <t>1/13B</t>
  </si>
  <si>
    <t>8/10B</t>
  </si>
  <si>
    <t>12/4B</t>
  </si>
  <si>
    <t>3/1B</t>
  </si>
  <si>
    <t>13/6B</t>
  </si>
  <si>
    <t>18/17B</t>
  </si>
  <si>
    <t>5/1B</t>
  </si>
  <si>
    <t>13/16B</t>
  </si>
  <si>
    <t>8B</t>
  </si>
  <si>
    <t>20/10B</t>
  </si>
  <si>
    <t>15/1B</t>
  </si>
  <si>
    <t>7/12B</t>
  </si>
  <si>
    <t>3/12B</t>
  </si>
  <si>
    <t>1/1B</t>
  </si>
  <si>
    <t>13/1B</t>
  </si>
  <si>
    <t>1/4B</t>
  </si>
  <si>
    <t>12/11B</t>
  </si>
  <si>
    <t>8/13B</t>
  </si>
  <si>
    <t>DATE ___________03/24/2026___________</t>
  </si>
  <si>
    <t>DATE ___________03/25/2026___________</t>
  </si>
  <si>
    <t>DATE ___________03/23/2026___________</t>
  </si>
  <si>
    <t>22/13B</t>
  </si>
  <si>
    <t>21/11B</t>
  </si>
  <si>
    <t>1/2B</t>
  </si>
  <si>
    <t>20/1B</t>
  </si>
  <si>
    <t>1/15B</t>
  </si>
  <si>
    <t>18/10B</t>
  </si>
  <si>
    <t>1/19B</t>
  </si>
  <si>
    <t>13/13B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</si>
</sst>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styles" Target="style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61" Type="http://schemas.openxmlformats.org/officeDocument/2006/relationships/worksheet" Target="worksheets/sheet61.xml"/><Relationship Id="rId82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1+1+1+6+2+2+18+1+12+308</f>
        <v>352</v>
      </c>
      <c r="D44" s="92"/>
      <c r="E44" s="92"/>
    </row>
    <row r="45" spans="2:25" x14ac:dyDescent="0.25">
      <c r="B45" s="77" t="s">
        <v>69</v>
      </c>
      <c r="C45" s="92">
        <f>5</f>
        <v>5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2+9+1+10+40+1+351</f>
        <v>414</v>
      </c>
      <c r="D44" s="92"/>
      <c r="E44" s="92"/>
    </row>
    <row r="45" spans="2:25" x14ac:dyDescent="0.25">
      <c r="B45" s="77" t="s">
        <v>69</v>
      </c>
      <c r="C45" s="92">
        <f>3+12</f>
        <v>15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12+2+1+57+9+266+1</f>
        <v>348</v>
      </c>
      <c r="D44" s="92"/>
      <c r="E44" s="92"/>
    </row>
    <row r="45" spans="2:25" x14ac:dyDescent="0.25">
      <c r="B45" s="77" t="s">
        <v>69</v>
      </c>
      <c r="C45" s="92">
        <f>8</f>
        <v>8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1+1+31+7+382+3</f>
        <v>425</v>
      </c>
      <c r="D44" s="92"/>
      <c r="E44" s="92"/>
    </row>
    <row r="45" spans="2:25" x14ac:dyDescent="0.25">
      <c r="B45" s="77" t="s">
        <v>69</v>
      </c>
      <c r="C45" s="92">
        <v>9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2+7+1+71+2+224</f>
        <v>307</v>
      </c>
      <c r="D44" s="92"/>
      <c r="E44" s="92"/>
    </row>
    <row r="45" spans="2:25" x14ac:dyDescent="0.25">
      <c r="B45" s="77" t="s">
        <v>69</v>
      </c>
      <c r="C45" s="92">
        <v>14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1+1+15+3+36+1+20+291</f>
        <v>368</v>
      </c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18+2+3+10+117+6+359+3</f>
        <v>518</v>
      </c>
      <c r="D44" s="92"/>
      <c r="E44" s="92"/>
    </row>
    <row r="45" spans="2:25" x14ac:dyDescent="0.25">
      <c r="B45" s="77" t="s">
        <v>69</v>
      </c>
      <c r="C45" s="92">
        <f>14</f>
        <v>14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2+14+326</f>
        <v>342</v>
      </c>
      <c r="D44" s="92"/>
      <c r="E44" s="92"/>
    </row>
    <row r="45" spans="2:25" x14ac:dyDescent="0.25">
      <c r="B45" s="77" t="s">
        <v>69</v>
      </c>
      <c r="C45" s="92">
        <f>5</f>
        <v>5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8+1+8+29+1+270</f>
        <v>317</v>
      </c>
      <c r="D44" s="92"/>
      <c r="E44" s="92"/>
    </row>
    <row r="45" spans="2:25" x14ac:dyDescent="0.25">
      <c r="B45" s="77" t="s">
        <v>69</v>
      </c>
      <c r="C45" s="92">
        <f>7</f>
        <v>7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10+2+1+10+377</f>
        <v>400</v>
      </c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17+13+7+4+2+11+3+24+6+1+246+4+1</f>
        <v>339</v>
      </c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13+111+10+355</f>
        <v>489</v>
      </c>
      <c r="D44" s="92"/>
      <c r="E44" s="92"/>
    </row>
    <row r="45" spans="2:25" x14ac:dyDescent="0.25">
      <c r="B45" s="77" t="s">
        <v>69</v>
      </c>
      <c r="C45" s="92">
        <f>13</f>
        <v>13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2+1+1+2+2+1+17+50+319+1</f>
        <v>396</v>
      </c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1+10+2+68+4+385</f>
        <v>470</v>
      </c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15+15+19+1+2+2+59+12+432</f>
        <v>557</v>
      </c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1+20+2+1+1+67+55+558</f>
        <v>705</v>
      </c>
      <c r="D44" s="92"/>
      <c r="E44" s="92"/>
    </row>
    <row r="45" spans="2:25" x14ac:dyDescent="0.25">
      <c r="B45" s="77" t="s">
        <v>69</v>
      </c>
      <c r="C45" s="92">
        <f>5+12</f>
        <v>17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20+118+1+538</f>
        <v>677</v>
      </c>
      <c r="D44" s="92"/>
      <c r="E44" s="92"/>
    </row>
    <row r="45" spans="2:25" x14ac:dyDescent="0.25">
      <c r="B45" s="77" t="s">
        <v>69</v>
      </c>
      <c r="C45" s="92">
        <f>8</f>
        <v>8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15+1+2+63+1+11+369</f>
        <v>462</v>
      </c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>
        <v>4</v>
      </c>
      <c r="S8" s="14"/>
      <c r="T8" s="14">
        <v>2</v>
      </c>
      <c r="U8" s="14"/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>
        <v>2</v>
      </c>
      <c r="U15" s="23"/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5</v>
      </c>
      <c r="M24" s="14">
        <v>326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2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324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</v>
      </c>
      <c r="G36" s="43">
        <v>1</v>
      </c>
      <c r="H36" s="43">
        <v>3</v>
      </c>
      <c r="I36" s="43">
        <v>3</v>
      </c>
      <c r="J36" s="43"/>
      <c r="K36" s="43">
        <v>5</v>
      </c>
      <c r="L36" s="43"/>
      <c r="M36" s="43"/>
      <c r="N36" s="43"/>
      <c r="O36" s="43">
        <v>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</v>
      </c>
      <c r="G42" s="43">
        <v>1</v>
      </c>
      <c r="H42" s="43">
        <v>3</v>
      </c>
      <c r="I42" s="43">
        <v>3</v>
      </c>
      <c r="J42" s="43"/>
      <c r="K42" s="43">
        <v>5</v>
      </c>
      <c r="L42" s="43"/>
      <c r="M42" s="43"/>
      <c r="N42" s="43"/>
      <c r="O42" s="43">
        <v>4</v>
      </c>
      <c r="P42" s="43">
        <v>1</v>
      </c>
      <c r="Q42" s="44">
        <v>4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1+1+5+1+20+3+324</f>
        <v>355</v>
      </c>
      <c r="D44" s="92"/>
      <c r="E44" s="92"/>
    </row>
    <row r="45" spans="2:25" x14ac:dyDescent="0.25">
      <c r="B45" s="77" t="s">
        <v>69</v>
      </c>
      <c r="C45" s="92">
        <v>6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>
        <v>1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1</v>
      </c>
      <c r="F15" s="23">
        <v>1</v>
      </c>
      <c r="G15" s="23"/>
      <c r="H15" s="23" t="s">
        <v>132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135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131</v>
      </c>
      <c r="I16" s="28"/>
      <c r="J16" s="28"/>
      <c r="K16" s="57"/>
      <c r="L16" s="28"/>
      <c r="M16" s="28"/>
      <c r="N16" s="28"/>
      <c r="O16" s="28"/>
      <c r="P16" s="28"/>
      <c r="Q16" s="28"/>
      <c r="R16" s="28" t="s">
        <v>134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10</v>
      </c>
      <c r="M24" s="14">
        <v>380</v>
      </c>
      <c r="N24" s="14"/>
      <c r="O24" s="14"/>
      <c r="P24" s="14" t="s">
        <v>136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4</v>
      </c>
      <c r="M31" s="23">
        <v>69</v>
      </c>
      <c r="N31" s="23"/>
      <c r="O31" s="23"/>
      <c r="P31" s="23" t="s">
        <v>136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29</v>
      </c>
      <c r="I32" s="28"/>
      <c r="J32" s="28"/>
      <c r="K32" s="28">
        <v>0</v>
      </c>
      <c r="L32" s="28">
        <v>6</v>
      </c>
      <c r="M32" s="28">
        <v>311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449</v>
      </c>
      <c r="G36" s="43">
        <v>10</v>
      </c>
      <c r="H36" s="43">
        <v>5</v>
      </c>
      <c r="I36" s="43">
        <v>9</v>
      </c>
      <c r="J36" s="43">
        <v>2</v>
      </c>
      <c r="K36" s="43">
        <v>10</v>
      </c>
      <c r="L36" s="43"/>
      <c r="M36" s="43"/>
      <c r="N36" s="43">
        <v>1</v>
      </c>
      <c r="O36" s="43">
        <v>9</v>
      </c>
      <c r="P36" s="43">
        <v>1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449</v>
      </c>
      <c r="G42" s="43">
        <v>10</v>
      </c>
      <c r="H42" s="43">
        <v>5</v>
      </c>
      <c r="I42" s="43">
        <v>9</v>
      </c>
      <c r="J42" s="43">
        <v>2</v>
      </c>
      <c r="K42" s="43">
        <v>10</v>
      </c>
      <c r="L42" s="43"/>
      <c r="M42" s="43"/>
      <c r="N42" s="43">
        <v>1</v>
      </c>
      <c r="O42" s="43">
        <v>9</v>
      </c>
      <c r="P42" s="43">
        <v>1</v>
      </c>
      <c r="Q42" s="44">
        <v>22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11+29+6+311</f>
        <v>357</v>
      </c>
      <c r="D44" s="92"/>
      <c r="E44" s="92"/>
    </row>
    <row r="45" spans="2:25" x14ac:dyDescent="0.25">
      <c r="B45" s="77" t="s">
        <v>69</v>
      </c>
      <c r="C45" s="92">
        <f>6+5</f>
        <v>11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2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2</v>
      </c>
      <c r="E16" s="27"/>
      <c r="F16" s="27"/>
      <c r="G16" s="28"/>
      <c r="H16" s="28" t="s">
        <v>129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126</v>
      </c>
      <c r="I24" s="14"/>
      <c r="J24" s="14"/>
      <c r="K24" s="14">
        <v>1</v>
      </c>
      <c r="L24" s="14">
        <v>12</v>
      </c>
      <c r="M24" s="14">
        <v>337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105</v>
      </c>
      <c r="I31" s="23"/>
      <c r="J31" s="23"/>
      <c r="K31" s="23">
        <v>0</v>
      </c>
      <c r="L31" s="23">
        <v>7</v>
      </c>
      <c r="M31" s="23">
        <v>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1</v>
      </c>
      <c r="L32" s="28">
        <v>5</v>
      </c>
      <c r="M32" s="28">
        <v>329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354</v>
      </c>
      <c r="G36" s="43"/>
      <c r="H36" s="43">
        <v>8</v>
      </c>
      <c r="I36" s="43">
        <v>12</v>
      </c>
      <c r="J36" s="43">
        <v>1</v>
      </c>
      <c r="K36" s="43">
        <v>3</v>
      </c>
      <c r="L36" s="43">
        <v>6</v>
      </c>
      <c r="M36" s="43"/>
      <c r="N36" s="43">
        <v>45</v>
      </c>
      <c r="O36" s="43">
        <v>9</v>
      </c>
      <c r="P36" s="43">
        <v>8</v>
      </c>
      <c r="Q36" s="44">
        <v>16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354</v>
      </c>
      <c r="G42" s="43"/>
      <c r="H42" s="43">
        <v>8</v>
      </c>
      <c r="I42" s="43">
        <v>12</v>
      </c>
      <c r="J42" s="43">
        <v>1</v>
      </c>
      <c r="K42" s="43">
        <v>3</v>
      </c>
      <c r="L42" s="43">
        <v>6</v>
      </c>
      <c r="M42" s="43"/>
      <c r="N42" s="43">
        <v>45</v>
      </c>
      <c r="O42" s="43">
        <v>9</v>
      </c>
      <c r="P42" s="43">
        <v>8</v>
      </c>
      <c r="Q42" s="44">
        <v>16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1+2+14+2+2+21+1+5+329</f>
        <v>377</v>
      </c>
      <c r="D44" s="92"/>
      <c r="E44" s="92"/>
    </row>
    <row r="45" spans="2:25" x14ac:dyDescent="0.25">
      <c r="B45" s="77" t="s">
        <v>69</v>
      </c>
      <c r="C45" s="92">
        <f>20</f>
        <v>20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topLeftCell="A26" zoomScale="160" zoomScaleNormal="160" workbookViewId="0">
      <selection activeCell="M17" sqref="M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>
        <v>1</v>
      </c>
      <c r="H8" s="14" t="s">
        <v>137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0</v>
      </c>
      <c r="F16" s="27">
        <v>1</v>
      </c>
      <c r="G16" s="28">
        <v>0</v>
      </c>
      <c r="H16" s="28" t="s">
        <v>139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/>
      <c r="I24" s="14">
        <v>1</v>
      </c>
      <c r="J24" s="14"/>
      <c r="K24" s="14">
        <v>2</v>
      </c>
      <c r="L24" s="14">
        <v>2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/>
      <c r="I31" s="23">
        <v>1</v>
      </c>
      <c r="J31" s="23"/>
      <c r="K31" s="23">
        <v>2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/>
      <c r="I32" s="28">
        <v>0</v>
      </c>
      <c r="J32" s="28"/>
      <c r="K32" s="28">
        <v>0</v>
      </c>
      <c r="L32" s="28">
        <v>2</v>
      </c>
      <c r="M32" s="28">
        <v>411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23</v>
      </c>
      <c r="F36" s="43">
        <v>468</v>
      </c>
      <c r="G36" s="43">
        <v>4</v>
      </c>
      <c r="H36" s="43">
        <v>7</v>
      </c>
      <c r="I36" s="43">
        <v>14</v>
      </c>
      <c r="J36" s="43"/>
      <c r="K36" s="43">
        <v>2</v>
      </c>
      <c r="L36" s="43">
        <v>2</v>
      </c>
      <c r="M36" s="43">
        <v>1</v>
      </c>
      <c r="N36" s="43">
        <v>16</v>
      </c>
      <c r="O36" s="43">
        <v>4</v>
      </c>
      <c r="P36" s="43">
        <v>1</v>
      </c>
      <c r="Q36" s="44">
        <v>34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23</v>
      </c>
      <c r="F42" s="43">
        <v>468</v>
      </c>
      <c r="G42" s="43">
        <v>4</v>
      </c>
      <c r="H42" s="43">
        <v>7</v>
      </c>
      <c r="I42" s="43">
        <v>14</v>
      </c>
      <c r="J42" s="43"/>
      <c r="K42" s="43">
        <v>2</v>
      </c>
      <c r="L42" s="43">
        <v>2</v>
      </c>
      <c r="M42" s="43">
        <v>1</v>
      </c>
      <c r="N42" s="43">
        <v>16</v>
      </c>
      <c r="O42" s="43">
        <v>4</v>
      </c>
      <c r="P42" s="43">
        <v>1</v>
      </c>
      <c r="Q42" s="44">
        <v>34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1+1+15+2+411</f>
        <v>430</v>
      </c>
      <c r="D44" s="92"/>
      <c r="E44" s="92"/>
    </row>
    <row r="45" spans="2:25" x14ac:dyDescent="0.25">
      <c r="B45" s="77" t="s">
        <v>69</v>
      </c>
      <c r="C45" s="92">
        <f>21</f>
        <v>21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8</v>
      </c>
      <c r="M24" s="14">
        <v>393</v>
      </c>
      <c r="N24" s="14"/>
      <c r="O24" s="14"/>
      <c r="P24" s="14" t="s">
        <v>145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30</v>
      </c>
      <c r="I31" s="23"/>
      <c r="J31" s="23"/>
      <c r="K31" s="23">
        <v>1</v>
      </c>
      <c r="L31" s="23">
        <v>8</v>
      </c>
      <c r="M31" s="23">
        <v>45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348</v>
      </c>
      <c r="G36" s="43">
        <v>65</v>
      </c>
      <c r="H36" s="43"/>
      <c r="I36" s="43"/>
      <c r="J36" s="43"/>
      <c r="K36" s="43"/>
      <c r="L36" s="43"/>
      <c r="M36" s="43"/>
      <c r="N36" s="43"/>
      <c r="O36" s="43"/>
      <c r="P36" s="43">
        <v>16</v>
      </c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348</v>
      </c>
      <c r="G42" s="43">
        <v>65</v>
      </c>
      <c r="H42" s="43"/>
      <c r="I42" s="43"/>
      <c r="J42" s="43"/>
      <c r="K42" s="43"/>
      <c r="L42" s="43"/>
      <c r="M42" s="43"/>
      <c r="N42" s="43"/>
      <c r="O42" s="43"/>
      <c r="P42" s="43">
        <v>16</v>
      </c>
      <c r="Q42" s="44">
        <v>3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10+348</f>
        <v>358</v>
      </c>
      <c r="D44" s="92"/>
      <c r="E44" s="92"/>
    </row>
    <row r="45" spans="2:25" x14ac:dyDescent="0.25">
      <c r="B45" s="77" t="s">
        <v>69</v>
      </c>
      <c r="C45" s="92">
        <f>7</f>
        <v>7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64D-E068-48F0-9D82-1D19DF1E17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1</v>
      </c>
      <c r="X8" s="60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146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0</v>
      </c>
      <c r="X15" s="62">
        <v>0</v>
      </c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78" t="s">
        <v>90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105</v>
      </c>
      <c r="I24" s="14"/>
      <c r="J24" s="14"/>
      <c r="K24" s="14">
        <v>2</v>
      </c>
      <c r="L24" s="14">
        <v>15</v>
      </c>
      <c r="M24" s="14">
        <v>440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100</v>
      </c>
      <c r="I31" s="23"/>
      <c r="J31" s="23"/>
      <c r="K31" s="23">
        <v>0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</v>
      </c>
      <c r="I32" s="28"/>
      <c r="J32" s="28"/>
      <c r="K32" s="28">
        <v>2</v>
      </c>
      <c r="L32" s="28">
        <v>15</v>
      </c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502</v>
      </c>
      <c r="G36" s="43">
        <v>1</v>
      </c>
      <c r="H36" s="43">
        <v>1</v>
      </c>
      <c r="I36" s="43">
        <v>17</v>
      </c>
      <c r="J36" s="43">
        <v>1</v>
      </c>
      <c r="K36" s="43">
        <v>6</v>
      </c>
      <c r="L36" s="43">
        <v>11</v>
      </c>
      <c r="M36" s="43"/>
      <c r="N36" s="43">
        <v>31</v>
      </c>
      <c r="O36" s="43">
        <v>9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502</v>
      </c>
      <c r="G42" s="43">
        <v>1</v>
      </c>
      <c r="H42" s="43">
        <v>1</v>
      </c>
      <c r="I42" s="43">
        <v>17</v>
      </c>
      <c r="J42" s="43">
        <v>1</v>
      </c>
      <c r="K42" s="43">
        <v>6</v>
      </c>
      <c r="L42" s="43">
        <v>11</v>
      </c>
      <c r="M42" s="43"/>
      <c r="N42" s="43">
        <v>31</v>
      </c>
      <c r="O42" s="43">
        <v>9</v>
      </c>
      <c r="P42" s="43">
        <v>3</v>
      </c>
      <c r="Q42" s="44">
        <v>19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1+1+11+1+2+2+4+5+2+15+418</f>
        <v>462</v>
      </c>
      <c r="D44" s="92"/>
      <c r="E44" s="92"/>
    </row>
    <row r="45" spans="2:25" x14ac:dyDescent="0.25">
      <c r="B45" s="77" t="s">
        <v>69</v>
      </c>
      <c r="C45" s="92">
        <f>14</f>
        <v>14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>
        <v>1</v>
      </c>
      <c r="H8" s="14" t="s">
        <v>148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/>
      <c r="G16" s="28">
        <v>0</v>
      </c>
      <c r="H16" s="28">
        <v>15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45</v>
      </c>
      <c r="I24" s="14">
        <v>1</v>
      </c>
      <c r="J24" s="14"/>
      <c r="K24" s="14">
        <v>2</v>
      </c>
      <c r="L24" s="14"/>
      <c r="M24" s="14">
        <v>453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41</v>
      </c>
      <c r="I31" s="23">
        <v>1</v>
      </c>
      <c r="J31" s="23"/>
      <c r="K31" s="23">
        <v>2</v>
      </c>
      <c r="L31" s="23"/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4</v>
      </c>
      <c r="I32" s="28">
        <v>0</v>
      </c>
      <c r="J32" s="28"/>
      <c r="K32" s="28">
        <v>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688</v>
      </c>
      <c r="G36" s="43">
        <v>7</v>
      </c>
      <c r="H36" s="43">
        <v>1</v>
      </c>
      <c r="I36" s="43">
        <v>1</v>
      </c>
      <c r="J36" s="43"/>
      <c r="K36" s="43"/>
      <c r="L36" s="43"/>
      <c r="M36" s="43"/>
      <c r="N36" s="43"/>
      <c r="O36" s="43">
        <v>14</v>
      </c>
      <c r="P36" s="43">
        <v>4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688</v>
      </c>
      <c r="G42" s="43">
        <v>7</v>
      </c>
      <c r="H42" s="43">
        <v>1</v>
      </c>
      <c r="I42" s="43">
        <v>1</v>
      </c>
      <c r="J42" s="43"/>
      <c r="K42" s="43"/>
      <c r="L42" s="43"/>
      <c r="M42" s="43"/>
      <c r="N42" s="43"/>
      <c r="O42" s="43">
        <v>14</v>
      </c>
      <c r="P42" s="43">
        <v>4</v>
      </c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15+4+431</f>
        <v>450</v>
      </c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151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94</v>
      </c>
      <c r="I24" s="14">
        <v>1</v>
      </c>
      <c r="J24" s="14"/>
      <c r="K24" s="14">
        <v>1</v>
      </c>
      <c r="L24" s="14">
        <v>8</v>
      </c>
      <c r="M24" s="14">
        <v>447</v>
      </c>
      <c r="N24" s="14"/>
      <c r="O24" s="14"/>
      <c r="P24" s="14" t="s">
        <v>144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</v>
      </c>
      <c r="I31" s="23">
        <v>0</v>
      </c>
      <c r="J31" s="23"/>
      <c r="K31" s="23">
        <v>1</v>
      </c>
      <c r="L31" s="23">
        <v>8</v>
      </c>
      <c r="M31" s="23">
        <v>52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90</v>
      </c>
      <c r="I32" s="28">
        <v>1</v>
      </c>
      <c r="J32" s="28"/>
      <c r="K32" s="28">
        <v>0</v>
      </c>
      <c r="L32" s="28">
        <v>0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5</v>
      </c>
      <c r="D36" s="42">
        <v>2</v>
      </c>
      <c r="E36" s="43">
        <v>2</v>
      </c>
      <c r="F36" s="43">
        <v>303</v>
      </c>
      <c r="G36" s="43">
        <v>25</v>
      </c>
      <c r="H36" s="43">
        <v>7</v>
      </c>
      <c r="I36" s="43">
        <v>4</v>
      </c>
      <c r="J36" s="43"/>
      <c r="K36" s="43"/>
      <c r="L36" s="43"/>
      <c r="M36" s="43">
        <v>5</v>
      </c>
      <c r="N36" s="43">
        <v>4</v>
      </c>
      <c r="O36" s="43">
        <v>8</v>
      </c>
      <c r="P36" s="43">
        <v>8</v>
      </c>
      <c r="Q36" s="44">
        <v>20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5</v>
      </c>
      <c r="D42" s="42">
        <v>2</v>
      </c>
      <c r="E42" s="43">
        <v>2</v>
      </c>
      <c r="F42" s="43">
        <v>303</v>
      </c>
      <c r="G42" s="43">
        <v>25</v>
      </c>
      <c r="H42" s="43">
        <v>7</v>
      </c>
      <c r="I42" s="43">
        <v>4</v>
      </c>
      <c r="J42" s="43"/>
      <c r="K42" s="43"/>
      <c r="L42" s="43"/>
      <c r="M42" s="43">
        <v>5</v>
      </c>
      <c r="N42" s="43">
        <v>4</v>
      </c>
      <c r="O42" s="43">
        <v>8</v>
      </c>
      <c r="P42" s="43">
        <v>8</v>
      </c>
      <c r="Q42" s="44">
        <v>20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16+10+90+1+395</f>
        <v>512</v>
      </c>
      <c r="D44" s="92"/>
      <c r="E44" s="92"/>
    </row>
    <row r="45" spans="2:25" x14ac:dyDescent="0.25">
      <c r="B45" s="77" t="s">
        <v>69</v>
      </c>
      <c r="C45" s="92">
        <f>17</f>
        <v>17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152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100</v>
      </c>
      <c r="I24" s="14"/>
      <c r="J24" s="14"/>
      <c r="K24" s="14">
        <v>2</v>
      </c>
      <c r="L24" s="14">
        <v>15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70</v>
      </c>
      <c r="I31" s="23"/>
      <c r="J31" s="23"/>
      <c r="K31" s="23">
        <v>2</v>
      </c>
      <c r="L31" s="23">
        <v>0</v>
      </c>
      <c r="M31" s="23">
        <v>91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30</v>
      </c>
      <c r="I32" s="28"/>
      <c r="J32" s="28"/>
      <c r="K32" s="28">
        <v>0</v>
      </c>
      <c r="L32" s="28">
        <v>15</v>
      </c>
      <c r="M32" s="28">
        <v>363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23</v>
      </c>
      <c r="F36" s="43">
        <v>446</v>
      </c>
      <c r="G36" s="43">
        <v>3</v>
      </c>
      <c r="H36" s="43">
        <v>3</v>
      </c>
      <c r="I36" s="43">
        <v>10</v>
      </c>
      <c r="J36" s="43">
        <v>1</v>
      </c>
      <c r="K36" s="43">
        <v>9</v>
      </c>
      <c r="L36" s="43">
        <v>1</v>
      </c>
      <c r="M36" s="43">
        <v>1</v>
      </c>
      <c r="N36" s="43">
        <v>21</v>
      </c>
      <c r="O36" s="43">
        <v>14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23</v>
      </c>
      <c r="F42" s="43">
        <v>446</v>
      </c>
      <c r="G42" s="43">
        <v>3</v>
      </c>
      <c r="H42" s="43">
        <v>3</v>
      </c>
      <c r="I42" s="43">
        <v>10</v>
      </c>
      <c r="J42" s="43">
        <v>1</v>
      </c>
      <c r="K42" s="43">
        <v>9</v>
      </c>
      <c r="L42" s="43">
        <v>1</v>
      </c>
      <c r="M42" s="43">
        <v>1</v>
      </c>
      <c r="N42" s="43">
        <v>21</v>
      </c>
      <c r="O42" s="43">
        <v>14</v>
      </c>
      <c r="P42" s="43">
        <v>1</v>
      </c>
      <c r="Q42" s="44">
        <v>4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1+1+14+3+2+30+15+363</f>
        <v>429</v>
      </c>
      <c r="D44" s="92"/>
      <c r="E44" s="92"/>
    </row>
    <row r="45" spans="2:25" x14ac:dyDescent="0.25">
      <c r="B45" s="77" t="s">
        <v>69</v>
      </c>
      <c r="C45" s="92">
        <f>4</f>
        <v>4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1</v>
      </c>
      <c r="E8" s="14">
        <v>2</v>
      </c>
      <c r="F8" s="14"/>
      <c r="G8" s="14">
        <v>1</v>
      </c>
      <c r="H8" s="14" t="s">
        <v>158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3</v>
      </c>
      <c r="U8" s="14">
        <v>1</v>
      </c>
      <c r="V8" s="14"/>
      <c r="W8" s="14">
        <v>3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159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>
        <v>0</v>
      </c>
      <c r="Y15" s="24"/>
    </row>
    <row r="16" spans="2:27" ht="18" customHeight="1" thickBot="1" x14ac:dyDescent="0.3">
      <c r="B16" s="25" t="s">
        <v>26</v>
      </c>
      <c r="C16" s="58">
        <v>1</v>
      </c>
      <c r="D16" s="59">
        <v>0</v>
      </c>
      <c r="E16" s="27">
        <v>2</v>
      </c>
      <c r="F16" s="27"/>
      <c r="G16" s="28">
        <v>0</v>
      </c>
      <c r="H16" s="28" t="s">
        <v>160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0</v>
      </c>
      <c r="X16" s="63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4</v>
      </c>
      <c r="G24" s="14"/>
      <c r="H24" s="14">
        <v>41</v>
      </c>
      <c r="I24" s="14">
        <v>1</v>
      </c>
      <c r="J24" s="14"/>
      <c r="K24" s="14">
        <v>2</v>
      </c>
      <c r="L24" s="14">
        <v>4</v>
      </c>
      <c r="M24" s="14">
        <v>679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5</v>
      </c>
      <c r="I31" s="23">
        <v>1</v>
      </c>
      <c r="J31" s="23"/>
      <c r="K31" s="23">
        <v>2</v>
      </c>
      <c r="L31" s="23">
        <v>0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3</v>
      </c>
      <c r="G32" s="28"/>
      <c r="H32" s="28">
        <v>36</v>
      </c>
      <c r="I32" s="28">
        <v>0</v>
      </c>
      <c r="J32" s="28"/>
      <c r="K32" s="28">
        <v>0</v>
      </c>
      <c r="L32" s="28">
        <v>4</v>
      </c>
      <c r="M32" s="28">
        <v>676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10</v>
      </c>
      <c r="F36" s="43">
        <v>887</v>
      </c>
      <c r="G36" s="43">
        <v>7</v>
      </c>
      <c r="H36" s="43">
        <v>5</v>
      </c>
      <c r="I36" s="43">
        <v>8</v>
      </c>
      <c r="J36" s="43">
        <v>1</v>
      </c>
      <c r="K36" s="43">
        <v>16</v>
      </c>
      <c r="L36" s="43">
        <v>5</v>
      </c>
      <c r="M36" s="43">
        <v>3</v>
      </c>
      <c r="N36" s="43">
        <v>3</v>
      </c>
      <c r="O36" s="43">
        <v>1</v>
      </c>
      <c r="P36" s="43">
        <v>16</v>
      </c>
      <c r="Q36" s="44">
        <v>23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10</v>
      </c>
      <c r="F42" s="43">
        <v>887</v>
      </c>
      <c r="G42" s="43">
        <v>7</v>
      </c>
      <c r="H42" s="43">
        <v>5</v>
      </c>
      <c r="I42" s="43">
        <v>8</v>
      </c>
      <c r="J42" s="43">
        <v>1</v>
      </c>
      <c r="K42" s="43">
        <v>16</v>
      </c>
      <c r="L42" s="43">
        <v>5</v>
      </c>
      <c r="M42" s="43">
        <v>3</v>
      </c>
      <c r="N42" s="43">
        <v>3</v>
      </c>
      <c r="O42" s="43">
        <v>1</v>
      </c>
      <c r="P42" s="43">
        <v>16</v>
      </c>
      <c r="Q42" s="44">
        <v>23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1+2+20+1+1+3+36+4+676+5</f>
        <v>749</v>
      </c>
      <c r="D44" s="92"/>
      <c r="E44" s="92"/>
    </row>
    <row r="45" spans="2:25" x14ac:dyDescent="0.25">
      <c r="B45" s="77" t="s">
        <v>69</v>
      </c>
      <c r="C45" s="92">
        <f>4</f>
        <v>4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0</v>
      </c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0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44</v>
      </c>
      <c r="I24" s="14"/>
      <c r="J24" s="14"/>
      <c r="K24" s="14">
        <v>1</v>
      </c>
      <c r="L24" s="14">
        <v>12</v>
      </c>
      <c r="M24" s="14">
        <v>395</v>
      </c>
      <c r="N24" s="14"/>
      <c r="O24" s="14"/>
      <c r="P24" s="14" t="s">
        <v>156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0</v>
      </c>
      <c r="M31" s="23">
        <v>81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12</v>
      </c>
      <c r="M32" s="28">
        <v>314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359</v>
      </c>
      <c r="G36" s="43">
        <v>19</v>
      </c>
      <c r="H36" s="43">
        <v>5</v>
      </c>
      <c r="I36" s="43">
        <v>11</v>
      </c>
      <c r="J36" s="43">
        <v>3</v>
      </c>
      <c r="K36" s="43">
        <v>8</v>
      </c>
      <c r="L36" s="43">
        <v>1</v>
      </c>
      <c r="M36" s="43">
        <v>1</v>
      </c>
      <c r="N36" s="43">
        <v>10</v>
      </c>
      <c r="O36" s="43">
        <v>8</v>
      </c>
      <c r="P36" s="43">
        <v>1</v>
      </c>
      <c r="Q36" s="44">
        <v>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359</v>
      </c>
      <c r="G42" s="43">
        <v>19</v>
      </c>
      <c r="H42" s="43">
        <v>5</v>
      </c>
      <c r="I42" s="43">
        <v>11</v>
      </c>
      <c r="J42" s="43">
        <v>3</v>
      </c>
      <c r="K42" s="43">
        <v>8</v>
      </c>
      <c r="L42" s="43">
        <v>1</v>
      </c>
      <c r="M42" s="43">
        <v>1</v>
      </c>
      <c r="N42" s="43">
        <v>10</v>
      </c>
      <c r="O42" s="43">
        <v>8</v>
      </c>
      <c r="P42" s="43">
        <v>1</v>
      </c>
      <c r="Q42" s="44">
        <v>2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2+1+8+1+33+12+314+2</f>
        <v>373</v>
      </c>
      <c r="D44" s="92"/>
      <c r="E44" s="92"/>
    </row>
    <row r="45" spans="2:25" x14ac:dyDescent="0.25">
      <c r="B45" s="77" t="s">
        <v>69</v>
      </c>
      <c r="C45" s="92">
        <f>7</f>
        <v>7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2</v>
      </c>
      <c r="F8" s="14">
        <v>2</v>
      </c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2</v>
      </c>
      <c r="F15" s="23">
        <v>2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107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70</v>
      </c>
      <c r="I24" s="14"/>
      <c r="J24" s="14"/>
      <c r="K24" s="14">
        <v>3</v>
      </c>
      <c r="L24" s="14">
        <v>20</v>
      </c>
      <c r="M24" s="14">
        <v>523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54</v>
      </c>
      <c r="I31" s="23"/>
      <c r="J31" s="23"/>
      <c r="K31" s="23">
        <v>3</v>
      </c>
      <c r="L31" s="23">
        <v>4</v>
      </c>
      <c r="M31" s="23">
        <v>207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</v>
      </c>
      <c r="I32" s="28"/>
      <c r="J32" s="28"/>
      <c r="K32" s="28">
        <v>0</v>
      </c>
      <c r="L32" s="28">
        <v>16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336</v>
      </c>
      <c r="G36" s="43">
        <v>8</v>
      </c>
      <c r="H36" s="43">
        <v>4</v>
      </c>
      <c r="I36" s="43">
        <v>16</v>
      </c>
      <c r="J36" s="43"/>
      <c r="K36" s="43">
        <v>1</v>
      </c>
      <c r="L36" s="43"/>
      <c r="M36" s="43"/>
      <c r="N36" s="43"/>
      <c r="O36" s="43">
        <v>9</v>
      </c>
      <c r="P36" s="43">
        <v>2</v>
      </c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336</v>
      </c>
      <c r="G42" s="43">
        <v>8</v>
      </c>
      <c r="H42" s="43">
        <v>4</v>
      </c>
      <c r="I42" s="43">
        <v>16</v>
      </c>
      <c r="J42" s="43"/>
      <c r="K42" s="43">
        <v>1</v>
      </c>
      <c r="L42" s="43"/>
      <c r="M42" s="43"/>
      <c r="N42" s="43"/>
      <c r="O42" s="43">
        <v>9</v>
      </c>
      <c r="P42" s="43">
        <v>2</v>
      </c>
      <c r="Q42" s="44">
        <v>8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10+16+16+316</f>
        <v>358</v>
      </c>
      <c r="D44" s="92"/>
      <c r="E44" s="92"/>
    </row>
    <row r="45" spans="2:25" x14ac:dyDescent="0.25">
      <c r="B45" s="77" t="s">
        <v>69</v>
      </c>
      <c r="C45" s="92">
        <f>12</f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3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171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3</v>
      </c>
      <c r="F16" s="27">
        <v>0</v>
      </c>
      <c r="G16" s="28"/>
      <c r="H16" s="28" t="s">
        <v>170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50</v>
      </c>
      <c r="I24" s="14"/>
      <c r="J24" s="14"/>
      <c r="K24" s="14">
        <v>1</v>
      </c>
      <c r="L24" s="14">
        <v>11</v>
      </c>
      <c r="M24" s="14">
        <v>621</v>
      </c>
      <c r="N24" s="14"/>
      <c r="O24" s="14"/>
      <c r="P24" s="14" t="s">
        <v>173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50</v>
      </c>
      <c r="I31" s="23"/>
      <c r="J31" s="23"/>
      <c r="K31" s="23">
        <v>1</v>
      </c>
      <c r="L31" s="23">
        <v>6</v>
      </c>
      <c r="M31" s="23">
        <v>94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5</v>
      </c>
      <c r="M32" s="28">
        <v>527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582</v>
      </c>
      <c r="G36" s="43">
        <v>5</v>
      </c>
      <c r="H36" s="43">
        <v>9</v>
      </c>
      <c r="I36" s="43"/>
      <c r="J36" s="43"/>
      <c r="K36" s="43"/>
      <c r="L36" s="43"/>
      <c r="M36" s="43">
        <v>1</v>
      </c>
      <c r="N36" s="43"/>
      <c r="O36" s="43">
        <v>2</v>
      </c>
      <c r="P36" s="43">
        <v>18</v>
      </c>
      <c r="Q36" s="44">
        <v>10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582</v>
      </c>
      <c r="G42" s="43">
        <v>5</v>
      </c>
      <c r="H42" s="43">
        <v>9</v>
      </c>
      <c r="I42" s="43"/>
      <c r="J42" s="43"/>
      <c r="K42" s="43"/>
      <c r="L42" s="43"/>
      <c r="M42" s="43">
        <v>1</v>
      </c>
      <c r="N42" s="43"/>
      <c r="O42" s="43">
        <v>2</v>
      </c>
      <c r="P42" s="43">
        <v>18</v>
      </c>
      <c r="Q42" s="44">
        <v>10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3+16+3+5+527</f>
        <v>554</v>
      </c>
      <c r="D44" s="92"/>
      <c r="E44" s="92"/>
    </row>
    <row r="45" spans="2:25" x14ac:dyDescent="0.25">
      <c r="B45" s="77" t="s">
        <v>69</v>
      </c>
      <c r="C45" s="92">
        <f>13</f>
        <v>13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/>
      <c r="F8" s="14">
        <v>1</v>
      </c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/>
      <c r="F15" s="23">
        <v>1</v>
      </c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169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54</v>
      </c>
      <c r="I24" s="14"/>
      <c r="J24" s="14"/>
      <c r="K24" s="14">
        <v>3</v>
      </c>
      <c r="L24" s="14">
        <v>14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f>54-23</f>
        <v>31</v>
      </c>
      <c r="I31" s="23"/>
      <c r="J31" s="23"/>
      <c r="K31" s="23">
        <v>3</v>
      </c>
      <c r="L31" s="23">
        <v>12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334</v>
      </c>
      <c r="G36" s="43">
        <v>8</v>
      </c>
      <c r="H36" s="43">
        <v>5</v>
      </c>
      <c r="I36" s="43">
        <v>7</v>
      </c>
      <c r="J36" s="43"/>
      <c r="K36" s="43">
        <v>2</v>
      </c>
      <c r="L36" s="43"/>
      <c r="M36" s="43"/>
      <c r="N36" s="43"/>
      <c r="O36" s="43"/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334</v>
      </c>
      <c r="G42" s="43">
        <v>8</v>
      </c>
      <c r="H42" s="43">
        <v>5</v>
      </c>
      <c r="I42" s="43">
        <v>7</v>
      </c>
      <c r="J42" s="43"/>
      <c r="K42" s="43">
        <v>2</v>
      </c>
      <c r="L42" s="43"/>
      <c r="M42" s="43"/>
      <c r="N42" s="43"/>
      <c r="O42" s="43"/>
      <c r="P42" s="43">
        <v>1</v>
      </c>
      <c r="Q42" s="44">
        <v>4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2">
        <f>5+23+2+520</f>
        <v>550</v>
      </c>
      <c r="D44" s="92"/>
      <c r="E44" s="92"/>
    </row>
    <row r="45" spans="2:25" x14ac:dyDescent="0.25">
      <c r="B45" s="77" t="s">
        <v>69</v>
      </c>
      <c r="C45" s="92">
        <v>8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737FC-8D96-47A1-97E8-058E124FC53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CFD3A-371D-4C46-B4B2-F269ED695C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3</v>
      </c>
      <c r="E8" s="14">
        <v>2</v>
      </c>
      <c r="F8" s="14"/>
      <c r="G8" s="14">
        <v>1</v>
      </c>
      <c r="H8" s="14" t="s">
        <v>174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17</v>
      </c>
      <c r="U8" s="14">
        <v>2</v>
      </c>
      <c r="V8" s="14"/>
      <c r="W8" s="14">
        <v>13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3</v>
      </c>
      <c r="E16" s="27">
        <v>2</v>
      </c>
      <c r="F16" s="27"/>
      <c r="G16" s="28">
        <v>1</v>
      </c>
      <c r="H16" s="28" t="s">
        <v>176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15</v>
      </c>
      <c r="U16" s="28">
        <v>1</v>
      </c>
      <c r="V16" s="28"/>
      <c r="W16" s="57">
        <v>10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21</v>
      </c>
      <c r="G24" s="14"/>
      <c r="H24" s="14">
        <v>163</v>
      </c>
      <c r="I24" s="14">
        <v>1</v>
      </c>
      <c r="J24" s="14"/>
      <c r="K24" s="14">
        <v>2</v>
      </c>
      <c r="L24" s="14">
        <v>4</v>
      </c>
      <c r="M24" s="14">
        <v>872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45</v>
      </c>
      <c r="I31" s="23">
        <v>1</v>
      </c>
      <c r="J31" s="23"/>
      <c r="K31" s="23">
        <v>2</v>
      </c>
      <c r="L31" s="23">
        <v>1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20</v>
      </c>
      <c r="G32" s="28"/>
      <c r="H32" s="28">
        <v>118</v>
      </c>
      <c r="I32" s="28">
        <v>0</v>
      </c>
      <c r="J32" s="28"/>
      <c r="K32" s="28">
        <v>0</v>
      </c>
      <c r="L32" s="28">
        <v>3</v>
      </c>
      <c r="M32" s="28">
        <v>840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19</v>
      </c>
      <c r="D42" s="42">
        <v>1</v>
      </c>
      <c r="E42" s="43">
        <v>12</v>
      </c>
      <c r="F42" s="43">
        <v>882</v>
      </c>
      <c r="G42" s="43">
        <v>7</v>
      </c>
      <c r="H42" s="43">
        <v>3</v>
      </c>
      <c r="I42" s="43">
        <v>20</v>
      </c>
      <c r="J42" s="43">
        <v>2</v>
      </c>
      <c r="K42" s="43">
        <v>17</v>
      </c>
      <c r="L42" s="43">
        <v>13</v>
      </c>
      <c r="M42" s="43"/>
      <c r="N42" s="43">
        <v>1</v>
      </c>
      <c r="O42" s="43">
        <v>10</v>
      </c>
      <c r="P42" s="43"/>
      <c r="Q42" s="44">
        <v>10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3+2+1+36+15+1+10+20+118+3+840</f>
        <v>1049</v>
      </c>
      <c r="D44" s="92"/>
      <c r="E44" s="92"/>
    </row>
    <row r="45" spans="2:25" x14ac:dyDescent="0.25">
      <c r="B45" s="77" t="s">
        <v>69</v>
      </c>
      <c r="C45" s="92">
        <f>6</f>
        <v>6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E77F-92A8-413B-B4F3-AEC2D1E769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179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1</v>
      </c>
      <c r="L24" s="14">
        <v>6</v>
      </c>
      <c r="M24" s="14">
        <v>521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24</v>
      </c>
      <c r="I31" s="23"/>
      <c r="J31" s="23"/>
      <c r="K31" s="23">
        <v>1</v>
      </c>
      <c r="L31" s="23">
        <v>5</v>
      </c>
      <c r="M31" s="23">
        <v>126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2</v>
      </c>
      <c r="F36" s="43">
        <v>501</v>
      </c>
      <c r="G36" s="43">
        <v>10</v>
      </c>
      <c r="H36" s="43">
        <v>5</v>
      </c>
      <c r="I36" s="43">
        <v>5</v>
      </c>
      <c r="J36" s="43">
        <v>1</v>
      </c>
      <c r="K36" s="43">
        <v>10</v>
      </c>
      <c r="L36" s="43">
        <v>1</v>
      </c>
      <c r="M36" s="43">
        <v>5</v>
      </c>
      <c r="N36" s="43">
        <v>2</v>
      </c>
      <c r="O36" s="43">
        <v>2</v>
      </c>
      <c r="P36" s="43">
        <v>18</v>
      </c>
      <c r="Q36" s="44">
        <v>20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2</v>
      </c>
      <c r="F42" s="43">
        <v>501</v>
      </c>
      <c r="G42" s="43">
        <v>10</v>
      </c>
      <c r="H42" s="43">
        <v>5</v>
      </c>
      <c r="I42" s="43">
        <v>5</v>
      </c>
      <c r="J42" s="43">
        <v>1</v>
      </c>
      <c r="K42" s="43">
        <v>10</v>
      </c>
      <c r="L42" s="43">
        <v>1</v>
      </c>
      <c r="M42" s="43">
        <v>5</v>
      </c>
      <c r="N42" s="43">
        <v>2</v>
      </c>
      <c r="O42" s="43">
        <v>2</v>
      </c>
      <c r="P42" s="43">
        <v>18</v>
      </c>
      <c r="Q42" s="44">
        <v>20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12+30+1+395</f>
        <v>438</v>
      </c>
      <c r="D44" s="92"/>
      <c r="E44" s="92"/>
    </row>
    <row r="45" spans="2:25" x14ac:dyDescent="0.25">
      <c r="B45" s="77" t="s">
        <v>69</v>
      </c>
      <c r="C45" s="92">
        <v>8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D783-2C4D-43AA-B738-D3CA3C16FC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2</v>
      </c>
      <c r="E8" s="14">
        <v>5</v>
      </c>
      <c r="F8" s="14">
        <v>2</v>
      </c>
      <c r="G8" s="14">
        <v>5</v>
      </c>
      <c r="H8" s="14" t="s">
        <v>180</v>
      </c>
      <c r="I8" s="14">
        <v>1</v>
      </c>
      <c r="J8" s="14"/>
      <c r="K8" s="14"/>
      <c r="L8" s="14"/>
      <c r="M8" s="14">
        <v>1</v>
      </c>
      <c r="N8" s="14"/>
      <c r="O8" s="14">
        <v>1</v>
      </c>
      <c r="P8" s="14">
        <v>1</v>
      </c>
      <c r="Q8" s="14">
        <v>1</v>
      </c>
      <c r="R8" s="14">
        <v>8</v>
      </c>
      <c r="S8" s="14">
        <v>1</v>
      </c>
      <c r="T8" s="14">
        <v>5</v>
      </c>
      <c r="U8" s="14">
        <v>2</v>
      </c>
      <c r="V8" s="14"/>
      <c r="W8" s="14">
        <v>31</v>
      </c>
      <c r="X8" s="60">
        <v>6</v>
      </c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>
        <v>0</v>
      </c>
      <c r="H15" s="23" t="s">
        <v>180</v>
      </c>
      <c r="I15" s="23">
        <v>0</v>
      </c>
      <c r="J15" s="23"/>
      <c r="K15" s="23"/>
      <c r="L15" s="23"/>
      <c r="M15" s="23">
        <v>1</v>
      </c>
      <c r="N15" s="23"/>
      <c r="O15" s="23">
        <v>1</v>
      </c>
      <c r="P15" s="23">
        <v>1</v>
      </c>
      <c r="Q15" s="23">
        <v>0</v>
      </c>
      <c r="R15" s="23">
        <v>8</v>
      </c>
      <c r="S15" s="23">
        <v>0</v>
      </c>
      <c r="T15" s="23">
        <v>0</v>
      </c>
      <c r="U15" s="23">
        <v>0</v>
      </c>
      <c r="V15" s="23"/>
      <c r="W15" s="23">
        <v>1</v>
      </c>
      <c r="X15" s="62">
        <v>0</v>
      </c>
      <c r="Y15" s="24">
        <v>8</v>
      </c>
    </row>
    <row r="16" spans="2:27" ht="18" customHeight="1" thickBot="1" x14ac:dyDescent="0.3">
      <c r="B16" s="25" t="s">
        <v>26</v>
      </c>
      <c r="C16" s="58">
        <v>5</v>
      </c>
      <c r="D16" s="59">
        <v>2</v>
      </c>
      <c r="E16" s="27">
        <v>5</v>
      </c>
      <c r="F16" s="27">
        <v>2</v>
      </c>
      <c r="G16" s="28">
        <v>5</v>
      </c>
      <c r="H16" s="28">
        <v>0</v>
      </c>
      <c r="I16" s="28">
        <v>1</v>
      </c>
      <c r="J16" s="28"/>
      <c r="K16" s="57"/>
      <c r="L16" s="28"/>
      <c r="M16" s="28">
        <v>0</v>
      </c>
      <c r="N16" s="28"/>
      <c r="O16" s="28">
        <v>0</v>
      </c>
      <c r="P16" s="28">
        <v>0</v>
      </c>
      <c r="Q16" s="28">
        <v>1</v>
      </c>
      <c r="R16" s="28">
        <v>0</v>
      </c>
      <c r="S16" s="28">
        <v>1</v>
      </c>
      <c r="T16" s="28">
        <v>5</v>
      </c>
      <c r="U16" s="28">
        <v>2</v>
      </c>
      <c r="V16" s="28"/>
      <c r="W16" s="57">
        <v>30</v>
      </c>
      <c r="X16" s="63">
        <v>6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108</v>
      </c>
      <c r="I24" s="14">
        <v>2</v>
      </c>
      <c r="J24" s="14"/>
      <c r="K24" s="14">
        <v>20</v>
      </c>
      <c r="L24" s="14">
        <v>50</v>
      </c>
      <c r="M24" s="14">
        <v>442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3</v>
      </c>
      <c r="I31" s="23">
        <v>0</v>
      </c>
      <c r="J31" s="23"/>
      <c r="K31" s="23">
        <v>0</v>
      </c>
      <c r="L31" s="23">
        <v>0</v>
      </c>
      <c r="M31" s="23">
        <v>122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105</v>
      </c>
      <c r="I32" s="28">
        <v>2</v>
      </c>
      <c r="J32" s="28"/>
      <c r="K32" s="28">
        <v>20</v>
      </c>
      <c r="L32" s="28">
        <v>50</v>
      </c>
      <c r="M32" s="28">
        <v>320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6</v>
      </c>
      <c r="E36" s="43">
        <v>14</v>
      </c>
      <c r="F36" s="43">
        <v>87</v>
      </c>
      <c r="G36" s="43">
        <v>312</v>
      </c>
      <c r="H36" s="43">
        <v>2</v>
      </c>
      <c r="I36" s="43">
        <v>8</v>
      </c>
      <c r="J36" s="43">
        <v>34</v>
      </c>
      <c r="K36" s="43">
        <v>11</v>
      </c>
      <c r="L36" s="43">
        <v>2</v>
      </c>
      <c r="M36" s="43">
        <v>42</v>
      </c>
      <c r="N36" s="43">
        <v>21</v>
      </c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6</v>
      </c>
      <c r="E42" s="43">
        <v>14</v>
      </c>
      <c r="F42" s="43">
        <v>87</v>
      </c>
      <c r="G42" s="43">
        <v>312</v>
      </c>
      <c r="H42" s="43">
        <v>2</v>
      </c>
      <c r="I42" s="43">
        <v>8</v>
      </c>
      <c r="J42" s="43">
        <v>34</v>
      </c>
      <c r="K42" s="43">
        <v>11</v>
      </c>
      <c r="L42" s="43">
        <v>2</v>
      </c>
      <c r="M42" s="43">
        <v>42</v>
      </c>
      <c r="N42" s="43">
        <v>21</v>
      </c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5+2+5+2+5+1+1+1+5+2+30+6+2+105+2+20+50+320+10</f>
        <v>574</v>
      </c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5861F-2AE0-46AB-8107-A744FF62BE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85017-6B89-4BE0-9406-A3041C9B21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5</v>
      </c>
      <c r="E8" s="14">
        <v>5</v>
      </c>
      <c r="F8" s="14"/>
      <c r="G8" s="14">
        <v>3</v>
      </c>
      <c r="H8" s="14" t="s">
        <v>175</v>
      </c>
      <c r="I8" s="14">
        <v>1</v>
      </c>
      <c r="J8" s="14"/>
      <c r="K8" s="14"/>
      <c r="L8" s="14"/>
      <c r="M8" s="14">
        <v>2</v>
      </c>
      <c r="N8" s="14">
        <v>1</v>
      </c>
      <c r="O8" s="14"/>
      <c r="P8" s="14">
        <v>2</v>
      </c>
      <c r="Q8" s="14"/>
      <c r="R8" s="14">
        <v>4</v>
      </c>
      <c r="S8" s="14"/>
      <c r="T8" s="14">
        <v>42</v>
      </c>
      <c r="U8" s="14">
        <v>6</v>
      </c>
      <c r="V8" s="14"/>
      <c r="W8" s="14">
        <v>28</v>
      </c>
      <c r="X8" s="60"/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183</v>
      </c>
      <c r="I15" s="23">
        <v>0</v>
      </c>
      <c r="J15" s="23"/>
      <c r="K15" s="23"/>
      <c r="L15" s="23"/>
      <c r="M15" s="23">
        <v>1</v>
      </c>
      <c r="N15" s="23">
        <v>0</v>
      </c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>
        <v>0</v>
      </c>
    </row>
    <row r="16" spans="2:27" ht="18" customHeight="1" thickBot="1" x14ac:dyDescent="0.3">
      <c r="B16" s="25" t="s">
        <v>26</v>
      </c>
      <c r="C16" s="58">
        <v>10</v>
      </c>
      <c r="D16" s="59">
        <v>5</v>
      </c>
      <c r="E16" s="27">
        <v>5</v>
      </c>
      <c r="F16" s="27"/>
      <c r="G16" s="28">
        <v>3</v>
      </c>
      <c r="H16" s="28" t="s">
        <v>184</v>
      </c>
      <c r="I16" s="28">
        <v>1</v>
      </c>
      <c r="J16" s="28"/>
      <c r="K16" s="57"/>
      <c r="L16" s="28"/>
      <c r="M16" s="28">
        <v>1</v>
      </c>
      <c r="N16" s="28">
        <v>1</v>
      </c>
      <c r="O16" s="28"/>
      <c r="P16" s="28">
        <v>1</v>
      </c>
      <c r="Q16" s="28"/>
      <c r="R16" s="28">
        <v>0</v>
      </c>
      <c r="S16" s="28"/>
      <c r="T16" s="28">
        <v>40</v>
      </c>
      <c r="U16" s="28">
        <v>5</v>
      </c>
      <c r="V16" s="28"/>
      <c r="W16" s="57">
        <v>25</v>
      </c>
      <c r="X16" s="63"/>
      <c r="Y16" s="29">
        <v>10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45</v>
      </c>
      <c r="I24" s="14">
        <v>1</v>
      </c>
      <c r="J24" s="14"/>
      <c r="K24" s="14">
        <v>12</v>
      </c>
      <c r="L24" s="14">
        <v>21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37</v>
      </c>
      <c r="I31" s="23">
        <v>1</v>
      </c>
      <c r="J31" s="23"/>
      <c r="K31" s="23">
        <v>0</v>
      </c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8</v>
      </c>
      <c r="I32" s="28">
        <v>0</v>
      </c>
      <c r="J32" s="28"/>
      <c r="K32" s="28">
        <v>12</v>
      </c>
      <c r="L32" s="28">
        <v>21</v>
      </c>
      <c r="M32" s="28">
        <v>314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10</v>
      </c>
      <c r="E36" s="43"/>
      <c r="F36" s="43">
        <v>62</v>
      </c>
      <c r="G36" s="43">
        <v>322</v>
      </c>
      <c r="H36" s="43"/>
      <c r="I36" s="43">
        <v>1</v>
      </c>
      <c r="J36" s="43">
        <v>33</v>
      </c>
      <c r="K36" s="43">
        <v>4</v>
      </c>
      <c r="L36" s="43">
        <v>7</v>
      </c>
      <c r="M36" s="43">
        <v>98</v>
      </c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10</v>
      </c>
      <c r="E42" s="43"/>
      <c r="F42" s="43">
        <v>62</v>
      </c>
      <c r="G42" s="43">
        <v>322</v>
      </c>
      <c r="H42" s="43"/>
      <c r="I42" s="43">
        <v>1</v>
      </c>
      <c r="J42" s="43">
        <v>33</v>
      </c>
      <c r="K42" s="43">
        <v>4</v>
      </c>
      <c r="L42" s="43">
        <v>7</v>
      </c>
      <c r="M42" s="43">
        <v>98</v>
      </c>
      <c r="N42" s="43">
        <v>3</v>
      </c>
      <c r="O42" s="43">
        <v>1</v>
      </c>
      <c r="P42" s="43"/>
      <c r="Q42" s="44">
        <v>8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10+5+5+3+1+1+1+1+1+40+5+25+10+10+8+12+21+314+10</f>
        <v>483</v>
      </c>
      <c r="D44" s="92"/>
      <c r="E44" s="92"/>
    </row>
    <row r="45" spans="2:25" x14ac:dyDescent="0.25">
      <c r="B45" s="77" t="s">
        <v>69</v>
      </c>
      <c r="C45" s="92">
        <f>13</f>
        <v>13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00D5-D45C-4B5F-A424-60E765BB8AB8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92</v>
      </c>
      <c r="D15" s="23"/>
      <c r="E15" s="23"/>
      <c r="F15" s="23"/>
      <c r="G15" s="23"/>
      <c r="H15" s="23" t="s">
        <v>181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0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450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17</v>
      </c>
      <c r="I31" s="23"/>
      <c r="J31" s="23"/>
      <c r="K31" s="23">
        <v>0</v>
      </c>
      <c r="L31" s="23">
        <v>4</v>
      </c>
      <c r="M31" s="23">
        <v>62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</v>
      </c>
      <c r="I32" s="28"/>
      <c r="J32" s="28"/>
      <c r="K32" s="28">
        <v>1</v>
      </c>
      <c r="L32" s="28">
        <v>1</v>
      </c>
      <c r="M32" s="28">
        <v>388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392</v>
      </c>
      <c r="G36" s="43">
        <v>3</v>
      </c>
      <c r="H36" s="43"/>
      <c r="I36" s="43">
        <v>1</v>
      </c>
      <c r="J36" s="43"/>
      <c r="K36" s="43">
        <v>5</v>
      </c>
      <c r="L36" s="43">
        <v>2</v>
      </c>
      <c r="M36" s="43">
        <v>1</v>
      </c>
      <c r="N36" s="43"/>
      <c r="O36" s="43">
        <v>4</v>
      </c>
      <c r="P36" s="43">
        <v>11</v>
      </c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392</v>
      </c>
      <c r="G42" s="43">
        <v>3</v>
      </c>
      <c r="H42" s="43"/>
      <c r="I42" s="43">
        <v>1</v>
      </c>
      <c r="J42" s="43"/>
      <c r="K42" s="43">
        <v>5</v>
      </c>
      <c r="L42" s="43">
        <v>2</v>
      </c>
      <c r="M42" s="43">
        <v>1</v>
      </c>
      <c r="N42" s="43"/>
      <c r="O42" s="43">
        <v>4</v>
      </c>
      <c r="P42" s="43">
        <v>11</v>
      </c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1+14+1+1+7+1+1+388</f>
        <v>414</v>
      </c>
      <c r="D44" s="92"/>
      <c r="E44" s="92"/>
    </row>
    <row r="45" spans="2:25" x14ac:dyDescent="0.25">
      <c r="B45" s="77" t="s">
        <v>69</v>
      </c>
      <c r="C45" s="92">
        <f>5</f>
        <v>5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A2FD-00C6-4E93-B8EC-559194FB14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/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574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38</v>
      </c>
      <c r="I31" s="23"/>
      <c r="J31" s="23"/>
      <c r="K31" s="23">
        <v>2</v>
      </c>
      <c r="L31" s="23">
        <v>14</v>
      </c>
      <c r="M31" s="23">
        <v>242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73</v>
      </c>
      <c r="I32" s="28"/>
      <c r="J32" s="28"/>
      <c r="K32" s="28">
        <v>0</v>
      </c>
      <c r="L32" s="28">
        <v>1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379</v>
      </c>
      <c r="G36" s="43">
        <v>1</v>
      </c>
      <c r="H36" s="43">
        <v>4</v>
      </c>
      <c r="I36" s="43">
        <v>3</v>
      </c>
      <c r="J36" s="43"/>
      <c r="K36" s="43"/>
      <c r="L36" s="43"/>
      <c r="M36" s="43"/>
      <c r="N36" s="43"/>
      <c r="O36" s="43">
        <v>10</v>
      </c>
      <c r="P36" s="43"/>
      <c r="Q36" s="44">
        <v>52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379</v>
      </c>
      <c r="G42" s="43">
        <v>1</v>
      </c>
      <c r="H42" s="43">
        <v>4</v>
      </c>
      <c r="I42" s="43">
        <v>3</v>
      </c>
      <c r="J42" s="43"/>
      <c r="K42" s="43"/>
      <c r="L42" s="43"/>
      <c r="M42" s="43"/>
      <c r="N42" s="43"/>
      <c r="O42" s="43">
        <v>10</v>
      </c>
      <c r="P42" s="43"/>
      <c r="Q42" s="44">
        <v>52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12+1+73+1+332</f>
        <v>419</v>
      </c>
      <c r="D44" s="92"/>
      <c r="E44" s="92"/>
    </row>
    <row r="45" spans="2:25" x14ac:dyDescent="0.25">
      <c r="B45" s="77" t="s">
        <v>69</v>
      </c>
      <c r="C45" s="92">
        <f>4</f>
        <v>4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B6DF-AF49-4475-B8F3-B83B395368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4A422-A2A8-413D-BB38-8559734A465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189</v>
      </c>
      <c r="I8" s="14">
        <v>8</v>
      </c>
      <c r="J8" s="14"/>
      <c r="K8" s="14"/>
      <c r="L8" s="14"/>
      <c r="M8" s="14">
        <v>1</v>
      </c>
      <c r="N8" s="14" t="s">
        <v>130</v>
      </c>
      <c r="O8" s="14" t="s">
        <v>192</v>
      </c>
      <c r="P8" s="14">
        <v>1</v>
      </c>
      <c r="Q8" s="14" t="s">
        <v>130</v>
      </c>
      <c r="R8" s="14">
        <v>4</v>
      </c>
      <c r="S8" s="14"/>
      <c r="T8" s="14">
        <v>2</v>
      </c>
      <c r="U8" s="14">
        <v>1</v>
      </c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190</v>
      </c>
      <c r="I15" s="23">
        <v>0</v>
      </c>
      <c r="J15" s="23"/>
      <c r="K15" s="23"/>
      <c r="L15" s="23"/>
      <c r="M15" s="23">
        <v>1</v>
      </c>
      <c r="N15" s="23">
        <v>0</v>
      </c>
      <c r="O15" s="23">
        <v>0</v>
      </c>
      <c r="P15" s="23">
        <v>1</v>
      </c>
      <c r="Q15" s="23">
        <v>0</v>
      </c>
      <c r="R15" s="23">
        <v>4</v>
      </c>
      <c r="S15" s="23"/>
      <c r="T15" s="23">
        <v>2</v>
      </c>
      <c r="U15" s="23">
        <v>1</v>
      </c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/>
      <c r="G16" s="28"/>
      <c r="H16" s="28" t="s">
        <v>191</v>
      </c>
      <c r="I16" s="28">
        <v>8</v>
      </c>
      <c r="J16" s="28"/>
      <c r="K16" s="57"/>
      <c r="L16" s="28"/>
      <c r="M16" s="28">
        <v>0</v>
      </c>
      <c r="N16" s="28" t="s">
        <v>130</v>
      </c>
      <c r="O16" s="28" t="s">
        <v>192</v>
      </c>
      <c r="P16" s="28">
        <v>0</v>
      </c>
      <c r="Q16" s="28" t="s">
        <v>130</v>
      </c>
      <c r="R16" s="28">
        <v>0</v>
      </c>
      <c r="S16" s="28"/>
      <c r="T16" s="28">
        <v>0</v>
      </c>
      <c r="U16" s="28">
        <v>0</v>
      </c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37</v>
      </c>
      <c r="I24" s="14">
        <v>1</v>
      </c>
      <c r="J24" s="14"/>
      <c r="K24" s="14">
        <v>65</v>
      </c>
      <c r="L24" s="14">
        <v>5</v>
      </c>
      <c r="M24" s="14">
        <v>458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18</v>
      </c>
      <c r="I31" s="23">
        <v>1</v>
      </c>
      <c r="J31" s="23"/>
      <c r="K31" s="23">
        <v>0</v>
      </c>
      <c r="L31" s="23">
        <v>0</v>
      </c>
      <c r="M31" s="23">
        <v>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19</v>
      </c>
      <c r="I32" s="28">
        <v>0</v>
      </c>
      <c r="J32" s="28"/>
      <c r="K32" s="28">
        <v>65</v>
      </c>
      <c r="L32" s="28">
        <v>5</v>
      </c>
      <c r="M32" s="28">
        <v>457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569</v>
      </c>
      <c r="G36" s="43">
        <v>95</v>
      </c>
      <c r="H36" s="43"/>
      <c r="I36" s="43">
        <v>17</v>
      </c>
      <c r="J36" s="43">
        <v>1</v>
      </c>
      <c r="K36" s="43">
        <v>4</v>
      </c>
      <c r="L36" s="43">
        <v>70</v>
      </c>
      <c r="M36" s="43"/>
      <c r="N36" s="43">
        <v>6</v>
      </c>
      <c r="O36" s="43">
        <v>2</v>
      </c>
      <c r="P36" s="43">
        <v>10</v>
      </c>
      <c r="Q36" s="44">
        <v>14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569</v>
      </c>
      <c r="G42" s="43">
        <v>95</v>
      </c>
      <c r="H42" s="43"/>
      <c r="I42" s="43">
        <v>17</v>
      </c>
      <c r="J42" s="43">
        <v>1</v>
      </c>
      <c r="K42" s="43">
        <v>4</v>
      </c>
      <c r="L42" s="43">
        <v>70</v>
      </c>
      <c r="M42" s="43"/>
      <c r="N42" s="43">
        <v>6</v>
      </c>
      <c r="O42" s="43">
        <v>2</v>
      </c>
      <c r="P42" s="43">
        <v>10</v>
      </c>
      <c r="Q42" s="44">
        <v>14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85BA5-DA15-411E-814F-386FDC5641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1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187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1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114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17</v>
      </c>
      <c r="I24" s="14"/>
      <c r="J24" s="14"/>
      <c r="K24" s="14">
        <v>1</v>
      </c>
      <c r="L24" s="14">
        <v>4</v>
      </c>
      <c r="M24" s="14">
        <v>419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93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1</v>
      </c>
      <c r="L32" s="28">
        <v>4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>
        <v>8</v>
      </c>
      <c r="F36" s="43">
        <v>335</v>
      </c>
      <c r="G36" s="43">
        <v>12</v>
      </c>
      <c r="H36" s="43">
        <v>3</v>
      </c>
      <c r="I36" s="43">
        <v>3</v>
      </c>
      <c r="J36" s="43">
        <v>4</v>
      </c>
      <c r="K36" s="43">
        <v>7</v>
      </c>
      <c r="L36" s="43">
        <v>2</v>
      </c>
      <c r="M36" s="43">
        <v>2</v>
      </c>
      <c r="N36" s="43">
        <v>16</v>
      </c>
      <c r="O36" s="43">
        <v>6</v>
      </c>
      <c r="P36" s="43">
        <v>6</v>
      </c>
      <c r="Q36" s="44">
        <v>14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>
        <v>8</v>
      </c>
      <c r="F42" s="43">
        <v>335</v>
      </c>
      <c r="G42" s="43">
        <v>12</v>
      </c>
      <c r="H42" s="43">
        <v>3</v>
      </c>
      <c r="I42" s="43">
        <v>3</v>
      </c>
      <c r="J42" s="43">
        <v>4</v>
      </c>
      <c r="K42" s="43">
        <v>7</v>
      </c>
      <c r="L42" s="43">
        <v>2</v>
      </c>
      <c r="M42" s="43">
        <v>2</v>
      </c>
      <c r="N42" s="43">
        <v>16</v>
      </c>
      <c r="O42" s="43">
        <v>6</v>
      </c>
      <c r="P42" s="43">
        <v>6</v>
      </c>
      <c r="Q42" s="44">
        <v>14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10+17+1+4+326</f>
        <v>358</v>
      </c>
      <c r="D44" s="92"/>
      <c r="E44" s="92"/>
    </row>
    <row r="45" spans="2:25" x14ac:dyDescent="0.25">
      <c r="B45" s="77" t="s">
        <v>69</v>
      </c>
      <c r="C45" s="92">
        <v>5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DE946-F6B7-40B6-8205-746471DD6A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193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10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193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116</v>
      </c>
      <c r="I24" s="14"/>
      <c r="J24" s="14"/>
      <c r="K24" s="14">
        <v>2</v>
      </c>
      <c r="L24" s="14">
        <v>14</v>
      </c>
      <c r="M24" s="14">
        <v>566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4</v>
      </c>
      <c r="I31" s="23"/>
      <c r="J31" s="23"/>
      <c r="K31" s="23">
        <v>2</v>
      </c>
      <c r="L31" s="23">
        <v>7</v>
      </c>
      <c r="M31" s="23">
        <v>136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112</v>
      </c>
      <c r="I32" s="28"/>
      <c r="J32" s="28"/>
      <c r="K32" s="28">
        <v>0</v>
      </c>
      <c r="L32" s="28">
        <v>7</v>
      </c>
      <c r="M32" s="28">
        <v>430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742</v>
      </c>
      <c r="G36" s="43">
        <v>1</v>
      </c>
      <c r="H36" s="43">
        <v>3</v>
      </c>
      <c r="I36" s="43">
        <v>20</v>
      </c>
      <c r="J36" s="43"/>
      <c r="K36" s="43">
        <v>4</v>
      </c>
      <c r="L36" s="43">
        <v>10</v>
      </c>
      <c r="M36" s="43"/>
      <c r="N36" s="43"/>
      <c r="O36" s="43">
        <v>24</v>
      </c>
      <c r="P36" s="43">
        <v>9</v>
      </c>
      <c r="Q36" s="44">
        <v>13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742</v>
      </c>
      <c r="G42" s="43">
        <v>1</v>
      </c>
      <c r="H42" s="43">
        <v>3</v>
      </c>
      <c r="I42" s="43">
        <v>20</v>
      </c>
      <c r="J42" s="43"/>
      <c r="K42" s="43">
        <v>4</v>
      </c>
      <c r="L42" s="43">
        <v>10</v>
      </c>
      <c r="M42" s="43"/>
      <c r="N42" s="43"/>
      <c r="O42" s="43">
        <v>24</v>
      </c>
      <c r="P42" s="43">
        <v>9</v>
      </c>
      <c r="Q42" s="44">
        <v>13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20+10+112+7+430</f>
        <v>579</v>
      </c>
      <c r="D44" s="92"/>
      <c r="E44" s="92"/>
    </row>
    <row r="45" spans="2:25" x14ac:dyDescent="0.25">
      <c r="B45" s="77" t="s">
        <v>69</v>
      </c>
      <c r="C45" s="92">
        <f>10</f>
        <v>10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C700C-90F4-498C-8AC5-865D4D0BA39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A3FE-F38A-46BC-852B-01AA69DE0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194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103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1</v>
      </c>
      <c r="U15" s="23">
        <v>1</v>
      </c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 t="s">
        <v>195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18</v>
      </c>
      <c r="I24" s="14">
        <v>1</v>
      </c>
      <c r="J24" s="14"/>
      <c r="K24" s="14"/>
      <c r="L24" s="14"/>
      <c r="M24" s="14">
        <v>434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8</v>
      </c>
      <c r="I31" s="23">
        <v>1</v>
      </c>
      <c r="J31" s="23"/>
      <c r="K31" s="23"/>
      <c r="L31" s="23"/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>
        <v>0</v>
      </c>
      <c r="J32" s="28"/>
      <c r="K32" s="28"/>
      <c r="L32" s="28"/>
      <c r="M32" s="28">
        <v>436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466</v>
      </c>
      <c r="G36" s="43"/>
      <c r="H36" s="43"/>
      <c r="I36" s="43">
        <v>2</v>
      </c>
      <c r="J36" s="43"/>
      <c r="K36" s="43"/>
      <c r="L36" s="43">
        <v>1</v>
      </c>
      <c r="M36" s="43"/>
      <c r="N36" s="43"/>
      <c r="O36" s="43">
        <v>13</v>
      </c>
      <c r="P36" s="43"/>
      <c r="Q36" s="44">
        <v>5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466</v>
      </c>
      <c r="G42" s="43"/>
      <c r="H42" s="43"/>
      <c r="I42" s="43">
        <v>2</v>
      </c>
      <c r="J42" s="43"/>
      <c r="K42" s="43"/>
      <c r="L42" s="43">
        <v>1</v>
      </c>
      <c r="M42" s="43"/>
      <c r="N42" s="43"/>
      <c r="O42" s="43">
        <v>13</v>
      </c>
      <c r="P42" s="43"/>
      <c r="Q42" s="44">
        <v>5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7+1+1+10+436</f>
        <v>455</v>
      </c>
      <c r="D44" s="92"/>
      <c r="E44" s="92"/>
    </row>
    <row r="45" spans="2:25" x14ac:dyDescent="0.25">
      <c r="B45" s="77" t="s">
        <v>69</v>
      </c>
      <c r="C45" s="92">
        <f>12</f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92FD7-3905-4EF8-B759-E9E225C2DC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196</v>
      </c>
      <c r="D8" s="14"/>
      <c r="E8" s="14"/>
      <c r="F8" s="14"/>
      <c r="G8" s="14"/>
      <c r="H8" s="14" t="s">
        <v>198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2</v>
      </c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196</v>
      </c>
      <c r="D15" s="23"/>
      <c r="E15" s="23"/>
      <c r="F15" s="23"/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>
        <v>2</v>
      </c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36</v>
      </c>
      <c r="I24" s="14"/>
      <c r="J24" s="14"/>
      <c r="K24" s="14">
        <v>1</v>
      </c>
      <c r="L24" s="14">
        <v>14</v>
      </c>
      <c r="M24" s="14">
        <v>458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60</v>
      </c>
      <c r="N31" s="23"/>
      <c r="O31" s="23"/>
      <c r="P31" s="23" t="s">
        <v>199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0</v>
      </c>
      <c r="L32" s="28">
        <v>9</v>
      </c>
      <c r="M32" s="28">
        <v>398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</v>
      </c>
      <c r="E36" s="43"/>
      <c r="F36" s="43">
        <v>380</v>
      </c>
      <c r="G36" s="43">
        <v>89</v>
      </c>
      <c r="H36" s="43">
        <v>5</v>
      </c>
      <c r="I36" s="43">
        <v>3</v>
      </c>
      <c r="J36" s="43">
        <v>1</v>
      </c>
      <c r="K36" s="43">
        <v>11</v>
      </c>
      <c r="L36" s="43">
        <v>4</v>
      </c>
      <c r="M36" s="43"/>
      <c r="N36" s="43">
        <v>4</v>
      </c>
      <c r="O36" s="43">
        <v>9</v>
      </c>
      <c r="P36" s="43">
        <v>4</v>
      </c>
      <c r="Q36" s="44">
        <v>21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/>
      <c r="F42" s="43">
        <v>380</v>
      </c>
      <c r="G42" s="43">
        <v>89</v>
      </c>
      <c r="H42" s="43">
        <v>5</v>
      </c>
      <c r="I42" s="43">
        <v>3</v>
      </c>
      <c r="J42" s="43">
        <v>1</v>
      </c>
      <c r="K42" s="43">
        <v>11</v>
      </c>
      <c r="L42" s="43">
        <v>4</v>
      </c>
      <c r="M42" s="43"/>
      <c r="N42" s="43">
        <v>4</v>
      </c>
      <c r="O42" s="43">
        <v>9</v>
      </c>
      <c r="P42" s="43">
        <v>4</v>
      </c>
      <c r="Q42" s="44">
        <v>21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12+1+2+1+36+9+398+5</f>
        <v>464</v>
      </c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98C76-5700-41B3-9922-7B4C606608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>
        <v>2</v>
      </c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>
        <v>2</v>
      </c>
      <c r="F15" s="23"/>
      <c r="G15" s="23"/>
      <c r="H15" s="23" t="s">
        <v>201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0</v>
      </c>
      <c r="F16" s="27"/>
      <c r="G16" s="28"/>
      <c r="H16" s="28" t="s">
        <v>200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143</v>
      </c>
      <c r="I24" s="14"/>
      <c r="J24" s="14"/>
      <c r="K24" s="14">
        <v>2</v>
      </c>
      <c r="L24" s="14">
        <v>7</v>
      </c>
      <c r="M24" s="14">
        <v>459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118</v>
      </c>
      <c r="I31" s="23"/>
      <c r="J31" s="23"/>
      <c r="K31" s="23">
        <v>2</v>
      </c>
      <c r="L31" s="23">
        <v>0</v>
      </c>
      <c r="M31" s="23">
        <v>87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7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418</v>
      </c>
      <c r="G36" s="43"/>
      <c r="H36" s="43"/>
      <c r="I36" s="43">
        <v>1</v>
      </c>
      <c r="J36" s="43">
        <v>1</v>
      </c>
      <c r="K36" s="43">
        <v>10</v>
      </c>
      <c r="L36" s="43">
        <v>1</v>
      </c>
      <c r="M36" s="43"/>
      <c r="N36" s="43">
        <v>11</v>
      </c>
      <c r="O36" s="43">
        <v>11</v>
      </c>
      <c r="P36" s="43">
        <v>7</v>
      </c>
      <c r="Q36" s="44">
        <v>10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418</v>
      </c>
      <c r="G42" s="43"/>
      <c r="H42" s="43"/>
      <c r="I42" s="43">
        <v>1</v>
      </c>
      <c r="J42" s="43">
        <v>1</v>
      </c>
      <c r="K42" s="43">
        <v>10</v>
      </c>
      <c r="L42" s="43">
        <v>1</v>
      </c>
      <c r="M42" s="43"/>
      <c r="N42" s="43">
        <v>11</v>
      </c>
      <c r="O42" s="43">
        <v>11</v>
      </c>
      <c r="P42" s="43">
        <v>7</v>
      </c>
      <c r="Q42" s="44">
        <v>10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12+3+25+7+327</f>
        <v>374</v>
      </c>
      <c r="D44" s="92"/>
      <c r="E44" s="92"/>
    </row>
    <row r="45" spans="2:25" x14ac:dyDescent="0.25">
      <c r="B45" s="77" t="s">
        <v>69</v>
      </c>
      <c r="C45" s="92">
        <v>11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3FF4E-629D-4DB2-843A-2A1EE99BE8E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8B5-92E6-43CD-A5EC-F7820FD8979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205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/>
      <c r="S8" s="14"/>
      <c r="T8" s="14">
        <v>3</v>
      </c>
      <c r="U8" s="14">
        <v>1</v>
      </c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206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/>
      <c r="S15" s="23"/>
      <c r="T15" s="23">
        <v>1</v>
      </c>
      <c r="U15" s="23">
        <v>0</v>
      </c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2</v>
      </c>
      <c r="D16" s="59"/>
      <c r="E16" s="27">
        <v>2</v>
      </c>
      <c r="F16" s="27"/>
      <c r="G16" s="28"/>
      <c r="H16" s="28" t="s">
        <v>207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/>
      <c r="S16" s="28"/>
      <c r="T16" s="28">
        <v>2</v>
      </c>
      <c r="U16" s="28">
        <v>1</v>
      </c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80</v>
      </c>
      <c r="I24" s="14">
        <v>1</v>
      </c>
      <c r="J24" s="14"/>
      <c r="K24" s="14">
        <v>2</v>
      </c>
      <c r="L24" s="14">
        <v>10</v>
      </c>
      <c r="M24" s="14">
        <v>530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>
        <v>0</v>
      </c>
      <c r="J31" s="23"/>
      <c r="K31" s="23">
        <v>0</v>
      </c>
      <c r="L31" s="23">
        <v>0</v>
      </c>
      <c r="M31" s="23">
        <v>50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72</v>
      </c>
      <c r="I32" s="28">
        <v>1</v>
      </c>
      <c r="J32" s="28"/>
      <c r="K32" s="28">
        <v>2</v>
      </c>
      <c r="L32" s="28">
        <v>10</v>
      </c>
      <c r="M32" s="28">
        <v>480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43</v>
      </c>
      <c r="F36" s="43">
        <f>56+216+108+57</f>
        <v>437</v>
      </c>
      <c r="G36" s="43">
        <v>2</v>
      </c>
      <c r="H36" s="43">
        <v>5</v>
      </c>
      <c r="I36" s="43">
        <v>6</v>
      </c>
      <c r="J36" s="43">
        <v>1</v>
      </c>
      <c r="K36" s="43">
        <v>11</v>
      </c>
      <c r="L36" s="43">
        <v>4</v>
      </c>
      <c r="M36" s="43">
        <v>9</v>
      </c>
      <c r="N36" s="43">
        <v>23</v>
      </c>
      <c r="O36" s="43">
        <v>1</v>
      </c>
      <c r="P36" s="43"/>
      <c r="Q36" s="44">
        <v>72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43</v>
      </c>
      <c r="F42" s="43">
        <f>56+216+108+57</f>
        <v>437</v>
      </c>
      <c r="G42" s="43">
        <v>2</v>
      </c>
      <c r="H42" s="43">
        <v>5</v>
      </c>
      <c r="I42" s="43">
        <v>6</v>
      </c>
      <c r="J42" s="43">
        <v>1</v>
      </c>
      <c r="K42" s="43">
        <v>11</v>
      </c>
      <c r="L42" s="43">
        <v>4</v>
      </c>
      <c r="M42" s="43">
        <v>9</v>
      </c>
      <c r="N42" s="43">
        <v>23</v>
      </c>
      <c r="O42" s="43">
        <v>1</v>
      </c>
      <c r="P42" s="43"/>
      <c r="Q42" s="44">
        <v>72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2+2+1+2+1+3+3+72+1+2+10+480</f>
        <v>579</v>
      </c>
      <c r="D44" s="92"/>
      <c r="E44" s="92"/>
    </row>
    <row r="45" spans="2:25" x14ac:dyDescent="0.25">
      <c r="B45" s="77" t="s">
        <v>69</v>
      </c>
      <c r="C45" s="92">
        <v>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2A380-CDEB-4314-B95A-4DB3BD819CF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196</v>
      </c>
      <c r="D8" s="14"/>
      <c r="E8" s="14">
        <v>3</v>
      </c>
      <c r="F8" s="14"/>
      <c r="G8" s="14"/>
      <c r="H8" s="14" t="s">
        <v>208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/>
      <c r="G15" s="23"/>
      <c r="H15" s="23" t="s">
        <v>209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>
        <v>1</v>
      </c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3</v>
      </c>
      <c r="F16" s="27"/>
      <c r="G16" s="28"/>
      <c r="H16" s="28" t="s">
        <v>210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113</v>
      </c>
      <c r="I24" s="14"/>
      <c r="J24" s="14"/>
      <c r="K24" s="14">
        <v>1</v>
      </c>
      <c r="L24" s="14">
        <v>5</v>
      </c>
      <c r="M24" s="14">
        <v>449</v>
      </c>
      <c r="N24" s="14"/>
      <c r="O24" s="14"/>
      <c r="P24" s="14" t="s">
        <v>199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1</v>
      </c>
      <c r="L31" s="23">
        <v>4</v>
      </c>
      <c r="M31" s="23">
        <v>100</v>
      </c>
      <c r="N31" s="23"/>
      <c r="O31" s="23"/>
      <c r="P31" s="23" t="s">
        <v>199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110</v>
      </c>
      <c r="I32" s="28"/>
      <c r="J32" s="28"/>
      <c r="K32" s="28">
        <v>0</v>
      </c>
      <c r="L32" s="28">
        <v>1</v>
      </c>
      <c r="M32" s="28">
        <v>349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456</v>
      </c>
      <c r="G36" s="43"/>
      <c r="H36" s="43">
        <v>7</v>
      </c>
      <c r="I36" s="43">
        <v>4</v>
      </c>
      <c r="J36" s="43"/>
      <c r="K36" s="43"/>
      <c r="L36" s="43">
        <v>2</v>
      </c>
      <c r="M36" s="43"/>
      <c r="N36" s="43"/>
      <c r="O36" s="43">
        <v>6</v>
      </c>
      <c r="P36" s="43">
        <v>14</v>
      </c>
      <c r="Q36" s="44">
        <v>5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456</v>
      </c>
      <c r="G42" s="43"/>
      <c r="H42" s="43">
        <v>7</v>
      </c>
      <c r="I42" s="43">
        <v>4</v>
      </c>
      <c r="J42" s="43"/>
      <c r="K42" s="43"/>
      <c r="L42" s="43">
        <v>2</v>
      </c>
      <c r="M42" s="43"/>
      <c r="N42" s="43"/>
      <c r="O42" s="43">
        <v>6</v>
      </c>
      <c r="P42" s="43">
        <v>14</v>
      </c>
      <c r="Q42" s="44">
        <v>5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1+3+18+1+110+1+349</f>
        <v>483</v>
      </c>
      <c r="D44" s="92"/>
      <c r="E44" s="92"/>
    </row>
    <row r="45" spans="2:25" x14ac:dyDescent="0.25">
      <c r="B45" s="77" t="s">
        <v>69</v>
      </c>
      <c r="C45" s="92">
        <f>10</f>
        <v>10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0A87D-45E0-43CD-87B8-41FE38E57872}">
  <dimension ref="B1:AA45"/>
  <sheetViews>
    <sheetView showGridLines="0" tabSelected="1" zoomScale="160" zoomScaleNormal="160" workbookViewId="0">
      <selection activeCell="H7" sqref="H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>
        <v>2</v>
      </c>
      <c r="F8" s="14"/>
      <c r="G8" s="14"/>
      <c r="H8" s="14" t="s">
        <v>212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>
        <v>1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</v>
      </c>
      <c r="F16" s="27"/>
      <c r="G16" s="28"/>
      <c r="H16" s="28" t="s">
        <v>198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118</v>
      </c>
      <c r="I24" s="14"/>
      <c r="J24" s="14"/>
      <c r="K24" s="14">
        <v>2</v>
      </c>
      <c r="L24" s="14">
        <v>20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90</v>
      </c>
      <c r="I31" s="23"/>
      <c r="J31" s="23"/>
      <c r="K31" s="23">
        <v>2</v>
      </c>
      <c r="L31" s="23">
        <v>11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28</v>
      </c>
      <c r="I32" s="28"/>
      <c r="J32" s="28"/>
      <c r="K32" s="28">
        <v>0</v>
      </c>
      <c r="L32" s="28">
        <v>9</v>
      </c>
      <c r="M32" s="28">
        <v>451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4</v>
      </c>
      <c r="D36" s="42"/>
      <c r="E36" s="43"/>
      <c r="F36" s="43">
        <v>531</v>
      </c>
      <c r="G36" s="43">
        <v>5</v>
      </c>
      <c r="H36" s="43"/>
      <c r="I36" s="43">
        <v>17</v>
      </c>
      <c r="J36" s="43"/>
      <c r="K36" s="43"/>
      <c r="L36" s="43">
        <v>3</v>
      </c>
      <c r="M36" s="43">
        <v>1</v>
      </c>
      <c r="N36" s="43"/>
      <c r="O36" s="43">
        <v>10</v>
      </c>
      <c r="P36" s="43"/>
      <c r="Q36" s="44">
        <v>17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4</v>
      </c>
      <c r="D42" s="42"/>
      <c r="E42" s="43"/>
      <c r="F42" s="43">
        <v>531</v>
      </c>
      <c r="G42" s="43">
        <v>5</v>
      </c>
      <c r="H42" s="43"/>
      <c r="I42" s="43">
        <v>17</v>
      </c>
      <c r="J42" s="43"/>
      <c r="K42" s="43"/>
      <c r="L42" s="43">
        <v>3</v>
      </c>
      <c r="M42" s="43">
        <v>1</v>
      </c>
      <c r="N42" s="43"/>
      <c r="O42" s="43">
        <v>10</v>
      </c>
      <c r="P42" s="43"/>
      <c r="Q42" s="44">
        <v>17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2">
        <f>1+13+1+28+9+451</f>
        <v>503</v>
      </c>
      <c r="D44" s="92"/>
      <c r="E44" s="92"/>
    </row>
    <row r="45" spans="2:25" x14ac:dyDescent="0.25">
      <c r="B45" s="77" t="s">
        <v>69</v>
      </c>
      <c r="C45" s="92">
        <f>1</f>
        <v>1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24281-DDBF-4DE2-BCCF-0D011BDA33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FF0F5-5F4B-4EFB-9AC2-42C1F8EEDAE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4C218-FCC0-49B0-A470-9CACC7F2027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0EF45-9A10-4DB8-9FD6-4721B24764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418C8-A6C9-4E45-B065-65CEBFCE2A8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98E78-E901-4993-97D8-9A6B36BF988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377F0-91A9-4F9E-9D5E-21FAD1B959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5A01A-61C7-4C82-81A8-415FD8E16F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7"/>
      <c r="W34" s="3"/>
      <c r="X34" s="3"/>
      <c r="Y34" s="3"/>
    </row>
    <row r="35" spans="2:25" ht="18" customHeight="1" thickBot="1" x14ac:dyDescent="0.3">
      <c r="B35" s="87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2"/>
      <c r="D44" s="92"/>
      <c r="E44" s="92"/>
    </row>
    <row r="45" spans="2:25" x14ac:dyDescent="0.25">
      <c r="B45" s="77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81</vt:i4>
      </vt:variant>
      <vt:variant>
        <vt:lpstr>Named Ranges</vt:lpstr>
      </vt:variant>
      <vt:variant>
        <vt:i4>80</vt:i4>
      </vt:variant>
    </vt:vector>
  </HeadingPairs>
  <TitlesOfParts>
    <vt:vector size="161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03-11 R3</vt:lpstr>
      <vt:lpstr>(12)</vt:lpstr>
      <vt:lpstr>03-12 R1</vt:lpstr>
      <vt:lpstr>03-12 R2</vt:lpstr>
      <vt:lpstr>03-12 R3</vt:lpstr>
      <vt:lpstr>(13)</vt:lpstr>
      <vt:lpstr>NO TRIP 03-13 R1</vt:lpstr>
      <vt:lpstr>NO TRIP 03-13 R2</vt:lpstr>
      <vt:lpstr>NO TRIP 03-13 R3</vt:lpstr>
      <vt:lpstr>(14)</vt:lpstr>
      <vt:lpstr>03-14 R1</vt:lpstr>
      <vt:lpstr>03-14 R2</vt:lpstr>
      <vt:lpstr>03-14 R3</vt:lpstr>
      <vt:lpstr>(16)</vt:lpstr>
      <vt:lpstr>03-16 R1 NO TRIP</vt:lpstr>
      <vt:lpstr>03-16 R2</vt:lpstr>
      <vt:lpstr>03-16 R3</vt:lpstr>
      <vt:lpstr>(17)</vt:lpstr>
      <vt:lpstr>03-17 R1</vt:lpstr>
      <vt:lpstr>03-17 R2</vt:lpstr>
      <vt:lpstr>03-17 R3</vt:lpstr>
      <vt:lpstr>(18)</vt:lpstr>
      <vt:lpstr>03-18 R1</vt:lpstr>
      <vt:lpstr>03-18 R2</vt:lpstr>
      <vt:lpstr>03-18 R3</vt:lpstr>
      <vt:lpstr>(19)</vt:lpstr>
      <vt:lpstr>03-19 R1</vt:lpstr>
      <vt:lpstr>03-19 R2</vt:lpstr>
      <vt:lpstr>03-19 R3</vt:lpstr>
      <vt:lpstr>(20)</vt:lpstr>
      <vt:lpstr>03-20 R1</vt:lpstr>
      <vt:lpstr>03-20 R2</vt:lpstr>
      <vt:lpstr>03-20 R3</vt:lpstr>
      <vt:lpstr>(23)</vt:lpstr>
      <vt:lpstr>03-23 R1</vt:lpstr>
      <vt:lpstr>03-23 R2</vt:lpstr>
      <vt:lpstr>03-23 R3</vt:lpstr>
      <vt:lpstr>(24)</vt:lpstr>
      <vt:lpstr>03-24 R1</vt:lpstr>
      <vt:lpstr>03-24 R2</vt:lpstr>
      <vt:lpstr>03-24 R3</vt:lpstr>
      <vt:lpstr>(25)</vt:lpstr>
      <vt:lpstr>03-25 R1</vt:lpstr>
      <vt:lpstr>03-25 R2</vt:lpstr>
      <vt:lpstr>03-25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'(23)'!Print_Area</vt:lpstr>
      <vt:lpstr>'(24)'!Print_Area</vt:lpstr>
      <vt:lpstr>'(25)'!Print_Area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'03-11 R3'!Print_Area</vt:lpstr>
      <vt:lpstr>'03-12 R1'!Print_Area</vt:lpstr>
      <vt:lpstr>'03-12 R2'!Print_Area</vt:lpstr>
      <vt:lpstr>'03-12 R3'!Print_Area</vt:lpstr>
      <vt:lpstr>'03-14 R1'!Print_Area</vt:lpstr>
      <vt:lpstr>'03-14 R2'!Print_Area</vt:lpstr>
      <vt:lpstr>'03-14 R3'!Print_Area</vt:lpstr>
      <vt:lpstr>'03-16 R1 NO TRIP'!Print_Area</vt:lpstr>
      <vt:lpstr>'03-16 R2'!Print_Area</vt:lpstr>
      <vt:lpstr>'03-16 R3'!Print_Area</vt:lpstr>
      <vt:lpstr>'03-17 R1'!Print_Area</vt:lpstr>
      <vt:lpstr>'03-17 R2'!Print_Area</vt:lpstr>
      <vt:lpstr>'03-17 R3'!Print_Area</vt:lpstr>
      <vt:lpstr>'03-18 R1'!Print_Area</vt:lpstr>
      <vt:lpstr>'03-18 R2'!Print_Area</vt:lpstr>
      <vt:lpstr>'03-18 R3'!Print_Area</vt:lpstr>
      <vt:lpstr>'03-19 R1'!Print_Area</vt:lpstr>
      <vt:lpstr>'03-19 R2'!Print_Area</vt:lpstr>
      <vt:lpstr>'03-19 R3'!Print_Area</vt:lpstr>
      <vt:lpstr>'03-20 R1'!Print_Area</vt:lpstr>
      <vt:lpstr>'03-20 R2'!Print_Area</vt:lpstr>
      <vt:lpstr>'03-20 R3'!Print_Area</vt:lpstr>
      <vt:lpstr>'03-23 R1'!Print_Area</vt:lpstr>
      <vt:lpstr>'03-23 R2'!Print_Area</vt:lpstr>
      <vt:lpstr>'03-23 R3'!Print_Area</vt:lpstr>
      <vt:lpstr>'03-24 R1'!Print_Area</vt:lpstr>
      <vt:lpstr>'03-24 R2'!Print_Area</vt:lpstr>
      <vt:lpstr>'03-24 R3'!Print_Area</vt:lpstr>
      <vt:lpstr>'03-25 R1'!Print_Area</vt:lpstr>
      <vt:lpstr>'03-25 R2'!Print_Area</vt:lpstr>
      <vt:lpstr>'03-25 R3'!Print_Area</vt:lpstr>
      <vt:lpstr>'NO TRIP 03-13 R1'!Print_Area</vt:lpstr>
      <vt:lpstr>'NO TRIP 03-13 R2'!Print_Area</vt:lpstr>
      <vt:lpstr>'NO TRIP 03-13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2026-03-18T02:57:06Z</cp:lastPrinted>
  <dcterms:created xsi:type="dcterms:W3CDTF">2024-09-01T22:48:10Z</dcterms:created>
  <dcterms:modified xsi:type="dcterms:W3CDTF">2026-03-24T01:08:05Z</dcterms:modified>
</cp:coreProperties>
</file>