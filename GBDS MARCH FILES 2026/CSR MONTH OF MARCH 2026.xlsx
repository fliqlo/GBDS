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E25029E-8D4A-44E3-9DAE-A9526711C1CD}" xr6:coauthVersionLast="45" xr6:coauthVersionMax="47" xr10:uidLastSave="{00000000-0000-0000-0000-000000000000}"/>
  <bookViews>
    <workbookView xWindow="-120" yWindow="-120" windowWidth="29040" windowHeight="15840" firstSheet="58" activeTab="68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1)" sheetId="1516" r:id="rId70"/>
    <sheet name="03-21 R1" sheetId="1517" r:id="rId71"/>
    <sheet name="03-21 R2" sheetId="1518" r:id="rId72"/>
    <sheet name="03-21 R3" sheetId="1519" r:id="rId73"/>
  </sheets>
  <externalReferences>
    <externalReference r:id="rId7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'(21)'!$A$1:$Z$44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'03-21 R1'!$A$1:$Z$43</definedName>
    <definedName name="_xlnm.Print_Area" localSheetId="71">'03-21 R2'!$A$1:$V$44</definedName>
    <definedName name="_xlnm.Print_Area" localSheetId="72">'03-21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515" l="1"/>
  <c r="C44" i="1514"/>
  <c r="C45" i="1513"/>
  <c r="C44" i="1513"/>
  <c r="C45" i="1511" l="1"/>
  <c r="C44" i="1511"/>
  <c r="C44" i="1510"/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<sst xmlns="http://schemas.openxmlformats.org/spreadsheetml/2006/main" count="6560" uniqueCount="203">
  <si>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</si>
  <si>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</si>
  <si>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</si>
  <si>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</si>
  <si>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</si>
  <si>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</si>
  <si>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</si>
  <si>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</si>
  <si>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</si>
  <si>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</si>
  <si>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</si>
  <si>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</si>
  <si>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</si>
  <si>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</si>
  <si>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</si>
  <si>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</si>
  <si>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</si>
  <si>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</si>
  <si>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</si>
  <si>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</si>
  <si>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</si>
  <si>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</si>
  <si>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</si>
  <si>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</si>
  <si>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</si>
  <si>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</si>
  <si>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</si>
  <si>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</si>
  <si>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</si>
  <si>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</si>
  <si>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</si>
  <si>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</si>
  <si>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</si>
  <si>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</si>
  <si>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</si>
  <si>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</si>
  <si>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</si>
  <si>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</si>
  <si>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</si>
  <si>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</si>
  <si>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</si>
  <si>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</si>
  <si>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</si>
  <si>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</si>
  <si>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</si>
  <si>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</si>
  <si>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</si>
  <si>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</si>
  <si>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</si>
  <si>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</si>
  <si>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</si>
  <si>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</si>
  <si>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</si>
  <si>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</si>
  <si>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</si>
  <si>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</si>
  <si>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</si>
  <si>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</si>
  <si>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</si>
  <si>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</si>
  <si>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</si>
  <si>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</si>
  <si>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</si>
  <si>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</si>
  <si>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</si>
  <si>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</si>
  <si>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</si>
  <si>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</si>
  <si>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</si>
  <si>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</si>
  <si>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</si>
  <si>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</si>
  <si>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</si>
  <si>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</si>
  <si>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</si>
  <si>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</si>
  <si>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</si>
  <si>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</si>
  <si>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</si>
  <si>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</si>
  <si>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</si>
  <si>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</si>
  <si>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</si>
  <si>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</si>
  <si>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</si>
  <si>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</si>
  <si>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</si>
  <si>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</si>
  <si>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</si>
  <si>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</si>
  <si>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</si>
  <si>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</si>
  <si>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</si>
  <si>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</si>
  <si>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</si>
  <si>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</si>
  <si>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</si>
  <si>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</si>
  <si>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</si>
  <si>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</si>
  <si>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</si>
  <si>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</si>
  <si>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</si>
  <si>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</si>
  <si>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</si>
  <si>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</si>
  <si>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</si>
  <si>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</si>
  <si>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</si>
  <si>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</si>
  <si>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</si>
  <si>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</si>
  <si>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</si>
  <si>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</si>
  <si>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</si>
  <si>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</si>
  <si>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</si>
  <si>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</si>
  <si>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</si>
  <si>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</si>
  <si>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</si>
  <si>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</si>
  <si>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</si>
  <si>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</si>
  <si>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</si>
  <si>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</si>
  <si>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</si>
  <si>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</si>
  <si>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</si>
  <si>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</si>
  <si>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</si>
  <si>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</si>
  <si>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</si>
  <si>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</si>
  <si>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</si>
  <si>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</si>
  <si>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</si>
  <si>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</si>
  <si>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</si>
  <si>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</si>
  <si>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</si>
  <si>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</si>
  <si>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</si>
  <si>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</si>
  <si>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</si>
  <si>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</si>
  <si>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</si>
  <si>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</si>
  <si>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</si>
  <si>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</si>
  <si>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</si>
  <si>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</si>
  <si>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</si>
  <si>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</si>
  <si>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</si>
  <si>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</si>
  <si>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</si>
  <si>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</si>
  <si>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</si>
  <si>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</si>
  <si>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</si>
  <si>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</si>
  <si>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</si>
  <si>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</si>
  <si>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</si>
  <si>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</si>
  <si>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</si>
  <si>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DATE ___________03/21/2026___________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</si>
  <si>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</si>
  <si>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</si>
  <si>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</si>
  <si>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</si>
  <si>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</si>
  <si>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</si>
  <si>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</si>
  <si>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</si>
  <si>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</si>
  <si>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</si>
  <si>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</si>
  <si>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</si>
  <si>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</si>
  <si>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</si>
  <si>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</si>
  <si>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</si>
  <si>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</si>
  <si>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</si>
  <si>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</si>
  <si>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</si>
  <si>
    <t>3/1B</t>
  </si>
  <si>
    <t>13/6B</t>
  </si>
  <si>
    <t>18/17B</t>
  </si>
  <si>
    <t>5/1B</t>
  </si>
  <si>
    <t>13/16B</t>
  </si>
  <si>
    <t>8B</t>
  </si>
  <si>
    <t>20/10B</t>
  </si>
  <si>
    <t>15/1B</t>
  </si>
  <si>
    <t>7/12B</t>
  </si>
  <si>
    <t>3/12B</t>
  </si>
  <si>
    <t>1/1B</t>
  </si>
  <si>
    <t>13/1B</t>
  </si>
  <si>
    <t>1/4B</t>
  </si>
  <si>
    <t>12/11B</t>
  </si>
  <si>
    <t>8/13B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</si>
</sst>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1+1+1+6+2+2+18+1+12+308</f>
        <v>352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2+9+1+10+40+1+351</f>
        <v>414</v>
      </c>
      <c r="D44" s="91"/>
      <c r="E44" s="91"/>
    </row>
    <row r="45" spans="2:25" x14ac:dyDescent="0.25">
      <c r="B45" s="77" t="s">
        <v>69</v>
      </c>
      <c r="C45" s="91">
        <f>3+12</f>
        <v>15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12+2+1+57+9+266+1</f>
        <v>348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1+1+31+7+382+3</f>
        <v>425</v>
      </c>
      <c r="D44" s="91"/>
      <c r="E44" s="91"/>
    </row>
    <row r="45" spans="2:25" x14ac:dyDescent="0.25">
      <c r="B45" s="77" t="s">
        <v>69</v>
      </c>
      <c r="C45" s="91">
        <v>9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2+7+1+71+2+224</f>
        <v>307</v>
      </c>
      <c r="D44" s="91"/>
      <c r="E44" s="91"/>
    </row>
    <row r="45" spans="2:25" x14ac:dyDescent="0.25">
      <c r="B45" s="77" t="s">
        <v>69</v>
      </c>
      <c r="C45" s="91"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1+1+15+3+36+1+20+291</f>
        <v>368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18+2+3+10+117+6+359+3</f>
        <v>518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2+14+326</f>
        <v>342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8+1+8+29+1+270</f>
        <v>317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10+2+1+10+377</f>
        <v>400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17+13+7+4+2+11+3+24+6+1+246+4+1</f>
        <v>339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13+111+10+355</f>
        <v>489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2+1+1+2+2+1+17+50+319+1</f>
        <v>396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1+10+2+68+4+385</f>
        <v>470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15+15+19+1+2+2+59+12+432</f>
        <v>557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1+20+2+1+1+67+55+558</f>
        <v>705</v>
      </c>
      <c r="D44" s="91"/>
      <c r="E44" s="91"/>
    </row>
    <row r="45" spans="2:25" x14ac:dyDescent="0.25">
      <c r="B45" s="77" t="s">
        <v>69</v>
      </c>
      <c r="C45" s="91">
        <f>5+12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20+118+1+538</f>
        <v>677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15+1+2+63+1+11+369</f>
        <v>462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1+1+5+1+20+3+324</f>
        <v>355</v>
      </c>
      <c r="D44" s="91"/>
      <c r="E44" s="91"/>
    </row>
    <row r="45" spans="2:25" x14ac:dyDescent="0.25">
      <c r="B45" s="77" t="s">
        <v>69</v>
      </c>
      <c r="C45" s="91"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11+29+6+311</f>
        <v>357</v>
      </c>
      <c r="D44" s="91"/>
      <c r="E44" s="91"/>
    </row>
    <row r="45" spans="2:25" x14ac:dyDescent="0.25">
      <c r="B45" s="77" t="s">
        <v>69</v>
      </c>
      <c r="C45" s="91">
        <f>6+5</f>
        <v>11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1+2+14+2+2+21+1+5+329</f>
        <v>377</v>
      </c>
      <c r="D44" s="91"/>
      <c r="E44" s="91"/>
    </row>
    <row r="45" spans="2:25" x14ac:dyDescent="0.25">
      <c r="B45" s="77" t="s">
        <v>69</v>
      </c>
      <c r="C45" s="91">
        <f>20</f>
        <v>20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1+1+15+2+411</f>
        <v>430</v>
      </c>
      <c r="D44" s="91"/>
      <c r="E44" s="91"/>
    </row>
    <row r="45" spans="2:25" x14ac:dyDescent="0.25">
      <c r="B45" s="77" t="s">
        <v>69</v>
      </c>
      <c r="C45" s="91">
        <f>21</f>
        <v>21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10+348</f>
        <v>358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1+1+11+1+2+2+4+5+2+15+418</f>
        <v>462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15+4+431</f>
        <v>450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16+10+90+1+395</f>
        <v>512</v>
      </c>
      <c r="D44" s="91"/>
      <c r="E44" s="91"/>
    </row>
    <row r="45" spans="2:25" x14ac:dyDescent="0.25">
      <c r="B45" s="77" t="s">
        <v>69</v>
      </c>
      <c r="C45" s="91">
        <f>17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1+1+14+3+2+30+15+363</f>
        <v>429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1+2+20+1+1+3+36+4+676+5</f>
        <v>749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2+1+8+1+33+12+314+2</f>
        <v>373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10+16+16+316</f>
        <v>358</v>
      </c>
      <c r="D44" s="91"/>
      <c r="E44" s="91"/>
    </row>
    <row r="45" spans="2:25" x14ac:dyDescent="0.25">
      <c r="B45" s="77" t="s">
        <v>69</v>
      </c>
      <c r="C45" s="91">
        <f>12</f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3+16+3+5+527</f>
        <v>554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168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5+23+2+520</f>
        <v>550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3+2+1+36+15+1+10+20+118+3+840</f>
        <v>1049</v>
      </c>
      <c r="D44" s="91"/>
      <c r="E44" s="91"/>
    </row>
    <row r="45" spans="2:25" x14ac:dyDescent="0.25">
      <c r="B45" s="77" t="s">
        <v>69</v>
      </c>
      <c r="C45" s="91">
        <f>6</f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12+30+1+395</f>
        <v>438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181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181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5+2+5+2+5+1+1+1+5+2+30+6+2+105+2+20+50+320+10</f>
        <v>574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176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184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185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10+5+5+3+1+1+1+1+1+40+5+25+10+10+8+12+21+314+10</f>
        <v>483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1+14+1+1+7+1+1+388</f>
        <v>414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12+1+73+1+332</f>
        <v>419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190</v>
      </c>
      <c r="I8" s="14">
        <v>8</v>
      </c>
      <c r="J8" s="14"/>
      <c r="K8" s="14"/>
      <c r="L8" s="14"/>
      <c r="M8" s="14">
        <v>1</v>
      </c>
      <c r="N8" s="14" t="s">
        <v>130</v>
      </c>
      <c r="O8" s="14" t="s">
        <v>193</v>
      </c>
      <c r="P8" s="14">
        <v>1</v>
      </c>
      <c r="Q8" s="14" t="s">
        <v>130</v>
      </c>
      <c r="R8" s="14">
        <v>4</v>
      </c>
      <c r="S8" s="14"/>
      <c r="T8" s="14">
        <v>2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191</v>
      </c>
      <c r="I15" s="23">
        <v>0</v>
      </c>
      <c r="J15" s="23"/>
      <c r="K15" s="23"/>
      <c r="L15" s="23"/>
      <c r="M15" s="23">
        <v>1</v>
      </c>
      <c r="N15" s="23">
        <v>0</v>
      </c>
      <c r="O15" s="23">
        <v>0</v>
      </c>
      <c r="P15" s="23">
        <v>1</v>
      </c>
      <c r="Q15" s="23">
        <v>0</v>
      </c>
      <c r="R15" s="23">
        <v>4</v>
      </c>
      <c r="S15" s="23"/>
      <c r="T15" s="23">
        <v>2</v>
      </c>
      <c r="U15" s="23">
        <v>1</v>
      </c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192</v>
      </c>
      <c r="I16" s="28">
        <v>8</v>
      </c>
      <c r="J16" s="28"/>
      <c r="K16" s="57"/>
      <c r="L16" s="28"/>
      <c r="M16" s="28">
        <v>0</v>
      </c>
      <c r="N16" s="28" t="s">
        <v>130</v>
      </c>
      <c r="O16" s="28" t="s">
        <v>193</v>
      </c>
      <c r="P16" s="28">
        <v>0</v>
      </c>
      <c r="Q16" s="28" t="s">
        <v>130</v>
      </c>
      <c r="R16" s="28">
        <v>0</v>
      </c>
      <c r="S16" s="28"/>
      <c r="T16" s="28">
        <v>0</v>
      </c>
      <c r="U16" s="28">
        <v>0</v>
      </c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37</v>
      </c>
      <c r="I24" s="14">
        <v>1</v>
      </c>
      <c r="J24" s="14"/>
      <c r="K24" s="14">
        <v>65</v>
      </c>
      <c r="L24" s="14">
        <v>5</v>
      </c>
      <c r="M24" s="14">
        <v>458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>
        <v>1</v>
      </c>
      <c r="J31" s="23"/>
      <c r="K31" s="23">
        <v>0</v>
      </c>
      <c r="L31" s="23">
        <v>0</v>
      </c>
      <c r="M31" s="23">
        <v>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19</v>
      </c>
      <c r="I32" s="28">
        <v>0</v>
      </c>
      <c r="J32" s="28"/>
      <c r="K32" s="28">
        <v>65</v>
      </c>
      <c r="L32" s="28">
        <v>5</v>
      </c>
      <c r="M32" s="28">
        <v>457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569</v>
      </c>
      <c r="G36" s="43">
        <v>95</v>
      </c>
      <c r="H36" s="43"/>
      <c r="I36" s="43">
        <v>17</v>
      </c>
      <c r="J36" s="43">
        <v>1</v>
      </c>
      <c r="K36" s="43">
        <v>4</v>
      </c>
      <c r="L36" s="43">
        <v>70</v>
      </c>
      <c r="M36" s="43"/>
      <c r="N36" s="43">
        <v>6</v>
      </c>
      <c r="O36" s="43">
        <v>2</v>
      </c>
      <c r="P36" s="43">
        <v>10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569</v>
      </c>
      <c r="G42" s="43">
        <v>95</v>
      </c>
      <c r="H42" s="43"/>
      <c r="I42" s="43">
        <v>17</v>
      </c>
      <c r="J42" s="43">
        <v>1</v>
      </c>
      <c r="K42" s="43">
        <v>4</v>
      </c>
      <c r="L42" s="43">
        <v>70</v>
      </c>
      <c r="M42" s="43"/>
      <c r="N42" s="43">
        <v>6</v>
      </c>
      <c r="O42" s="43">
        <v>2</v>
      </c>
      <c r="P42" s="43">
        <v>10</v>
      </c>
      <c r="Q42" s="44">
        <v>14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1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1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114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</v>
      </c>
      <c r="I24" s="14"/>
      <c r="J24" s="14"/>
      <c r="K24" s="14">
        <v>1</v>
      </c>
      <c r="L24" s="14">
        <v>4</v>
      </c>
      <c r="M24" s="14">
        <v>419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93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1</v>
      </c>
      <c r="L32" s="28">
        <v>4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>
        <v>8</v>
      </c>
      <c r="F36" s="43">
        <v>335</v>
      </c>
      <c r="G36" s="43">
        <v>12</v>
      </c>
      <c r="H36" s="43">
        <v>3</v>
      </c>
      <c r="I36" s="43">
        <v>3</v>
      </c>
      <c r="J36" s="43">
        <v>4</v>
      </c>
      <c r="K36" s="43">
        <v>7</v>
      </c>
      <c r="L36" s="43">
        <v>2</v>
      </c>
      <c r="M36" s="43">
        <v>2</v>
      </c>
      <c r="N36" s="43">
        <v>16</v>
      </c>
      <c r="O36" s="43">
        <v>6</v>
      </c>
      <c r="P36" s="43">
        <v>6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>
        <v>8</v>
      </c>
      <c r="F42" s="43">
        <v>335</v>
      </c>
      <c r="G42" s="43">
        <v>12</v>
      </c>
      <c r="H42" s="43">
        <v>3</v>
      </c>
      <c r="I42" s="43">
        <v>3</v>
      </c>
      <c r="J42" s="43">
        <v>4</v>
      </c>
      <c r="K42" s="43">
        <v>7</v>
      </c>
      <c r="L42" s="43">
        <v>2</v>
      </c>
      <c r="M42" s="43">
        <v>2</v>
      </c>
      <c r="N42" s="43">
        <v>16</v>
      </c>
      <c r="O42" s="43">
        <v>6</v>
      </c>
      <c r="P42" s="43">
        <v>6</v>
      </c>
      <c r="Q42" s="44">
        <v>14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10+17+1+4+326</f>
        <v>358</v>
      </c>
      <c r="D44" s="91"/>
      <c r="E44" s="91"/>
    </row>
    <row r="45" spans="2:25" x14ac:dyDescent="0.25">
      <c r="B45" s="77" t="s">
        <v>69</v>
      </c>
      <c r="C45" s="91"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10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116</v>
      </c>
      <c r="I24" s="14"/>
      <c r="J24" s="14"/>
      <c r="K24" s="14">
        <v>2</v>
      </c>
      <c r="L24" s="14">
        <v>14</v>
      </c>
      <c r="M24" s="14">
        <v>566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136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7</v>
      </c>
      <c r="M32" s="28">
        <v>430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742</v>
      </c>
      <c r="G36" s="43">
        <v>1</v>
      </c>
      <c r="H36" s="43">
        <v>3</v>
      </c>
      <c r="I36" s="43">
        <v>20</v>
      </c>
      <c r="J36" s="43"/>
      <c r="K36" s="43">
        <v>4</v>
      </c>
      <c r="L36" s="43">
        <v>10</v>
      </c>
      <c r="M36" s="43"/>
      <c r="N36" s="43"/>
      <c r="O36" s="43">
        <v>24</v>
      </c>
      <c r="P36" s="43">
        <v>9</v>
      </c>
      <c r="Q36" s="44">
        <v>13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742</v>
      </c>
      <c r="G42" s="43">
        <v>1</v>
      </c>
      <c r="H42" s="43">
        <v>3</v>
      </c>
      <c r="I42" s="43">
        <v>20</v>
      </c>
      <c r="J42" s="43"/>
      <c r="K42" s="43">
        <v>4</v>
      </c>
      <c r="L42" s="43">
        <v>10</v>
      </c>
      <c r="M42" s="43"/>
      <c r="N42" s="43"/>
      <c r="O42" s="43">
        <v>24</v>
      </c>
      <c r="P42" s="43">
        <v>9</v>
      </c>
      <c r="Q42" s="44">
        <v>13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20+10+112+7+430</f>
        <v>579</v>
      </c>
      <c r="D44" s="91"/>
      <c r="E44" s="91"/>
    </row>
    <row r="45" spans="2:25" x14ac:dyDescent="0.25">
      <c r="B45" s="77" t="s">
        <v>69</v>
      </c>
      <c r="C45" s="91">
        <f>10</f>
        <v>10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195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103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1</v>
      </c>
      <c r="U15" s="23">
        <v>1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196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18</v>
      </c>
      <c r="I24" s="14">
        <v>1</v>
      </c>
      <c r="J24" s="14"/>
      <c r="K24" s="14"/>
      <c r="L24" s="14"/>
      <c r="M24" s="14">
        <v>434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8</v>
      </c>
      <c r="I31" s="23">
        <v>1</v>
      </c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>
        <v>0</v>
      </c>
      <c r="J32" s="28"/>
      <c r="K32" s="28"/>
      <c r="L32" s="28"/>
      <c r="M32" s="28">
        <v>436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466</v>
      </c>
      <c r="G36" s="43"/>
      <c r="H36" s="43"/>
      <c r="I36" s="43">
        <v>2</v>
      </c>
      <c r="J36" s="43"/>
      <c r="K36" s="43"/>
      <c r="L36" s="43">
        <v>1</v>
      </c>
      <c r="M36" s="43"/>
      <c r="N36" s="43"/>
      <c r="O36" s="43">
        <v>13</v>
      </c>
      <c r="P36" s="43"/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466</v>
      </c>
      <c r="G42" s="43"/>
      <c r="H42" s="43"/>
      <c r="I42" s="43">
        <v>2</v>
      </c>
      <c r="J42" s="43"/>
      <c r="K42" s="43"/>
      <c r="L42" s="43">
        <v>1</v>
      </c>
      <c r="M42" s="43"/>
      <c r="N42" s="43"/>
      <c r="O42" s="43">
        <v>13</v>
      </c>
      <c r="P42" s="43"/>
      <c r="Q42" s="44">
        <v>5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7+1+1+10+436</f>
        <v>455</v>
      </c>
      <c r="D44" s="91"/>
      <c r="E44" s="91"/>
    </row>
    <row r="45" spans="2:25" x14ac:dyDescent="0.25">
      <c r="B45" s="77" t="s">
        <v>69</v>
      </c>
      <c r="C45" s="91">
        <f>12</f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197</v>
      </c>
      <c r="D8" s="14"/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2</v>
      </c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197</v>
      </c>
      <c r="D15" s="23"/>
      <c r="E15" s="23"/>
      <c r="F15" s="23"/>
      <c r="G15" s="23"/>
      <c r="H15" s="23" t="s">
        <v>198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>
        <v>1</v>
      </c>
      <c r="L24" s="14">
        <v>14</v>
      </c>
      <c r="M24" s="14">
        <v>458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60</v>
      </c>
      <c r="N31" s="23"/>
      <c r="O31" s="23"/>
      <c r="P31" s="23" t="s">
        <v>200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0</v>
      </c>
      <c r="L32" s="28">
        <v>9</v>
      </c>
      <c r="M32" s="28">
        <v>398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</v>
      </c>
      <c r="E36" s="43"/>
      <c r="F36" s="43">
        <v>380</v>
      </c>
      <c r="G36" s="43">
        <v>89</v>
      </c>
      <c r="H36" s="43">
        <v>5</v>
      </c>
      <c r="I36" s="43">
        <v>3</v>
      </c>
      <c r="J36" s="43">
        <v>1</v>
      </c>
      <c r="K36" s="43">
        <v>11</v>
      </c>
      <c r="L36" s="43">
        <v>4</v>
      </c>
      <c r="M36" s="43"/>
      <c r="N36" s="43">
        <v>4</v>
      </c>
      <c r="O36" s="43">
        <v>9</v>
      </c>
      <c r="P36" s="43">
        <v>4</v>
      </c>
      <c r="Q36" s="44">
        <v>21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/>
      <c r="F42" s="43">
        <v>380</v>
      </c>
      <c r="G42" s="43">
        <v>89</v>
      </c>
      <c r="H42" s="43">
        <v>5</v>
      </c>
      <c r="I42" s="43">
        <v>3</v>
      </c>
      <c r="J42" s="43">
        <v>1</v>
      </c>
      <c r="K42" s="43">
        <v>11</v>
      </c>
      <c r="L42" s="43">
        <v>4</v>
      </c>
      <c r="M42" s="43"/>
      <c r="N42" s="43">
        <v>4</v>
      </c>
      <c r="O42" s="43">
        <v>9</v>
      </c>
      <c r="P42" s="43">
        <v>4</v>
      </c>
      <c r="Q42" s="44">
        <v>21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12+1+2+1+36+9+398+5</f>
        <v>464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2</v>
      </c>
      <c r="F15" s="23"/>
      <c r="G15" s="23"/>
      <c r="H15" s="23" t="s">
        <v>202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0</v>
      </c>
      <c r="F16" s="27"/>
      <c r="G16" s="28"/>
      <c r="H16" s="28" t="s">
        <v>201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143</v>
      </c>
      <c r="I24" s="14"/>
      <c r="J24" s="14"/>
      <c r="K24" s="14">
        <v>2</v>
      </c>
      <c r="L24" s="14">
        <v>7</v>
      </c>
      <c r="M24" s="14">
        <v>459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118</v>
      </c>
      <c r="I31" s="23"/>
      <c r="J31" s="23"/>
      <c r="K31" s="23">
        <v>2</v>
      </c>
      <c r="L31" s="23">
        <v>0</v>
      </c>
      <c r="M31" s="23">
        <v>87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7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418</v>
      </c>
      <c r="G36" s="43"/>
      <c r="H36" s="43"/>
      <c r="I36" s="43">
        <v>1</v>
      </c>
      <c r="J36" s="43">
        <v>1</v>
      </c>
      <c r="K36" s="43">
        <v>10</v>
      </c>
      <c r="L36" s="43">
        <v>1</v>
      </c>
      <c r="M36" s="43"/>
      <c r="N36" s="43">
        <v>11</v>
      </c>
      <c r="O36" s="43">
        <v>11</v>
      </c>
      <c r="P36" s="43">
        <v>7</v>
      </c>
      <c r="Q36" s="44">
        <v>10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418</v>
      </c>
      <c r="G42" s="43"/>
      <c r="H42" s="43"/>
      <c r="I42" s="43">
        <v>1</v>
      </c>
      <c r="J42" s="43">
        <v>1</v>
      </c>
      <c r="K42" s="43">
        <v>10</v>
      </c>
      <c r="L42" s="43">
        <v>1</v>
      </c>
      <c r="M42" s="43"/>
      <c r="N42" s="43">
        <v>11</v>
      </c>
      <c r="O42" s="43">
        <v>11</v>
      </c>
      <c r="P42" s="43">
        <v>7</v>
      </c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12+3+25+7+327</f>
        <v>374</v>
      </c>
      <c r="D44" s="91"/>
      <c r="E44" s="91"/>
    </row>
    <row r="45" spans="2:25" x14ac:dyDescent="0.25">
      <c r="B45" s="77" t="s">
        <v>69</v>
      </c>
      <c r="C45" s="91">
        <v>11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(21)</vt:lpstr>
      <vt:lpstr>03-21 R1</vt:lpstr>
      <vt:lpstr>03-21 R2</vt:lpstr>
      <vt:lpstr>03-21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'03-21 R1'!Print_Area</vt:lpstr>
      <vt:lpstr>'03-21 R2'!Print_Area</vt:lpstr>
      <vt:lpstr>'03-21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2026-03-23T00:14:53Z</dcterms:modified>
</cp:coreProperties>
</file>