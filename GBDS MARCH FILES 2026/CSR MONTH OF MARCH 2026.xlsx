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845A97BC-6CA7-4541-957D-52F410129CD7}" xr6:coauthVersionLast="47" xr6:coauthVersionMax="47" xr10:uidLastSave="{00000000-0000-0000-0000-000000000000}"/>
  <bookViews>
    <workbookView xWindow="-120" yWindow="-120" windowWidth="29040" windowHeight="15840" firstSheet="23" activeTab="3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(12)" sheetId="1484" r:id="rId37"/>
    <sheet name="03-12 R1" sheetId="1485" r:id="rId38"/>
    <sheet name="03-12 R2" sheetId="1486" r:id="rId39"/>
    <sheet name="03-12 R3" sheetId="1483" r:id="rId40"/>
    <sheet name="(13)" sheetId="1487" r:id="rId41"/>
    <sheet name="03-13 R1" sheetId="1488" r:id="rId42"/>
    <sheet name="03-13 R2" sheetId="1489" r:id="rId43"/>
    <sheet name="03-13 R3" sheetId="1490" r:id="rId44"/>
    <sheet name="(14)" sheetId="1491" r:id="rId45"/>
    <sheet name="03-14 R1" sheetId="1492" r:id="rId46"/>
    <sheet name="03-14 R2" sheetId="1493" r:id="rId47"/>
    <sheet name="03-14 R3" sheetId="1494" r:id="rId48"/>
    <sheet name="(16)" sheetId="1495" r:id="rId49"/>
    <sheet name="03-16 R1" sheetId="1496" r:id="rId50"/>
    <sheet name="03-16 R2" sheetId="1497" r:id="rId51"/>
    <sheet name="03-16 R3" sheetId="1498" r:id="rId52"/>
  </sheets>
  <externalReferences>
    <externalReference r:id="rId53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6">'(12)'!$A$1:$Z$44</definedName>
    <definedName name="_xlnm.Print_Area" localSheetId="40">'(13)'!$A$1:$Z$44</definedName>
    <definedName name="_xlnm.Print_Area" localSheetId="44">'(14)'!$A$1:$Z$44</definedName>
    <definedName name="_xlnm.Print_Area" localSheetId="48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7">'03-12 R1'!$A$1:$Z$43</definedName>
    <definedName name="_xlnm.Print_Area" localSheetId="38">'03-12 R2'!$A$1:$V$44</definedName>
    <definedName name="_xlnm.Print_Area" localSheetId="39">'03-12 R3'!$A$1:$V$44</definedName>
    <definedName name="_xlnm.Print_Area" localSheetId="41">'03-13 R1'!$A$1:$Z$43</definedName>
    <definedName name="_xlnm.Print_Area" localSheetId="42">'03-13 R2'!$A$1:$V$44</definedName>
    <definedName name="_xlnm.Print_Area" localSheetId="43">'03-13 R3'!$A$1:$V$44</definedName>
    <definedName name="_xlnm.Print_Area" localSheetId="45">'03-14 R1'!$A$1:$Z$43</definedName>
    <definedName name="_xlnm.Print_Area" localSheetId="46">'03-14 R2'!$A$1:$V$44</definedName>
    <definedName name="_xlnm.Print_Area" localSheetId="47">'03-14 R3'!$A$1:$V$44</definedName>
    <definedName name="_xlnm.Print_Area" localSheetId="49">'03-16 R1'!$A$1:$Z$43</definedName>
    <definedName name="_xlnm.Print_Area" localSheetId="50">'03-16 R2'!$A$1:$V$44</definedName>
    <definedName name="_xlnm.Print_Area" localSheetId="51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478" l="1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<sst xmlns="http://schemas.openxmlformats.org/spreadsheetml/2006/main" count="4588" uniqueCount="137">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</sst>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9" fillId="0" borderId="0"/>
  </cellStyleXfs>
  <cellXfs count="9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43" fontId="6" fillId="0" borderId="0" xfId="2" applyFont="1" applyFill="1" applyBorder="1" applyAlignment="1">
      <alignment horizontal="center" vertical="center"/>
    </xf>
    <xf numFmtId="43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43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1+1+1+6+2+2+18+1+12+308</f>
        <v>352</v>
      </c>
      <c r="D44" s="83"/>
      <c r="E44" s="83"/>
    </row>
    <row r="45" spans="2:25" x14ac:dyDescent="0.25">
      <c r="B45" s="77" t="s">
        <v>69</v>
      </c>
      <c r="C45" s="83">
        <f>5</f>
        <v>5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2+9+1+10+40+1+351</f>
        <v>414</v>
      </c>
      <c r="D44" s="83"/>
      <c r="E44" s="83"/>
    </row>
    <row r="45" spans="2:25" x14ac:dyDescent="0.25">
      <c r="B45" s="77" t="s">
        <v>69</v>
      </c>
      <c r="C45" s="83">
        <f>3+12</f>
        <v>15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12+2+1+57+9+266+1</f>
        <v>348</v>
      </c>
      <c r="D44" s="83"/>
      <c r="E44" s="83"/>
    </row>
    <row r="45" spans="2:25" x14ac:dyDescent="0.25">
      <c r="B45" s="77" t="s">
        <v>69</v>
      </c>
      <c r="C45" s="83">
        <f>8</f>
        <v>8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1+1+31+7+382+3</f>
        <v>425</v>
      </c>
      <c r="D44" s="83"/>
      <c r="E44" s="83"/>
    </row>
    <row r="45" spans="2:25" x14ac:dyDescent="0.25">
      <c r="B45" s="77" t="s">
        <v>69</v>
      </c>
      <c r="C45" s="83">
        <v>9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2+7+1+71+2+224</f>
        <v>307</v>
      </c>
      <c r="D44" s="83"/>
      <c r="E44" s="83"/>
    </row>
    <row r="45" spans="2:25" x14ac:dyDescent="0.25">
      <c r="B45" s="77" t="s">
        <v>69</v>
      </c>
      <c r="C45" s="83">
        <v>14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1+1+15+3+36+1+20+291</f>
        <v>368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18+2+3+10+117+6+359+3</f>
        <v>518</v>
      </c>
      <c r="D44" s="83"/>
      <c r="E44" s="83"/>
    </row>
    <row r="45" spans="2:25" x14ac:dyDescent="0.25">
      <c r="B45" s="77" t="s">
        <v>69</v>
      </c>
      <c r="C45" s="83">
        <f>14</f>
        <v>14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2+14+326</f>
        <v>342</v>
      </c>
      <c r="D44" s="83"/>
      <c r="E44" s="83"/>
    </row>
    <row r="45" spans="2:25" x14ac:dyDescent="0.25">
      <c r="B45" s="77" t="s">
        <v>69</v>
      </c>
      <c r="C45" s="83">
        <f>5</f>
        <v>5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8+1+8+29+1+270</f>
        <v>317</v>
      </c>
      <c r="D44" s="83"/>
      <c r="E44" s="83"/>
    </row>
    <row r="45" spans="2:25" x14ac:dyDescent="0.25">
      <c r="B45" s="77" t="s">
        <v>69</v>
      </c>
      <c r="C45" s="83">
        <f>7</f>
        <v>7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10+2+1+10+377</f>
        <v>400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17+13+7+4+2+11+3+24+6+1+246+4+1</f>
        <v>339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13+111+10+355</f>
        <v>489</v>
      </c>
      <c r="D44" s="83"/>
      <c r="E44" s="83"/>
    </row>
    <row r="45" spans="2:25" x14ac:dyDescent="0.25">
      <c r="B45" s="77" t="s">
        <v>69</v>
      </c>
      <c r="C45" s="83">
        <f>13</f>
        <v>13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2+1+1+2+2+1+17+50+319+1</f>
        <v>396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1+10+2+68+4+385</f>
        <v>470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15+15+19+1+2+2+59+12+432</f>
        <v>557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1+20+2+1+1+67+55+558</f>
        <v>705</v>
      </c>
      <c r="D44" s="83"/>
      <c r="E44" s="83"/>
    </row>
    <row r="45" spans="2:25" x14ac:dyDescent="0.25">
      <c r="B45" s="77" t="s">
        <v>69</v>
      </c>
      <c r="C45" s="83">
        <f>5+12</f>
        <v>17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20+118+1+538</f>
        <v>677</v>
      </c>
      <c r="D44" s="83"/>
      <c r="E44" s="83"/>
    </row>
    <row r="45" spans="2:25" x14ac:dyDescent="0.25">
      <c r="B45" s="77" t="s">
        <v>69</v>
      </c>
      <c r="C45" s="83">
        <f>8</f>
        <v>8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15+1+2+63+1+11+369</f>
        <v>462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1+1+5+1+20+3+324</f>
        <v>355</v>
      </c>
      <c r="D44" s="83"/>
      <c r="E44" s="83"/>
    </row>
    <row r="45" spans="2:25" x14ac:dyDescent="0.25">
      <c r="B45" s="77" t="s">
        <v>69</v>
      </c>
      <c r="C45" s="83">
        <v>6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11+29+6+311</f>
        <v>357</v>
      </c>
      <c r="D44" s="83"/>
      <c r="E44" s="83"/>
    </row>
    <row r="45" spans="2:25" x14ac:dyDescent="0.25">
      <c r="B45" s="77" t="s">
        <v>69</v>
      </c>
      <c r="C45" s="83">
        <f>6+5</f>
        <v>11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1+2+14+2+2+21+1+5+329</f>
        <v>377</v>
      </c>
      <c r="D44" s="83"/>
      <c r="E44" s="83"/>
    </row>
    <row r="45" spans="2:25" x14ac:dyDescent="0.25">
      <c r="B45" s="77" t="s">
        <v>69</v>
      </c>
      <c r="C45" s="83">
        <f>20</f>
        <v>20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2026-02-19T02:10:22Z</cp:lastPrinted>
  <dcterms:created xsi:type="dcterms:W3CDTF">2024-09-01T22:48:10Z</dcterms:created>
  <dcterms:modified xsi:type="dcterms:W3CDTF">2026-03-10T11:56:10Z</dcterms:modified>
</cp:coreProperties>
</file>