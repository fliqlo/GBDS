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E1ABD426-6E32-46EA-B43F-ED6C619C9607}" xr6:coauthVersionLast="45" xr6:coauthVersionMax="47" xr10:uidLastSave="{00000000-0000-0000-0000-000000000000}"/>
  <bookViews>
    <workbookView xWindow="-120" yWindow="-120" windowWidth="29040" windowHeight="15840" firstSheet="70" activeTab="80" xr2:uid="{67C3A74A-A57E-4AB5-8CD3-31B592A14032}"/>
  </bookViews>
  <sheets>
    <sheet name="CSR | APRIL" sheetId="902" r:id="rId1"/>
    <sheet name="(2)" sheetId="1448" r:id="rId2"/>
    <sheet name="03-02 R1" sheetId="1449" r:id="rId3"/>
    <sheet name="03-02 R2" sheetId="1450" r:id="rId4"/>
    <sheet name="03-02 R3" sheetId="1451" r:id="rId5"/>
    <sheet name="(3)" sheetId="1452" r:id="rId6"/>
    <sheet name="03-03 R1" sheetId="1453" r:id="rId7"/>
    <sheet name="03-03 R2" sheetId="1454" r:id="rId8"/>
    <sheet name="03-03 R3" sheetId="1455" r:id="rId9"/>
    <sheet name="(4)" sheetId="1456" r:id="rId10"/>
    <sheet name="03-04 R1" sheetId="1457" r:id="rId11"/>
    <sheet name="03-04 R2" sheetId="1458" r:id="rId12"/>
    <sheet name="03-04 R3" sheetId="1459" r:id="rId13"/>
    <sheet name="(5)" sheetId="1460" r:id="rId14"/>
    <sheet name="03-05 R1" sheetId="1461" r:id="rId15"/>
    <sheet name="03-05 R2" sheetId="1462" r:id="rId16"/>
    <sheet name="03-05 R3 NO TRIP" sheetId="1463" r:id="rId17"/>
    <sheet name="(6)" sheetId="1464" r:id="rId18"/>
    <sheet name="03-06 R1 NO TRIP" sheetId="1467" r:id="rId19"/>
    <sheet name="03-06 R2 NO TRIP" sheetId="1466" r:id="rId20"/>
    <sheet name="03-06 R3" sheetId="1465" r:id="rId21"/>
    <sheet name="(7)" sheetId="1468" r:id="rId22"/>
    <sheet name="03-07 R1" sheetId="1469" r:id="rId23"/>
    <sheet name="03-07 R2" sheetId="1470" r:id="rId24"/>
    <sheet name="03-07 R3" sheetId="1471" r:id="rId25"/>
    <sheet name="(9)" sheetId="1472" r:id="rId26"/>
    <sheet name="03-09 R1" sheetId="1473" r:id="rId27"/>
    <sheet name="03-09 R2" sheetId="1474" r:id="rId28"/>
    <sheet name="03-09 R3" sheetId="1475" r:id="rId29"/>
    <sheet name="(10)" sheetId="1476" r:id="rId30"/>
    <sheet name="03-10 R1" sheetId="1477" r:id="rId31"/>
    <sheet name="03-10 R2" sheetId="1478" r:id="rId32"/>
    <sheet name="03-10 R3" sheetId="1479" r:id="rId33"/>
    <sheet name="(11)" sheetId="1480" r:id="rId34"/>
    <sheet name="03-11 R1" sheetId="1481" r:id="rId35"/>
    <sheet name="03-11 R2" sheetId="1482" r:id="rId36"/>
    <sheet name="03-11 R3" sheetId="1499" r:id="rId37"/>
    <sheet name="(12)" sheetId="1484" r:id="rId38"/>
    <sheet name="03-12 R1" sheetId="1485" r:id="rId39"/>
    <sheet name="03-12 R2" sheetId="1486" r:id="rId40"/>
    <sheet name="03-12 R3" sheetId="1483" r:id="rId41"/>
    <sheet name="(13)" sheetId="1487" r:id="rId42"/>
    <sheet name="NO TRIP 03-13 R1" sheetId="1488" r:id="rId43"/>
    <sheet name="NO TRIP 03-13 R2" sheetId="1489" r:id="rId44"/>
    <sheet name="NO TRIP 03-13 R3" sheetId="1490" r:id="rId45"/>
    <sheet name="(14)" sheetId="1491" r:id="rId46"/>
    <sheet name="03-14 R1" sheetId="1492" r:id="rId47"/>
    <sheet name="03-14 R2" sheetId="1493" r:id="rId48"/>
    <sheet name="03-14 R3" sheetId="1494" r:id="rId49"/>
    <sheet name="(16)" sheetId="1495" r:id="rId50"/>
    <sheet name="03-16 R1 NO TRIP" sheetId="1496" r:id="rId51"/>
    <sheet name="03-16 R2" sheetId="1497" r:id="rId52"/>
    <sheet name="03-16 R3" sheetId="1498" r:id="rId53"/>
    <sheet name="(17)" sheetId="1500" r:id="rId54"/>
    <sheet name="03-17 R1" sheetId="1501" r:id="rId55"/>
    <sheet name="03-17 R2" sheetId="1502" r:id="rId56"/>
    <sheet name="03-17 R3" sheetId="1503" r:id="rId57"/>
    <sheet name="(18)" sheetId="1504" r:id="rId58"/>
    <sheet name="03-18 R1" sheetId="1505" r:id="rId59"/>
    <sheet name="03-18 R2" sheetId="1506" r:id="rId60"/>
    <sheet name="03-18 R3" sheetId="1507" r:id="rId61"/>
    <sheet name="(19)" sheetId="1508" r:id="rId62"/>
    <sheet name="03-19 R1" sheetId="1509" r:id="rId63"/>
    <sheet name="03-19 R2" sheetId="1510" r:id="rId64"/>
    <sheet name="03-19 R3" sheetId="1511" r:id="rId65"/>
    <sheet name="(20)" sheetId="1512" r:id="rId66"/>
    <sheet name="03-20 R1" sheetId="1513" r:id="rId67"/>
    <sheet name="03-20 R2" sheetId="1514" r:id="rId68"/>
    <sheet name="03-20 R3" sheetId="1515" r:id="rId69"/>
    <sheet name="(23)" sheetId="1516" r:id="rId70"/>
    <sheet name="03-23 R1" sheetId="1517" r:id="rId71"/>
    <sheet name="03-23 R2" sheetId="1518" r:id="rId72"/>
    <sheet name="03-23 R3" sheetId="1519" r:id="rId73"/>
    <sheet name="(24)" sheetId="1520" r:id="rId74"/>
    <sheet name="03-24 R1" sheetId="1521" r:id="rId75"/>
    <sheet name="03-24 R2" sheetId="1522" r:id="rId76"/>
    <sheet name="03-24 R3" sheetId="1523" r:id="rId77"/>
    <sheet name="(25)" sheetId="1524" r:id="rId78"/>
    <sheet name="03-25 R1 NO TRIP" sheetId="1525" r:id="rId79"/>
    <sheet name="03-25 R2" sheetId="1526" r:id="rId80"/>
    <sheet name="03-25 R3" sheetId="1527" r:id="rId81"/>
    <sheet name="(26)" sheetId="1528" r:id="rId82"/>
    <sheet name="03-26 R1" sheetId="1529" r:id="rId83"/>
    <sheet name="03-26 R2" sheetId="1530" r:id="rId84"/>
    <sheet name="03-26 R3" sheetId="1531" r:id="rId85"/>
    <sheet name="(27)" sheetId="1532" r:id="rId86"/>
    <sheet name="03-27 R1" sheetId="1533" r:id="rId87"/>
    <sheet name="03-27 R2" sheetId="1534" r:id="rId88"/>
    <sheet name="03-27 R3" sheetId="1535" r:id="rId89"/>
    <sheet name="(28)" sheetId="1536" r:id="rId90"/>
    <sheet name="03-28 R1" sheetId="1537" r:id="rId91"/>
    <sheet name="03-28 R2" sheetId="1538" r:id="rId92"/>
    <sheet name="03-28 R3" sheetId="1539" r:id="rId93"/>
    <sheet name="(30)" sheetId="1540" r:id="rId94"/>
    <sheet name="03-30 R1" sheetId="1541" r:id="rId95"/>
    <sheet name="03-30 R2" sheetId="1542" r:id="rId96"/>
    <sheet name="03-30 R3" sheetId="1543" r:id="rId97"/>
    <sheet name="(31)" sheetId="1544" r:id="rId98"/>
    <sheet name="03-31 R1" sheetId="1545" r:id="rId99"/>
    <sheet name="03-31 R2" sheetId="1546" r:id="rId100"/>
    <sheet name="03-31 R3" sheetId="1547" r:id="rId101"/>
  </sheets>
  <externalReferences>
    <externalReference r:id="rId102"/>
  </externalReferences>
  <definedNames>
    <definedName name="_xlnm.Print_Area" localSheetId="29">'(10)'!$A$1:$Z$44</definedName>
    <definedName name="_xlnm.Print_Area" localSheetId="33">'(11)'!$A$1:$Z$44</definedName>
    <definedName name="_xlnm.Print_Area" localSheetId="37">'(12)'!$A$1:$Z$44</definedName>
    <definedName name="_xlnm.Print_Area" localSheetId="41">'(13)'!$A$1:$Z$44</definedName>
    <definedName name="_xlnm.Print_Area" localSheetId="45">'(14)'!$A$1:$Z$44</definedName>
    <definedName name="_xlnm.Print_Area" localSheetId="49">'(16)'!$A$1:$Z$44</definedName>
    <definedName name="_xlnm.Print_Area" localSheetId="53">'(17)'!$A$1:$Z$44</definedName>
    <definedName name="_xlnm.Print_Area" localSheetId="57">'(18)'!$A$1:$Z$44</definedName>
    <definedName name="_xlnm.Print_Area" localSheetId="61">'(19)'!$A$1:$Z$44</definedName>
    <definedName name="_xlnm.Print_Area" localSheetId="1">'(2)'!$A$1:$Z$44</definedName>
    <definedName name="_xlnm.Print_Area" localSheetId="65">'(20)'!$A$1:$Z$44</definedName>
    <definedName name="_xlnm.Print_Area" localSheetId="69">'(23)'!$A$1:$Z$44</definedName>
    <definedName name="_xlnm.Print_Area" localSheetId="73">'(24)'!$A$1:$Z$44</definedName>
    <definedName name="_xlnm.Print_Area" localSheetId="77">'(25)'!$A$1:$Z$44</definedName>
    <definedName name="_xlnm.Print_Area" localSheetId="81">'(26)'!$A$1:$Z$44</definedName>
    <definedName name="_xlnm.Print_Area" localSheetId="85">'(27)'!$A$1:$Z$44</definedName>
    <definedName name="_xlnm.Print_Area" localSheetId="89">'(28)'!$A$1:$Z$44</definedName>
    <definedName name="_xlnm.Print_Area" localSheetId="5">'(3)'!$A$1:$Z$44</definedName>
    <definedName name="_xlnm.Print_Area" localSheetId="93">'(30)'!$A$1:$Z$44</definedName>
    <definedName name="_xlnm.Print_Area" localSheetId="97">'(31)'!$A$1:$Z$44</definedName>
    <definedName name="_xlnm.Print_Area" localSheetId="9">'(4)'!$A$1:$Z$44</definedName>
    <definedName name="_xlnm.Print_Area" localSheetId="13">'(5)'!$A$1:$Z$44</definedName>
    <definedName name="_xlnm.Print_Area" localSheetId="17">'(6)'!$A$1:$Z$44</definedName>
    <definedName name="_xlnm.Print_Area" localSheetId="21">'(7)'!$A$1:$Z$44</definedName>
    <definedName name="_xlnm.Print_Area" localSheetId="25">'(9)'!$A$1:$Z$44</definedName>
    <definedName name="_xlnm.Print_Area" localSheetId="2">'03-02 R1'!$A$1:$Z$43</definedName>
    <definedName name="_xlnm.Print_Area" localSheetId="3">'03-02 R2'!$A$1:$V$44</definedName>
    <definedName name="_xlnm.Print_Area" localSheetId="4">'03-02 R3'!$A$1:$V$44</definedName>
    <definedName name="_xlnm.Print_Area" localSheetId="6">'03-03 R1'!$A$1:$Z$43</definedName>
    <definedName name="_xlnm.Print_Area" localSheetId="7">'03-03 R2'!$A$1:$V$44</definedName>
    <definedName name="_xlnm.Print_Area" localSheetId="8">'03-03 R3'!$A$1:$V$44</definedName>
    <definedName name="_xlnm.Print_Area" localSheetId="10">'03-04 R1'!$A$1:$Z$43</definedName>
    <definedName name="_xlnm.Print_Area" localSheetId="11">'03-04 R2'!$A$1:$V$44</definedName>
    <definedName name="_xlnm.Print_Area" localSheetId="12">'03-04 R3'!$A$1:$V$44</definedName>
    <definedName name="_xlnm.Print_Area" localSheetId="14">'03-05 R1'!$A$1:$Z$43</definedName>
    <definedName name="_xlnm.Print_Area" localSheetId="15">'03-05 R2'!$A$1:$V$44</definedName>
    <definedName name="_xlnm.Print_Area" localSheetId="16">'03-05 R3 NO TRIP'!$A$1:$V$44</definedName>
    <definedName name="_xlnm.Print_Area" localSheetId="18">'03-06 R1 NO TRIP'!$A$1:$V$44</definedName>
    <definedName name="_xlnm.Print_Area" localSheetId="19">'03-06 R2 NO TRIP'!$A$1:$V$44</definedName>
    <definedName name="_xlnm.Print_Area" localSheetId="20">'03-06 R3'!$A$1:$Z$43</definedName>
    <definedName name="_xlnm.Print_Area" localSheetId="22">'03-07 R1'!$A$1:$Z$43</definedName>
    <definedName name="_xlnm.Print_Area" localSheetId="23">'03-07 R2'!$A$1:$V$44</definedName>
    <definedName name="_xlnm.Print_Area" localSheetId="24">'03-07 R3'!$A$1:$V$44</definedName>
    <definedName name="_xlnm.Print_Area" localSheetId="26">'03-09 R1'!$A$1:$Z$43</definedName>
    <definedName name="_xlnm.Print_Area" localSheetId="27">'03-09 R2'!$A$1:$V$44</definedName>
    <definedName name="_xlnm.Print_Area" localSheetId="28">'03-09 R3'!$A$1:$V$44</definedName>
    <definedName name="_xlnm.Print_Area" localSheetId="30">'03-10 R1'!$A$1:$Z$43</definedName>
    <definedName name="_xlnm.Print_Area" localSheetId="31">'03-10 R2'!$A$1:$V$44</definedName>
    <definedName name="_xlnm.Print_Area" localSheetId="32">'03-10 R3'!$A$1:$V$44</definedName>
    <definedName name="_xlnm.Print_Area" localSheetId="34">'03-11 R1'!$A$1:$Z$43</definedName>
    <definedName name="_xlnm.Print_Area" localSheetId="35">'03-11 R2'!$A$1:$V$44</definedName>
    <definedName name="_xlnm.Print_Area" localSheetId="36">'03-11 R3'!$A$1:$V$44</definedName>
    <definedName name="_xlnm.Print_Area" localSheetId="38">'03-12 R1'!$A$1:$Z$43</definedName>
    <definedName name="_xlnm.Print_Area" localSheetId="39">'03-12 R2'!$A$1:$V$44</definedName>
    <definedName name="_xlnm.Print_Area" localSheetId="40">'03-12 R3'!$A$1:$V$44</definedName>
    <definedName name="_xlnm.Print_Area" localSheetId="46">'03-14 R1'!$A$1:$Z$43</definedName>
    <definedName name="_xlnm.Print_Area" localSheetId="47">'03-14 R2'!$A$1:$V$44</definedName>
    <definedName name="_xlnm.Print_Area" localSheetId="48">'03-14 R3'!$A$1:$V$44</definedName>
    <definedName name="_xlnm.Print_Area" localSheetId="50">'03-16 R1 NO TRIP'!$A$1:$Z$43</definedName>
    <definedName name="_xlnm.Print_Area" localSheetId="51">'03-16 R2'!$A$1:$V$44</definedName>
    <definedName name="_xlnm.Print_Area" localSheetId="52">'03-16 R3'!$A$1:$V$44</definedName>
    <definedName name="_xlnm.Print_Area" localSheetId="54">'03-17 R1'!$A$1:$Z$43</definedName>
    <definedName name="_xlnm.Print_Area" localSheetId="55">'03-17 R2'!$A$1:$V$44</definedName>
    <definedName name="_xlnm.Print_Area" localSheetId="56">'03-17 R3'!$A$1:$V$44</definedName>
    <definedName name="_xlnm.Print_Area" localSheetId="58">'03-18 R1'!$A$1:$Z$43</definedName>
    <definedName name="_xlnm.Print_Area" localSheetId="59">'03-18 R2'!$A$1:$V$44</definedName>
    <definedName name="_xlnm.Print_Area" localSheetId="60">'03-18 R3'!$A$1:$V$44</definedName>
    <definedName name="_xlnm.Print_Area" localSheetId="62">'03-19 R1'!$A$1:$Z$43</definedName>
    <definedName name="_xlnm.Print_Area" localSheetId="63">'03-19 R2'!$A$1:$V$44</definedName>
    <definedName name="_xlnm.Print_Area" localSheetId="64">'03-19 R3'!$A$1:$V$44</definedName>
    <definedName name="_xlnm.Print_Area" localSheetId="66">'03-20 R1'!$A$1:$Z$43</definedName>
    <definedName name="_xlnm.Print_Area" localSheetId="67">'03-20 R2'!$A$1:$V$44</definedName>
    <definedName name="_xlnm.Print_Area" localSheetId="68">'03-20 R3'!$A$1:$V$44</definedName>
    <definedName name="_xlnm.Print_Area" localSheetId="70">'03-23 R1'!$A$1:$Z$43</definedName>
    <definedName name="_xlnm.Print_Area" localSheetId="71">'03-23 R2'!$A$1:$V$44</definedName>
    <definedName name="_xlnm.Print_Area" localSheetId="72">'03-23 R3'!$A$1:$V$44</definedName>
    <definedName name="_xlnm.Print_Area" localSheetId="74">'03-24 R1'!$A$1:$Z$43</definedName>
    <definedName name="_xlnm.Print_Area" localSheetId="75">'03-24 R2'!$A$1:$V$44</definedName>
    <definedName name="_xlnm.Print_Area" localSheetId="76">'03-24 R3'!$A$1:$V$44</definedName>
    <definedName name="_xlnm.Print_Area" localSheetId="78">'03-25 R1 NO TRIP'!$A$1:$Z$43</definedName>
    <definedName name="_xlnm.Print_Area" localSheetId="79">'03-25 R2'!$A$1:$V$44</definedName>
    <definedName name="_xlnm.Print_Area" localSheetId="80">'03-25 R3'!$A$1:$V$44</definedName>
    <definedName name="_xlnm.Print_Area" localSheetId="82">'03-26 R1'!$A$1:$Z$43</definedName>
    <definedName name="_xlnm.Print_Area" localSheetId="83">'03-26 R2'!$A$1:$V$44</definedName>
    <definedName name="_xlnm.Print_Area" localSheetId="84">'03-26 R3'!$A$1:$V$44</definedName>
    <definedName name="_xlnm.Print_Area" localSheetId="86">'03-27 R1'!$A$1:$Z$43</definedName>
    <definedName name="_xlnm.Print_Area" localSheetId="87">'03-27 R2'!$A$1:$V$44</definedName>
    <definedName name="_xlnm.Print_Area" localSheetId="88">'03-27 R3'!$A$1:$V$44</definedName>
    <definedName name="_xlnm.Print_Area" localSheetId="90">'03-28 R1'!$A$1:$Z$43</definedName>
    <definedName name="_xlnm.Print_Area" localSheetId="91">'03-28 R2'!$A$1:$V$44</definedName>
    <definedName name="_xlnm.Print_Area" localSheetId="92">'03-28 R3'!$A$1:$V$44</definedName>
    <definedName name="_xlnm.Print_Area" localSheetId="94">'03-30 R1'!$A$1:$Z$43</definedName>
    <definedName name="_xlnm.Print_Area" localSheetId="95">'03-30 R2'!$A$1:$V$44</definedName>
    <definedName name="_xlnm.Print_Area" localSheetId="96">'03-30 R3'!$A$1:$V$44</definedName>
    <definedName name="_xlnm.Print_Area" localSheetId="98">'03-31 R1'!$A$1:$Z$43</definedName>
    <definedName name="_xlnm.Print_Area" localSheetId="99">'03-31 R2'!$A$1:$V$44</definedName>
    <definedName name="_xlnm.Print_Area" localSheetId="100">'03-31 R3'!$A$1:$V$44</definedName>
    <definedName name="_xlnm.Print_Area" localSheetId="42">'NO TRIP 03-13 R1'!$A$1:$Z$43</definedName>
    <definedName name="_xlnm.Print_Area" localSheetId="43">'NO TRIP 03-13 R2'!$A$1:$V$44</definedName>
    <definedName name="_xlnm.Print_Area" localSheetId="44">'NO TRIP 03-13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5" i="1527" l="1"/>
  <c r="C44" i="1527"/>
  <c r="C44" i="1526"/>
  <c r="C45" i="1521" l="1"/>
  <c r="C44" i="1521"/>
  <c r="C45" i="1523"/>
  <c r="C44" i="1523"/>
  <c r="C45" i="1522"/>
  <c r="C44" i="1522"/>
  <c r="F21" i="1547" l="1"/>
  <c r="Y19" i="1547"/>
  <c r="W19" i="1547"/>
  <c r="V19" i="1547"/>
  <c r="U19" i="1547"/>
  <c r="T19" i="1547"/>
  <c r="P19" i="1547"/>
  <c r="O19" i="1547"/>
  <c r="N19" i="1547"/>
  <c r="M19" i="1547"/>
  <c r="L19" i="1547"/>
  <c r="K19" i="1547"/>
  <c r="J19" i="1547"/>
  <c r="I19" i="1547"/>
  <c r="H19" i="1547"/>
  <c r="G19" i="1547"/>
  <c r="F19" i="1547"/>
  <c r="E19" i="1547"/>
  <c r="D19" i="1547"/>
  <c r="C19" i="1547"/>
  <c r="Y18" i="1547"/>
  <c r="W18" i="1547"/>
  <c r="V18" i="1547"/>
  <c r="U18" i="1547"/>
  <c r="T18" i="1547"/>
  <c r="P18" i="1547"/>
  <c r="O18" i="1547"/>
  <c r="N18" i="1547"/>
  <c r="M18" i="1547"/>
  <c r="L18" i="1547"/>
  <c r="K18" i="1547"/>
  <c r="J18" i="1547"/>
  <c r="I18" i="1547"/>
  <c r="H18" i="1547"/>
  <c r="G18" i="1547"/>
  <c r="F18" i="1547"/>
  <c r="E18" i="1547"/>
  <c r="D18" i="1547"/>
  <c r="C18" i="1547"/>
  <c r="Y4" i="1547"/>
  <c r="W4" i="1547"/>
  <c r="V4" i="1547"/>
  <c r="U4" i="1547"/>
  <c r="T4" i="1547"/>
  <c r="P4" i="1547"/>
  <c r="O4" i="1547"/>
  <c r="N4" i="1547"/>
  <c r="M4" i="1547"/>
  <c r="L4" i="1547"/>
  <c r="K4" i="1547"/>
  <c r="J4" i="1547"/>
  <c r="I4" i="1547"/>
  <c r="H4" i="1547"/>
  <c r="G4" i="1547"/>
  <c r="F4" i="1547"/>
  <c r="E4" i="1547"/>
  <c r="D4" i="1547"/>
  <c r="C4" i="1547"/>
  <c r="Y3" i="1547"/>
  <c r="W3" i="1547"/>
  <c r="V3" i="1547"/>
  <c r="U3" i="1547"/>
  <c r="T3" i="1547"/>
  <c r="P3" i="1547"/>
  <c r="O3" i="1547"/>
  <c r="N3" i="1547"/>
  <c r="M3" i="1547"/>
  <c r="L3" i="1547"/>
  <c r="K3" i="1547"/>
  <c r="J3" i="1547"/>
  <c r="I3" i="1547"/>
  <c r="H3" i="1547"/>
  <c r="G3" i="1547"/>
  <c r="F3" i="1547"/>
  <c r="E3" i="1547"/>
  <c r="D3" i="1547"/>
  <c r="C3" i="1547"/>
  <c r="F21" i="1546"/>
  <c r="Y19" i="1546"/>
  <c r="W19" i="1546"/>
  <c r="V19" i="1546"/>
  <c r="U19" i="1546"/>
  <c r="T19" i="1546"/>
  <c r="P19" i="1546"/>
  <c r="O19" i="1546"/>
  <c r="N19" i="1546"/>
  <c r="M19" i="1546"/>
  <c r="L19" i="1546"/>
  <c r="K19" i="1546"/>
  <c r="J19" i="1546"/>
  <c r="I19" i="1546"/>
  <c r="H19" i="1546"/>
  <c r="G19" i="1546"/>
  <c r="F19" i="1546"/>
  <c r="E19" i="1546"/>
  <c r="D19" i="1546"/>
  <c r="C19" i="1546"/>
  <c r="Y18" i="1546"/>
  <c r="W18" i="1546"/>
  <c r="V18" i="1546"/>
  <c r="U18" i="1546"/>
  <c r="T18" i="1546"/>
  <c r="P18" i="1546"/>
  <c r="O18" i="1546"/>
  <c r="N18" i="1546"/>
  <c r="M18" i="1546"/>
  <c r="L18" i="1546"/>
  <c r="K18" i="1546"/>
  <c r="J18" i="1546"/>
  <c r="I18" i="1546"/>
  <c r="H18" i="1546"/>
  <c r="G18" i="1546"/>
  <c r="F18" i="1546"/>
  <c r="E18" i="1546"/>
  <c r="D18" i="1546"/>
  <c r="C18" i="1546"/>
  <c r="Y4" i="1546"/>
  <c r="W4" i="1546"/>
  <c r="V4" i="1546"/>
  <c r="U4" i="1546"/>
  <c r="T4" i="1546"/>
  <c r="P4" i="1546"/>
  <c r="O4" i="1546"/>
  <c r="N4" i="1546"/>
  <c r="M4" i="1546"/>
  <c r="L4" i="1546"/>
  <c r="K4" i="1546"/>
  <c r="J4" i="1546"/>
  <c r="I4" i="1546"/>
  <c r="H4" i="1546"/>
  <c r="G4" i="1546"/>
  <c r="F4" i="1546"/>
  <c r="E4" i="1546"/>
  <c r="D4" i="1546"/>
  <c r="C4" i="1546"/>
  <c r="Y3" i="1546"/>
  <c r="W3" i="1546"/>
  <c r="V3" i="1546"/>
  <c r="U3" i="1546"/>
  <c r="T3" i="1546"/>
  <c r="P3" i="1546"/>
  <c r="O3" i="1546"/>
  <c r="N3" i="1546"/>
  <c r="M3" i="1546"/>
  <c r="L3" i="1546"/>
  <c r="K3" i="1546"/>
  <c r="J3" i="1546"/>
  <c r="I3" i="1546"/>
  <c r="H3" i="1546"/>
  <c r="G3" i="1546"/>
  <c r="F3" i="1546"/>
  <c r="E3" i="1546"/>
  <c r="D3" i="1546"/>
  <c r="C3" i="1546"/>
  <c r="F21" i="1545"/>
  <c r="Y19" i="1545"/>
  <c r="W19" i="1545"/>
  <c r="V19" i="1545"/>
  <c r="U19" i="1545"/>
  <c r="T19" i="1545"/>
  <c r="P19" i="1545"/>
  <c r="O19" i="1545"/>
  <c r="N19" i="1545"/>
  <c r="M19" i="1545"/>
  <c r="L19" i="1545"/>
  <c r="K19" i="1545"/>
  <c r="J19" i="1545"/>
  <c r="I19" i="1545"/>
  <c r="H19" i="1545"/>
  <c r="G19" i="1545"/>
  <c r="F19" i="1545"/>
  <c r="E19" i="1545"/>
  <c r="D19" i="1545"/>
  <c r="C19" i="1545"/>
  <c r="Y18" i="1545"/>
  <c r="W18" i="1545"/>
  <c r="V18" i="1545"/>
  <c r="U18" i="1545"/>
  <c r="T18" i="1545"/>
  <c r="P18" i="1545"/>
  <c r="O18" i="1545"/>
  <c r="N18" i="1545"/>
  <c r="M18" i="1545"/>
  <c r="L18" i="1545"/>
  <c r="K18" i="1545"/>
  <c r="J18" i="1545"/>
  <c r="I18" i="1545"/>
  <c r="H18" i="1545"/>
  <c r="G18" i="1545"/>
  <c r="F18" i="1545"/>
  <c r="E18" i="1545"/>
  <c r="D18" i="1545"/>
  <c r="C18" i="1545"/>
  <c r="Y4" i="1545"/>
  <c r="W4" i="1545"/>
  <c r="V4" i="1545"/>
  <c r="U4" i="1545"/>
  <c r="T4" i="1545"/>
  <c r="P4" i="1545"/>
  <c r="O4" i="1545"/>
  <c r="N4" i="1545"/>
  <c r="M4" i="1545"/>
  <c r="L4" i="1545"/>
  <c r="K4" i="1545"/>
  <c r="J4" i="1545"/>
  <c r="I4" i="1545"/>
  <c r="H4" i="1545"/>
  <c r="G4" i="1545"/>
  <c r="F4" i="1545"/>
  <c r="E4" i="1545"/>
  <c r="D4" i="1545"/>
  <c r="C4" i="1545"/>
  <c r="Y3" i="1545"/>
  <c r="W3" i="1545"/>
  <c r="V3" i="1545"/>
  <c r="U3" i="1545"/>
  <c r="T3" i="1545"/>
  <c r="P3" i="1545"/>
  <c r="O3" i="1545"/>
  <c r="N3" i="1545"/>
  <c r="M3" i="1545"/>
  <c r="L3" i="1545"/>
  <c r="K3" i="1545"/>
  <c r="J3" i="1545"/>
  <c r="I3" i="1545"/>
  <c r="H3" i="1545"/>
  <c r="G3" i="1545"/>
  <c r="F3" i="1545"/>
  <c r="E3" i="1545"/>
  <c r="D3" i="1545"/>
  <c r="C3" i="1545"/>
  <c r="F21" i="1544"/>
  <c r="Y19" i="1544"/>
  <c r="W19" i="1544"/>
  <c r="V19" i="1544"/>
  <c r="U19" i="1544"/>
  <c r="T19" i="1544"/>
  <c r="P19" i="1544"/>
  <c r="O19" i="1544"/>
  <c r="N19" i="1544"/>
  <c r="M19" i="1544"/>
  <c r="L19" i="1544"/>
  <c r="K19" i="1544"/>
  <c r="J19" i="1544"/>
  <c r="I19" i="1544"/>
  <c r="H19" i="1544"/>
  <c r="G19" i="1544"/>
  <c r="F19" i="1544"/>
  <c r="E19" i="1544"/>
  <c r="D19" i="1544"/>
  <c r="C19" i="1544"/>
  <c r="Y18" i="1544"/>
  <c r="W18" i="1544"/>
  <c r="V18" i="1544"/>
  <c r="U18" i="1544"/>
  <c r="T18" i="1544"/>
  <c r="P18" i="1544"/>
  <c r="O18" i="1544"/>
  <c r="N18" i="1544"/>
  <c r="M18" i="1544"/>
  <c r="L18" i="1544"/>
  <c r="K18" i="1544"/>
  <c r="J18" i="1544"/>
  <c r="I18" i="1544"/>
  <c r="H18" i="1544"/>
  <c r="G18" i="1544"/>
  <c r="F18" i="1544"/>
  <c r="E18" i="1544"/>
  <c r="D18" i="1544"/>
  <c r="C18" i="1544"/>
  <c r="Y4" i="1544"/>
  <c r="W4" i="1544"/>
  <c r="V4" i="1544"/>
  <c r="U4" i="1544"/>
  <c r="T4" i="1544"/>
  <c r="P4" i="1544"/>
  <c r="O4" i="1544"/>
  <c r="N4" i="1544"/>
  <c r="M4" i="1544"/>
  <c r="L4" i="1544"/>
  <c r="K4" i="1544"/>
  <c r="J4" i="1544"/>
  <c r="I4" i="1544"/>
  <c r="H4" i="1544"/>
  <c r="G4" i="1544"/>
  <c r="F4" i="1544"/>
  <c r="E4" i="1544"/>
  <c r="D4" i="1544"/>
  <c r="C4" i="1544"/>
  <c r="Y3" i="1544"/>
  <c r="W3" i="1544"/>
  <c r="V3" i="1544"/>
  <c r="U3" i="1544"/>
  <c r="T3" i="1544"/>
  <c r="P3" i="1544"/>
  <c r="O3" i="1544"/>
  <c r="N3" i="1544"/>
  <c r="M3" i="1544"/>
  <c r="L3" i="1544"/>
  <c r="K3" i="1544"/>
  <c r="J3" i="1544"/>
  <c r="I3" i="1544"/>
  <c r="H3" i="1544"/>
  <c r="G3" i="1544"/>
  <c r="F3" i="1544"/>
  <c r="E3" i="1544"/>
  <c r="D3" i="1544"/>
  <c r="C3" i="1544"/>
  <c r="F21" i="1543"/>
  <c r="Y19" i="1543"/>
  <c r="W19" i="1543"/>
  <c r="V19" i="1543"/>
  <c r="U19" i="1543"/>
  <c r="T19" i="1543"/>
  <c r="P19" i="1543"/>
  <c r="O19" i="1543"/>
  <c r="N19" i="1543"/>
  <c r="M19" i="1543"/>
  <c r="L19" i="1543"/>
  <c r="K19" i="1543"/>
  <c r="J19" i="1543"/>
  <c r="I19" i="1543"/>
  <c r="H19" i="1543"/>
  <c r="G19" i="1543"/>
  <c r="F19" i="1543"/>
  <c r="E19" i="1543"/>
  <c r="D19" i="1543"/>
  <c r="C19" i="1543"/>
  <c r="Y18" i="1543"/>
  <c r="W18" i="1543"/>
  <c r="V18" i="1543"/>
  <c r="U18" i="1543"/>
  <c r="T18" i="1543"/>
  <c r="P18" i="1543"/>
  <c r="O18" i="1543"/>
  <c r="N18" i="1543"/>
  <c r="M18" i="1543"/>
  <c r="L18" i="1543"/>
  <c r="K18" i="1543"/>
  <c r="J18" i="1543"/>
  <c r="I18" i="1543"/>
  <c r="H18" i="1543"/>
  <c r="G18" i="1543"/>
  <c r="F18" i="1543"/>
  <c r="E18" i="1543"/>
  <c r="D18" i="1543"/>
  <c r="C18" i="1543"/>
  <c r="Y4" i="1543"/>
  <c r="W4" i="1543"/>
  <c r="V4" i="1543"/>
  <c r="U4" i="1543"/>
  <c r="T4" i="1543"/>
  <c r="P4" i="1543"/>
  <c r="O4" i="1543"/>
  <c r="N4" i="1543"/>
  <c r="M4" i="1543"/>
  <c r="L4" i="1543"/>
  <c r="K4" i="1543"/>
  <c r="J4" i="1543"/>
  <c r="I4" i="1543"/>
  <c r="H4" i="1543"/>
  <c r="G4" i="1543"/>
  <c r="F4" i="1543"/>
  <c r="E4" i="1543"/>
  <c r="D4" i="1543"/>
  <c r="C4" i="1543"/>
  <c r="Y3" i="1543"/>
  <c r="W3" i="1543"/>
  <c r="V3" i="1543"/>
  <c r="U3" i="1543"/>
  <c r="T3" i="1543"/>
  <c r="P3" i="1543"/>
  <c r="O3" i="1543"/>
  <c r="N3" i="1543"/>
  <c r="M3" i="1543"/>
  <c r="L3" i="1543"/>
  <c r="K3" i="1543"/>
  <c r="J3" i="1543"/>
  <c r="I3" i="1543"/>
  <c r="H3" i="1543"/>
  <c r="G3" i="1543"/>
  <c r="F3" i="1543"/>
  <c r="E3" i="1543"/>
  <c r="D3" i="1543"/>
  <c r="C3" i="1543"/>
  <c r="F21" i="1542"/>
  <c r="Y19" i="1542"/>
  <c r="W19" i="1542"/>
  <c r="V19" i="1542"/>
  <c r="U19" i="1542"/>
  <c r="T19" i="1542"/>
  <c r="P19" i="1542"/>
  <c r="O19" i="1542"/>
  <c r="N19" i="1542"/>
  <c r="M19" i="1542"/>
  <c r="L19" i="1542"/>
  <c r="K19" i="1542"/>
  <c r="J19" i="1542"/>
  <c r="I19" i="1542"/>
  <c r="H19" i="1542"/>
  <c r="G19" i="1542"/>
  <c r="F19" i="1542"/>
  <c r="E19" i="1542"/>
  <c r="D19" i="1542"/>
  <c r="C19" i="1542"/>
  <c r="Y18" i="1542"/>
  <c r="W18" i="1542"/>
  <c r="V18" i="1542"/>
  <c r="U18" i="1542"/>
  <c r="T18" i="1542"/>
  <c r="P18" i="1542"/>
  <c r="O18" i="1542"/>
  <c r="N18" i="1542"/>
  <c r="M18" i="1542"/>
  <c r="L18" i="1542"/>
  <c r="K18" i="1542"/>
  <c r="J18" i="1542"/>
  <c r="I18" i="1542"/>
  <c r="H18" i="1542"/>
  <c r="G18" i="1542"/>
  <c r="F18" i="1542"/>
  <c r="E18" i="1542"/>
  <c r="D18" i="1542"/>
  <c r="C18" i="1542"/>
  <c r="Y4" i="1542"/>
  <c r="W4" i="1542"/>
  <c r="V4" i="1542"/>
  <c r="U4" i="1542"/>
  <c r="T4" i="1542"/>
  <c r="P4" i="1542"/>
  <c r="O4" i="1542"/>
  <c r="N4" i="1542"/>
  <c r="M4" i="1542"/>
  <c r="L4" i="1542"/>
  <c r="K4" i="1542"/>
  <c r="J4" i="1542"/>
  <c r="I4" i="1542"/>
  <c r="H4" i="1542"/>
  <c r="G4" i="1542"/>
  <c r="F4" i="1542"/>
  <c r="E4" i="1542"/>
  <c r="D4" i="1542"/>
  <c r="C4" i="1542"/>
  <c r="Y3" i="1542"/>
  <c r="W3" i="1542"/>
  <c r="V3" i="1542"/>
  <c r="U3" i="1542"/>
  <c r="T3" i="1542"/>
  <c r="P3" i="1542"/>
  <c r="O3" i="1542"/>
  <c r="N3" i="1542"/>
  <c r="M3" i="1542"/>
  <c r="L3" i="1542"/>
  <c r="K3" i="1542"/>
  <c r="J3" i="1542"/>
  <c r="I3" i="1542"/>
  <c r="H3" i="1542"/>
  <c r="G3" i="1542"/>
  <c r="F3" i="1542"/>
  <c r="E3" i="1542"/>
  <c r="D3" i="1542"/>
  <c r="C3" i="1542"/>
  <c r="F21" i="1541"/>
  <c r="Y19" i="1541"/>
  <c r="W19" i="1541"/>
  <c r="V19" i="1541"/>
  <c r="U19" i="1541"/>
  <c r="T19" i="1541"/>
  <c r="P19" i="1541"/>
  <c r="O19" i="1541"/>
  <c r="N19" i="1541"/>
  <c r="M19" i="1541"/>
  <c r="L19" i="1541"/>
  <c r="K19" i="1541"/>
  <c r="J19" i="1541"/>
  <c r="I19" i="1541"/>
  <c r="H19" i="1541"/>
  <c r="G19" i="1541"/>
  <c r="F19" i="1541"/>
  <c r="E19" i="1541"/>
  <c r="D19" i="1541"/>
  <c r="C19" i="1541"/>
  <c r="Y18" i="1541"/>
  <c r="W18" i="1541"/>
  <c r="V18" i="1541"/>
  <c r="U18" i="1541"/>
  <c r="T18" i="1541"/>
  <c r="P18" i="1541"/>
  <c r="O18" i="1541"/>
  <c r="N18" i="1541"/>
  <c r="M18" i="1541"/>
  <c r="L18" i="1541"/>
  <c r="K18" i="1541"/>
  <c r="J18" i="1541"/>
  <c r="I18" i="1541"/>
  <c r="H18" i="1541"/>
  <c r="G18" i="1541"/>
  <c r="F18" i="1541"/>
  <c r="E18" i="1541"/>
  <c r="D18" i="1541"/>
  <c r="C18" i="1541"/>
  <c r="Y4" i="1541"/>
  <c r="W4" i="1541"/>
  <c r="V4" i="1541"/>
  <c r="U4" i="1541"/>
  <c r="T4" i="1541"/>
  <c r="P4" i="1541"/>
  <c r="O4" i="1541"/>
  <c r="N4" i="1541"/>
  <c r="M4" i="1541"/>
  <c r="L4" i="1541"/>
  <c r="K4" i="1541"/>
  <c r="J4" i="1541"/>
  <c r="I4" i="1541"/>
  <c r="H4" i="1541"/>
  <c r="G4" i="1541"/>
  <c r="F4" i="1541"/>
  <c r="E4" i="1541"/>
  <c r="D4" i="1541"/>
  <c r="C4" i="1541"/>
  <c r="Y3" i="1541"/>
  <c r="W3" i="1541"/>
  <c r="V3" i="1541"/>
  <c r="U3" i="1541"/>
  <c r="T3" i="1541"/>
  <c r="P3" i="1541"/>
  <c r="O3" i="1541"/>
  <c r="N3" i="1541"/>
  <c r="M3" i="1541"/>
  <c r="L3" i="1541"/>
  <c r="K3" i="1541"/>
  <c r="J3" i="1541"/>
  <c r="I3" i="1541"/>
  <c r="H3" i="1541"/>
  <c r="G3" i="1541"/>
  <c r="F3" i="1541"/>
  <c r="E3" i="1541"/>
  <c r="D3" i="1541"/>
  <c r="C3" i="1541"/>
  <c r="F21" i="1540"/>
  <c r="Y19" i="1540"/>
  <c r="W19" i="1540"/>
  <c r="V19" i="1540"/>
  <c r="U19" i="1540"/>
  <c r="T19" i="1540"/>
  <c r="P19" i="1540"/>
  <c r="O19" i="1540"/>
  <c r="N19" i="1540"/>
  <c r="M19" i="1540"/>
  <c r="L19" i="1540"/>
  <c r="K19" i="1540"/>
  <c r="J19" i="1540"/>
  <c r="I19" i="1540"/>
  <c r="H19" i="1540"/>
  <c r="G19" i="1540"/>
  <c r="F19" i="1540"/>
  <c r="E19" i="1540"/>
  <c r="D19" i="1540"/>
  <c r="C19" i="1540"/>
  <c r="Y18" i="1540"/>
  <c r="W18" i="1540"/>
  <c r="V18" i="1540"/>
  <c r="U18" i="1540"/>
  <c r="T18" i="1540"/>
  <c r="P18" i="1540"/>
  <c r="O18" i="1540"/>
  <c r="N18" i="1540"/>
  <c r="M18" i="1540"/>
  <c r="L18" i="1540"/>
  <c r="K18" i="1540"/>
  <c r="J18" i="1540"/>
  <c r="I18" i="1540"/>
  <c r="H18" i="1540"/>
  <c r="G18" i="1540"/>
  <c r="F18" i="1540"/>
  <c r="E18" i="1540"/>
  <c r="D18" i="1540"/>
  <c r="C18" i="1540"/>
  <c r="Y4" i="1540"/>
  <c r="W4" i="1540"/>
  <c r="V4" i="1540"/>
  <c r="U4" i="1540"/>
  <c r="T4" i="1540"/>
  <c r="P4" i="1540"/>
  <c r="O4" i="1540"/>
  <c r="N4" i="1540"/>
  <c r="M4" i="1540"/>
  <c r="L4" i="1540"/>
  <c r="K4" i="1540"/>
  <c r="J4" i="1540"/>
  <c r="I4" i="1540"/>
  <c r="H4" i="1540"/>
  <c r="G4" i="1540"/>
  <c r="F4" i="1540"/>
  <c r="E4" i="1540"/>
  <c r="D4" i="1540"/>
  <c r="C4" i="1540"/>
  <c r="Y3" i="1540"/>
  <c r="W3" i="1540"/>
  <c r="V3" i="1540"/>
  <c r="U3" i="1540"/>
  <c r="T3" i="1540"/>
  <c r="P3" i="1540"/>
  <c r="O3" i="1540"/>
  <c r="N3" i="1540"/>
  <c r="M3" i="1540"/>
  <c r="L3" i="1540"/>
  <c r="K3" i="1540"/>
  <c r="J3" i="1540"/>
  <c r="I3" i="1540"/>
  <c r="H3" i="1540"/>
  <c r="G3" i="1540"/>
  <c r="F3" i="1540"/>
  <c r="E3" i="1540"/>
  <c r="D3" i="1540"/>
  <c r="C3" i="1540"/>
  <c r="F21" i="1539"/>
  <c r="Y19" i="1539"/>
  <c r="W19" i="1539"/>
  <c r="V19" i="1539"/>
  <c r="U19" i="1539"/>
  <c r="T19" i="1539"/>
  <c r="P19" i="1539"/>
  <c r="O19" i="1539"/>
  <c r="N19" i="1539"/>
  <c r="M19" i="1539"/>
  <c r="L19" i="1539"/>
  <c r="K19" i="1539"/>
  <c r="J19" i="1539"/>
  <c r="I19" i="1539"/>
  <c r="H19" i="1539"/>
  <c r="G19" i="1539"/>
  <c r="F19" i="1539"/>
  <c r="E19" i="1539"/>
  <c r="D19" i="1539"/>
  <c r="C19" i="1539"/>
  <c r="Y18" i="1539"/>
  <c r="W18" i="1539"/>
  <c r="V18" i="1539"/>
  <c r="U18" i="1539"/>
  <c r="T18" i="1539"/>
  <c r="P18" i="1539"/>
  <c r="O18" i="1539"/>
  <c r="N18" i="1539"/>
  <c r="M18" i="1539"/>
  <c r="L18" i="1539"/>
  <c r="K18" i="1539"/>
  <c r="J18" i="1539"/>
  <c r="I18" i="1539"/>
  <c r="H18" i="1539"/>
  <c r="G18" i="1539"/>
  <c r="F18" i="1539"/>
  <c r="E18" i="1539"/>
  <c r="D18" i="1539"/>
  <c r="C18" i="1539"/>
  <c r="Y4" i="1539"/>
  <c r="W4" i="1539"/>
  <c r="V4" i="1539"/>
  <c r="U4" i="1539"/>
  <c r="T4" i="1539"/>
  <c r="P4" i="1539"/>
  <c r="O4" i="1539"/>
  <c r="N4" i="1539"/>
  <c r="M4" i="1539"/>
  <c r="L4" i="1539"/>
  <c r="K4" i="1539"/>
  <c r="J4" i="1539"/>
  <c r="I4" i="1539"/>
  <c r="H4" i="1539"/>
  <c r="G4" i="1539"/>
  <c r="F4" i="1539"/>
  <c r="E4" i="1539"/>
  <c r="D4" i="1539"/>
  <c r="C4" i="1539"/>
  <c r="Y3" i="1539"/>
  <c r="W3" i="1539"/>
  <c r="V3" i="1539"/>
  <c r="U3" i="1539"/>
  <c r="T3" i="1539"/>
  <c r="P3" i="1539"/>
  <c r="O3" i="1539"/>
  <c r="N3" i="1539"/>
  <c r="M3" i="1539"/>
  <c r="L3" i="1539"/>
  <c r="K3" i="1539"/>
  <c r="J3" i="1539"/>
  <c r="I3" i="1539"/>
  <c r="H3" i="1539"/>
  <c r="G3" i="1539"/>
  <c r="F3" i="1539"/>
  <c r="E3" i="1539"/>
  <c r="D3" i="1539"/>
  <c r="C3" i="1539"/>
  <c r="F21" i="1538"/>
  <c r="Y19" i="1538"/>
  <c r="W19" i="1538"/>
  <c r="V19" i="1538"/>
  <c r="U19" i="1538"/>
  <c r="T19" i="1538"/>
  <c r="P19" i="1538"/>
  <c r="O19" i="1538"/>
  <c r="N19" i="1538"/>
  <c r="M19" i="1538"/>
  <c r="L19" i="1538"/>
  <c r="K19" i="1538"/>
  <c r="J19" i="1538"/>
  <c r="I19" i="1538"/>
  <c r="H19" i="1538"/>
  <c r="G19" i="1538"/>
  <c r="F19" i="1538"/>
  <c r="E19" i="1538"/>
  <c r="D19" i="1538"/>
  <c r="C19" i="1538"/>
  <c r="Y18" i="1538"/>
  <c r="W18" i="1538"/>
  <c r="V18" i="1538"/>
  <c r="U18" i="1538"/>
  <c r="T18" i="1538"/>
  <c r="P18" i="1538"/>
  <c r="O18" i="1538"/>
  <c r="N18" i="1538"/>
  <c r="M18" i="1538"/>
  <c r="L18" i="1538"/>
  <c r="K18" i="1538"/>
  <c r="J18" i="1538"/>
  <c r="I18" i="1538"/>
  <c r="H18" i="1538"/>
  <c r="G18" i="1538"/>
  <c r="F18" i="1538"/>
  <c r="E18" i="1538"/>
  <c r="D18" i="1538"/>
  <c r="C18" i="1538"/>
  <c r="Y4" i="1538"/>
  <c r="W4" i="1538"/>
  <c r="V4" i="1538"/>
  <c r="U4" i="1538"/>
  <c r="T4" i="1538"/>
  <c r="P4" i="1538"/>
  <c r="O4" i="1538"/>
  <c r="N4" i="1538"/>
  <c r="M4" i="1538"/>
  <c r="L4" i="1538"/>
  <c r="K4" i="1538"/>
  <c r="J4" i="1538"/>
  <c r="I4" i="1538"/>
  <c r="H4" i="1538"/>
  <c r="G4" i="1538"/>
  <c r="F4" i="1538"/>
  <c r="E4" i="1538"/>
  <c r="D4" i="1538"/>
  <c r="C4" i="1538"/>
  <c r="Y3" i="1538"/>
  <c r="W3" i="1538"/>
  <c r="V3" i="1538"/>
  <c r="U3" i="1538"/>
  <c r="T3" i="1538"/>
  <c r="P3" i="1538"/>
  <c r="O3" i="1538"/>
  <c r="N3" i="1538"/>
  <c r="M3" i="1538"/>
  <c r="L3" i="1538"/>
  <c r="K3" i="1538"/>
  <c r="J3" i="1538"/>
  <c r="I3" i="1538"/>
  <c r="H3" i="1538"/>
  <c r="G3" i="1538"/>
  <c r="F3" i="1538"/>
  <c r="E3" i="1538"/>
  <c r="D3" i="1538"/>
  <c r="C3" i="1538"/>
  <c r="F21" i="1537"/>
  <c r="Y19" i="1537"/>
  <c r="W19" i="1537"/>
  <c r="V19" i="1537"/>
  <c r="U19" i="1537"/>
  <c r="T19" i="1537"/>
  <c r="P19" i="1537"/>
  <c r="O19" i="1537"/>
  <c r="N19" i="1537"/>
  <c r="M19" i="1537"/>
  <c r="L19" i="1537"/>
  <c r="K19" i="1537"/>
  <c r="J19" i="1537"/>
  <c r="I19" i="1537"/>
  <c r="H19" i="1537"/>
  <c r="G19" i="1537"/>
  <c r="F19" i="1537"/>
  <c r="E19" i="1537"/>
  <c r="D19" i="1537"/>
  <c r="C19" i="1537"/>
  <c r="Y18" i="1537"/>
  <c r="W18" i="1537"/>
  <c r="V18" i="1537"/>
  <c r="U18" i="1537"/>
  <c r="T18" i="1537"/>
  <c r="P18" i="1537"/>
  <c r="O18" i="1537"/>
  <c r="N18" i="1537"/>
  <c r="M18" i="1537"/>
  <c r="L18" i="1537"/>
  <c r="K18" i="1537"/>
  <c r="J18" i="1537"/>
  <c r="I18" i="1537"/>
  <c r="H18" i="1537"/>
  <c r="G18" i="1537"/>
  <c r="F18" i="1537"/>
  <c r="E18" i="1537"/>
  <c r="D18" i="1537"/>
  <c r="C18" i="1537"/>
  <c r="Y4" i="1537"/>
  <c r="W4" i="1537"/>
  <c r="V4" i="1537"/>
  <c r="U4" i="1537"/>
  <c r="T4" i="1537"/>
  <c r="P4" i="1537"/>
  <c r="O4" i="1537"/>
  <c r="N4" i="1537"/>
  <c r="M4" i="1537"/>
  <c r="L4" i="1537"/>
  <c r="K4" i="1537"/>
  <c r="J4" i="1537"/>
  <c r="I4" i="1537"/>
  <c r="H4" i="1537"/>
  <c r="G4" i="1537"/>
  <c r="F4" i="1537"/>
  <c r="E4" i="1537"/>
  <c r="D4" i="1537"/>
  <c r="C4" i="1537"/>
  <c r="Y3" i="1537"/>
  <c r="W3" i="1537"/>
  <c r="V3" i="1537"/>
  <c r="U3" i="1537"/>
  <c r="T3" i="1537"/>
  <c r="P3" i="1537"/>
  <c r="O3" i="1537"/>
  <c r="N3" i="1537"/>
  <c r="M3" i="1537"/>
  <c r="L3" i="1537"/>
  <c r="K3" i="1537"/>
  <c r="J3" i="1537"/>
  <c r="I3" i="1537"/>
  <c r="H3" i="1537"/>
  <c r="G3" i="1537"/>
  <c r="F3" i="1537"/>
  <c r="E3" i="1537"/>
  <c r="D3" i="1537"/>
  <c r="C3" i="1537"/>
  <c r="F21" i="1536"/>
  <c r="Y19" i="1536"/>
  <c r="W19" i="1536"/>
  <c r="V19" i="1536"/>
  <c r="U19" i="1536"/>
  <c r="T19" i="1536"/>
  <c r="P19" i="1536"/>
  <c r="O19" i="1536"/>
  <c r="N19" i="1536"/>
  <c r="M19" i="1536"/>
  <c r="L19" i="1536"/>
  <c r="K19" i="1536"/>
  <c r="J19" i="1536"/>
  <c r="I19" i="1536"/>
  <c r="H19" i="1536"/>
  <c r="G19" i="1536"/>
  <c r="F19" i="1536"/>
  <c r="E19" i="1536"/>
  <c r="D19" i="1536"/>
  <c r="C19" i="1536"/>
  <c r="Y18" i="1536"/>
  <c r="W18" i="1536"/>
  <c r="V18" i="1536"/>
  <c r="U18" i="1536"/>
  <c r="T18" i="1536"/>
  <c r="P18" i="1536"/>
  <c r="O18" i="1536"/>
  <c r="N18" i="1536"/>
  <c r="M18" i="1536"/>
  <c r="L18" i="1536"/>
  <c r="K18" i="1536"/>
  <c r="J18" i="1536"/>
  <c r="I18" i="1536"/>
  <c r="H18" i="1536"/>
  <c r="G18" i="1536"/>
  <c r="F18" i="1536"/>
  <c r="E18" i="1536"/>
  <c r="D18" i="1536"/>
  <c r="C18" i="1536"/>
  <c r="Y4" i="1536"/>
  <c r="W4" i="1536"/>
  <c r="V4" i="1536"/>
  <c r="U4" i="1536"/>
  <c r="T4" i="1536"/>
  <c r="P4" i="1536"/>
  <c r="O4" i="1536"/>
  <c r="N4" i="1536"/>
  <c r="M4" i="1536"/>
  <c r="L4" i="1536"/>
  <c r="K4" i="1536"/>
  <c r="J4" i="1536"/>
  <c r="I4" i="1536"/>
  <c r="H4" i="1536"/>
  <c r="G4" i="1536"/>
  <c r="F4" i="1536"/>
  <c r="E4" i="1536"/>
  <c r="D4" i="1536"/>
  <c r="C4" i="1536"/>
  <c r="Y3" i="1536"/>
  <c r="W3" i="1536"/>
  <c r="V3" i="1536"/>
  <c r="U3" i="1536"/>
  <c r="T3" i="1536"/>
  <c r="P3" i="1536"/>
  <c r="O3" i="1536"/>
  <c r="N3" i="1536"/>
  <c r="M3" i="1536"/>
  <c r="L3" i="1536"/>
  <c r="K3" i="1536"/>
  <c r="J3" i="1536"/>
  <c r="I3" i="1536"/>
  <c r="H3" i="1536"/>
  <c r="G3" i="1536"/>
  <c r="F3" i="1536"/>
  <c r="E3" i="1536"/>
  <c r="D3" i="1536"/>
  <c r="C3" i="1536"/>
  <c r="F21" i="1535"/>
  <c r="Y19" i="1535"/>
  <c r="W19" i="1535"/>
  <c r="V19" i="1535"/>
  <c r="U19" i="1535"/>
  <c r="T19" i="1535"/>
  <c r="P19" i="1535"/>
  <c r="O19" i="1535"/>
  <c r="N19" i="1535"/>
  <c r="M19" i="1535"/>
  <c r="L19" i="1535"/>
  <c r="K19" i="1535"/>
  <c r="J19" i="1535"/>
  <c r="I19" i="1535"/>
  <c r="H19" i="1535"/>
  <c r="G19" i="1535"/>
  <c r="F19" i="1535"/>
  <c r="E19" i="1535"/>
  <c r="D19" i="1535"/>
  <c r="C19" i="1535"/>
  <c r="Y18" i="1535"/>
  <c r="W18" i="1535"/>
  <c r="V18" i="1535"/>
  <c r="U18" i="1535"/>
  <c r="T18" i="1535"/>
  <c r="P18" i="1535"/>
  <c r="O18" i="1535"/>
  <c r="N18" i="1535"/>
  <c r="M18" i="1535"/>
  <c r="L18" i="1535"/>
  <c r="K18" i="1535"/>
  <c r="J18" i="1535"/>
  <c r="I18" i="1535"/>
  <c r="H18" i="1535"/>
  <c r="G18" i="1535"/>
  <c r="F18" i="1535"/>
  <c r="E18" i="1535"/>
  <c r="D18" i="1535"/>
  <c r="C18" i="1535"/>
  <c r="Y4" i="1535"/>
  <c r="W4" i="1535"/>
  <c r="V4" i="1535"/>
  <c r="U4" i="1535"/>
  <c r="T4" i="1535"/>
  <c r="P4" i="1535"/>
  <c r="O4" i="1535"/>
  <c r="N4" i="1535"/>
  <c r="M4" i="1535"/>
  <c r="L4" i="1535"/>
  <c r="K4" i="1535"/>
  <c r="J4" i="1535"/>
  <c r="I4" i="1535"/>
  <c r="H4" i="1535"/>
  <c r="G4" i="1535"/>
  <c r="F4" i="1535"/>
  <c r="E4" i="1535"/>
  <c r="D4" i="1535"/>
  <c r="C4" i="1535"/>
  <c r="Y3" i="1535"/>
  <c r="W3" i="1535"/>
  <c r="V3" i="1535"/>
  <c r="U3" i="1535"/>
  <c r="T3" i="1535"/>
  <c r="P3" i="1535"/>
  <c r="O3" i="1535"/>
  <c r="N3" i="1535"/>
  <c r="M3" i="1535"/>
  <c r="L3" i="1535"/>
  <c r="K3" i="1535"/>
  <c r="J3" i="1535"/>
  <c r="I3" i="1535"/>
  <c r="H3" i="1535"/>
  <c r="G3" i="1535"/>
  <c r="F3" i="1535"/>
  <c r="E3" i="1535"/>
  <c r="D3" i="1535"/>
  <c r="C3" i="1535"/>
  <c r="F21" i="1534"/>
  <c r="Y19" i="1534"/>
  <c r="W19" i="1534"/>
  <c r="V19" i="1534"/>
  <c r="U19" i="1534"/>
  <c r="T19" i="1534"/>
  <c r="P19" i="1534"/>
  <c r="O19" i="1534"/>
  <c r="N19" i="1534"/>
  <c r="M19" i="1534"/>
  <c r="L19" i="1534"/>
  <c r="K19" i="1534"/>
  <c r="J19" i="1534"/>
  <c r="I19" i="1534"/>
  <c r="H19" i="1534"/>
  <c r="G19" i="1534"/>
  <c r="F19" i="1534"/>
  <c r="E19" i="1534"/>
  <c r="D19" i="1534"/>
  <c r="C19" i="1534"/>
  <c r="Y18" i="1534"/>
  <c r="W18" i="1534"/>
  <c r="V18" i="1534"/>
  <c r="U18" i="1534"/>
  <c r="T18" i="1534"/>
  <c r="P18" i="1534"/>
  <c r="O18" i="1534"/>
  <c r="N18" i="1534"/>
  <c r="M18" i="1534"/>
  <c r="L18" i="1534"/>
  <c r="K18" i="1534"/>
  <c r="J18" i="1534"/>
  <c r="I18" i="1534"/>
  <c r="H18" i="1534"/>
  <c r="G18" i="1534"/>
  <c r="F18" i="1534"/>
  <c r="E18" i="1534"/>
  <c r="D18" i="1534"/>
  <c r="C18" i="1534"/>
  <c r="Y4" i="1534"/>
  <c r="W4" i="1534"/>
  <c r="V4" i="1534"/>
  <c r="U4" i="1534"/>
  <c r="T4" i="1534"/>
  <c r="P4" i="1534"/>
  <c r="O4" i="1534"/>
  <c r="N4" i="1534"/>
  <c r="M4" i="1534"/>
  <c r="L4" i="1534"/>
  <c r="K4" i="1534"/>
  <c r="J4" i="1534"/>
  <c r="I4" i="1534"/>
  <c r="H4" i="1534"/>
  <c r="G4" i="1534"/>
  <c r="F4" i="1534"/>
  <c r="E4" i="1534"/>
  <c r="D4" i="1534"/>
  <c r="C4" i="1534"/>
  <c r="Y3" i="1534"/>
  <c r="W3" i="1534"/>
  <c r="V3" i="1534"/>
  <c r="U3" i="1534"/>
  <c r="T3" i="1534"/>
  <c r="P3" i="1534"/>
  <c r="O3" i="1534"/>
  <c r="N3" i="1534"/>
  <c r="M3" i="1534"/>
  <c r="L3" i="1534"/>
  <c r="K3" i="1534"/>
  <c r="J3" i="1534"/>
  <c r="I3" i="1534"/>
  <c r="H3" i="1534"/>
  <c r="G3" i="1534"/>
  <c r="F3" i="1534"/>
  <c r="E3" i="1534"/>
  <c r="D3" i="1534"/>
  <c r="C3" i="1534"/>
  <c r="F21" i="1533"/>
  <c r="Y19" i="1533"/>
  <c r="W19" i="1533"/>
  <c r="V19" i="1533"/>
  <c r="U19" i="1533"/>
  <c r="T19" i="1533"/>
  <c r="P19" i="1533"/>
  <c r="O19" i="1533"/>
  <c r="N19" i="1533"/>
  <c r="M19" i="1533"/>
  <c r="L19" i="1533"/>
  <c r="K19" i="1533"/>
  <c r="J19" i="1533"/>
  <c r="I19" i="1533"/>
  <c r="H19" i="1533"/>
  <c r="G19" i="1533"/>
  <c r="F19" i="1533"/>
  <c r="E19" i="1533"/>
  <c r="D19" i="1533"/>
  <c r="C19" i="1533"/>
  <c r="Y18" i="1533"/>
  <c r="W18" i="1533"/>
  <c r="V18" i="1533"/>
  <c r="U18" i="1533"/>
  <c r="T18" i="1533"/>
  <c r="P18" i="1533"/>
  <c r="O18" i="1533"/>
  <c r="N18" i="1533"/>
  <c r="M18" i="1533"/>
  <c r="L18" i="1533"/>
  <c r="K18" i="1533"/>
  <c r="J18" i="1533"/>
  <c r="I18" i="1533"/>
  <c r="H18" i="1533"/>
  <c r="G18" i="1533"/>
  <c r="F18" i="1533"/>
  <c r="E18" i="1533"/>
  <c r="D18" i="1533"/>
  <c r="C18" i="1533"/>
  <c r="Y4" i="1533"/>
  <c r="W4" i="1533"/>
  <c r="V4" i="1533"/>
  <c r="U4" i="1533"/>
  <c r="T4" i="1533"/>
  <c r="P4" i="1533"/>
  <c r="O4" i="1533"/>
  <c r="N4" i="1533"/>
  <c r="M4" i="1533"/>
  <c r="L4" i="1533"/>
  <c r="K4" i="1533"/>
  <c r="J4" i="1533"/>
  <c r="I4" i="1533"/>
  <c r="H4" i="1533"/>
  <c r="G4" i="1533"/>
  <c r="F4" i="1533"/>
  <c r="E4" i="1533"/>
  <c r="D4" i="1533"/>
  <c r="C4" i="1533"/>
  <c r="Y3" i="1533"/>
  <c r="W3" i="1533"/>
  <c r="V3" i="1533"/>
  <c r="U3" i="1533"/>
  <c r="T3" i="1533"/>
  <c r="P3" i="1533"/>
  <c r="O3" i="1533"/>
  <c r="N3" i="1533"/>
  <c r="M3" i="1533"/>
  <c r="L3" i="1533"/>
  <c r="K3" i="1533"/>
  <c r="J3" i="1533"/>
  <c r="I3" i="1533"/>
  <c r="H3" i="1533"/>
  <c r="G3" i="1533"/>
  <c r="F3" i="1533"/>
  <c r="E3" i="1533"/>
  <c r="D3" i="1533"/>
  <c r="C3" i="1533"/>
  <c r="F21" i="1532"/>
  <c r="Y19" i="1532"/>
  <c r="W19" i="1532"/>
  <c r="V19" i="1532"/>
  <c r="U19" i="1532"/>
  <c r="T19" i="1532"/>
  <c r="P19" i="1532"/>
  <c r="O19" i="1532"/>
  <c r="N19" i="1532"/>
  <c r="M19" i="1532"/>
  <c r="L19" i="1532"/>
  <c r="K19" i="1532"/>
  <c r="J19" i="1532"/>
  <c r="I19" i="1532"/>
  <c r="H19" i="1532"/>
  <c r="G19" i="1532"/>
  <c r="F19" i="1532"/>
  <c r="E19" i="1532"/>
  <c r="D19" i="1532"/>
  <c r="C19" i="1532"/>
  <c r="Y18" i="1532"/>
  <c r="W18" i="1532"/>
  <c r="V18" i="1532"/>
  <c r="U18" i="1532"/>
  <c r="T18" i="1532"/>
  <c r="P18" i="1532"/>
  <c r="O18" i="1532"/>
  <c r="N18" i="1532"/>
  <c r="M18" i="1532"/>
  <c r="L18" i="1532"/>
  <c r="K18" i="1532"/>
  <c r="J18" i="1532"/>
  <c r="I18" i="1532"/>
  <c r="H18" i="1532"/>
  <c r="G18" i="1532"/>
  <c r="F18" i="1532"/>
  <c r="E18" i="1532"/>
  <c r="D18" i="1532"/>
  <c r="C18" i="1532"/>
  <c r="Y4" i="1532"/>
  <c r="W4" i="1532"/>
  <c r="V4" i="1532"/>
  <c r="U4" i="1532"/>
  <c r="T4" i="1532"/>
  <c r="P4" i="1532"/>
  <c r="O4" i="1532"/>
  <c r="N4" i="1532"/>
  <c r="M4" i="1532"/>
  <c r="L4" i="1532"/>
  <c r="K4" i="1532"/>
  <c r="J4" i="1532"/>
  <c r="I4" i="1532"/>
  <c r="H4" i="1532"/>
  <c r="G4" i="1532"/>
  <c r="F4" i="1532"/>
  <c r="E4" i="1532"/>
  <c r="D4" i="1532"/>
  <c r="C4" i="1532"/>
  <c r="Y3" i="1532"/>
  <c r="W3" i="1532"/>
  <c r="V3" i="1532"/>
  <c r="U3" i="1532"/>
  <c r="T3" i="1532"/>
  <c r="P3" i="1532"/>
  <c r="O3" i="1532"/>
  <c r="N3" i="1532"/>
  <c r="M3" i="1532"/>
  <c r="L3" i="1532"/>
  <c r="K3" i="1532"/>
  <c r="J3" i="1532"/>
  <c r="I3" i="1532"/>
  <c r="H3" i="1532"/>
  <c r="G3" i="1532"/>
  <c r="F3" i="1532"/>
  <c r="E3" i="1532"/>
  <c r="D3" i="1532"/>
  <c r="C3" i="1532"/>
  <c r="F21" i="1531"/>
  <c r="Y19" i="1531"/>
  <c r="W19" i="1531"/>
  <c r="V19" i="1531"/>
  <c r="U19" i="1531"/>
  <c r="T19" i="1531"/>
  <c r="P19" i="1531"/>
  <c r="O19" i="1531"/>
  <c r="N19" i="1531"/>
  <c r="M19" i="1531"/>
  <c r="L19" i="1531"/>
  <c r="K19" i="1531"/>
  <c r="J19" i="1531"/>
  <c r="I19" i="1531"/>
  <c r="H19" i="1531"/>
  <c r="G19" i="1531"/>
  <c r="F19" i="1531"/>
  <c r="E19" i="1531"/>
  <c r="D19" i="1531"/>
  <c r="C19" i="1531"/>
  <c r="Y18" i="1531"/>
  <c r="W18" i="1531"/>
  <c r="V18" i="1531"/>
  <c r="U18" i="1531"/>
  <c r="T18" i="1531"/>
  <c r="P18" i="1531"/>
  <c r="O18" i="1531"/>
  <c r="N18" i="1531"/>
  <c r="M18" i="1531"/>
  <c r="L18" i="1531"/>
  <c r="K18" i="1531"/>
  <c r="J18" i="1531"/>
  <c r="I18" i="1531"/>
  <c r="H18" i="1531"/>
  <c r="G18" i="1531"/>
  <c r="F18" i="1531"/>
  <c r="E18" i="1531"/>
  <c r="D18" i="1531"/>
  <c r="C18" i="1531"/>
  <c r="Y4" i="1531"/>
  <c r="W4" i="1531"/>
  <c r="V4" i="1531"/>
  <c r="U4" i="1531"/>
  <c r="T4" i="1531"/>
  <c r="P4" i="1531"/>
  <c r="O4" i="1531"/>
  <c r="N4" i="1531"/>
  <c r="M4" i="1531"/>
  <c r="L4" i="1531"/>
  <c r="K4" i="1531"/>
  <c r="J4" i="1531"/>
  <c r="I4" i="1531"/>
  <c r="H4" i="1531"/>
  <c r="G4" i="1531"/>
  <c r="F4" i="1531"/>
  <c r="E4" i="1531"/>
  <c r="D4" i="1531"/>
  <c r="C4" i="1531"/>
  <c r="Y3" i="1531"/>
  <c r="W3" i="1531"/>
  <c r="V3" i="1531"/>
  <c r="U3" i="1531"/>
  <c r="T3" i="1531"/>
  <c r="P3" i="1531"/>
  <c r="O3" i="1531"/>
  <c r="N3" i="1531"/>
  <c r="M3" i="1531"/>
  <c r="L3" i="1531"/>
  <c r="K3" i="1531"/>
  <c r="J3" i="1531"/>
  <c r="I3" i="1531"/>
  <c r="H3" i="1531"/>
  <c r="G3" i="1531"/>
  <c r="F3" i="1531"/>
  <c r="E3" i="1531"/>
  <c r="D3" i="1531"/>
  <c r="C3" i="1531"/>
  <c r="F21" i="1530"/>
  <c r="Y19" i="1530"/>
  <c r="W19" i="1530"/>
  <c r="V19" i="1530"/>
  <c r="U19" i="1530"/>
  <c r="T19" i="1530"/>
  <c r="P19" i="1530"/>
  <c r="O19" i="1530"/>
  <c r="N19" i="1530"/>
  <c r="M19" i="1530"/>
  <c r="L19" i="1530"/>
  <c r="K19" i="1530"/>
  <c r="J19" i="1530"/>
  <c r="I19" i="1530"/>
  <c r="H19" i="1530"/>
  <c r="G19" i="1530"/>
  <c r="F19" i="1530"/>
  <c r="E19" i="1530"/>
  <c r="D19" i="1530"/>
  <c r="C19" i="1530"/>
  <c r="Y18" i="1530"/>
  <c r="W18" i="1530"/>
  <c r="V18" i="1530"/>
  <c r="U18" i="1530"/>
  <c r="T18" i="1530"/>
  <c r="P18" i="1530"/>
  <c r="O18" i="1530"/>
  <c r="N18" i="1530"/>
  <c r="M18" i="1530"/>
  <c r="L18" i="1530"/>
  <c r="K18" i="1530"/>
  <c r="J18" i="1530"/>
  <c r="I18" i="1530"/>
  <c r="H18" i="1530"/>
  <c r="G18" i="1530"/>
  <c r="F18" i="1530"/>
  <c r="E18" i="1530"/>
  <c r="D18" i="1530"/>
  <c r="C18" i="1530"/>
  <c r="Y4" i="1530"/>
  <c r="W4" i="1530"/>
  <c r="V4" i="1530"/>
  <c r="U4" i="1530"/>
  <c r="T4" i="1530"/>
  <c r="P4" i="1530"/>
  <c r="O4" i="1530"/>
  <c r="N4" i="1530"/>
  <c r="M4" i="1530"/>
  <c r="L4" i="1530"/>
  <c r="K4" i="1530"/>
  <c r="J4" i="1530"/>
  <c r="I4" i="1530"/>
  <c r="H4" i="1530"/>
  <c r="G4" i="1530"/>
  <c r="F4" i="1530"/>
  <c r="E4" i="1530"/>
  <c r="D4" i="1530"/>
  <c r="C4" i="1530"/>
  <c r="Y3" i="1530"/>
  <c r="W3" i="1530"/>
  <c r="V3" i="1530"/>
  <c r="U3" i="1530"/>
  <c r="T3" i="1530"/>
  <c r="P3" i="1530"/>
  <c r="O3" i="1530"/>
  <c r="N3" i="1530"/>
  <c r="M3" i="1530"/>
  <c r="L3" i="1530"/>
  <c r="K3" i="1530"/>
  <c r="J3" i="1530"/>
  <c r="I3" i="1530"/>
  <c r="H3" i="1530"/>
  <c r="G3" i="1530"/>
  <c r="F3" i="1530"/>
  <c r="E3" i="1530"/>
  <c r="D3" i="1530"/>
  <c r="C3" i="1530"/>
  <c r="F21" i="1529"/>
  <c r="Y19" i="1529"/>
  <c r="W19" i="1529"/>
  <c r="V19" i="1529"/>
  <c r="U19" i="1529"/>
  <c r="T19" i="1529"/>
  <c r="P19" i="1529"/>
  <c r="O19" i="1529"/>
  <c r="N19" i="1529"/>
  <c r="M19" i="1529"/>
  <c r="L19" i="1529"/>
  <c r="K19" i="1529"/>
  <c r="J19" i="1529"/>
  <c r="I19" i="1529"/>
  <c r="H19" i="1529"/>
  <c r="G19" i="1529"/>
  <c r="F19" i="1529"/>
  <c r="E19" i="1529"/>
  <c r="D19" i="1529"/>
  <c r="C19" i="1529"/>
  <c r="Y18" i="1529"/>
  <c r="W18" i="1529"/>
  <c r="V18" i="1529"/>
  <c r="U18" i="1529"/>
  <c r="T18" i="1529"/>
  <c r="P18" i="1529"/>
  <c r="O18" i="1529"/>
  <c r="N18" i="1529"/>
  <c r="M18" i="1529"/>
  <c r="L18" i="1529"/>
  <c r="K18" i="1529"/>
  <c r="J18" i="1529"/>
  <c r="I18" i="1529"/>
  <c r="H18" i="1529"/>
  <c r="G18" i="1529"/>
  <c r="F18" i="1529"/>
  <c r="E18" i="1529"/>
  <c r="D18" i="1529"/>
  <c r="C18" i="1529"/>
  <c r="Y4" i="1529"/>
  <c r="W4" i="1529"/>
  <c r="V4" i="1529"/>
  <c r="U4" i="1529"/>
  <c r="T4" i="1529"/>
  <c r="P4" i="1529"/>
  <c r="O4" i="1529"/>
  <c r="N4" i="1529"/>
  <c r="M4" i="1529"/>
  <c r="L4" i="1529"/>
  <c r="K4" i="1529"/>
  <c r="J4" i="1529"/>
  <c r="I4" i="1529"/>
  <c r="H4" i="1529"/>
  <c r="G4" i="1529"/>
  <c r="F4" i="1529"/>
  <c r="E4" i="1529"/>
  <c r="D4" i="1529"/>
  <c r="C4" i="1529"/>
  <c r="Y3" i="1529"/>
  <c r="W3" i="1529"/>
  <c r="V3" i="1529"/>
  <c r="U3" i="1529"/>
  <c r="T3" i="1529"/>
  <c r="P3" i="1529"/>
  <c r="O3" i="1529"/>
  <c r="N3" i="1529"/>
  <c r="M3" i="1529"/>
  <c r="L3" i="1529"/>
  <c r="K3" i="1529"/>
  <c r="J3" i="1529"/>
  <c r="I3" i="1529"/>
  <c r="H3" i="1529"/>
  <c r="G3" i="1529"/>
  <c r="F3" i="1529"/>
  <c r="E3" i="1529"/>
  <c r="D3" i="1529"/>
  <c r="C3" i="1529"/>
  <c r="F21" i="1528"/>
  <c r="Y19" i="1528"/>
  <c r="W19" i="1528"/>
  <c r="V19" i="1528"/>
  <c r="U19" i="1528"/>
  <c r="T19" i="1528"/>
  <c r="P19" i="1528"/>
  <c r="O19" i="1528"/>
  <c r="N19" i="1528"/>
  <c r="M19" i="1528"/>
  <c r="L19" i="1528"/>
  <c r="K19" i="1528"/>
  <c r="J19" i="1528"/>
  <c r="I19" i="1528"/>
  <c r="H19" i="1528"/>
  <c r="G19" i="1528"/>
  <c r="F19" i="1528"/>
  <c r="E19" i="1528"/>
  <c r="D19" i="1528"/>
  <c r="C19" i="1528"/>
  <c r="Y18" i="1528"/>
  <c r="W18" i="1528"/>
  <c r="V18" i="1528"/>
  <c r="U18" i="1528"/>
  <c r="T18" i="1528"/>
  <c r="P18" i="1528"/>
  <c r="O18" i="1528"/>
  <c r="N18" i="1528"/>
  <c r="M18" i="1528"/>
  <c r="L18" i="1528"/>
  <c r="K18" i="1528"/>
  <c r="J18" i="1528"/>
  <c r="I18" i="1528"/>
  <c r="H18" i="1528"/>
  <c r="G18" i="1528"/>
  <c r="F18" i="1528"/>
  <c r="E18" i="1528"/>
  <c r="D18" i="1528"/>
  <c r="C18" i="1528"/>
  <c r="Y4" i="1528"/>
  <c r="W4" i="1528"/>
  <c r="V4" i="1528"/>
  <c r="U4" i="1528"/>
  <c r="T4" i="1528"/>
  <c r="P4" i="1528"/>
  <c r="O4" i="1528"/>
  <c r="N4" i="1528"/>
  <c r="M4" i="1528"/>
  <c r="L4" i="1528"/>
  <c r="K4" i="1528"/>
  <c r="J4" i="1528"/>
  <c r="I4" i="1528"/>
  <c r="H4" i="1528"/>
  <c r="G4" i="1528"/>
  <c r="F4" i="1528"/>
  <c r="E4" i="1528"/>
  <c r="D4" i="1528"/>
  <c r="C4" i="1528"/>
  <c r="Y3" i="1528"/>
  <c r="W3" i="1528"/>
  <c r="V3" i="1528"/>
  <c r="U3" i="1528"/>
  <c r="T3" i="1528"/>
  <c r="P3" i="1528"/>
  <c r="O3" i="1528"/>
  <c r="N3" i="1528"/>
  <c r="M3" i="1528"/>
  <c r="L3" i="1528"/>
  <c r="K3" i="1528"/>
  <c r="J3" i="1528"/>
  <c r="I3" i="1528"/>
  <c r="H3" i="1528"/>
  <c r="G3" i="1528"/>
  <c r="F3" i="1528"/>
  <c r="E3" i="1528"/>
  <c r="D3" i="1528"/>
  <c r="C3" i="1528"/>
  <c r="C45" i="1519" l="1"/>
  <c r="C44" i="1519"/>
  <c r="C45" i="1518"/>
  <c r="C44" i="1518"/>
  <c r="C44" i="1517"/>
  <c r="F36" i="1517"/>
  <c r="F42" i="1517"/>
  <c r="F21" i="1527"/>
  <c r="Y19" i="1527"/>
  <c r="W19" i="1527"/>
  <c r="V19" i="1527"/>
  <c r="U19" i="1527"/>
  <c r="T19" i="1527"/>
  <c r="P19" i="1527"/>
  <c r="O19" i="1527"/>
  <c r="N19" i="1527"/>
  <c r="M19" i="1527"/>
  <c r="L19" i="1527"/>
  <c r="K19" i="1527"/>
  <c r="J19" i="1527"/>
  <c r="I19" i="1527"/>
  <c r="H19" i="1527"/>
  <c r="G19" i="1527"/>
  <c r="F19" i="1527"/>
  <c r="E19" i="1527"/>
  <c r="D19" i="1527"/>
  <c r="C19" i="1527"/>
  <c r="Y18" i="1527"/>
  <c r="W18" i="1527"/>
  <c r="V18" i="1527"/>
  <c r="U18" i="1527"/>
  <c r="T18" i="1527"/>
  <c r="P18" i="1527"/>
  <c r="O18" i="1527"/>
  <c r="N18" i="1527"/>
  <c r="M18" i="1527"/>
  <c r="L18" i="1527"/>
  <c r="K18" i="1527"/>
  <c r="J18" i="1527"/>
  <c r="I18" i="1527"/>
  <c r="H18" i="1527"/>
  <c r="G18" i="1527"/>
  <c r="F18" i="1527"/>
  <c r="E18" i="1527"/>
  <c r="D18" i="1527"/>
  <c r="C18" i="1527"/>
  <c r="Y4" i="1527"/>
  <c r="W4" i="1527"/>
  <c r="V4" i="1527"/>
  <c r="U4" i="1527"/>
  <c r="T4" i="1527"/>
  <c r="P4" i="1527"/>
  <c r="O4" i="1527"/>
  <c r="N4" i="1527"/>
  <c r="M4" i="1527"/>
  <c r="L4" i="1527"/>
  <c r="K4" i="1527"/>
  <c r="J4" i="1527"/>
  <c r="I4" i="1527"/>
  <c r="H4" i="1527"/>
  <c r="G4" i="1527"/>
  <c r="F4" i="1527"/>
  <c r="E4" i="1527"/>
  <c r="D4" i="1527"/>
  <c r="C4" i="1527"/>
  <c r="Y3" i="1527"/>
  <c r="W3" i="1527"/>
  <c r="V3" i="1527"/>
  <c r="U3" i="1527"/>
  <c r="T3" i="1527"/>
  <c r="P3" i="1527"/>
  <c r="O3" i="1527"/>
  <c r="N3" i="1527"/>
  <c r="M3" i="1527"/>
  <c r="L3" i="1527"/>
  <c r="K3" i="1527"/>
  <c r="J3" i="1527"/>
  <c r="I3" i="1527"/>
  <c r="H3" i="1527"/>
  <c r="G3" i="1527"/>
  <c r="F3" i="1527"/>
  <c r="E3" i="1527"/>
  <c r="D3" i="1527"/>
  <c r="C3" i="1527"/>
  <c r="F21" i="1526"/>
  <c r="Y19" i="1526"/>
  <c r="W19" i="1526"/>
  <c r="V19" i="1526"/>
  <c r="U19" i="1526"/>
  <c r="T19" i="1526"/>
  <c r="P19" i="1526"/>
  <c r="O19" i="1526"/>
  <c r="N19" i="1526"/>
  <c r="M19" i="1526"/>
  <c r="L19" i="1526"/>
  <c r="K19" i="1526"/>
  <c r="J19" i="1526"/>
  <c r="I19" i="1526"/>
  <c r="H19" i="1526"/>
  <c r="G19" i="1526"/>
  <c r="F19" i="1526"/>
  <c r="E19" i="1526"/>
  <c r="D19" i="1526"/>
  <c r="C19" i="1526"/>
  <c r="Y18" i="1526"/>
  <c r="W18" i="1526"/>
  <c r="V18" i="1526"/>
  <c r="U18" i="1526"/>
  <c r="T18" i="1526"/>
  <c r="P18" i="1526"/>
  <c r="O18" i="1526"/>
  <c r="N18" i="1526"/>
  <c r="M18" i="1526"/>
  <c r="L18" i="1526"/>
  <c r="K18" i="1526"/>
  <c r="J18" i="1526"/>
  <c r="I18" i="1526"/>
  <c r="H18" i="1526"/>
  <c r="G18" i="1526"/>
  <c r="F18" i="1526"/>
  <c r="E18" i="1526"/>
  <c r="D18" i="1526"/>
  <c r="C18" i="1526"/>
  <c r="Y4" i="1526"/>
  <c r="W4" i="1526"/>
  <c r="V4" i="1526"/>
  <c r="U4" i="1526"/>
  <c r="T4" i="1526"/>
  <c r="P4" i="1526"/>
  <c r="O4" i="1526"/>
  <c r="N4" i="1526"/>
  <c r="M4" i="1526"/>
  <c r="L4" i="1526"/>
  <c r="K4" i="1526"/>
  <c r="J4" i="1526"/>
  <c r="I4" i="1526"/>
  <c r="H4" i="1526"/>
  <c r="G4" i="1526"/>
  <c r="F4" i="1526"/>
  <c r="E4" i="1526"/>
  <c r="D4" i="1526"/>
  <c r="C4" i="1526"/>
  <c r="Y3" i="1526"/>
  <c r="W3" i="1526"/>
  <c r="V3" i="1526"/>
  <c r="U3" i="1526"/>
  <c r="T3" i="1526"/>
  <c r="P3" i="1526"/>
  <c r="O3" i="1526"/>
  <c r="N3" i="1526"/>
  <c r="M3" i="1526"/>
  <c r="L3" i="1526"/>
  <c r="K3" i="1526"/>
  <c r="J3" i="1526"/>
  <c r="I3" i="1526"/>
  <c r="H3" i="1526"/>
  <c r="G3" i="1526"/>
  <c r="F3" i="1526"/>
  <c r="E3" i="1526"/>
  <c r="D3" i="1526"/>
  <c r="C3" i="1526"/>
  <c r="F21" i="1525"/>
  <c r="Y19" i="1525"/>
  <c r="W19" i="1525"/>
  <c r="V19" i="1525"/>
  <c r="U19" i="1525"/>
  <c r="T19" i="1525"/>
  <c r="P19" i="1525"/>
  <c r="O19" i="1525"/>
  <c r="N19" i="1525"/>
  <c r="M19" i="1525"/>
  <c r="L19" i="1525"/>
  <c r="K19" i="1525"/>
  <c r="J19" i="1525"/>
  <c r="I19" i="1525"/>
  <c r="H19" i="1525"/>
  <c r="G19" i="1525"/>
  <c r="F19" i="1525"/>
  <c r="E19" i="1525"/>
  <c r="D19" i="1525"/>
  <c r="C19" i="1525"/>
  <c r="Y18" i="1525"/>
  <c r="W18" i="1525"/>
  <c r="V18" i="1525"/>
  <c r="U18" i="1525"/>
  <c r="T18" i="1525"/>
  <c r="P18" i="1525"/>
  <c r="O18" i="1525"/>
  <c r="N18" i="1525"/>
  <c r="M18" i="1525"/>
  <c r="L18" i="1525"/>
  <c r="K18" i="1525"/>
  <c r="J18" i="1525"/>
  <c r="I18" i="1525"/>
  <c r="H18" i="1525"/>
  <c r="G18" i="1525"/>
  <c r="F18" i="1525"/>
  <c r="E18" i="1525"/>
  <c r="D18" i="1525"/>
  <c r="C18" i="1525"/>
  <c r="Y4" i="1525"/>
  <c r="W4" i="1525"/>
  <c r="V4" i="1525"/>
  <c r="U4" i="1525"/>
  <c r="T4" i="1525"/>
  <c r="P4" i="1525"/>
  <c r="O4" i="1525"/>
  <c r="N4" i="1525"/>
  <c r="M4" i="1525"/>
  <c r="L4" i="1525"/>
  <c r="K4" i="1525"/>
  <c r="J4" i="1525"/>
  <c r="I4" i="1525"/>
  <c r="H4" i="1525"/>
  <c r="G4" i="1525"/>
  <c r="F4" i="1525"/>
  <c r="E4" i="1525"/>
  <c r="D4" i="1525"/>
  <c r="C4" i="1525"/>
  <c r="Y3" i="1525"/>
  <c r="W3" i="1525"/>
  <c r="V3" i="1525"/>
  <c r="U3" i="1525"/>
  <c r="T3" i="1525"/>
  <c r="P3" i="1525"/>
  <c r="O3" i="1525"/>
  <c r="N3" i="1525"/>
  <c r="M3" i="1525"/>
  <c r="L3" i="1525"/>
  <c r="K3" i="1525"/>
  <c r="J3" i="1525"/>
  <c r="I3" i="1525"/>
  <c r="H3" i="1525"/>
  <c r="G3" i="1525"/>
  <c r="F3" i="1525"/>
  <c r="E3" i="1525"/>
  <c r="D3" i="1525"/>
  <c r="C3" i="1525"/>
  <c r="F21" i="1524"/>
  <c r="Y19" i="1524"/>
  <c r="W19" i="1524"/>
  <c r="V19" i="1524"/>
  <c r="U19" i="1524"/>
  <c r="T19" i="1524"/>
  <c r="P19" i="1524"/>
  <c r="O19" i="1524"/>
  <c r="N19" i="1524"/>
  <c r="M19" i="1524"/>
  <c r="L19" i="1524"/>
  <c r="K19" i="1524"/>
  <c r="J19" i="1524"/>
  <c r="I19" i="1524"/>
  <c r="H19" i="1524"/>
  <c r="G19" i="1524"/>
  <c r="F19" i="1524"/>
  <c r="E19" i="1524"/>
  <c r="D19" i="1524"/>
  <c r="C19" i="1524"/>
  <c r="Y18" i="1524"/>
  <c r="W18" i="1524"/>
  <c r="V18" i="1524"/>
  <c r="U18" i="1524"/>
  <c r="T18" i="1524"/>
  <c r="P18" i="1524"/>
  <c r="O18" i="1524"/>
  <c r="N18" i="1524"/>
  <c r="M18" i="1524"/>
  <c r="L18" i="1524"/>
  <c r="K18" i="1524"/>
  <c r="J18" i="1524"/>
  <c r="I18" i="1524"/>
  <c r="H18" i="1524"/>
  <c r="G18" i="1524"/>
  <c r="F18" i="1524"/>
  <c r="E18" i="1524"/>
  <c r="D18" i="1524"/>
  <c r="C18" i="1524"/>
  <c r="Y4" i="1524"/>
  <c r="W4" i="1524"/>
  <c r="V4" i="1524"/>
  <c r="U4" i="1524"/>
  <c r="T4" i="1524"/>
  <c r="P4" i="1524"/>
  <c r="O4" i="1524"/>
  <c r="N4" i="1524"/>
  <c r="M4" i="1524"/>
  <c r="L4" i="1524"/>
  <c r="K4" i="1524"/>
  <c r="J4" i="1524"/>
  <c r="I4" i="1524"/>
  <c r="H4" i="1524"/>
  <c r="G4" i="1524"/>
  <c r="F4" i="1524"/>
  <c r="E4" i="1524"/>
  <c r="D4" i="1524"/>
  <c r="C4" i="1524"/>
  <c r="Y3" i="1524"/>
  <c r="W3" i="1524"/>
  <c r="V3" i="1524"/>
  <c r="U3" i="1524"/>
  <c r="T3" i="1524"/>
  <c r="P3" i="1524"/>
  <c r="O3" i="1524"/>
  <c r="N3" i="1524"/>
  <c r="M3" i="1524"/>
  <c r="L3" i="1524"/>
  <c r="K3" i="1524"/>
  <c r="J3" i="1524"/>
  <c r="I3" i="1524"/>
  <c r="H3" i="1524"/>
  <c r="G3" i="1524"/>
  <c r="F3" i="1524"/>
  <c r="E3" i="1524"/>
  <c r="D3" i="1524"/>
  <c r="C3" i="1524"/>
  <c r="F21" i="1523"/>
  <c r="Y19" i="1523"/>
  <c r="W19" i="1523"/>
  <c r="V19" i="1523"/>
  <c r="U19" i="1523"/>
  <c r="T19" i="1523"/>
  <c r="P19" i="1523"/>
  <c r="O19" i="1523"/>
  <c r="N19" i="1523"/>
  <c r="M19" i="1523"/>
  <c r="L19" i="1523"/>
  <c r="K19" i="1523"/>
  <c r="J19" i="1523"/>
  <c r="I19" i="1523"/>
  <c r="H19" i="1523"/>
  <c r="G19" i="1523"/>
  <c r="F19" i="1523"/>
  <c r="E19" i="1523"/>
  <c r="D19" i="1523"/>
  <c r="C19" i="1523"/>
  <c r="Y18" i="1523"/>
  <c r="W18" i="1523"/>
  <c r="V18" i="1523"/>
  <c r="U18" i="1523"/>
  <c r="T18" i="1523"/>
  <c r="P18" i="1523"/>
  <c r="O18" i="1523"/>
  <c r="N18" i="1523"/>
  <c r="M18" i="1523"/>
  <c r="L18" i="1523"/>
  <c r="K18" i="1523"/>
  <c r="J18" i="1523"/>
  <c r="I18" i="1523"/>
  <c r="H18" i="1523"/>
  <c r="G18" i="1523"/>
  <c r="F18" i="1523"/>
  <c r="E18" i="1523"/>
  <c r="D18" i="1523"/>
  <c r="C18" i="1523"/>
  <c r="Y4" i="1523"/>
  <c r="W4" i="1523"/>
  <c r="V4" i="1523"/>
  <c r="U4" i="1523"/>
  <c r="T4" i="1523"/>
  <c r="P4" i="1523"/>
  <c r="O4" i="1523"/>
  <c r="N4" i="1523"/>
  <c r="M4" i="1523"/>
  <c r="L4" i="1523"/>
  <c r="K4" i="1523"/>
  <c r="J4" i="1523"/>
  <c r="I4" i="1523"/>
  <c r="H4" i="1523"/>
  <c r="G4" i="1523"/>
  <c r="F4" i="1523"/>
  <c r="E4" i="1523"/>
  <c r="D4" i="1523"/>
  <c r="C4" i="1523"/>
  <c r="Y3" i="1523"/>
  <c r="W3" i="1523"/>
  <c r="V3" i="1523"/>
  <c r="U3" i="1523"/>
  <c r="T3" i="1523"/>
  <c r="P3" i="1523"/>
  <c r="O3" i="1523"/>
  <c r="N3" i="1523"/>
  <c r="M3" i="1523"/>
  <c r="L3" i="1523"/>
  <c r="K3" i="1523"/>
  <c r="J3" i="1523"/>
  <c r="I3" i="1523"/>
  <c r="H3" i="1523"/>
  <c r="G3" i="1523"/>
  <c r="F3" i="1523"/>
  <c r="E3" i="1523"/>
  <c r="D3" i="1523"/>
  <c r="C3" i="1523"/>
  <c r="F21" i="1522"/>
  <c r="Y19" i="1522"/>
  <c r="W19" i="1522"/>
  <c r="V19" i="1522"/>
  <c r="U19" i="1522"/>
  <c r="T19" i="1522"/>
  <c r="P19" i="1522"/>
  <c r="O19" i="1522"/>
  <c r="N19" i="1522"/>
  <c r="M19" i="1522"/>
  <c r="L19" i="1522"/>
  <c r="K19" i="1522"/>
  <c r="J19" i="1522"/>
  <c r="I19" i="1522"/>
  <c r="H19" i="1522"/>
  <c r="G19" i="1522"/>
  <c r="F19" i="1522"/>
  <c r="E19" i="1522"/>
  <c r="D19" i="1522"/>
  <c r="C19" i="1522"/>
  <c r="Y18" i="1522"/>
  <c r="W18" i="1522"/>
  <c r="V18" i="1522"/>
  <c r="U18" i="1522"/>
  <c r="T18" i="1522"/>
  <c r="P18" i="1522"/>
  <c r="O18" i="1522"/>
  <c r="N18" i="1522"/>
  <c r="M18" i="1522"/>
  <c r="L18" i="1522"/>
  <c r="K18" i="1522"/>
  <c r="J18" i="1522"/>
  <c r="I18" i="1522"/>
  <c r="H18" i="1522"/>
  <c r="G18" i="1522"/>
  <c r="F18" i="1522"/>
  <c r="E18" i="1522"/>
  <c r="D18" i="1522"/>
  <c r="C18" i="1522"/>
  <c r="Y4" i="1522"/>
  <c r="W4" i="1522"/>
  <c r="V4" i="1522"/>
  <c r="U4" i="1522"/>
  <c r="T4" i="1522"/>
  <c r="P4" i="1522"/>
  <c r="O4" i="1522"/>
  <c r="N4" i="1522"/>
  <c r="M4" i="1522"/>
  <c r="L4" i="1522"/>
  <c r="K4" i="1522"/>
  <c r="J4" i="1522"/>
  <c r="I4" i="1522"/>
  <c r="H4" i="1522"/>
  <c r="G4" i="1522"/>
  <c r="F4" i="1522"/>
  <c r="E4" i="1522"/>
  <c r="D4" i="1522"/>
  <c r="C4" i="1522"/>
  <c r="Y3" i="1522"/>
  <c r="W3" i="1522"/>
  <c r="V3" i="1522"/>
  <c r="U3" i="1522"/>
  <c r="T3" i="1522"/>
  <c r="P3" i="1522"/>
  <c r="O3" i="1522"/>
  <c r="N3" i="1522"/>
  <c r="M3" i="1522"/>
  <c r="L3" i="1522"/>
  <c r="K3" i="1522"/>
  <c r="J3" i="1522"/>
  <c r="I3" i="1522"/>
  <c r="H3" i="1522"/>
  <c r="G3" i="1522"/>
  <c r="F3" i="1522"/>
  <c r="E3" i="1522"/>
  <c r="D3" i="1522"/>
  <c r="C3" i="1522"/>
  <c r="F21" i="1521"/>
  <c r="Y19" i="1521"/>
  <c r="W19" i="1521"/>
  <c r="V19" i="1521"/>
  <c r="U19" i="1521"/>
  <c r="T19" i="1521"/>
  <c r="P19" i="1521"/>
  <c r="O19" i="1521"/>
  <c r="N19" i="1521"/>
  <c r="M19" i="1521"/>
  <c r="L19" i="1521"/>
  <c r="K19" i="1521"/>
  <c r="J19" i="1521"/>
  <c r="I19" i="1521"/>
  <c r="H19" i="1521"/>
  <c r="G19" i="1521"/>
  <c r="F19" i="1521"/>
  <c r="E19" i="1521"/>
  <c r="D19" i="1521"/>
  <c r="C19" i="1521"/>
  <c r="Y18" i="1521"/>
  <c r="W18" i="1521"/>
  <c r="V18" i="1521"/>
  <c r="U18" i="1521"/>
  <c r="T18" i="1521"/>
  <c r="P18" i="1521"/>
  <c r="O18" i="1521"/>
  <c r="N18" i="1521"/>
  <c r="M18" i="1521"/>
  <c r="L18" i="1521"/>
  <c r="K18" i="1521"/>
  <c r="J18" i="1521"/>
  <c r="I18" i="1521"/>
  <c r="H18" i="1521"/>
  <c r="G18" i="1521"/>
  <c r="F18" i="1521"/>
  <c r="E18" i="1521"/>
  <c r="D18" i="1521"/>
  <c r="C18" i="1521"/>
  <c r="Y4" i="1521"/>
  <c r="W4" i="1521"/>
  <c r="V4" i="1521"/>
  <c r="U4" i="1521"/>
  <c r="T4" i="1521"/>
  <c r="P4" i="1521"/>
  <c r="O4" i="1521"/>
  <c r="N4" i="1521"/>
  <c r="M4" i="1521"/>
  <c r="L4" i="1521"/>
  <c r="K4" i="1521"/>
  <c r="J4" i="1521"/>
  <c r="I4" i="1521"/>
  <c r="H4" i="1521"/>
  <c r="G4" i="1521"/>
  <c r="F4" i="1521"/>
  <c r="E4" i="1521"/>
  <c r="D4" i="1521"/>
  <c r="C4" i="1521"/>
  <c r="Y3" i="1521"/>
  <c r="W3" i="1521"/>
  <c r="V3" i="1521"/>
  <c r="U3" i="1521"/>
  <c r="T3" i="1521"/>
  <c r="P3" i="1521"/>
  <c r="O3" i="1521"/>
  <c r="N3" i="1521"/>
  <c r="M3" i="1521"/>
  <c r="L3" i="1521"/>
  <c r="K3" i="1521"/>
  <c r="J3" i="1521"/>
  <c r="I3" i="1521"/>
  <c r="H3" i="1521"/>
  <c r="G3" i="1521"/>
  <c r="F3" i="1521"/>
  <c r="E3" i="1521"/>
  <c r="D3" i="1521"/>
  <c r="C3" i="1521"/>
  <c r="F21" i="1520"/>
  <c r="Y19" i="1520"/>
  <c r="W19" i="1520"/>
  <c r="V19" i="1520"/>
  <c r="U19" i="1520"/>
  <c r="T19" i="1520"/>
  <c r="P19" i="1520"/>
  <c r="O19" i="1520"/>
  <c r="N19" i="1520"/>
  <c r="M19" i="1520"/>
  <c r="L19" i="1520"/>
  <c r="K19" i="1520"/>
  <c r="J19" i="1520"/>
  <c r="I19" i="1520"/>
  <c r="H19" i="1520"/>
  <c r="G19" i="1520"/>
  <c r="F19" i="1520"/>
  <c r="E19" i="1520"/>
  <c r="D19" i="1520"/>
  <c r="C19" i="1520"/>
  <c r="Y18" i="1520"/>
  <c r="W18" i="1520"/>
  <c r="V18" i="1520"/>
  <c r="U18" i="1520"/>
  <c r="T18" i="1520"/>
  <c r="P18" i="1520"/>
  <c r="O18" i="1520"/>
  <c r="N18" i="1520"/>
  <c r="M18" i="1520"/>
  <c r="L18" i="1520"/>
  <c r="K18" i="1520"/>
  <c r="J18" i="1520"/>
  <c r="I18" i="1520"/>
  <c r="H18" i="1520"/>
  <c r="G18" i="1520"/>
  <c r="F18" i="1520"/>
  <c r="E18" i="1520"/>
  <c r="D18" i="1520"/>
  <c r="C18" i="1520"/>
  <c r="Y4" i="1520"/>
  <c r="W4" i="1520"/>
  <c r="V4" i="1520"/>
  <c r="U4" i="1520"/>
  <c r="T4" i="1520"/>
  <c r="P4" i="1520"/>
  <c r="O4" i="1520"/>
  <c r="N4" i="1520"/>
  <c r="M4" i="1520"/>
  <c r="L4" i="1520"/>
  <c r="K4" i="1520"/>
  <c r="J4" i="1520"/>
  <c r="I4" i="1520"/>
  <c r="H4" i="1520"/>
  <c r="G4" i="1520"/>
  <c r="F4" i="1520"/>
  <c r="E4" i="1520"/>
  <c r="D4" i="1520"/>
  <c r="C4" i="1520"/>
  <c r="Y3" i="1520"/>
  <c r="W3" i="1520"/>
  <c r="V3" i="1520"/>
  <c r="U3" i="1520"/>
  <c r="T3" i="1520"/>
  <c r="P3" i="1520"/>
  <c r="O3" i="1520"/>
  <c r="N3" i="1520"/>
  <c r="M3" i="1520"/>
  <c r="L3" i="1520"/>
  <c r="K3" i="1520"/>
  <c r="J3" i="1520"/>
  <c r="I3" i="1520"/>
  <c r="H3" i="1520"/>
  <c r="G3" i="1520"/>
  <c r="F3" i="1520"/>
  <c r="E3" i="1520"/>
  <c r="D3" i="1520"/>
  <c r="C3" i="1520"/>
  <c r="C44" i="1515" l="1"/>
  <c r="C44" i="1514"/>
  <c r="C45" i="1513"/>
  <c r="C44" i="1513"/>
  <c r="C45" i="1511" l="1"/>
  <c r="C44" i="1511"/>
  <c r="C44" i="1510"/>
  <c r="C45" i="1507" l="1"/>
  <c r="C44" i="1507"/>
  <c r="C45" i="1505" l="1"/>
  <c r="C44" i="1505"/>
  <c r="C45" i="1506"/>
  <c r="C44" i="1506"/>
  <c r="C44" i="1503" l="1"/>
  <c r="C44" i="1502"/>
  <c r="C45" i="1501"/>
  <c r="C44" i="1501"/>
  <c r="C45" i="1497" l="1"/>
  <c r="C44" i="1497"/>
  <c r="C44" i="1498"/>
  <c r="H31" i="1498"/>
  <c r="F21" i="1519" l="1"/>
  <c r="Y19" i="1519"/>
  <c r="W19" i="1519"/>
  <c r="V19" i="1519"/>
  <c r="U19" i="1519"/>
  <c r="T19" i="1519"/>
  <c r="P19" i="1519"/>
  <c r="O19" i="1519"/>
  <c r="N19" i="1519"/>
  <c r="M19" i="1519"/>
  <c r="L19" i="1519"/>
  <c r="K19" i="1519"/>
  <c r="J19" i="1519"/>
  <c r="I19" i="1519"/>
  <c r="H19" i="1519"/>
  <c r="G19" i="1519"/>
  <c r="F19" i="1519"/>
  <c r="E19" i="1519"/>
  <c r="D19" i="1519"/>
  <c r="C19" i="1519"/>
  <c r="Y18" i="1519"/>
  <c r="W18" i="1519"/>
  <c r="V18" i="1519"/>
  <c r="U18" i="1519"/>
  <c r="T18" i="1519"/>
  <c r="P18" i="1519"/>
  <c r="O18" i="1519"/>
  <c r="N18" i="1519"/>
  <c r="M18" i="1519"/>
  <c r="L18" i="1519"/>
  <c r="K18" i="1519"/>
  <c r="J18" i="1519"/>
  <c r="I18" i="1519"/>
  <c r="H18" i="1519"/>
  <c r="G18" i="1519"/>
  <c r="F18" i="1519"/>
  <c r="E18" i="1519"/>
  <c r="D18" i="1519"/>
  <c r="C18" i="1519"/>
  <c r="Y4" i="1519"/>
  <c r="W4" i="1519"/>
  <c r="V4" i="1519"/>
  <c r="U4" i="1519"/>
  <c r="T4" i="1519"/>
  <c r="P4" i="1519"/>
  <c r="O4" i="1519"/>
  <c r="N4" i="1519"/>
  <c r="M4" i="1519"/>
  <c r="L4" i="1519"/>
  <c r="K4" i="1519"/>
  <c r="J4" i="1519"/>
  <c r="I4" i="1519"/>
  <c r="H4" i="1519"/>
  <c r="G4" i="1519"/>
  <c r="F4" i="1519"/>
  <c r="E4" i="1519"/>
  <c r="D4" i="1519"/>
  <c r="C4" i="1519"/>
  <c r="Y3" i="1519"/>
  <c r="W3" i="1519"/>
  <c r="V3" i="1519"/>
  <c r="U3" i="1519"/>
  <c r="T3" i="1519"/>
  <c r="P3" i="1519"/>
  <c r="O3" i="1519"/>
  <c r="N3" i="1519"/>
  <c r="M3" i="1519"/>
  <c r="L3" i="1519"/>
  <c r="K3" i="1519"/>
  <c r="J3" i="1519"/>
  <c r="I3" i="1519"/>
  <c r="H3" i="1519"/>
  <c r="G3" i="1519"/>
  <c r="F3" i="1519"/>
  <c r="E3" i="1519"/>
  <c r="D3" i="1519"/>
  <c r="C3" i="1519"/>
  <c r="F21" i="1518"/>
  <c r="Y19" i="1518"/>
  <c r="W19" i="1518"/>
  <c r="V19" i="1518"/>
  <c r="U19" i="1518"/>
  <c r="T19" i="1518"/>
  <c r="P19" i="1518"/>
  <c r="O19" i="1518"/>
  <c r="N19" i="1518"/>
  <c r="M19" i="1518"/>
  <c r="L19" i="1518"/>
  <c r="K19" i="1518"/>
  <c r="J19" i="1518"/>
  <c r="I19" i="1518"/>
  <c r="H19" i="1518"/>
  <c r="G19" i="1518"/>
  <c r="F19" i="1518"/>
  <c r="E19" i="1518"/>
  <c r="D19" i="1518"/>
  <c r="C19" i="1518"/>
  <c r="Y18" i="1518"/>
  <c r="W18" i="1518"/>
  <c r="V18" i="1518"/>
  <c r="U18" i="1518"/>
  <c r="T18" i="1518"/>
  <c r="P18" i="1518"/>
  <c r="O18" i="1518"/>
  <c r="N18" i="1518"/>
  <c r="M18" i="1518"/>
  <c r="L18" i="1518"/>
  <c r="K18" i="1518"/>
  <c r="J18" i="1518"/>
  <c r="I18" i="1518"/>
  <c r="H18" i="1518"/>
  <c r="G18" i="1518"/>
  <c r="F18" i="1518"/>
  <c r="E18" i="1518"/>
  <c r="D18" i="1518"/>
  <c r="C18" i="1518"/>
  <c r="Y4" i="1518"/>
  <c r="W4" i="1518"/>
  <c r="V4" i="1518"/>
  <c r="U4" i="1518"/>
  <c r="T4" i="1518"/>
  <c r="P4" i="1518"/>
  <c r="O4" i="1518"/>
  <c r="N4" i="1518"/>
  <c r="M4" i="1518"/>
  <c r="L4" i="1518"/>
  <c r="K4" i="1518"/>
  <c r="J4" i="1518"/>
  <c r="I4" i="1518"/>
  <c r="H4" i="1518"/>
  <c r="G4" i="1518"/>
  <c r="F4" i="1518"/>
  <c r="E4" i="1518"/>
  <c r="D4" i="1518"/>
  <c r="C4" i="1518"/>
  <c r="Y3" i="1518"/>
  <c r="W3" i="1518"/>
  <c r="V3" i="1518"/>
  <c r="U3" i="1518"/>
  <c r="T3" i="1518"/>
  <c r="P3" i="1518"/>
  <c r="O3" i="1518"/>
  <c r="N3" i="1518"/>
  <c r="M3" i="1518"/>
  <c r="L3" i="1518"/>
  <c r="K3" i="1518"/>
  <c r="J3" i="1518"/>
  <c r="I3" i="1518"/>
  <c r="H3" i="1518"/>
  <c r="G3" i="1518"/>
  <c r="F3" i="1518"/>
  <c r="E3" i="1518"/>
  <c r="D3" i="1518"/>
  <c r="C3" i="1518"/>
  <c r="F21" i="1517"/>
  <c r="Y19" i="1517"/>
  <c r="W19" i="1517"/>
  <c r="V19" i="1517"/>
  <c r="U19" i="1517"/>
  <c r="T19" i="1517"/>
  <c r="P19" i="1517"/>
  <c r="O19" i="1517"/>
  <c r="N19" i="1517"/>
  <c r="M19" i="1517"/>
  <c r="L19" i="1517"/>
  <c r="K19" i="1517"/>
  <c r="J19" i="1517"/>
  <c r="I19" i="1517"/>
  <c r="H19" i="1517"/>
  <c r="G19" i="1517"/>
  <c r="F19" i="1517"/>
  <c r="E19" i="1517"/>
  <c r="D19" i="1517"/>
  <c r="C19" i="1517"/>
  <c r="Y18" i="1517"/>
  <c r="W18" i="1517"/>
  <c r="V18" i="1517"/>
  <c r="U18" i="1517"/>
  <c r="T18" i="1517"/>
  <c r="P18" i="1517"/>
  <c r="O18" i="1517"/>
  <c r="N18" i="1517"/>
  <c r="M18" i="1517"/>
  <c r="L18" i="1517"/>
  <c r="K18" i="1517"/>
  <c r="J18" i="1517"/>
  <c r="I18" i="1517"/>
  <c r="H18" i="1517"/>
  <c r="G18" i="1517"/>
  <c r="F18" i="1517"/>
  <c r="E18" i="1517"/>
  <c r="D18" i="1517"/>
  <c r="C18" i="1517"/>
  <c r="Y4" i="1517"/>
  <c r="W4" i="1517"/>
  <c r="V4" i="1517"/>
  <c r="U4" i="1517"/>
  <c r="T4" i="1517"/>
  <c r="P4" i="1517"/>
  <c r="O4" i="1517"/>
  <c r="N4" i="1517"/>
  <c r="M4" i="1517"/>
  <c r="L4" i="1517"/>
  <c r="K4" i="1517"/>
  <c r="J4" i="1517"/>
  <c r="I4" i="1517"/>
  <c r="H4" i="1517"/>
  <c r="G4" i="1517"/>
  <c r="F4" i="1517"/>
  <c r="E4" i="1517"/>
  <c r="D4" i="1517"/>
  <c r="C4" i="1517"/>
  <c r="Y3" i="1517"/>
  <c r="W3" i="1517"/>
  <c r="V3" i="1517"/>
  <c r="U3" i="1517"/>
  <c r="T3" i="1517"/>
  <c r="P3" i="1517"/>
  <c r="O3" i="1517"/>
  <c r="N3" i="1517"/>
  <c r="M3" i="1517"/>
  <c r="L3" i="1517"/>
  <c r="K3" i="1517"/>
  <c r="J3" i="1517"/>
  <c r="I3" i="1517"/>
  <c r="H3" i="1517"/>
  <c r="G3" i="1517"/>
  <c r="F3" i="1517"/>
  <c r="E3" i="1517"/>
  <c r="D3" i="1517"/>
  <c r="C3" i="1517"/>
  <c r="F21" i="1516"/>
  <c r="Y19" i="1516"/>
  <c r="W19" i="1516"/>
  <c r="V19" i="1516"/>
  <c r="U19" i="1516"/>
  <c r="T19" i="1516"/>
  <c r="P19" i="1516"/>
  <c r="O19" i="1516"/>
  <c r="N19" i="1516"/>
  <c r="M19" i="1516"/>
  <c r="L19" i="1516"/>
  <c r="K19" i="1516"/>
  <c r="J19" i="1516"/>
  <c r="I19" i="1516"/>
  <c r="H19" i="1516"/>
  <c r="G19" i="1516"/>
  <c r="F19" i="1516"/>
  <c r="E19" i="1516"/>
  <c r="D19" i="1516"/>
  <c r="C19" i="1516"/>
  <c r="Y18" i="1516"/>
  <c r="W18" i="1516"/>
  <c r="V18" i="1516"/>
  <c r="U18" i="1516"/>
  <c r="T18" i="1516"/>
  <c r="P18" i="1516"/>
  <c r="O18" i="1516"/>
  <c r="N18" i="1516"/>
  <c r="M18" i="1516"/>
  <c r="L18" i="1516"/>
  <c r="K18" i="1516"/>
  <c r="J18" i="1516"/>
  <c r="I18" i="1516"/>
  <c r="H18" i="1516"/>
  <c r="G18" i="1516"/>
  <c r="F18" i="1516"/>
  <c r="E18" i="1516"/>
  <c r="D18" i="1516"/>
  <c r="C18" i="1516"/>
  <c r="Y4" i="1516"/>
  <c r="W4" i="1516"/>
  <c r="V4" i="1516"/>
  <c r="U4" i="1516"/>
  <c r="T4" i="1516"/>
  <c r="P4" i="1516"/>
  <c r="O4" i="1516"/>
  <c r="N4" i="1516"/>
  <c r="M4" i="1516"/>
  <c r="L4" i="1516"/>
  <c r="K4" i="1516"/>
  <c r="J4" i="1516"/>
  <c r="I4" i="1516"/>
  <c r="H4" i="1516"/>
  <c r="G4" i="1516"/>
  <c r="F4" i="1516"/>
  <c r="E4" i="1516"/>
  <c r="D4" i="1516"/>
  <c r="C4" i="1516"/>
  <c r="Y3" i="1516"/>
  <c r="W3" i="1516"/>
  <c r="V3" i="1516"/>
  <c r="U3" i="1516"/>
  <c r="T3" i="1516"/>
  <c r="P3" i="1516"/>
  <c r="O3" i="1516"/>
  <c r="N3" i="1516"/>
  <c r="M3" i="1516"/>
  <c r="L3" i="1516"/>
  <c r="K3" i="1516"/>
  <c r="J3" i="1516"/>
  <c r="I3" i="1516"/>
  <c r="H3" i="1516"/>
  <c r="G3" i="1516"/>
  <c r="F3" i="1516"/>
  <c r="E3" i="1516"/>
  <c r="D3" i="1516"/>
  <c r="C3" i="1516"/>
  <c r="F21" i="1515"/>
  <c r="Y19" i="1515"/>
  <c r="W19" i="1515"/>
  <c r="V19" i="1515"/>
  <c r="U19" i="1515"/>
  <c r="T19" i="1515"/>
  <c r="P19" i="1515"/>
  <c r="O19" i="1515"/>
  <c r="N19" i="1515"/>
  <c r="M19" i="1515"/>
  <c r="L19" i="1515"/>
  <c r="K19" i="1515"/>
  <c r="J19" i="1515"/>
  <c r="I19" i="1515"/>
  <c r="H19" i="1515"/>
  <c r="G19" i="1515"/>
  <c r="F19" i="1515"/>
  <c r="E19" i="1515"/>
  <c r="D19" i="1515"/>
  <c r="C19" i="1515"/>
  <c r="Y18" i="1515"/>
  <c r="W18" i="1515"/>
  <c r="V18" i="1515"/>
  <c r="U18" i="1515"/>
  <c r="T18" i="1515"/>
  <c r="P18" i="1515"/>
  <c r="O18" i="1515"/>
  <c r="N18" i="1515"/>
  <c r="M18" i="1515"/>
  <c r="L18" i="1515"/>
  <c r="K18" i="1515"/>
  <c r="J18" i="1515"/>
  <c r="I18" i="1515"/>
  <c r="H18" i="1515"/>
  <c r="G18" i="1515"/>
  <c r="F18" i="1515"/>
  <c r="E18" i="1515"/>
  <c r="D18" i="1515"/>
  <c r="C18" i="1515"/>
  <c r="Y4" i="1515"/>
  <c r="W4" i="1515"/>
  <c r="V4" i="1515"/>
  <c r="U4" i="1515"/>
  <c r="T4" i="1515"/>
  <c r="P4" i="1515"/>
  <c r="O4" i="1515"/>
  <c r="N4" i="1515"/>
  <c r="M4" i="1515"/>
  <c r="L4" i="1515"/>
  <c r="K4" i="1515"/>
  <c r="J4" i="1515"/>
  <c r="I4" i="1515"/>
  <c r="H4" i="1515"/>
  <c r="G4" i="1515"/>
  <c r="F4" i="1515"/>
  <c r="E4" i="1515"/>
  <c r="D4" i="1515"/>
  <c r="C4" i="1515"/>
  <c r="Y3" i="1515"/>
  <c r="W3" i="1515"/>
  <c r="V3" i="1515"/>
  <c r="U3" i="1515"/>
  <c r="T3" i="1515"/>
  <c r="P3" i="1515"/>
  <c r="O3" i="1515"/>
  <c r="N3" i="1515"/>
  <c r="M3" i="1515"/>
  <c r="L3" i="1515"/>
  <c r="K3" i="1515"/>
  <c r="J3" i="1515"/>
  <c r="I3" i="1515"/>
  <c r="H3" i="1515"/>
  <c r="G3" i="1515"/>
  <c r="F3" i="1515"/>
  <c r="E3" i="1515"/>
  <c r="D3" i="1515"/>
  <c r="C3" i="1515"/>
  <c r="F21" i="1514"/>
  <c r="Y19" i="1514"/>
  <c r="W19" i="1514"/>
  <c r="V19" i="1514"/>
  <c r="U19" i="1514"/>
  <c r="T19" i="1514"/>
  <c r="P19" i="1514"/>
  <c r="O19" i="1514"/>
  <c r="N19" i="1514"/>
  <c r="M19" i="1514"/>
  <c r="L19" i="1514"/>
  <c r="K19" i="1514"/>
  <c r="J19" i="1514"/>
  <c r="I19" i="1514"/>
  <c r="H19" i="1514"/>
  <c r="G19" i="1514"/>
  <c r="F19" i="1514"/>
  <c r="E19" i="1514"/>
  <c r="D19" i="1514"/>
  <c r="C19" i="1514"/>
  <c r="Y18" i="1514"/>
  <c r="W18" i="1514"/>
  <c r="V18" i="1514"/>
  <c r="U18" i="1514"/>
  <c r="T18" i="1514"/>
  <c r="P18" i="1514"/>
  <c r="O18" i="1514"/>
  <c r="N18" i="1514"/>
  <c r="M18" i="1514"/>
  <c r="L18" i="1514"/>
  <c r="K18" i="1514"/>
  <c r="J18" i="1514"/>
  <c r="I18" i="1514"/>
  <c r="H18" i="1514"/>
  <c r="G18" i="1514"/>
  <c r="F18" i="1514"/>
  <c r="E18" i="1514"/>
  <c r="D18" i="1514"/>
  <c r="C18" i="1514"/>
  <c r="Y4" i="1514"/>
  <c r="W4" i="1514"/>
  <c r="V4" i="1514"/>
  <c r="U4" i="1514"/>
  <c r="T4" i="1514"/>
  <c r="P4" i="1514"/>
  <c r="O4" i="1514"/>
  <c r="N4" i="1514"/>
  <c r="M4" i="1514"/>
  <c r="L4" i="1514"/>
  <c r="K4" i="1514"/>
  <c r="J4" i="1514"/>
  <c r="I4" i="1514"/>
  <c r="H4" i="1514"/>
  <c r="G4" i="1514"/>
  <c r="F4" i="1514"/>
  <c r="E4" i="1514"/>
  <c r="D4" i="1514"/>
  <c r="C4" i="1514"/>
  <c r="Y3" i="1514"/>
  <c r="W3" i="1514"/>
  <c r="V3" i="1514"/>
  <c r="U3" i="1514"/>
  <c r="T3" i="1514"/>
  <c r="P3" i="1514"/>
  <c r="O3" i="1514"/>
  <c r="N3" i="1514"/>
  <c r="M3" i="1514"/>
  <c r="L3" i="1514"/>
  <c r="K3" i="1514"/>
  <c r="J3" i="1514"/>
  <c r="I3" i="1514"/>
  <c r="H3" i="1514"/>
  <c r="G3" i="1514"/>
  <c r="F3" i="1514"/>
  <c r="E3" i="1514"/>
  <c r="D3" i="1514"/>
  <c r="C3" i="1514"/>
  <c r="F21" i="1513"/>
  <c r="Y19" i="1513"/>
  <c r="W19" i="1513"/>
  <c r="V19" i="1513"/>
  <c r="U19" i="1513"/>
  <c r="T19" i="1513"/>
  <c r="P19" i="1513"/>
  <c r="O19" i="1513"/>
  <c r="N19" i="1513"/>
  <c r="M19" i="1513"/>
  <c r="L19" i="1513"/>
  <c r="K19" i="1513"/>
  <c r="J19" i="1513"/>
  <c r="I19" i="1513"/>
  <c r="H19" i="1513"/>
  <c r="G19" i="1513"/>
  <c r="F19" i="1513"/>
  <c r="E19" i="1513"/>
  <c r="D19" i="1513"/>
  <c r="C19" i="1513"/>
  <c r="Y18" i="1513"/>
  <c r="W18" i="1513"/>
  <c r="V18" i="1513"/>
  <c r="U18" i="1513"/>
  <c r="T18" i="1513"/>
  <c r="P18" i="1513"/>
  <c r="O18" i="1513"/>
  <c r="N18" i="1513"/>
  <c r="M18" i="1513"/>
  <c r="L18" i="1513"/>
  <c r="K18" i="1513"/>
  <c r="J18" i="1513"/>
  <c r="I18" i="1513"/>
  <c r="H18" i="1513"/>
  <c r="G18" i="1513"/>
  <c r="F18" i="1513"/>
  <c r="E18" i="1513"/>
  <c r="D18" i="1513"/>
  <c r="C18" i="1513"/>
  <c r="Y4" i="1513"/>
  <c r="W4" i="1513"/>
  <c r="V4" i="1513"/>
  <c r="U4" i="1513"/>
  <c r="T4" i="1513"/>
  <c r="P4" i="1513"/>
  <c r="O4" i="1513"/>
  <c r="N4" i="1513"/>
  <c r="M4" i="1513"/>
  <c r="L4" i="1513"/>
  <c r="K4" i="1513"/>
  <c r="J4" i="1513"/>
  <c r="I4" i="1513"/>
  <c r="H4" i="1513"/>
  <c r="G4" i="1513"/>
  <c r="F4" i="1513"/>
  <c r="E4" i="1513"/>
  <c r="D4" i="1513"/>
  <c r="C4" i="1513"/>
  <c r="Y3" i="1513"/>
  <c r="W3" i="1513"/>
  <c r="V3" i="1513"/>
  <c r="U3" i="1513"/>
  <c r="T3" i="1513"/>
  <c r="P3" i="1513"/>
  <c r="O3" i="1513"/>
  <c r="N3" i="1513"/>
  <c r="M3" i="1513"/>
  <c r="L3" i="1513"/>
  <c r="K3" i="1513"/>
  <c r="J3" i="1513"/>
  <c r="I3" i="1513"/>
  <c r="H3" i="1513"/>
  <c r="G3" i="1513"/>
  <c r="F3" i="1513"/>
  <c r="E3" i="1513"/>
  <c r="D3" i="1513"/>
  <c r="C3" i="1513"/>
  <c r="F21" i="1512"/>
  <c r="Y19" i="1512"/>
  <c r="W19" i="1512"/>
  <c r="V19" i="1512"/>
  <c r="U19" i="1512"/>
  <c r="T19" i="1512"/>
  <c r="P19" i="1512"/>
  <c r="O19" i="1512"/>
  <c r="N19" i="1512"/>
  <c r="M19" i="1512"/>
  <c r="L19" i="1512"/>
  <c r="K19" i="1512"/>
  <c r="J19" i="1512"/>
  <c r="I19" i="1512"/>
  <c r="H19" i="1512"/>
  <c r="G19" i="1512"/>
  <c r="F19" i="1512"/>
  <c r="E19" i="1512"/>
  <c r="D19" i="1512"/>
  <c r="C19" i="1512"/>
  <c r="Y18" i="1512"/>
  <c r="W18" i="1512"/>
  <c r="V18" i="1512"/>
  <c r="U18" i="1512"/>
  <c r="T18" i="1512"/>
  <c r="P18" i="1512"/>
  <c r="O18" i="1512"/>
  <c r="N18" i="1512"/>
  <c r="M18" i="1512"/>
  <c r="L18" i="1512"/>
  <c r="K18" i="1512"/>
  <c r="J18" i="1512"/>
  <c r="I18" i="1512"/>
  <c r="H18" i="1512"/>
  <c r="G18" i="1512"/>
  <c r="F18" i="1512"/>
  <c r="E18" i="1512"/>
  <c r="D18" i="1512"/>
  <c r="C18" i="1512"/>
  <c r="Y4" i="1512"/>
  <c r="W4" i="1512"/>
  <c r="V4" i="1512"/>
  <c r="U4" i="1512"/>
  <c r="T4" i="1512"/>
  <c r="P4" i="1512"/>
  <c r="O4" i="1512"/>
  <c r="N4" i="1512"/>
  <c r="M4" i="1512"/>
  <c r="L4" i="1512"/>
  <c r="K4" i="1512"/>
  <c r="J4" i="1512"/>
  <c r="I4" i="1512"/>
  <c r="H4" i="1512"/>
  <c r="G4" i="1512"/>
  <c r="F4" i="1512"/>
  <c r="E4" i="1512"/>
  <c r="D4" i="1512"/>
  <c r="C4" i="1512"/>
  <c r="Y3" i="1512"/>
  <c r="W3" i="1512"/>
  <c r="V3" i="1512"/>
  <c r="U3" i="1512"/>
  <c r="T3" i="1512"/>
  <c r="P3" i="1512"/>
  <c r="O3" i="1512"/>
  <c r="N3" i="1512"/>
  <c r="M3" i="1512"/>
  <c r="L3" i="1512"/>
  <c r="K3" i="1512"/>
  <c r="J3" i="1512"/>
  <c r="I3" i="1512"/>
  <c r="H3" i="1512"/>
  <c r="G3" i="1512"/>
  <c r="F3" i="1512"/>
  <c r="E3" i="1512"/>
  <c r="D3" i="1512"/>
  <c r="C3" i="1512"/>
  <c r="F21" i="1511"/>
  <c r="Y19" i="1511"/>
  <c r="W19" i="1511"/>
  <c r="V19" i="1511"/>
  <c r="U19" i="1511"/>
  <c r="T19" i="1511"/>
  <c r="P19" i="1511"/>
  <c r="O19" i="1511"/>
  <c r="N19" i="1511"/>
  <c r="M19" i="1511"/>
  <c r="L19" i="1511"/>
  <c r="K19" i="1511"/>
  <c r="J19" i="1511"/>
  <c r="I19" i="1511"/>
  <c r="H19" i="1511"/>
  <c r="G19" i="1511"/>
  <c r="F19" i="1511"/>
  <c r="E19" i="1511"/>
  <c r="D19" i="1511"/>
  <c r="C19" i="1511"/>
  <c r="Y18" i="1511"/>
  <c r="W18" i="1511"/>
  <c r="V18" i="1511"/>
  <c r="U18" i="1511"/>
  <c r="T18" i="1511"/>
  <c r="P18" i="1511"/>
  <c r="O18" i="1511"/>
  <c r="N18" i="1511"/>
  <c r="M18" i="1511"/>
  <c r="L18" i="1511"/>
  <c r="K18" i="1511"/>
  <c r="J18" i="1511"/>
  <c r="I18" i="1511"/>
  <c r="H18" i="1511"/>
  <c r="G18" i="1511"/>
  <c r="F18" i="1511"/>
  <c r="E18" i="1511"/>
  <c r="D18" i="1511"/>
  <c r="C18" i="1511"/>
  <c r="Y4" i="1511"/>
  <c r="W4" i="1511"/>
  <c r="V4" i="1511"/>
  <c r="U4" i="1511"/>
  <c r="T4" i="1511"/>
  <c r="P4" i="1511"/>
  <c r="O4" i="1511"/>
  <c r="N4" i="1511"/>
  <c r="M4" i="1511"/>
  <c r="L4" i="1511"/>
  <c r="K4" i="1511"/>
  <c r="J4" i="1511"/>
  <c r="I4" i="1511"/>
  <c r="H4" i="1511"/>
  <c r="G4" i="1511"/>
  <c r="F4" i="1511"/>
  <c r="E4" i="1511"/>
  <c r="D4" i="1511"/>
  <c r="C4" i="1511"/>
  <c r="Y3" i="1511"/>
  <c r="W3" i="1511"/>
  <c r="V3" i="1511"/>
  <c r="U3" i="1511"/>
  <c r="T3" i="1511"/>
  <c r="P3" i="1511"/>
  <c r="O3" i="1511"/>
  <c r="N3" i="1511"/>
  <c r="M3" i="1511"/>
  <c r="L3" i="1511"/>
  <c r="K3" i="1511"/>
  <c r="J3" i="1511"/>
  <c r="I3" i="1511"/>
  <c r="H3" i="1511"/>
  <c r="G3" i="1511"/>
  <c r="F3" i="1511"/>
  <c r="E3" i="1511"/>
  <c r="D3" i="1511"/>
  <c r="C3" i="1511"/>
  <c r="F21" i="1510"/>
  <c r="Y19" i="1510"/>
  <c r="W19" i="1510"/>
  <c r="V19" i="1510"/>
  <c r="U19" i="1510"/>
  <c r="T19" i="1510"/>
  <c r="P19" i="1510"/>
  <c r="O19" i="1510"/>
  <c r="N19" i="1510"/>
  <c r="M19" i="1510"/>
  <c r="L19" i="1510"/>
  <c r="K19" i="1510"/>
  <c r="J19" i="1510"/>
  <c r="I19" i="1510"/>
  <c r="H19" i="1510"/>
  <c r="G19" i="1510"/>
  <c r="F19" i="1510"/>
  <c r="E19" i="1510"/>
  <c r="D19" i="1510"/>
  <c r="C19" i="1510"/>
  <c r="Y18" i="1510"/>
  <c r="W18" i="1510"/>
  <c r="V18" i="1510"/>
  <c r="U18" i="1510"/>
  <c r="T18" i="1510"/>
  <c r="P18" i="1510"/>
  <c r="O18" i="1510"/>
  <c r="N18" i="1510"/>
  <c r="M18" i="1510"/>
  <c r="L18" i="1510"/>
  <c r="K18" i="1510"/>
  <c r="J18" i="1510"/>
  <c r="I18" i="1510"/>
  <c r="H18" i="1510"/>
  <c r="G18" i="1510"/>
  <c r="F18" i="1510"/>
  <c r="E18" i="1510"/>
  <c r="D18" i="1510"/>
  <c r="C18" i="1510"/>
  <c r="Y4" i="1510"/>
  <c r="W4" i="1510"/>
  <c r="V4" i="1510"/>
  <c r="U4" i="1510"/>
  <c r="T4" i="1510"/>
  <c r="P4" i="1510"/>
  <c r="O4" i="1510"/>
  <c r="N4" i="1510"/>
  <c r="M4" i="1510"/>
  <c r="L4" i="1510"/>
  <c r="K4" i="1510"/>
  <c r="J4" i="1510"/>
  <c r="I4" i="1510"/>
  <c r="H4" i="1510"/>
  <c r="G4" i="1510"/>
  <c r="F4" i="1510"/>
  <c r="E4" i="1510"/>
  <c r="D4" i="1510"/>
  <c r="C4" i="1510"/>
  <c r="Y3" i="1510"/>
  <c r="W3" i="1510"/>
  <c r="V3" i="1510"/>
  <c r="U3" i="1510"/>
  <c r="T3" i="1510"/>
  <c r="P3" i="1510"/>
  <c r="O3" i="1510"/>
  <c r="N3" i="1510"/>
  <c r="M3" i="1510"/>
  <c r="L3" i="1510"/>
  <c r="K3" i="1510"/>
  <c r="J3" i="1510"/>
  <c r="I3" i="1510"/>
  <c r="H3" i="1510"/>
  <c r="G3" i="1510"/>
  <c r="F3" i="1510"/>
  <c r="E3" i="1510"/>
  <c r="D3" i="1510"/>
  <c r="C3" i="1510"/>
  <c r="F21" i="1509"/>
  <c r="Y19" i="1509"/>
  <c r="W19" i="1509"/>
  <c r="V19" i="1509"/>
  <c r="U19" i="1509"/>
  <c r="T19" i="1509"/>
  <c r="P19" i="1509"/>
  <c r="O19" i="1509"/>
  <c r="N19" i="1509"/>
  <c r="M19" i="1509"/>
  <c r="L19" i="1509"/>
  <c r="K19" i="1509"/>
  <c r="J19" i="1509"/>
  <c r="I19" i="1509"/>
  <c r="H19" i="1509"/>
  <c r="G19" i="1509"/>
  <c r="F19" i="1509"/>
  <c r="E19" i="1509"/>
  <c r="D19" i="1509"/>
  <c r="C19" i="1509"/>
  <c r="Y18" i="1509"/>
  <c r="W18" i="1509"/>
  <c r="V18" i="1509"/>
  <c r="U18" i="1509"/>
  <c r="T18" i="1509"/>
  <c r="P18" i="1509"/>
  <c r="O18" i="1509"/>
  <c r="N18" i="1509"/>
  <c r="M18" i="1509"/>
  <c r="L18" i="1509"/>
  <c r="K18" i="1509"/>
  <c r="J18" i="1509"/>
  <c r="I18" i="1509"/>
  <c r="H18" i="1509"/>
  <c r="G18" i="1509"/>
  <c r="F18" i="1509"/>
  <c r="E18" i="1509"/>
  <c r="D18" i="1509"/>
  <c r="C18" i="1509"/>
  <c r="Y4" i="1509"/>
  <c r="W4" i="1509"/>
  <c r="V4" i="1509"/>
  <c r="U4" i="1509"/>
  <c r="T4" i="1509"/>
  <c r="P4" i="1509"/>
  <c r="O4" i="1509"/>
  <c r="N4" i="1509"/>
  <c r="M4" i="1509"/>
  <c r="L4" i="1509"/>
  <c r="K4" i="1509"/>
  <c r="J4" i="1509"/>
  <c r="I4" i="1509"/>
  <c r="H4" i="1509"/>
  <c r="G4" i="1509"/>
  <c r="F4" i="1509"/>
  <c r="E4" i="1509"/>
  <c r="D4" i="1509"/>
  <c r="C4" i="1509"/>
  <c r="Y3" i="1509"/>
  <c r="W3" i="1509"/>
  <c r="V3" i="1509"/>
  <c r="U3" i="1509"/>
  <c r="T3" i="1509"/>
  <c r="P3" i="1509"/>
  <c r="O3" i="1509"/>
  <c r="N3" i="1509"/>
  <c r="M3" i="1509"/>
  <c r="L3" i="1509"/>
  <c r="K3" i="1509"/>
  <c r="J3" i="1509"/>
  <c r="I3" i="1509"/>
  <c r="H3" i="1509"/>
  <c r="G3" i="1509"/>
  <c r="F3" i="1509"/>
  <c r="E3" i="1509"/>
  <c r="D3" i="1509"/>
  <c r="C3" i="1509"/>
  <c r="F21" i="1508"/>
  <c r="Y19" i="1508"/>
  <c r="W19" i="1508"/>
  <c r="V19" i="1508"/>
  <c r="U19" i="1508"/>
  <c r="T19" i="1508"/>
  <c r="P19" i="1508"/>
  <c r="O19" i="1508"/>
  <c r="N19" i="1508"/>
  <c r="M19" i="1508"/>
  <c r="L19" i="1508"/>
  <c r="K19" i="1508"/>
  <c r="J19" i="1508"/>
  <c r="I19" i="1508"/>
  <c r="H19" i="1508"/>
  <c r="G19" i="1508"/>
  <c r="F19" i="1508"/>
  <c r="E19" i="1508"/>
  <c r="D19" i="1508"/>
  <c r="C19" i="1508"/>
  <c r="Y18" i="1508"/>
  <c r="W18" i="1508"/>
  <c r="V18" i="1508"/>
  <c r="U18" i="1508"/>
  <c r="T18" i="1508"/>
  <c r="P18" i="1508"/>
  <c r="O18" i="1508"/>
  <c r="N18" i="1508"/>
  <c r="M18" i="1508"/>
  <c r="L18" i="1508"/>
  <c r="K18" i="1508"/>
  <c r="J18" i="1508"/>
  <c r="I18" i="1508"/>
  <c r="H18" i="1508"/>
  <c r="G18" i="1508"/>
  <c r="F18" i="1508"/>
  <c r="E18" i="1508"/>
  <c r="D18" i="1508"/>
  <c r="C18" i="1508"/>
  <c r="Y4" i="1508"/>
  <c r="W4" i="1508"/>
  <c r="V4" i="1508"/>
  <c r="U4" i="1508"/>
  <c r="T4" i="1508"/>
  <c r="P4" i="1508"/>
  <c r="O4" i="1508"/>
  <c r="N4" i="1508"/>
  <c r="M4" i="1508"/>
  <c r="L4" i="1508"/>
  <c r="K4" i="1508"/>
  <c r="J4" i="1508"/>
  <c r="I4" i="1508"/>
  <c r="H4" i="1508"/>
  <c r="G4" i="1508"/>
  <c r="F4" i="1508"/>
  <c r="E4" i="1508"/>
  <c r="D4" i="1508"/>
  <c r="C4" i="1508"/>
  <c r="Y3" i="1508"/>
  <c r="W3" i="1508"/>
  <c r="V3" i="1508"/>
  <c r="U3" i="1508"/>
  <c r="T3" i="1508"/>
  <c r="P3" i="1508"/>
  <c r="O3" i="1508"/>
  <c r="N3" i="1508"/>
  <c r="M3" i="1508"/>
  <c r="L3" i="1508"/>
  <c r="K3" i="1508"/>
  <c r="J3" i="1508"/>
  <c r="I3" i="1508"/>
  <c r="H3" i="1508"/>
  <c r="G3" i="1508"/>
  <c r="F3" i="1508"/>
  <c r="E3" i="1508"/>
  <c r="D3" i="1508"/>
  <c r="C3" i="1508"/>
  <c r="F21" i="1507"/>
  <c r="Y19" i="1507"/>
  <c r="W19" i="1507"/>
  <c r="V19" i="1507"/>
  <c r="U19" i="1507"/>
  <c r="T19" i="1507"/>
  <c r="P19" i="1507"/>
  <c r="O19" i="1507"/>
  <c r="N19" i="1507"/>
  <c r="M19" i="1507"/>
  <c r="L19" i="1507"/>
  <c r="K19" i="1507"/>
  <c r="J19" i="1507"/>
  <c r="I19" i="1507"/>
  <c r="H19" i="1507"/>
  <c r="G19" i="1507"/>
  <c r="F19" i="1507"/>
  <c r="E19" i="1507"/>
  <c r="D19" i="1507"/>
  <c r="C19" i="1507"/>
  <c r="Y18" i="1507"/>
  <c r="W18" i="1507"/>
  <c r="V18" i="1507"/>
  <c r="U18" i="1507"/>
  <c r="T18" i="1507"/>
  <c r="P18" i="1507"/>
  <c r="O18" i="1507"/>
  <c r="N18" i="1507"/>
  <c r="M18" i="1507"/>
  <c r="L18" i="1507"/>
  <c r="K18" i="1507"/>
  <c r="J18" i="1507"/>
  <c r="I18" i="1507"/>
  <c r="H18" i="1507"/>
  <c r="G18" i="1507"/>
  <c r="F18" i="1507"/>
  <c r="E18" i="1507"/>
  <c r="D18" i="1507"/>
  <c r="C18" i="1507"/>
  <c r="Y4" i="1507"/>
  <c r="W4" i="1507"/>
  <c r="V4" i="1507"/>
  <c r="U4" i="1507"/>
  <c r="T4" i="1507"/>
  <c r="P4" i="1507"/>
  <c r="O4" i="1507"/>
  <c r="N4" i="1507"/>
  <c r="M4" i="1507"/>
  <c r="L4" i="1507"/>
  <c r="K4" i="1507"/>
  <c r="J4" i="1507"/>
  <c r="I4" i="1507"/>
  <c r="H4" i="1507"/>
  <c r="G4" i="1507"/>
  <c r="F4" i="1507"/>
  <c r="E4" i="1507"/>
  <c r="D4" i="1507"/>
  <c r="C4" i="1507"/>
  <c r="Y3" i="1507"/>
  <c r="W3" i="1507"/>
  <c r="V3" i="1507"/>
  <c r="U3" i="1507"/>
  <c r="T3" i="1507"/>
  <c r="P3" i="1507"/>
  <c r="O3" i="1507"/>
  <c r="N3" i="1507"/>
  <c r="M3" i="1507"/>
  <c r="L3" i="1507"/>
  <c r="K3" i="1507"/>
  <c r="J3" i="1507"/>
  <c r="I3" i="1507"/>
  <c r="H3" i="1507"/>
  <c r="G3" i="1507"/>
  <c r="F3" i="1507"/>
  <c r="E3" i="1507"/>
  <c r="D3" i="1507"/>
  <c r="C3" i="1507"/>
  <c r="F21" i="1506"/>
  <c r="Y19" i="1506"/>
  <c r="W19" i="1506"/>
  <c r="V19" i="1506"/>
  <c r="U19" i="1506"/>
  <c r="T19" i="1506"/>
  <c r="P19" i="1506"/>
  <c r="O19" i="1506"/>
  <c r="N19" i="1506"/>
  <c r="M19" i="1506"/>
  <c r="L19" i="1506"/>
  <c r="K19" i="1506"/>
  <c r="J19" i="1506"/>
  <c r="I19" i="1506"/>
  <c r="H19" i="1506"/>
  <c r="G19" i="1506"/>
  <c r="F19" i="1506"/>
  <c r="E19" i="1506"/>
  <c r="D19" i="1506"/>
  <c r="C19" i="1506"/>
  <c r="Y18" i="1506"/>
  <c r="W18" i="1506"/>
  <c r="V18" i="1506"/>
  <c r="U18" i="1506"/>
  <c r="T18" i="1506"/>
  <c r="P18" i="1506"/>
  <c r="O18" i="1506"/>
  <c r="N18" i="1506"/>
  <c r="M18" i="1506"/>
  <c r="L18" i="1506"/>
  <c r="K18" i="1506"/>
  <c r="J18" i="1506"/>
  <c r="I18" i="1506"/>
  <c r="H18" i="1506"/>
  <c r="G18" i="1506"/>
  <c r="F18" i="1506"/>
  <c r="E18" i="1506"/>
  <c r="D18" i="1506"/>
  <c r="C18" i="1506"/>
  <c r="Y4" i="1506"/>
  <c r="W4" i="1506"/>
  <c r="V4" i="1506"/>
  <c r="U4" i="1506"/>
  <c r="T4" i="1506"/>
  <c r="P4" i="1506"/>
  <c r="O4" i="1506"/>
  <c r="N4" i="1506"/>
  <c r="M4" i="1506"/>
  <c r="L4" i="1506"/>
  <c r="K4" i="1506"/>
  <c r="J4" i="1506"/>
  <c r="I4" i="1506"/>
  <c r="H4" i="1506"/>
  <c r="G4" i="1506"/>
  <c r="F4" i="1506"/>
  <c r="E4" i="1506"/>
  <c r="D4" i="1506"/>
  <c r="C4" i="1506"/>
  <c r="Y3" i="1506"/>
  <c r="W3" i="1506"/>
  <c r="V3" i="1506"/>
  <c r="U3" i="1506"/>
  <c r="T3" i="1506"/>
  <c r="P3" i="1506"/>
  <c r="O3" i="1506"/>
  <c r="N3" i="1506"/>
  <c r="M3" i="1506"/>
  <c r="L3" i="1506"/>
  <c r="K3" i="1506"/>
  <c r="J3" i="1506"/>
  <c r="I3" i="1506"/>
  <c r="H3" i="1506"/>
  <c r="G3" i="1506"/>
  <c r="F3" i="1506"/>
  <c r="E3" i="1506"/>
  <c r="D3" i="1506"/>
  <c r="C3" i="1506"/>
  <c r="F21" i="1505"/>
  <c r="Y19" i="1505"/>
  <c r="W19" i="1505"/>
  <c r="V19" i="1505"/>
  <c r="U19" i="1505"/>
  <c r="T19" i="1505"/>
  <c r="P19" i="1505"/>
  <c r="O19" i="1505"/>
  <c r="N19" i="1505"/>
  <c r="M19" i="1505"/>
  <c r="L19" i="1505"/>
  <c r="K19" i="1505"/>
  <c r="J19" i="1505"/>
  <c r="I19" i="1505"/>
  <c r="H19" i="1505"/>
  <c r="G19" i="1505"/>
  <c r="F19" i="1505"/>
  <c r="E19" i="1505"/>
  <c r="D19" i="1505"/>
  <c r="C19" i="1505"/>
  <c r="Y18" i="1505"/>
  <c r="W18" i="1505"/>
  <c r="V18" i="1505"/>
  <c r="U18" i="1505"/>
  <c r="T18" i="1505"/>
  <c r="P18" i="1505"/>
  <c r="O18" i="1505"/>
  <c r="N18" i="1505"/>
  <c r="M18" i="1505"/>
  <c r="L18" i="1505"/>
  <c r="K18" i="1505"/>
  <c r="J18" i="1505"/>
  <c r="I18" i="1505"/>
  <c r="H18" i="1505"/>
  <c r="G18" i="1505"/>
  <c r="F18" i="1505"/>
  <c r="E18" i="1505"/>
  <c r="D18" i="1505"/>
  <c r="C18" i="1505"/>
  <c r="Y4" i="1505"/>
  <c r="W4" i="1505"/>
  <c r="V4" i="1505"/>
  <c r="U4" i="1505"/>
  <c r="T4" i="1505"/>
  <c r="P4" i="1505"/>
  <c r="O4" i="1505"/>
  <c r="N4" i="1505"/>
  <c r="M4" i="1505"/>
  <c r="L4" i="1505"/>
  <c r="K4" i="1505"/>
  <c r="J4" i="1505"/>
  <c r="I4" i="1505"/>
  <c r="H4" i="1505"/>
  <c r="G4" i="1505"/>
  <c r="F4" i="1505"/>
  <c r="E4" i="1505"/>
  <c r="D4" i="1505"/>
  <c r="C4" i="1505"/>
  <c r="Y3" i="1505"/>
  <c r="W3" i="1505"/>
  <c r="V3" i="1505"/>
  <c r="U3" i="1505"/>
  <c r="T3" i="1505"/>
  <c r="P3" i="1505"/>
  <c r="O3" i="1505"/>
  <c r="N3" i="1505"/>
  <c r="M3" i="1505"/>
  <c r="L3" i="1505"/>
  <c r="K3" i="1505"/>
  <c r="J3" i="1505"/>
  <c r="I3" i="1505"/>
  <c r="H3" i="1505"/>
  <c r="G3" i="1505"/>
  <c r="F3" i="1505"/>
  <c r="E3" i="1505"/>
  <c r="D3" i="1505"/>
  <c r="C3" i="1505"/>
  <c r="F21" i="1504"/>
  <c r="Y19" i="1504"/>
  <c r="W19" i="1504"/>
  <c r="V19" i="1504"/>
  <c r="U19" i="1504"/>
  <c r="T19" i="1504"/>
  <c r="P19" i="1504"/>
  <c r="O19" i="1504"/>
  <c r="N19" i="1504"/>
  <c r="M19" i="1504"/>
  <c r="L19" i="1504"/>
  <c r="K19" i="1504"/>
  <c r="J19" i="1504"/>
  <c r="I19" i="1504"/>
  <c r="H19" i="1504"/>
  <c r="G19" i="1504"/>
  <c r="F19" i="1504"/>
  <c r="E19" i="1504"/>
  <c r="D19" i="1504"/>
  <c r="C19" i="1504"/>
  <c r="Y18" i="1504"/>
  <c r="W18" i="1504"/>
  <c r="V18" i="1504"/>
  <c r="U18" i="1504"/>
  <c r="T18" i="1504"/>
  <c r="P18" i="1504"/>
  <c r="O18" i="1504"/>
  <c r="N18" i="1504"/>
  <c r="M18" i="1504"/>
  <c r="L18" i="1504"/>
  <c r="K18" i="1504"/>
  <c r="J18" i="1504"/>
  <c r="I18" i="1504"/>
  <c r="H18" i="1504"/>
  <c r="G18" i="1504"/>
  <c r="F18" i="1504"/>
  <c r="E18" i="1504"/>
  <c r="D18" i="1504"/>
  <c r="C18" i="1504"/>
  <c r="Y4" i="1504"/>
  <c r="W4" i="1504"/>
  <c r="V4" i="1504"/>
  <c r="U4" i="1504"/>
  <c r="T4" i="1504"/>
  <c r="P4" i="1504"/>
  <c r="O4" i="1504"/>
  <c r="N4" i="1504"/>
  <c r="M4" i="1504"/>
  <c r="L4" i="1504"/>
  <c r="K4" i="1504"/>
  <c r="J4" i="1504"/>
  <c r="I4" i="1504"/>
  <c r="H4" i="1504"/>
  <c r="G4" i="1504"/>
  <c r="F4" i="1504"/>
  <c r="E4" i="1504"/>
  <c r="D4" i="1504"/>
  <c r="C4" i="1504"/>
  <c r="Y3" i="1504"/>
  <c r="W3" i="1504"/>
  <c r="V3" i="1504"/>
  <c r="U3" i="1504"/>
  <c r="T3" i="1504"/>
  <c r="P3" i="1504"/>
  <c r="O3" i="1504"/>
  <c r="N3" i="1504"/>
  <c r="M3" i="1504"/>
  <c r="L3" i="1504"/>
  <c r="K3" i="1504"/>
  <c r="J3" i="1504"/>
  <c r="I3" i="1504"/>
  <c r="H3" i="1504"/>
  <c r="G3" i="1504"/>
  <c r="F3" i="1504"/>
  <c r="E3" i="1504"/>
  <c r="D3" i="1504"/>
  <c r="C3" i="1504"/>
  <c r="F21" i="1503"/>
  <c r="Y19" i="1503"/>
  <c r="W19" i="1503"/>
  <c r="V19" i="1503"/>
  <c r="U19" i="1503"/>
  <c r="T19" i="1503"/>
  <c r="P19" i="1503"/>
  <c r="O19" i="1503"/>
  <c r="N19" i="1503"/>
  <c r="M19" i="1503"/>
  <c r="L19" i="1503"/>
  <c r="K19" i="1503"/>
  <c r="J19" i="1503"/>
  <c r="I19" i="1503"/>
  <c r="H19" i="1503"/>
  <c r="G19" i="1503"/>
  <c r="F19" i="1503"/>
  <c r="E19" i="1503"/>
  <c r="D19" i="1503"/>
  <c r="C19" i="1503"/>
  <c r="Y18" i="1503"/>
  <c r="W18" i="1503"/>
  <c r="V18" i="1503"/>
  <c r="U18" i="1503"/>
  <c r="T18" i="1503"/>
  <c r="P18" i="1503"/>
  <c r="O18" i="1503"/>
  <c r="N18" i="1503"/>
  <c r="M18" i="1503"/>
  <c r="L18" i="1503"/>
  <c r="K18" i="1503"/>
  <c r="J18" i="1503"/>
  <c r="I18" i="1503"/>
  <c r="H18" i="1503"/>
  <c r="G18" i="1503"/>
  <c r="F18" i="1503"/>
  <c r="E18" i="1503"/>
  <c r="D18" i="1503"/>
  <c r="C18" i="1503"/>
  <c r="Y4" i="1503"/>
  <c r="W4" i="1503"/>
  <c r="V4" i="1503"/>
  <c r="U4" i="1503"/>
  <c r="T4" i="1503"/>
  <c r="P4" i="1503"/>
  <c r="O4" i="1503"/>
  <c r="N4" i="1503"/>
  <c r="M4" i="1503"/>
  <c r="L4" i="1503"/>
  <c r="K4" i="1503"/>
  <c r="J4" i="1503"/>
  <c r="I4" i="1503"/>
  <c r="H4" i="1503"/>
  <c r="G4" i="1503"/>
  <c r="F4" i="1503"/>
  <c r="E4" i="1503"/>
  <c r="D4" i="1503"/>
  <c r="C4" i="1503"/>
  <c r="Y3" i="1503"/>
  <c r="W3" i="1503"/>
  <c r="V3" i="1503"/>
  <c r="U3" i="1503"/>
  <c r="T3" i="1503"/>
  <c r="P3" i="1503"/>
  <c r="O3" i="1503"/>
  <c r="N3" i="1503"/>
  <c r="M3" i="1503"/>
  <c r="L3" i="1503"/>
  <c r="K3" i="1503"/>
  <c r="J3" i="1503"/>
  <c r="I3" i="1503"/>
  <c r="H3" i="1503"/>
  <c r="G3" i="1503"/>
  <c r="F3" i="1503"/>
  <c r="E3" i="1503"/>
  <c r="D3" i="1503"/>
  <c r="C3" i="1503"/>
  <c r="F21" i="1502"/>
  <c r="Y19" i="1502"/>
  <c r="W19" i="1502"/>
  <c r="V19" i="1502"/>
  <c r="U19" i="1502"/>
  <c r="T19" i="1502"/>
  <c r="P19" i="1502"/>
  <c r="O19" i="1502"/>
  <c r="N19" i="1502"/>
  <c r="M19" i="1502"/>
  <c r="L19" i="1502"/>
  <c r="K19" i="1502"/>
  <c r="J19" i="1502"/>
  <c r="I19" i="1502"/>
  <c r="H19" i="1502"/>
  <c r="G19" i="1502"/>
  <c r="F19" i="1502"/>
  <c r="E19" i="1502"/>
  <c r="D19" i="1502"/>
  <c r="C19" i="1502"/>
  <c r="Y18" i="1502"/>
  <c r="W18" i="1502"/>
  <c r="V18" i="1502"/>
  <c r="U18" i="1502"/>
  <c r="T18" i="1502"/>
  <c r="P18" i="1502"/>
  <c r="O18" i="1502"/>
  <c r="N18" i="1502"/>
  <c r="M18" i="1502"/>
  <c r="L18" i="1502"/>
  <c r="K18" i="1502"/>
  <c r="J18" i="1502"/>
  <c r="I18" i="1502"/>
  <c r="H18" i="1502"/>
  <c r="G18" i="1502"/>
  <c r="F18" i="1502"/>
  <c r="E18" i="1502"/>
  <c r="D18" i="1502"/>
  <c r="C18" i="1502"/>
  <c r="Y4" i="1502"/>
  <c r="W4" i="1502"/>
  <c r="V4" i="1502"/>
  <c r="U4" i="1502"/>
  <c r="T4" i="1502"/>
  <c r="P4" i="1502"/>
  <c r="O4" i="1502"/>
  <c r="N4" i="1502"/>
  <c r="M4" i="1502"/>
  <c r="L4" i="1502"/>
  <c r="K4" i="1502"/>
  <c r="J4" i="1502"/>
  <c r="I4" i="1502"/>
  <c r="H4" i="1502"/>
  <c r="G4" i="1502"/>
  <c r="F4" i="1502"/>
  <c r="E4" i="1502"/>
  <c r="D4" i="1502"/>
  <c r="C4" i="1502"/>
  <c r="Y3" i="1502"/>
  <c r="W3" i="1502"/>
  <c r="V3" i="1502"/>
  <c r="U3" i="1502"/>
  <c r="T3" i="1502"/>
  <c r="P3" i="1502"/>
  <c r="O3" i="1502"/>
  <c r="N3" i="1502"/>
  <c r="M3" i="1502"/>
  <c r="L3" i="1502"/>
  <c r="K3" i="1502"/>
  <c r="J3" i="1502"/>
  <c r="I3" i="1502"/>
  <c r="H3" i="1502"/>
  <c r="G3" i="1502"/>
  <c r="F3" i="1502"/>
  <c r="E3" i="1502"/>
  <c r="D3" i="1502"/>
  <c r="C3" i="1502"/>
  <c r="F21" i="1501"/>
  <c r="Y19" i="1501"/>
  <c r="W19" i="1501"/>
  <c r="V19" i="1501"/>
  <c r="U19" i="1501"/>
  <c r="T19" i="1501"/>
  <c r="P19" i="1501"/>
  <c r="O19" i="1501"/>
  <c r="N19" i="1501"/>
  <c r="M19" i="1501"/>
  <c r="L19" i="1501"/>
  <c r="K19" i="1501"/>
  <c r="J19" i="1501"/>
  <c r="I19" i="1501"/>
  <c r="H19" i="1501"/>
  <c r="G19" i="1501"/>
  <c r="F19" i="1501"/>
  <c r="E19" i="1501"/>
  <c r="D19" i="1501"/>
  <c r="C19" i="1501"/>
  <c r="Y18" i="1501"/>
  <c r="W18" i="1501"/>
  <c r="V18" i="1501"/>
  <c r="U18" i="1501"/>
  <c r="T18" i="1501"/>
  <c r="P18" i="1501"/>
  <c r="O18" i="1501"/>
  <c r="N18" i="1501"/>
  <c r="M18" i="1501"/>
  <c r="L18" i="1501"/>
  <c r="K18" i="1501"/>
  <c r="J18" i="1501"/>
  <c r="I18" i="1501"/>
  <c r="H18" i="1501"/>
  <c r="G18" i="1501"/>
  <c r="F18" i="1501"/>
  <c r="E18" i="1501"/>
  <c r="D18" i="1501"/>
  <c r="C18" i="1501"/>
  <c r="Y4" i="1501"/>
  <c r="W4" i="1501"/>
  <c r="V4" i="1501"/>
  <c r="U4" i="1501"/>
  <c r="T4" i="1501"/>
  <c r="P4" i="1501"/>
  <c r="O4" i="1501"/>
  <c r="N4" i="1501"/>
  <c r="M4" i="1501"/>
  <c r="L4" i="1501"/>
  <c r="K4" i="1501"/>
  <c r="J4" i="1501"/>
  <c r="I4" i="1501"/>
  <c r="H4" i="1501"/>
  <c r="G4" i="1501"/>
  <c r="F4" i="1501"/>
  <c r="E4" i="1501"/>
  <c r="D4" i="1501"/>
  <c r="C4" i="1501"/>
  <c r="Y3" i="1501"/>
  <c r="W3" i="1501"/>
  <c r="V3" i="1501"/>
  <c r="U3" i="1501"/>
  <c r="T3" i="1501"/>
  <c r="P3" i="1501"/>
  <c r="O3" i="1501"/>
  <c r="N3" i="1501"/>
  <c r="M3" i="1501"/>
  <c r="L3" i="1501"/>
  <c r="K3" i="1501"/>
  <c r="J3" i="1501"/>
  <c r="I3" i="1501"/>
  <c r="H3" i="1501"/>
  <c r="G3" i="1501"/>
  <c r="F3" i="1501"/>
  <c r="E3" i="1501"/>
  <c r="D3" i="1501"/>
  <c r="C3" i="1501"/>
  <c r="F21" i="1500"/>
  <c r="Y19" i="1500"/>
  <c r="W19" i="1500"/>
  <c r="V19" i="1500"/>
  <c r="U19" i="1500"/>
  <c r="T19" i="1500"/>
  <c r="P19" i="1500"/>
  <c r="O19" i="1500"/>
  <c r="N19" i="1500"/>
  <c r="M19" i="1500"/>
  <c r="L19" i="1500"/>
  <c r="K19" i="1500"/>
  <c r="J19" i="1500"/>
  <c r="I19" i="1500"/>
  <c r="H19" i="1500"/>
  <c r="G19" i="1500"/>
  <c r="F19" i="1500"/>
  <c r="E19" i="1500"/>
  <c r="D19" i="1500"/>
  <c r="C19" i="1500"/>
  <c r="Y18" i="1500"/>
  <c r="W18" i="1500"/>
  <c r="V18" i="1500"/>
  <c r="U18" i="1500"/>
  <c r="T18" i="1500"/>
  <c r="P18" i="1500"/>
  <c r="O18" i="1500"/>
  <c r="N18" i="1500"/>
  <c r="M18" i="1500"/>
  <c r="L18" i="1500"/>
  <c r="K18" i="1500"/>
  <c r="J18" i="1500"/>
  <c r="I18" i="1500"/>
  <c r="H18" i="1500"/>
  <c r="G18" i="1500"/>
  <c r="F18" i="1500"/>
  <c r="E18" i="1500"/>
  <c r="D18" i="1500"/>
  <c r="C18" i="1500"/>
  <c r="Y4" i="1500"/>
  <c r="W4" i="1500"/>
  <c r="V4" i="1500"/>
  <c r="U4" i="1500"/>
  <c r="T4" i="1500"/>
  <c r="P4" i="1500"/>
  <c r="O4" i="1500"/>
  <c r="N4" i="1500"/>
  <c r="M4" i="1500"/>
  <c r="L4" i="1500"/>
  <c r="K4" i="1500"/>
  <c r="J4" i="1500"/>
  <c r="I4" i="1500"/>
  <c r="H4" i="1500"/>
  <c r="G4" i="1500"/>
  <c r="F4" i="1500"/>
  <c r="E4" i="1500"/>
  <c r="D4" i="1500"/>
  <c r="C4" i="1500"/>
  <c r="Y3" i="1500"/>
  <c r="W3" i="1500"/>
  <c r="V3" i="1500"/>
  <c r="U3" i="1500"/>
  <c r="T3" i="1500"/>
  <c r="P3" i="1500"/>
  <c r="O3" i="1500"/>
  <c r="N3" i="1500"/>
  <c r="M3" i="1500"/>
  <c r="L3" i="1500"/>
  <c r="K3" i="1500"/>
  <c r="J3" i="1500"/>
  <c r="I3" i="1500"/>
  <c r="H3" i="1500"/>
  <c r="G3" i="1500"/>
  <c r="F3" i="1500"/>
  <c r="E3" i="1500"/>
  <c r="D3" i="1500"/>
  <c r="C3" i="1500"/>
  <c r="C45" i="1494"/>
  <c r="C44" i="1494"/>
  <c r="C45" i="1492"/>
  <c r="C44" i="1492"/>
  <c r="C45" i="1493"/>
  <c r="C44" i="1493"/>
  <c r="C45" i="1483" l="1"/>
  <c r="C44" i="1483"/>
  <c r="C45" i="1486"/>
  <c r="C44" i="1486"/>
  <c r="C44" i="1485"/>
  <c r="C45" i="1499"/>
  <c r="C44" i="1499"/>
  <c r="C45" i="1482"/>
  <c r="C44" i="1482"/>
  <c r="F21" i="1499"/>
  <c r="Y19" i="1499"/>
  <c r="W19" i="1499"/>
  <c r="V19" i="1499"/>
  <c r="U19" i="1499"/>
  <c r="T19" i="1499"/>
  <c r="P19" i="1499"/>
  <c r="O19" i="1499"/>
  <c r="N19" i="1499"/>
  <c r="M19" i="1499"/>
  <c r="L19" i="1499"/>
  <c r="K19" i="1499"/>
  <c r="J19" i="1499"/>
  <c r="I19" i="1499"/>
  <c r="H19" i="1499"/>
  <c r="G19" i="1499"/>
  <c r="F19" i="1499"/>
  <c r="E19" i="1499"/>
  <c r="D19" i="1499"/>
  <c r="C19" i="1499"/>
  <c r="Y18" i="1499"/>
  <c r="W18" i="1499"/>
  <c r="V18" i="1499"/>
  <c r="U18" i="1499"/>
  <c r="T18" i="1499"/>
  <c r="P18" i="1499"/>
  <c r="O18" i="1499"/>
  <c r="N18" i="1499"/>
  <c r="M18" i="1499"/>
  <c r="L18" i="1499"/>
  <c r="K18" i="1499"/>
  <c r="J18" i="1499"/>
  <c r="I18" i="1499"/>
  <c r="H18" i="1499"/>
  <c r="G18" i="1499"/>
  <c r="F18" i="1499"/>
  <c r="E18" i="1499"/>
  <c r="D18" i="1499"/>
  <c r="C18" i="1499"/>
  <c r="Y4" i="1499"/>
  <c r="W4" i="1499"/>
  <c r="V4" i="1499"/>
  <c r="U4" i="1499"/>
  <c r="T4" i="1499"/>
  <c r="P4" i="1499"/>
  <c r="O4" i="1499"/>
  <c r="N4" i="1499"/>
  <c r="M4" i="1499"/>
  <c r="L4" i="1499"/>
  <c r="K4" i="1499"/>
  <c r="J4" i="1499"/>
  <c r="I4" i="1499"/>
  <c r="H4" i="1499"/>
  <c r="G4" i="1499"/>
  <c r="F4" i="1499"/>
  <c r="E4" i="1499"/>
  <c r="D4" i="1499"/>
  <c r="C4" i="1499"/>
  <c r="Y3" i="1499"/>
  <c r="W3" i="1499"/>
  <c r="V3" i="1499"/>
  <c r="U3" i="1499"/>
  <c r="T3" i="1499"/>
  <c r="P3" i="1499"/>
  <c r="O3" i="1499"/>
  <c r="N3" i="1499"/>
  <c r="M3" i="1499"/>
  <c r="L3" i="1499"/>
  <c r="K3" i="1499"/>
  <c r="J3" i="1499"/>
  <c r="I3" i="1499"/>
  <c r="H3" i="1499"/>
  <c r="G3" i="1499"/>
  <c r="F3" i="1499"/>
  <c r="E3" i="1499"/>
  <c r="D3" i="1499"/>
  <c r="C3" i="1499"/>
  <c r="C45" i="1481"/>
  <c r="C44" i="1481"/>
  <c r="C45" i="1478"/>
  <c r="C44" i="1478"/>
  <c r="C45" i="1479"/>
  <c r="C44" i="1479"/>
  <c r="C44" i="1477"/>
  <c r="C44" i="1475" l="1"/>
  <c r="C45" i="1474"/>
  <c r="C44" i="1474"/>
  <c r="C45" i="1473"/>
  <c r="C44" i="1473"/>
  <c r="F21" i="1498"/>
  <c r="Y19" i="1498"/>
  <c r="W19" i="1498"/>
  <c r="V19" i="1498"/>
  <c r="U19" i="1498"/>
  <c r="T19" i="1498"/>
  <c r="P19" i="1498"/>
  <c r="O19" i="1498"/>
  <c r="N19" i="1498"/>
  <c r="M19" i="1498"/>
  <c r="L19" i="1498"/>
  <c r="K19" i="1498"/>
  <c r="J19" i="1498"/>
  <c r="I19" i="1498"/>
  <c r="H19" i="1498"/>
  <c r="G19" i="1498"/>
  <c r="F19" i="1498"/>
  <c r="E19" i="1498"/>
  <c r="D19" i="1498"/>
  <c r="C19" i="1498"/>
  <c r="Y18" i="1498"/>
  <c r="W18" i="1498"/>
  <c r="V18" i="1498"/>
  <c r="U18" i="1498"/>
  <c r="T18" i="1498"/>
  <c r="P18" i="1498"/>
  <c r="O18" i="1498"/>
  <c r="N18" i="1498"/>
  <c r="M18" i="1498"/>
  <c r="L18" i="1498"/>
  <c r="K18" i="1498"/>
  <c r="J18" i="1498"/>
  <c r="I18" i="1498"/>
  <c r="H18" i="1498"/>
  <c r="G18" i="1498"/>
  <c r="F18" i="1498"/>
  <c r="E18" i="1498"/>
  <c r="D18" i="1498"/>
  <c r="C18" i="1498"/>
  <c r="Y4" i="1498"/>
  <c r="W4" i="1498"/>
  <c r="V4" i="1498"/>
  <c r="U4" i="1498"/>
  <c r="T4" i="1498"/>
  <c r="P4" i="1498"/>
  <c r="O4" i="1498"/>
  <c r="N4" i="1498"/>
  <c r="M4" i="1498"/>
  <c r="L4" i="1498"/>
  <c r="K4" i="1498"/>
  <c r="J4" i="1498"/>
  <c r="I4" i="1498"/>
  <c r="H4" i="1498"/>
  <c r="G4" i="1498"/>
  <c r="F4" i="1498"/>
  <c r="E4" i="1498"/>
  <c r="D4" i="1498"/>
  <c r="C4" i="1498"/>
  <c r="Y3" i="1498"/>
  <c r="W3" i="1498"/>
  <c r="V3" i="1498"/>
  <c r="U3" i="1498"/>
  <c r="T3" i="1498"/>
  <c r="P3" i="1498"/>
  <c r="O3" i="1498"/>
  <c r="N3" i="1498"/>
  <c r="M3" i="1498"/>
  <c r="L3" i="1498"/>
  <c r="K3" i="1498"/>
  <c r="J3" i="1498"/>
  <c r="I3" i="1498"/>
  <c r="H3" i="1498"/>
  <c r="G3" i="1498"/>
  <c r="F3" i="1498"/>
  <c r="E3" i="1498"/>
  <c r="D3" i="1498"/>
  <c r="C3" i="1498"/>
  <c r="F21" i="1497"/>
  <c r="Y19" i="1497"/>
  <c r="W19" i="1497"/>
  <c r="V19" i="1497"/>
  <c r="U19" i="1497"/>
  <c r="T19" i="1497"/>
  <c r="P19" i="1497"/>
  <c r="O19" i="1497"/>
  <c r="N19" i="1497"/>
  <c r="M19" i="1497"/>
  <c r="L19" i="1497"/>
  <c r="K19" i="1497"/>
  <c r="J19" i="1497"/>
  <c r="I19" i="1497"/>
  <c r="H19" i="1497"/>
  <c r="G19" i="1497"/>
  <c r="F19" i="1497"/>
  <c r="E19" i="1497"/>
  <c r="D19" i="1497"/>
  <c r="C19" i="1497"/>
  <c r="Y18" i="1497"/>
  <c r="W18" i="1497"/>
  <c r="V18" i="1497"/>
  <c r="U18" i="1497"/>
  <c r="T18" i="1497"/>
  <c r="P18" i="1497"/>
  <c r="O18" i="1497"/>
  <c r="N18" i="1497"/>
  <c r="M18" i="1497"/>
  <c r="L18" i="1497"/>
  <c r="K18" i="1497"/>
  <c r="J18" i="1497"/>
  <c r="I18" i="1497"/>
  <c r="H18" i="1497"/>
  <c r="G18" i="1497"/>
  <c r="F18" i="1497"/>
  <c r="E18" i="1497"/>
  <c r="D18" i="1497"/>
  <c r="C18" i="1497"/>
  <c r="Y4" i="1497"/>
  <c r="W4" i="1497"/>
  <c r="V4" i="1497"/>
  <c r="U4" i="1497"/>
  <c r="T4" i="1497"/>
  <c r="P4" i="1497"/>
  <c r="O4" i="1497"/>
  <c r="N4" i="1497"/>
  <c r="M4" i="1497"/>
  <c r="L4" i="1497"/>
  <c r="K4" i="1497"/>
  <c r="J4" i="1497"/>
  <c r="I4" i="1497"/>
  <c r="H4" i="1497"/>
  <c r="G4" i="1497"/>
  <c r="F4" i="1497"/>
  <c r="E4" i="1497"/>
  <c r="D4" i="1497"/>
  <c r="C4" i="1497"/>
  <c r="Y3" i="1497"/>
  <c r="W3" i="1497"/>
  <c r="V3" i="1497"/>
  <c r="U3" i="1497"/>
  <c r="T3" i="1497"/>
  <c r="P3" i="1497"/>
  <c r="O3" i="1497"/>
  <c r="N3" i="1497"/>
  <c r="M3" i="1497"/>
  <c r="L3" i="1497"/>
  <c r="K3" i="1497"/>
  <c r="J3" i="1497"/>
  <c r="I3" i="1497"/>
  <c r="H3" i="1497"/>
  <c r="G3" i="1497"/>
  <c r="F3" i="1497"/>
  <c r="E3" i="1497"/>
  <c r="D3" i="1497"/>
  <c r="C3" i="1497"/>
  <c r="F21" i="1496"/>
  <c r="Y19" i="1496"/>
  <c r="W19" i="1496"/>
  <c r="V19" i="1496"/>
  <c r="U19" i="1496"/>
  <c r="T19" i="1496"/>
  <c r="P19" i="1496"/>
  <c r="O19" i="1496"/>
  <c r="N19" i="1496"/>
  <c r="M19" i="1496"/>
  <c r="L19" i="1496"/>
  <c r="K19" i="1496"/>
  <c r="J19" i="1496"/>
  <c r="I19" i="1496"/>
  <c r="H19" i="1496"/>
  <c r="G19" i="1496"/>
  <c r="F19" i="1496"/>
  <c r="E19" i="1496"/>
  <c r="D19" i="1496"/>
  <c r="C19" i="1496"/>
  <c r="Y18" i="1496"/>
  <c r="W18" i="1496"/>
  <c r="V18" i="1496"/>
  <c r="U18" i="1496"/>
  <c r="T18" i="1496"/>
  <c r="P18" i="1496"/>
  <c r="O18" i="1496"/>
  <c r="N18" i="1496"/>
  <c r="M18" i="1496"/>
  <c r="L18" i="1496"/>
  <c r="K18" i="1496"/>
  <c r="J18" i="1496"/>
  <c r="I18" i="1496"/>
  <c r="H18" i="1496"/>
  <c r="G18" i="1496"/>
  <c r="F18" i="1496"/>
  <c r="E18" i="1496"/>
  <c r="D18" i="1496"/>
  <c r="C18" i="1496"/>
  <c r="Y4" i="1496"/>
  <c r="W4" i="1496"/>
  <c r="V4" i="1496"/>
  <c r="U4" i="1496"/>
  <c r="T4" i="1496"/>
  <c r="P4" i="1496"/>
  <c r="O4" i="1496"/>
  <c r="N4" i="1496"/>
  <c r="M4" i="1496"/>
  <c r="L4" i="1496"/>
  <c r="K4" i="1496"/>
  <c r="J4" i="1496"/>
  <c r="I4" i="1496"/>
  <c r="H4" i="1496"/>
  <c r="G4" i="1496"/>
  <c r="F4" i="1496"/>
  <c r="E4" i="1496"/>
  <c r="D4" i="1496"/>
  <c r="C4" i="1496"/>
  <c r="Y3" i="1496"/>
  <c r="W3" i="1496"/>
  <c r="V3" i="1496"/>
  <c r="U3" i="1496"/>
  <c r="T3" i="1496"/>
  <c r="P3" i="1496"/>
  <c r="O3" i="1496"/>
  <c r="N3" i="1496"/>
  <c r="M3" i="1496"/>
  <c r="L3" i="1496"/>
  <c r="K3" i="1496"/>
  <c r="J3" i="1496"/>
  <c r="I3" i="1496"/>
  <c r="H3" i="1496"/>
  <c r="G3" i="1496"/>
  <c r="F3" i="1496"/>
  <c r="E3" i="1496"/>
  <c r="D3" i="1496"/>
  <c r="C3" i="1496"/>
  <c r="F21" i="1495"/>
  <c r="Y19" i="1495"/>
  <c r="W19" i="1495"/>
  <c r="V19" i="1495"/>
  <c r="U19" i="1495"/>
  <c r="T19" i="1495"/>
  <c r="P19" i="1495"/>
  <c r="O19" i="1495"/>
  <c r="N19" i="1495"/>
  <c r="M19" i="1495"/>
  <c r="L19" i="1495"/>
  <c r="K19" i="1495"/>
  <c r="J19" i="1495"/>
  <c r="I19" i="1495"/>
  <c r="H19" i="1495"/>
  <c r="G19" i="1495"/>
  <c r="F19" i="1495"/>
  <c r="E19" i="1495"/>
  <c r="D19" i="1495"/>
  <c r="C19" i="1495"/>
  <c r="Y18" i="1495"/>
  <c r="W18" i="1495"/>
  <c r="V18" i="1495"/>
  <c r="U18" i="1495"/>
  <c r="T18" i="1495"/>
  <c r="P18" i="1495"/>
  <c r="O18" i="1495"/>
  <c r="N18" i="1495"/>
  <c r="M18" i="1495"/>
  <c r="L18" i="1495"/>
  <c r="K18" i="1495"/>
  <c r="J18" i="1495"/>
  <c r="I18" i="1495"/>
  <c r="H18" i="1495"/>
  <c r="G18" i="1495"/>
  <c r="F18" i="1495"/>
  <c r="E18" i="1495"/>
  <c r="D18" i="1495"/>
  <c r="C18" i="1495"/>
  <c r="Y4" i="1495"/>
  <c r="W4" i="1495"/>
  <c r="V4" i="1495"/>
  <c r="U4" i="1495"/>
  <c r="T4" i="1495"/>
  <c r="P4" i="1495"/>
  <c r="O4" i="1495"/>
  <c r="N4" i="1495"/>
  <c r="M4" i="1495"/>
  <c r="L4" i="1495"/>
  <c r="K4" i="1495"/>
  <c r="J4" i="1495"/>
  <c r="I4" i="1495"/>
  <c r="H4" i="1495"/>
  <c r="G4" i="1495"/>
  <c r="F4" i="1495"/>
  <c r="E4" i="1495"/>
  <c r="D4" i="1495"/>
  <c r="C4" i="1495"/>
  <c r="Y3" i="1495"/>
  <c r="W3" i="1495"/>
  <c r="V3" i="1495"/>
  <c r="U3" i="1495"/>
  <c r="T3" i="1495"/>
  <c r="P3" i="1495"/>
  <c r="O3" i="1495"/>
  <c r="N3" i="1495"/>
  <c r="M3" i="1495"/>
  <c r="L3" i="1495"/>
  <c r="K3" i="1495"/>
  <c r="J3" i="1495"/>
  <c r="I3" i="1495"/>
  <c r="H3" i="1495"/>
  <c r="G3" i="1495"/>
  <c r="F3" i="1495"/>
  <c r="E3" i="1495"/>
  <c r="D3" i="1495"/>
  <c r="C3" i="1495"/>
  <c r="F21" i="1494"/>
  <c r="Y19" i="1494"/>
  <c r="W19" i="1494"/>
  <c r="V19" i="1494"/>
  <c r="U19" i="1494"/>
  <c r="T19" i="1494"/>
  <c r="P19" i="1494"/>
  <c r="O19" i="1494"/>
  <c r="N19" i="1494"/>
  <c r="M19" i="1494"/>
  <c r="L19" i="1494"/>
  <c r="K19" i="1494"/>
  <c r="J19" i="1494"/>
  <c r="I19" i="1494"/>
  <c r="H19" i="1494"/>
  <c r="G19" i="1494"/>
  <c r="F19" i="1494"/>
  <c r="E19" i="1494"/>
  <c r="D19" i="1494"/>
  <c r="C19" i="1494"/>
  <c r="Y18" i="1494"/>
  <c r="W18" i="1494"/>
  <c r="V18" i="1494"/>
  <c r="U18" i="1494"/>
  <c r="T18" i="1494"/>
  <c r="P18" i="1494"/>
  <c r="O18" i="1494"/>
  <c r="N18" i="1494"/>
  <c r="M18" i="1494"/>
  <c r="L18" i="1494"/>
  <c r="K18" i="1494"/>
  <c r="J18" i="1494"/>
  <c r="I18" i="1494"/>
  <c r="H18" i="1494"/>
  <c r="G18" i="1494"/>
  <c r="F18" i="1494"/>
  <c r="E18" i="1494"/>
  <c r="D18" i="1494"/>
  <c r="C18" i="1494"/>
  <c r="Y4" i="1494"/>
  <c r="W4" i="1494"/>
  <c r="V4" i="1494"/>
  <c r="U4" i="1494"/>
  <c r="T4" i="1494"/>
  <c r="P4" i="1494"/>
  <c r="O4" i="1494"/>
  <c r="N4" i="1494"/>
  <c r="M4" i="1494"/>
  <c r="L4" i="1494"/>
  <c r="K4" i="1494"/>
  <c r="J4" i="1494"/>
  <c r="I4" i="1494"/>
  <c r="H4" i="1494"/>
  <c r="G4" i="1494"/>
  <c r="F4" i="1494"/>
  <c r="E4" i="1494"/>
  <c r="D4" i="1494"/>
  <c r="C4" i="1494"/>
  <c r="Y3" i="1494"/>
  <c r="W3" i="1494"/>
  <c r="V3" i="1494"/>
  <c r="U3" i="1494"/>
  <c r="T3" i="1494"/>
  <c r="P3" i="1494"/>
  <c r="O3" i="1494"/>
  <c r="N3" i="1494"/>
  <c r="M3" i="1494"/>
  <c r="L3" i="1494"/>
  <c r="K3" i="1494"/>
  <c r="J3" i="1494"/>
  <c r="I3" i="1494"/>
  <c r="H3" i="1494"/>
  <c r="G3" i="1494"/>
  <c r="F3" i="1494"/>
  <c r="E3" i="1494"/>
  <c r="D3" i="1494"/>
  <c r="C3" i="1494"/>
  <c r="F21" i="1493"/>
  <c r="Y19" i="1493"/>
  <c r="W19" i="1493"/>
  <c r="V19" i="1493"/>
  <c r="U19" i="1493"/>
  <c r="T19" i="1493"/>
  <c r="P19" i="1493"/>
  <c r="O19" i="1493"/>
  <c r="N19" i="1493"/>
  <c r="M19" i="1493"/>
  <c r="L19" i="1493"/>
  <c r="K19" i="1493"/>
  <c r="J19" i="1493"/>
  <c r="I19" i="1493"/>
  <c r="H19" i="1493"/>
  <c r="G19" i="1493"/>
  <c r="F19" i="1493"/>
  <c r="E19" i="1493"/>
  <c r="D19" i="1493"/>
  <c r="C19" i="1493"/>
  <c r="Y18" i="1493"/>
  <c r="W18" i="1493"/>
  <c r="V18" i="1493"/>
  <c r="U18" i="1493"/>
  <c r="T18" i="1493"/>
  <c r="P18" i="1493"/>
  <c r="O18" i="1493"/>
  <c r="N18" i="1493"/>
  <c r="M18" i="1493"/>
  <c r="L18" i="1493"/>
  <c r="K18" i="1493"/>
  <c r="J18" i="1493"/>
  <c r="I18" i="1493"/>
  <c r="H18" i="1493"/>
  <c r="G18" i="1493"/>
  <c r="F18" i="1493"/>
  <c r="E18" i="1493"/>
  <c r="D18" i="1493"/>
  <c r="C18" i="1493"/>
  <c r="Y4" i="1493"/>
  <c r="W4" i="1493"/>
  <c r="V4" i="1493"/>
  <c r="U4" i="1493"/>
  <c r="T4" i="1493"/>
  <c r="P4" i="1493"/>
  <c r="O4" i="1493"/>
  <c r="N4" i="1493"/>
  <c r="M4" i="1493"/>
  <c r="L4" i="1493"/>
  <c r="K4" i="1493"/>
  <c r="J4" i="1493"/>
  <c r="I4" i="1493"/>
  <c r="H4" i="1493"/>
  <c r="G4" i="1493"/>
  <c r="F4" i="1493"/>
  <c r="E4" i="1493"/>
  <c r="D4" i="1493"/>
  <c r="C4" i="1493"/>
  <c r="Y3" i="1493"/>
  <c r="W3" i="1493"/>
  <c r="V3" i="1493"/>
  <c r="U3" i="1493"/>
  <c r="T3" i="1493"/>
  <c r="P3" i="1493"/>
  <c r="O3" i="1493"/>
  <c r="N3" i="1493"/>
  <c r="M3" i="1493"/>
  <c r="L3" i="1493"/>
  <c r="K3" i="1493"/>
  <c r="J3" i="1493"/>
  <c r="I3" i="1493"/>
  <c r="H3" i="1493"/>
  <c r="G3" i="1493"/>
  <c r="F3" i="1493"/>
  <c r="E3" i="1493"/>
  <c r="D3" i="1493"/>
  <c r="C3" i="1493"/>
  <c r="F21" i="1492"/>
  <c r="Y19" i="1492"/>
  <c r="W19" i="1492"/>
  <c r="V19" i="1492"/>
  <c r="U19" i="1492"/>
  <c r="T19" i="1492"/>
  <c r="P19" i="1492"/>
  <c r="O19" i="1492"/>
  <c r="N19" i="1492"/>
  <c r="M19" i="1492"/>
  <c r="L19" i="1492"/>
  <c r="K19" i="1492"/>
  <c r="J19" i="1492"/>
  <c r="I19" i="1492"/>
  <c r="H19" i="1492"/>
  <c r="G19" i="1492"/>
  <c r="F19" i="1492"/>
  <c r="E19" i="1492"/>
  <c r="D19" i="1492"/>
  <c r="C19" i="1492"/>
  <c r="Y18" i="1492"/>
  <c r="W18" i="1492"/>
  <c r="V18" i="1492"/>
  <c r="U18" i="1492"/>
  <c r="T18" i="1492"/>
  <c r="P18" i="1492"/>
  <c r="O18" i="1492"/>
  <c r="N18" i="1492"/>
  <c r="M18" i="1492"/>
  <c r="L18" i="1492"/>
  <c r="K18" i="1492"/>
  <c r="J18" i="1492"/>
  <c r="I18" i="1492"/>
  <c r="H18" i="1492"/>
  <c r="G18" i="1492"/>
  <c r="F18" i="1492"/>
  <c r="E18" i="1492"/>
  <c r="D18" i="1492"/>
  <c r="C18" i="1492"/>
  <c r="Y4" i="1492"/>
  <c r="W4" i="1492"/>
  <c r="V4" i="1492"/>
  <c r="U4" i="1492"/>
  <c r="T4" i="1492"/>
  <c r="P4" i="1492"/>
  <c r="O4" i="1492"/>
  <c r="N4" i="1492"/>
  <c r="M4" i="1492"/>
  <c r="L4" i="1492"/>
  <c r="K4" i="1492"/>
  <c r="J4" i="1492"/>
  <c r="I4" i="1492"/>
  <c r="H4" i="1492"/>
  <c r="G4" i="1492"/>
  <c r="F4" i="1492"/>
  <c r="E4" i="1492"/>
  <c r="D4" i="1492"/>
  <c r="C4" i="1492"/>
  <c r="Y3" i="1492"/>
  <c r="W3" i="1492"/>
  <c r="V3" i="1492"/>
  <c r="U3" i="1492"/>
  <c r="T3" i="1492"/>
  <c r="P3" i="1492"/>
  <c r="O3" i="1492"/>
  <c r="N3" i="1492"/>
  <c r="M3" i="1492"/>
  <c r="L3" i="1492"/>
  <c r="K3" i="1492"/>
  <c r="J3" i="1492"/>
  <c r="I3" i="1492"/>
  <c r="H3" i="1492"/>
  <c r="G3" i="1492"/>
  <c r="F3" i="1492"/>
  <c r="E3" i="1492"/>
  <c r="D3" i="1492"/>
  <c r="C3" i="1492"/>
  <c r="F21" i="1491"/>
  <c r="Y19" i="1491"/>
  <c r="W19" i="1491"/>
  <c r="V19" i="1491"/>
  <c r="U19" i="1491"/>
  <c r="T19" i="1491"/>
  <c r="P19" i="1491"/>
  <c r="O19" i="1491"/>
  <c r="N19" i="1491"/>
  <c r="M19" i="1491"/>
  <c r="L19" i="1491"/>
  <c r="K19" i="1491"/>
  <c r="J19" i="1491"/>
  <c r="I19" i="1491"/>
  <c r="H19" i="1491"/>
  <c r="G19" i="1491"/>
  <c r="F19" i="1491"/>
  <c r="E19" i="1491"/>
  <c r="D19" i="1491"/>
  <c r="C19" i="1491"/>
  <c r="Y18" i="1491"/>
  <c r="W18" i="1491"/>
  <c r="V18" i="1491"/>
  <c r="U18" i="1491"/>
  <c r="T18" i="1491"/>
  <c r="P18" i="1491"/>
  <c r="O18" i="1491"/>
  <c r="N18" i="1491"/>
  <c r="M18" i="1491"/>
  <c r="L18" i="1491"/>
  <c r="K18" i="1491"/>
  <c r="J18" i="1491"/>
  <c r="I18" i="1491"/>
  <c r="H18" i="1491"/>
  <c r="G18" i="1491"/>
  <c r="F18" i="1491"/>
  <c r="E18" i="1491"/>
  <c r="D18" i="1491"/>
  <c r="C18" i="1491"/>
  <c r="Y4" i="1491"/>
  <c r="W4" i="1491"/>
  <c r="V4" i="1491"/>
  <c r="U4" i="1491"/>
  <c r="T4" i="1491"/>
  <c r="P4" i="1491"/>
  <c r="O4" i="1491"/>
  <c r="N4" i="1491"/>
  <c r="M4" i="1491"/>
  <c r="L4" i="1491"/>
  <c r="K4" i="1491"/>
  <c r="J4" i="1491"/>
  <c r="I4" i="1491"/>
  <c r="H4" i="1491"/>
  <c r="G4" i="1491"/>
  <c r="F4" i="1491"/>
  <c r="E4" i="1491"/>
  <c r="D4" i="1491"/>
  <c r="C4" i="1491"/>
  <c r="Y3" i="1491"/>
  <c r="W3" i="1491"/>
  <c r="V3" i="1491"/>
  <c r="U3" i="1491"/>
  <c r="T3" i="1491"/>
  <c r="P3" i="1491"/>
  <c r="O3" i="1491"/>
  <c r="N3" i="1491"/>
  <c r="M3" i="1491"/>
  <c r="L3" i="1491"/>
  <c r="K3" i="1491"/>
  <c r="J3" i="1491"/>
  <c r="I3" i="1491"/>
  <c r="H3" i="1491"/>
  <c r="G3" i="1491"/>
  <c r="F3" i="1491"/>
  <c r="E3" i="1491"/>
  <c r="D3" i="1491"/>
  <c r="C3" i="1491"/>
  <c r="F21" i="1490"/>
  <c r="Y19" i="1490"/>
  <c r="W19" i="1490"/>
  <c r="V19" i="1490"/>
  <c r="U19" i="1490"/>
  <c r="T19" i="1490"/>
  <c r="P19" i="1490"/>
  <c r="O19" i="1490"/>
  <c r="N19" i="1490"/>
  <c r="M19" i="1490"/>
  <c r="L19" i="1490"/>
  <c r="K19" i="1490"/>
  <c r="J19" i="1490"/>
  <c r="I19" i="1490"/>
  <c r="H19" i="1490"/>
  <c r="G19" i="1490"/>
  <c r="F19" i="1490"/>
  <c r="E19" i="1490"/>
  <c r="D19" i="1490"/>
  <c r="C19" i="1490"/>
  <c r="Y18" i="1490"/>
  <c r="W18" i="1490"/>
  <c r="V18" i="1490"/>
  <c r="U18" i="1490"/>
  <c r="T18" i="1490"/>
  <c r="P18" i="1490"/>
  <c r="O18" i="1490"/>
  <c r="N18" i="1490"/>
  <c r="M18" i="1490"/>
  <c r="L18" i="1490"/>
  <c r="K18" i="1490"/>
  <c r="J18" i="1490"/>
  <c r="I18" i="1490"/>
  <c r="H18" i="1490"/>
  <c r="G18" i="1490"/>
  <c r="F18" i="1490"/>
  <c r="E18" i="1490"/>
  <c r="D18" i="1490"/>
  <c r="C18" i="1490"/>
  <c r="Y4" i="1490"/>
  <c r="W4" i="1490"/>
  <c r="V4" i="1490"/>
  <c r="U4" i="1490"/>
  <c r="T4" i="1490"/>
  <c r="P4" i="1490"/>
  <c r="O4" i="1490"/>
  <c r="N4" i="1490"/>
  <c r="M4" i="1490"/>
  <c r="L4" i="1490"/>
  <c r="K4" i="1490"/>
  <c r="J4" i="1490"/>
  <c r="I4" i="1490"/>
  <c r="H4" i="1490"/>
  <c r="G4" i="1490"/>
  <c r="F4" i="1490"/>
  <c r="E4" i="1490"/>
  <c r="D4" i="1490"/>
  <c r="C4" i="1490"/>
  <c r="Y3" i="1490"/>
  <c r="W3" i="1490"/>
  <c r="V3" i="1490"/>
  <c r="U3" i="1490"/>
  <c r="T3" i="1490"/>
  <c r="P3" i="1490"/>
  <c r="O3" i="1490"/>
  <c r="N3" i="1490"/>
  <c r="M3" i="1490"/>
  <c r="L3" i="1490"/>
  <c r="K3" i="1490"/>
  <c r="J3" i="1490"/>
  <c r="I3" i="1490"/>
  <c r="H3" i="1490"/>
  <c r="G3" i="1490"/>
  <c r="F3" i="1490"/>
  <c r="E3" i="1490"/>
  <c r="D3" i="1490"/>
  <c r="C3" i="1490"/>
  <c r="F21" i="1489"/>
  <c r="Y19" i="1489"/>
  <c r="W19" i="1489"/>
  <c r="V19" i="1489"/>
  <c r="U19" i="1489"/>
  <c r="T19" i="1489"/>
  <c r="P19" i="1489"/>
  <c r="O19" i="1489"/>
  <c r="N19" i="1489"/>
  <c r="M19" i="1489"/>
  <c r="L19" i="1489"/>
  <c r="K19" i="1489"/>
  <c r="J19" i="1489"/>
  <c r="I19" i="1489"/>
  <c r="H19" i="1489"/>
  <c r="G19" i="1489"/>
  <c r="F19" i="1489"/>
  <c r="E19" i="1489"/>
  <c r="D19" i="1489"/>
  <c r="C19" i="1489"/>
  <c r="Y18" i="1489"/>
  <c r="W18" i="1489"/>
  <c r="V18" i="1489"/>
  <c r="U18" i="1489"/>
  <c r="T18" i="1489"/>
  <c r="P18" i="1489"/>
  <c r="O18" i="1489"/>
  <c r="N18" i="1489"/>
  <c r="M18" i="1489"/>
  <c r="L18" i="1489"/>
  <c r="K18" i="1489"/>
  <c r="J18" i="1489"/>
  <c r="I18" i="1489"/>
  <c r="H18" i="1489"/>
  <c r="G18" i="1489"/>
  <c r="F18" i="1489"/>
  <c r="E18" i="1489"/>
  <c r="D18" i="1489"/>
  <c r="C18" i="1489"/>
  <c r="Y4" i="1489"/>
  <c r="W4" i="1489"/>
  <c r="V4" i="1489"/>
  <c r="U4" i="1489"/>
  <c r="T4" i="1489"/>
  <c r="P4" i="1489"/>
  <c r="O4" i="1489"/>
  <c r="N4" i="1489"/>
  <c r="M4" i="1489"/>
  <c r="L4" i="1489"/>
  <c r="K4" i="1489"/>
  <c r="J4" i="1489"/>
  <c r="I4" i="1489"/>
  <c r="H4" i="1489"/>
  <c r="G4" i="1489"/>
  <c r="F4" i="1489"/>
  <c r="E4" i="1489"/>
  <c r="D4" i="1489"/>
  <c r="C4" i="1489"/>
  <c r="Y3" i="1489"/>
  <c r="W3" i="1489"/>
  <c r="V3" i="1489"/>
  <c r="U3" i="1489"/>
  <c r="T3" i="1489"/>
  <c r="P3" i="1489"/>
  <c r="O3" i="1489"/>
  <c r="N3" i="1489"/>
  <c r="M3" i="1489"/>
  <c r="L3" i="1489"/>
  <c r="K3" i="1489"/>
  <c r="J3" i="1489"/>
  <c r="I3" i="1489"/>
  <c r="H3" i="1489"/>
  <c r="G3" i="1489"/>
  <c r="F3" i="1489"/>
  <c r="E3" i="1489"/>
  <c r="D3" i="1489"/>
  <c r="C3" i="1489"/>
  <c r="F21" i="1488"/>
  <c r="Y19" i="1488"/>
  <c r="W19" i="1488"/>
  <c r="V19" i="1488"/>
  <c r="U19" i="1488"/>
  <c r="T19" i="1488"/>
  <c r="P19" i="1488"/>
  <c r="O19" i="1488"/>
  <c r="N19" i="1488"/>
  <c r="M19" i="1488"/>
  <c r="L19" i="1488"/>
  <c r="K19" i="1488"/>
  <c r="J19" i="1488"/>
  <c r="I19" i="1488"/>
  <c r="H19" i="1488"/>
  <c r="G19" i="1488"/>
  <c r="F19" i="1488"/>
  <c r="E19" i="1488"/>
  <c r="D19" i="1488"/>
  <c r="C19" i="1488"/>
  <c r="Y18" i="1488"/>
  <c r="W18" i="1488"/>
  <c r="V18" i="1488"/>
  <c r="U18" i="1488"/>
  <c r="T18" i="1488"/>
  <c r="P18" i="1488"/>
  <c r="O18" i="1488"/>
  <c r="N18" i="1488"/>
  <c r="M18" i="1488"/>
  <c r="L18" i="1488"/>
  <c r="K18" i="1488"/>
  <c r="J18" i="1488"/>
  <c r="I18" i="1488"/>
  <c r="H18" i="1488"/>
  <c r="G18" i="1488"/>
  <c r="F18" i="1488"/>
  <c r="E18" i="1488"/>
  <c r="D18" i="1488"/>
  <c r="C18" i="1488"/>
  <c r="Y4" i="1488"/>
  <c r="W4" i="1488"/>
  <c r="V4" i="1488"/>
  <c r="U4" i="1488"/>
  <c r="T4" i="1488"/>
  <c r="P4" i="1488"/>
  <c r="O4" i="1488"/>
  <c r="N4" i="1488"/>
  <c r="M4" i="1488"/>
  <c r="L4" i="1488"/>
  <c r="K4" i="1488"/>
  <c r="J4" i="1488"/>
  <c r="I4" i="1488"/>
  <c r="H4" i="1488"/>
  <c r="G4" i="1488"/>
  <c r="F4" i="1488"/>
  <c r="E4" i="1488"/>
  <c r="D4" i="1488"/>
  <c r="C4" i="1488"/>
  <c r="Y3" i="1488"/>
  <c r="W3" i="1488"/>
  <c r="V3" i="1488"/>
  <c r="U3" i="1488"/>
  <c r="T3" i="1488"/>
  <c r="P3" i="1488"/>
  <c r="O3" i="1488"/>
  <c r="N3" i="1488"/>
  <c r="M3" i="1488"/>
  <c r="L3" i="1488"/>
  <c r="K3" i="1488"/>
  <c r="J3" i="1488"/>
  <c r="I3" i="1488"/>
  <c r="H3" i="1488"/>
  <c r="G3" i="1488"/>
  <c r="F3" i="1488"/>
  <c r="E3" i="1488"/>
  <c r="D3" i="1488"/>
  <c r="C3" i="1488"/>
  <c r="F21" i="1487"/>
  <c r="Y19" i="1487"/>
  <c r="W19" i="1487"/>
  <c r="V19" i="1487"/>
  <c r="U19" i="1487"/>
  <c r="T19" i="1487"/>
  <c r="P19" i="1487"/>
  <c r="O19" i="1487"/>
  <c r="N19" i="1487"/>
  <c r="M19" i="1487"/>
  <c r="L19" i="1487"/>
  <c r="K19" i="1487"/>
  <c r="J19" i="1487"/>
  <c r="I19" i="1487"/>
  <c r="H19" i="1487"/>
  <c r="G19" i="1487"/>
  <c r="F19" i="1487"/>
  <c r="E19" i="1487"/>
  <c r="D19" i="1487"/>
  <c r="C19" i="1487"/>
  <c r="Y18" i="1487"/>
  <c r="W18" i="1487"/>
  <c r="V18" i="1487"/>
  <c r="U18" i="1487"/>
  <c r="T18" i="1487"/>
  <c r="P18" i="1487"/>
  <c r="O18" i="1487"/>
  <c r="N18" i="1487"/>
  <c r="M18" i="1487"/>
  <c r="L18" i="1487"/>
  <c r="K18" i="1487"/>
  <c r="J18" i="1487"/>
  <c r="I18" i="1487"/>
  <c r="H18" i="1487"/>
  <c r="G18" i="1487"/>
  <c r="F18" i="1487"/>
  <c r="E18" i="1487"/>
  <c r="D18" i="1487"/>
  <c r="C18" i="1487"/>
  <c r="Y4" i="1487"/>
  <c r="W4" i="1487"/>
  <c r="V4" i="1487"/>
  <c r="U4" i="1487"/>
  <c r="T4" i="1487"/>
  <c r="P4" i="1487"/>
  <c r="O4" i="1487"/>
  <c r="N4" i="1487"/>
  <c r="M4" i="1487"/>
  <c r="L4" i="1487"/>
  <c r="K4" i="1487"/>
  <c r="J4" i="1487"/>
  <c r="I4" i="1487"/>
  <c r="H4" i="1487"/>
  <c r="G4" i="1487"/>
  <c r="F4" i="1487"/>
  <c r="E4" i="1487"/>
  <c r="D4" i="1487"/>
  <c r="C4" i="1487"/>
  <c r="Y3" i="1487"/>
  <c r="W3" i="1487"/>
  <c r="V3" i="1487"/>
  <c r="U3" i="1487"/>
  <c r="T3" i="1487"/>
  <c r="P3" i="1487"/>
  <c r="O3" i="1487"/>
  <c r="N3" i="1487"/>
  <c r="M3" i="1487"/>
  <c r="L3" i="1487"/>
  <c r="K3" i="1487"/>
  <c r="J3" i="1487"/>
  <c r="I3" i="1487"/>
  <c r="H3" i="1487"/>
  <c r="G3" i="1487"/>
  <c r="F3" i="1487"/>
  <c r="E3" i="1487"/>
  <c r="D3" i="1487"/>
  <c r="C3" i="1487"/>
  <c r="F21" i="1486"/>
  <c r="Y19" i="1486"/>
  <c r="W19" i="1486"/>
  <c r="V19" i="1486"/>
  <c r="U19" i="1486"/>
  <c r="T19" i="1486"/>
  <c r="P19" i="1486"/>
  <c r="O19" i="1486"/>
  <c r="N19" i="1486"/>
  <c r="M19" i="1486"/>
  <c r="L19" i="1486"/>
  <c r="K19" i="1486"/>
  <c r="J19" i="1486"/>
  <c r="I19" i="1486"/>
  <c r="H19" i="1486"/>
  <c r="G19" i="1486"/>
  <c r="F19" i="1486"/>
  <c r="E19" i="1486"/>
  <c r="D19" i="1486"/>
  <c r="C19" i="1486"/>
  <c r="Y18" i="1486"/>
  <c r="W18" i="1486"/>
  <c r="V18" i="1486"/>
  <c r="U18" i="1486"/>
  <c r="T18" i="1486"/>
  <c r="P18" i="1486"/>
  <c r="O18" i="1486"/>
  <c r="N18" i="1486"/>
  <c r="M18" i="1486"/>
  <c r="L18" i="1486"/>
  <c r="K18" i="1486"/>
  <c r="J18" i="1486"/>
  <c r="I18" i="1486"/>
  <c r="H18" i="1486"/>
  <c r="G18" i="1486"/>
  <c r="F18" i="1486"/>
  <c r="E18" i="1486"/>
  <c r="D18" i="1486"/>
  <c r="C18" i="1486"/>
  <c r="Y4" i="1486"/>
  <c r="W4" i="1486"/>
  <c r="V4" i="1486"/>
  <c r="U4" i="1486"/>
  <c r="T4" i="1486"/>
  <c r="P4" i="1486"/>
  <c r="O4" i="1486"/>
  <c r="N4" i="1486"/>
  <c r="M4" i="1486"/>
  <c r="L4" i="1486"/>
  <c r="K4" i="1486"/>
  <c r="J4" i="1486"/>
  <c r="I4" i="1486"/>
  <c r="H4" i="1486"/>
  <c r="G4" i="1486"/>
  <c r="F4" i="1486"/>
  <c r="E4" i="1486"/>
  <c r="D4" i="1486"/>
  <c r="C4" i="1486"/>
  <c r="Y3" i="1486"/>
  <c r="W3" i="1486"/>
  <c r="V3" i="1486"/>
  <c r="U3" i="1486"/>
  <c r="T3" i="1486"/>
  <c r="P3" i="1486"/>
  <c r="O3" i="1486"/>
  <c r="N3" i="1486"/>
  <c r="M3" i="1486"/>
  <c r="L3" i="1486"/>
  <c r="K3" i="1486"/>
  <c r="J3" i="1486"/>
  <c r="I3" i="1486"/>
  <c r="H3" i="1486"/>
  <c r="G3" i="1486"/>
  <c r="F3" i="1486"/>
  <c r="E3" i="1486"/>
  <c r="D3" i="1486"/>
  <c r="C3" i="1486"/>
  <c r="F21" i="1485"/>
  <c r="Y19" i="1485"/>
  <c r="W19" i="1485"/>
  <c r="V19" i="1485"/>
  <c r="U19" i="1485"/>
  <c r="T19" i="1485"/>
  <c r="P19" i="1485"/>
  <c r="O19" i="1485"/>
  <c r="N19" i="1485"/>
  <c r="M19" i="1485"/>
  <c r="L19" i="1485"/>
  <c r="K19" i="1485"/>
  <c r="J19" i="1485"/>
  <c r="I19" i="1485"/>
  <c r="H19" i="1485"/>
  <c r="G19" i="1485"/>
  <c r="F19" i="1485"/>
  <c r="E19" i="1485"/>
  <c r="D19" i="1485"/>
  <c r="C19" i="1485"/>
  <c r="Y18" i="1485"/>
  <c r="W18" i="1485"/>
  <c r="V18" i="1485"/>
  <c r="U18" i="1485"/>
  <c r="T18" i="1485"/>
  <c r="P18" i="1485"/>
  <c r="O18" i="1485"/>
  <c r="N18" i="1485"/>
  <c r="M18" i="1485"/>
  <c r="L18" i="1485"/>
  <c r="K18" i="1485"/>
  <c r="J18" i="1485"/>
  <c r="I18" i="1485"/>
  <c r="H18" i="1485"/>
  <c r="G18" i="1485"/>
  <c r="F18" i="1485"/>
  <c r="E18" i="1485"/>
  <c r="D18" i="1485"/>
  <c r="C18" i="1485"/>
  <c r="Y4" i="1485"/>
  <c r="W4" i="1485"/>
  <c r="V4" i="1485"/>
  <c r="U4" i="1485"/>
  <c r="T4" i="1485"/>
  <c r="P4" i="1485"/>
  <c r="O4" i="1485"/>
  <c r="N4" i="1485"/>
  <c r="M4" i="1485"/>
  <c r="L4" i="1485"/>
  <c r="K4" i="1485"/>
  <c r="J4" i="1485"/>
  <c r="I4" i="1485"/>
  <c r="H4" i="1485"/>
  <c r="G4" i="1485"/>
  <c r="F4" i="1485"/>
  <c r="E4" i="1485"/>
  <c r="D4" i="1485"/>
  <c r="C4" i="1485"/>
  <c r="Y3" i="1485"/>
  <c r="W3" i="1485"/>
  <c r="V3" i="1485"/>
  <c r="U3" i="1485"/>
  <c r="T3" i="1485"/>
  <c r="P3" i="1485"/>
  <c r="O3" i="1485"/>
  <c r="N3" i="1485"/>
  <c r="M3" i="1485"/>
  <c r="L3" i="1485"/>
  <c r="K3" i="1485"/>
  <c r="J3" i="1485"/>
  <c r="I3" i="1485"/>
  <c r="H3" i="1485"/>
  <c r="G3" i="1485"/>
  <c r="F3" i="1485"/>
  <c r="E3" i="1485"/>
  <c r="D3" i="1485"/>
  <c r="C3" i="1485"/>
  <c r="F21" i="1484"/>
  <c r="Y19" i="1484"/>
  <c r="W19" i="1484"/>
  <c r="V19" i="1484"/>
  <c r="U19" i="1484"/>
  <c r="T19" i="1484"/>
  <c r="P19" i="1484"/>
  <c r="O19" i="1484"/>
  <c r="N19" i="1484"/>
  <c r="M19" i="1484"/>
  <c r="L19" i="1484"/>
  <c r="K19" i="1484"/>
  <c r="J19" i="1484"/>
  <c r="I19" i="1484"/>
  <c r="H19" i="1484"/>
  <c r="G19" i="1484"/>
  <c r="F19" i="1484"/>
  <c r="E19" i="1484"/>
  <c r="D19" i="1484"/>
  <c r="C19" i="1484"/>
  <c r="Y18" i="1484"/>
  <c r="W18" i="1484"/>
  <c r="V18" i="1484"/>
  <c r="U18" i="1484"/>
  <c r="T18" i="1484"/>
  <c r="P18" i="1484"/>
  <c r="O18" i="1484"/>
  <c r="N18" i="1484"/>
  <c r="M18" i="1484"/>
  <c r="L18" i="1484"/>
  <c r="K18" i="1484"/>
  <c r="J18" i="1484"/>
  <c r="I18" i="1484"/>
  <c r="H18" i="1484"/>
  <c r="G18" i="1484"/>
  <c r="F18" i="1484"/>
  <c r="E18" i="1484"/>
  <c r="D18" i="1484"/>
  <c r="C18" i="1484"/>
  <c r="Y4" i="1484"/>
  <c r="W4" i="1484"/>
  <c r="V4" i="1484"/>
  <c r="U4" i="1484"/>
  <c r="T4" i="1484"/>
  <c r="P4" i="1484"/>
  <c r="O4" i="1484"/>
  <c r="N4" i="1484"/>
  <c r="M4" i="1484"/>
  <c r="L4" i="1484"/>
  <c r="K4" i="1484"/>
  <c r="J4" i="1484"/>
  <c r="I4" i="1484"/>
  <c r="H4" i="1484"/>
  <c r="G4" i="1484"/>
  <c r="F4" i="1484"/>
  <c r="E4" i="1484"/>
  <c r="D4" i="1484"/>
  <c r="C4" i="1484"/>
  <c r="Y3" i="1484"/>
  <c r="W3" i="1484"/>
  <c r="V3" i="1484"/>
  <c r="U3" i="1484"/>
  <c r="T3" i="1484"/>
  <c r="P3" i="1484"/>
  <c r="O3" i="1484"/>
  <c r="N3" i="1484"/>
  <c r="M3" i="1484"/>
  <c r="L3" i="1484"/>
  <c r="K3" i="1484"/>
  <c r="J3" i="1484"/>
  <c r="I3" i="1484"/>
  <c r="H3" i="1484"/>
  <c r="G3" i="1484"/>
  <c r="F3" i="1484"/>
  <c r="E3" i="1484"/>
  <c r="D3" i="1484"/>
  <c r="C3" i="1484"/>
  <c r="F21" i="1483"/>
  <c r="Y19" i="1483"/>
  <c r="W19" i="1483"/>
  <c r="V19" i="1483"/>
  <c r="U19" i="1483"/>
  <c r="T19" i="1483"/>
  <c r="P19" i="1483"/>
  <c r="O19" i="1483"/>
  <c r="N19" i="1483"/>
  <c r="M19" i="1483"/>
  <c r="L19" i="1483"/>
  <c r="K19" i="1483"/>
  <c r="J19" i="1483"/>
  <c r="I19" i="1483"/>
  <c r="H19" i="1483"/>
  <c r="G19" i="1483"/>
  <c r="F19" i="1483"/>
  <c r="E19" i="1483"/>
  <c r="D19" i="1483"/>
  <c r="C19" i="1483"/>
  <c r="Y18" i="1483"/>
  <c r="W18" i="1483"/>
  <c r="V18" i="1483"/>
  <c r="U18" i="1483"/>
  <c r="T18" i="1483"/>
  <c r="P18" i="1483"/>
  <c r="O18" i="1483"/>
  <c r="N18" i="1483"/>
  <c r="M18" i="1483"/>
  <c r="L18" i="1483"/>
  <c r="K18" i="1483"/>
  <c r="J18" i="1483"/>
  <c r="I18" i="1483"/>
  <c r="H18" i="1483"/>
  <c r="G18" i="1483"/>
  <c r="F18" i="1483"/>
  <c r="E18" i="1483"/>
  <c r="D18" i="1483"/>
  <c r="C18" i="1483"/>
  <c r="Y4" i="1483"/>
  <c r="W4" i="1483"/>
  <c r="V4" i="1483"/>
  <c r="U4" i="1483"/>
  <c r="T4" i="1483"/>
  <c r="P4" i="1483"/>
  <c r="O4" i="1483"/>
  <c r="N4" i="1483"/>
  <c r="M4" i="1483"/>
  <c r="L4" i="1483"/>
  <c r="K4" i="1483"/>
  <c r="J4" i="1483"/>
  <c r="I4" i="1483"/>
  <c r="H4" i="1483"/>
  <c r="G4" i="1483"/>
  <c r="F4" i="1483"/>
  <c r="E4" i="1483"/>
  <c r="D4" i="1483"/>
  <c r="C4" i="1483"/>
  <c r="Y3" i="1483"/>
  <c r="W3" i="1483"/>
  <c r="V3" i="1483"/>
  <c r="U3" i="1483"/>
  <c r="T3" i="1483"/>
  <c r="P3" i="1483"/>
  <c r="O3" i="1483"/>
  <c r="N3" i="1483"/>
  <c r="M3" i="1483"/>
  <c r="L3" i="1483"/>
  <c r="K3" i="1483"/>
  <c r="J3" i="1483"/>
  <c r="I3" i="1483"/>
  <c r="H3" i="1483"/>
  <c r="G3" i="1483"/>
  <c r="F3" i="1483"/>
  <c r="E3" i="1483"/>
  <c r="D3" i="1483"/>
  <c r="C3" i="1483"/>
  <c r="F21" i="1482"/>
  <c r="Y19" i="1482"/>
  <c r="W19" i="1482"/>
  <c r="V19" i="1482"/>
  <c r="U19" i="1482"/>
  <c r="T19" i="1482"/>
  <c r="P19" i="1482"/>
  <c r="O19" i="1482"/>
  <c r="N19" i="1482"/>
  <c r="M19" i="1482"/>
  <c r="L19" i="1482"/>
  <c r="K19" i="1482"/>
  <c r="J19" i="1482"/>
  <c r="I19" i="1482"/>
  <c r="H19" i="1482"/>
  <c r="G19" i="1482"/>
  <c r="F19" i="1482"/>
  <c r="E19" i="1482"/>
  <c r="D19" i="1482"/>
  <c r="C19" i="1482"/>
  <c r="Y18" i="1482"/>
  <c r="W18" i="1482"/>
  <c r="V18" i="1482"/>
  <c r="U18" i="1482"/>
  <c r="T18" i="1482"/>
  <c r="P18" i="1482"/>
  <c r="O18" i="1482"/>
  <c r="N18" i="1482"/>
  <c r="M18" i="1482"/>
  <c r="L18" i="1482"/>
  <c r="K18" i="1482"/>
  <c r="J18" i="1482"/>
  <c r="I18" i="1482"/>
  <c r="H18" i="1482"/>
  <c r="G18" i="1482"/>
  <c r="F18" i="1482"/>
  <c r="E18" i="1482"/>
  <c r="D18" i="1482"/>
  <c r="C18" i="1482"/>
  <c r="Y4" i="1482"/>
  <c r="W4" i="1482"/>
  <c r="V4" i="1482"/>
  <c r="U4" i="1482"/>
  <c r="T4" i="1482"/>
  <c r="P4" i="1482"/>
  <c r="O4" i="1482"/>
  <c r="N4" i="1482"/>
  <c r="M4" i="1482"/>
  <c r="L4" i="1482"/>
  <c r="K4" i="1482"/>
  <c r="J4" i="1482"/>
  <c r="I4" i="1482"/>
  <c r="H4" i="1482"/>
  <c r="G4" i="1482"/>
  <c r="F4" i="1482"/>
  <c r="E4" i="1482"/>
  <c r="D4" i="1482"/>
  <c r="C4" i="1482"/>
  <c r="Y3" i="1482"/>
  <c r="W3" i="1482"/>
  <c r="V3" i="1482"/>
  <c r="U3" i="1482"/>
  <c r="T3" i="1482"/>
  <c r="P3" i="1482"/>
  <c r="O3" i="1482"/>
  <c r="N3" i="1482"/>
  <c r="M3" i="1482"/>
  <c r="L3" i="1482"/>
  <c r="K3" i="1482"/>
  <c r="J3" i="1482"/>
  <c r="I3" i="1482"/>
  <c r="H3" i="1482"/>
  <c r="G3" i="1482"/>
  <c r="F3" i="1482"/>
  <c r="E3" i="1482"/>
  <c r="D3" i="1482"/>
  <c r="C3" i="1482"/>
  <c r="F21" i="1481"/>
  <c r="Y19" i="1481"/>
  <c r="W19" i="1481"/>
  <c r="V19" i="1481"/>
  <c r="U19" i="1481"/>
  <c r="T19" i="1481"/>
  <c r="P19" i="1481"/>
  <c r="O19" i="1481"/>
  <c r="N19" i="1481"/>
  <c r="M19" i="1481"/>
  <c r="L19" i="1481"/>
  <c r="K19" i="1481"/>
  <c r="J19" i="1481"/>
  <c r="I19" i="1481"/>
  <c r="H19" i="1481"/>
  <c r="G19" i="1481"/>
  <c r="F19" i="1481"/>
  <c r="E19" i="1481"/>
  <c r="D19" i="1481"/>
  <c r="C19" i="1481"/>
  <c r="Y18" i="1481"/>
  <c r="W18" i="1481"/>
  <c r="V18" i="1481"/>
  <c r="U18" i="1481"/>
  <c r="T18" i="1481"/>
  <c r="P18" i="1481"/>
  <c r="O18" i="1481"/>
  <c r="N18" i="1481"/>
  <c r="M18" i="1481"/>
  <c r="L18" i="1481"/>
  <c r="K18" i="1481"/>
  <c r="J18" i="1481"/>
  <c r="I18" i="1481"/>
  <c r="H18" i="1481"/>
  <c r="G18" i="1481"/>
  <c r="F18" i="1481"/>
  <c r="E18" i="1481"/>
  <c r="D18" i="1481"/>
  <c r="C18" i="1481"/>
  <c r="Y4" i="1481"/>
  <c r="W4" i="1481"/>
  <c r="V4" i="1481"/>
  <c r="U4" i="1481"/>
  <c r="T4" i="1481"/>
  <c r="P4" i="1481"/>
  <c r="O4" i="1481"/>
  <c r="N4" i="1481"/>
  <c r="M4" i="1481"/>
  <c r="L4" i="1481"/>
  <c r="K4" i="1481"/>
  <c r="J4" i="1481"/>
  <c r="I4" i="1481"/>
  <c r="H4" i="1481"/>
  <c r="G4" i="1481"/>
  <c r="F4" i="1481"/>
  <c r="E4" i="1481"/>
  <c r="D4" i="1481"/>
  <c r="C4" i="1481"/>
  <c r="Y3" i="1481"/>
  <c r="W3" i="1481"/>
  <c r="V3" i="1481"/>
  <c r="U3" i="1481"/>
  <c r="T3" i="1481"/>
  <c r="P3" i="1481"/>
  <c r="O3" i="1481"/>
  <c r="N3" i="1481"/>
  <c r="M3" i="1481"/>
  <c r="L3" i="1481"/>
  <c r="K3" i="1481"/>
  <c r="J3" i="1481"/>
  <c r="I3" i="1481"/>
  <c r="H3" i="1481"/>
  <c r="G3" i="1481"/>
  <c r="F3" i="1481"/>
  <c r="E3" i="1481"/>
  <c r="D3" i="1481"/>
  <c r="C3" i="1481"/>
  <c r="F21" i="1480"/>
  <c r="Y19" i="1480"/>
  <c r="W19" i="1480"/>
  <c r="V19" i="1480"/>
  <c r="U19" i="1480"/>
  <c r="T19" i="1480"/>
  <c r="P19" i="1480"/>
  <c r="O19" i="1480"/>
  <c r="N19" i="1480"/>
  <c r="M19" i="1480"/>
  <c r="L19" i="1480"/>
  <c r="K19" i="1480"/>
  <c r="J19" i="1480"/>
  <c r="I19" i="1480"/>
  <c r="H19" i="1480"/>
  <c r="G19" i="1480"/>
  <c r="F19" i="1480"/>
  <c r="E19" i="1480"/>
  <c r="D19" i="1480"/>
  <c r="C19" i="1480"/>
  <c r="Y18" i="1480"/>
  <c r="W18" i="1480"/>
  <c r="V18" i="1480"/>
  <c r="U18" i="1480"/>
  <c r="T18" i="1480"/>
  <c r="P18" i="1480"/>
  <c r="O18" i="1480"/>
  <c r="N18" i="1480"/>
  <c r="M18" i="1480"/>
  <c r="L18" i="1480"/>
  <c r="K18" i="1480"/>
  <c r="J18" i="1480"/>
  <c r="I18" i="1480"/>
  <c r="H18" i="1480"/>
  <c r="G18" i="1480"/>
  <c r="F18" i="1480"/>
  <c r="E18" i="1480"/>
  <c r="D18" i="1480"/>
  <c r="C18" i="1480"/>
  <c r="Y4" i="1480"/>
  <c r="W4" i="1480"/>
  <c r="V4" i="1480"/>
  <c r="U4" i="1480"/>
  <c r="T4" i="1480"/>
  <c r="P4" i="1480"/>
  <c r="O4" i="1480"/>
  <c r="N4" i="1480"/>
  <c r="M4" i="1480"/>
  <c r="L4" i="1480"/>
  <c r="K4" i="1480"/>
  <c r="J4" i="1480"/>
  <c r="I4" i="1480"/>
  <c r="H4" i="1480"/>
  <c r="G4" i="1480"/>
  <c r="F4" i="1480"/>
  <c r="E4" i="1480"/>
  <c r="D4" i="1480"/>
  <c r="C4" i="1480"/>
  <c r="Y3" i="1480"/>
  <c r="W3" i="1480"/>
  <c r="V3" i="1480"/>
  <c r="U3" i="1480"/>
  <c r="T3" i="1480"/>
  <c r="P3" i="1480"/>
  <c r="O3" i="1480"/>
  <c r="N3" i="1480"/>
  <c r="M3" i="1480"/>
  <c r="L3" i="1480"/>
  <c r="K3" i="1480"/>
  <c r="J3" i="1480"/>
  <c r="I3" i="1480"/>
  <c r="H3" i="1480"/>
  <c r="G3" i="1480"/>
  <c r="F3" i="1480"/>
  <c r="E3" i="1480"/>
  <c r="D3" i="1480"/>
  <c r="C3" i="1480"/>
  <c r="F21" i="1479"/>
  <c r="Y19" i="1479"/>
  <c r="W19" i="1479"/>
  <c r="V19" i="1479"/>
  <c r="U19" i="1479"/>
  <c r="T19" i="1479"/>
  <c r="P19" i="1479"/>
  <c r="O19" i="1479"/>
  <c r="N19" i="1479"/>
  <c r="M19" i="1479"/>
  <c r="L19" i="1479"/>
  <c r="K19" i="1479"/>
  <c r="J19" i="1479"/>
  <c r="I19" i="1479"/>
  <c r="H19" i="1479"/>
  <c r="G19" i="1479"/>
  <c r="F19" i="1479"/>
  <c r="E19" i="1479"/>
  <c r="D19" i="1479"/>
  <c r="C19" i="1479"/>
  <c r="Y18" i="1479"/>
  <c r="W18" i="1479"/>
  <c r="V18" i="1479"/>
  <c r="U18" i="1479"/>
  <c r="T18" i="1479"/>
  <c r="P18" i="1479"/>
  <c r="O18" i="1479"/>
  <c r="N18" i="1479"/>
  <c r="M18" i="1479"/>
  <c r="L18" i="1479"/>
  <c r="K18" i="1479"/>
  <c r="J18" i="1479"/>
  <c r="I18" i="1479"/>
  <c r="H18" i="1479"/>
  <c r="G18" i="1479"/>
  <c r="F18" i="1479"/>
  <c r="E18" i="1479"/>
  <c r="D18" i="1479"/>
  <c r="C18" i="1479"/>
  <c r="Y4" i="1479"/>
  <c r="W4" i="1479"/>
  <c r="V4" i="1479"/>
  <c r="U4" i="1479"/>
  <c r="T4" i="1479"/>
  <c r="P4" i="1479"/>
  <c r="O4" i="1479"/>
  <c r="N4" i="1479"/>
  <c r="M4" i="1479"/>
  <c r="L4" i="1479"/>
  <c r="K4" i="1479"/>
  <c r="J4" i="1479"/>
  <c r="I4" i="1479"/>
  <c r="H4" i="1479"/>
  <c r="G4" i="1479"/>
  <c r="F4" i="1479"/>
  <c r="E4" i="1479"/>
  <c r="D4" i="1479"/>
  <c r="C4" i="1479"/>
  <c r="Y3" i="1479"/>
  <c r="W3" i="1479"/>
  <c r="V3" i="1479"/>
  <c r="U3" i="1479"/>
  <c r="T3" i="1479"/>
  <c r="P3" i="1479"/>
  <c r="O3" i="1479"/>
  <c r="N3" i="1479"/>
  <c r="M3" i="1479"/>
  <c r="L3" i="1479"/>
  <c r="K3" i="1479"/>
  <c r="J3" i="1479"/>
  <c r="I3" i="1479"/>
  <c r="H3" i="1479"/>
  <c r="G3" i="1479"/>
  <c r="F3" i="1479"/>
  <c r="E3" i="1479"/>
  <c r="D3" i="1479"/>
  <c r="C3" i="1479"/>
  <c r="F21" i="1478"/>
  <c r="Y19" i="1478"/>
  <c r="W19" i="1478"/>
  <c r="V19" i="1478"/>
  <c r="U19" i="1478"/>
  <c r="T19" i="1478"/>
  <c r="P19" i="1478"/>
  <c r="O19" i="1478"/>
  <c r="N19" i="1478"/>
  <c r="M19" i="1478"/>
  <c r="L19" i="1478"/>
  <c r="K19" i="1478"/>
  <c r="J19" i="1478"/>
  <c r="I19" i="1478"/>
  <c r="H19" i="1478"/>
  <c r="G19" i="1478"/>
  <c r="F19" i="1478"/>
  <c r="E19" i="1478"/>
  <c r="D19" i="1478"/>
  <c r="C19" i="1478"/>
  <c r="Y18" i="1478"/>
  <c r="W18" i="1478"/>
  <c r="V18" i="1478"/>
  <c r="U18" i="1478"/>
  <c r="T18" i="1478"/>
  <c r="P18" i="1478"/>
  <c r="O18" i="1478"/>
  <c r="N18" i="1478"/>
  <c r="M18" i="1478"/>
  <c r="L18" i="1478"/>
  <c r="K18" i="1478"/>
  <c r="J18" i="1478"/>
  <c r="I18" i="1478"/>
  <c r="H18" i="1478"/>
  <c r="G18" i="1478"/>
  <c r="F18" i="1478"/>
  <c r="E18" i="1478"/>
  <c r="D18" i="1478"/>
  <c r="C18" i="1478"/>
  <c r="Y4" i="1478"/>
  <c r="W4" i="1478"/>
  <c r="V4" i="1478"/>
  <c r="U4" i="1478"/>
  <c r="T4" i="1478"/>
  <c r="P4" i="1478"/>
  <c r="O4" i="1478"/>
  <c r="N4" i="1478"/>
  <c r="M4" i="1478"/>
  <c r="L4" i="1478"/>
  <c r="K4" i="1478"/>
  <c r="J4" i="1478"/>
  <c r="I4" i="1478"/>
  <c r="H4" i="1478"/>
  <c r="G4" i="1478"/>
  <c r="F4" i="1478"/>
  <c r="E4" i="1478"/>
  <c r="D4" i="1478"/>
  <c r="C4" i="1478"/>
  <c r="Y3" i="1478"/>
  <c r="W3" i="1478"/>
  <c r="V3" i="1478"/>
  <c r="U3" i="1478"/>
  <c r="T3" i="1478"/>
  <c r="P3" i="1478"/>
  <c r="O3" i="1478"/>
  <c r="N3" i="1478"/>
  <c r="M3" i="1478"/>
  <c r="L3" i="1478"/>
  <c r="K3" i="1478"/>
  <c r="J3" i="1478"/>
  <c r="I3" i="1478"/>
  <c r="H3" i="1478"/>
  <c r="G3" i="1478"/>
  <c r="F3" i="1478"/>
  <c r="E3" i="1478"/>
  <c r="D3" i="1478"/>
  <c r="C3" i="1478"/>
  <c r="F21" i="1477"/>
  <c r="Y19" i="1477"/>
  <c r="W19" i="1477"/>
  <c r="V19" i="1477"/>
  <c r="U19" i="1477"/>
  <c r="T19" i="1477"/>
  <c r="P19" i="1477"/>
  <c r="O19" i="1477"/>
  <c r="N19" i="1477"/>
  <c r="M19" i="1477"/>
  <c r="L19" i="1477"/>
  <c r="K19" i="1477"/>
  <c r="J19" i="1477"/>
  <c r="I19" i="1477"/>
  <c r="H19" i="1477"/>
  <c r="G19" i="1477"/>
  <c r="F19" i="1477"/>
  <c r="E19" i="1477"/>
  <c r="D19" i="1477"/>
  <c r="C19" i="1477"/>
  <c r="Y18" i="1477"/>
  <c r="W18" i="1477"/>
  <c r="V18" i="1477"/>
  <c r="U18" i="1477"/>
  <c r="T18" i="1477"/>
  <c r="P18" i="1477"/>
  <c r="O18" i="1477"/>
  <c r="N18" i="1477"/>
  <c r="M18" i="1477"/>
  <c r="L18" i="1477"/>
  <c r="K18" i="1477"/>
  <c r="J18" i="1477"/>
  <c r="I18" i="1477"/>
  <c r="H18" i="1477"/>
  <c r="G18" i="1477"/>
  <c r="F18" i="1477"/>
  <c r="E18" i="1477"/>
  <c r="D18" i="1477"/>
  <c r="C18" i="1477"/>
  <c r="Y4" i="1477"/>
  <c r="W4" i="1477"/>
  <c r="V4" i="1477"/>
  <c r="U4" i="1477"/>
  <c r="T4" i="1477"/>
  <c r="P4" i="1477"/>
  <c r="O4" i="1477"/>
  <c r="N4" i="1477"/>
  <c r="M4" i="1477"/>
  <c r="L4" i="1477"/>
  <c r="K4" i="1477"/>
  <c r="J4" i="1477"/>
  <c r="I4" i="1477"/>
  <c r="H4" i="1477"/>
  <c r="G4" i="1477"/>
  <c r="F4" i="1477"/>
  <c r="E4" i="1477"/>
  <c r="D4" i="1477"/>
  <c r="C4" i="1477"/>
  <c r="Y3" i="1477"/>
  <c r="W3" i="1477"/>
  <c r="V3" i="1477"/>
  <c r="U3" i="1477"/>
  <c r="T3" i="1477"/>
  <c r="P3" i="1477"/>
  <c r="O3" i="1477"/>
  <c r="N3" i="1477"/>
  <c r="M3" i="1477"/>
  <c r="L3" i="1477"/>
  <c r="K3" i="1477"/>
  <c r="J3" i="1477"/>
  <c r="I3" i="1477"/>
  <c r="H3" i="1477"/>
  <c r="G3" i="1477"/>
  <c r="F3" i="1477"/>
  <c r="E3" i="1477"/>
  <c r="D3" i="1477"/>
  <c r="C3" i="1477"/>
  <c r="F21" i="1476"/>
  <c r="Y19" i="1476"/>
  <c r="W19" i="1476"/>
  <c r="V19" i="1476"/>
  <c r="U19" i="1476"/>
  <c r="T19" i="1476"/>
  <c r="P19" i="1476"/>
  <c r="O19" i="1476"/>
  <c r="N19" i="1476"/>
  <c r="M19" i="1476"/>
  <c r="L19" i="1476"/>
  <c r="K19" i="1476"/>
  <c r="J19" i="1476"/>
  <c r="I19" i="1476"/>
  <c r="H19" i="1476"/>
  <c r="G19" i="1476"/>
  <c r="F19" i="1476"/>
  <c r="E19" i="1476"/>
  <c r="D19" i="1476"/>
  <c r="C19" i="1476"/>
  <c r="Y18" i="1476"/>
  <c r="W18" i="1476"/>
  <c r="V18" i="1476"/>
  <c r="U18" i="1476"/>
  <c r="T18" i="1476"/>
  <c r="P18" i="1476"/>
  <c r="O18" i="1476"/>
  <c r="N18" i="1476"/>
  <c r="M18" i="1476"/>
  <c r="L18" i="1476"/>
  <c r="K18" i="1476"/>
  <c r="J18" i="1476"/>
  <c r="I18" i="1476"/>
  <c r="H18" i="1476"/>
  <c r="G18" i="1476"/>
  <c r="F18" i="1476"/>
  <c r="E18" i="1476"/>
  <c r="D18" i="1476"/>
  <c r="C18" i="1476"/>
  <c r="Y4" i="1476"/>
  <c r="W4" i="1476"/>
  <c r="V4" i="1476"/>
  <c r="U4" i="1476"/>
  <c r="T4" i="1476"/>
  <c r="P4" i="1476"/>
  <c r="O4" i="1476"/>
  <c r="N4" i="1476"/>
  <c r="M4" i="1476"/>
  <c r="L4" i="1476"/>
  <c r="K4" i="1476"/>
  <c r="J4" i="1476"/>
  <c r="I4" i="1476"/>
  <c r="H4" i="1476"/>
  <c r="G4" i="1476"/>
  <c r="F4" i="1476"/>
  <c r="E4" i="1476"/>
  <c r="D4" i="1476"/>
  <c r="C4" i="1476"/>
  <c r="Y3" i="1476"/>
  <c r="W3" i="1476"/>
  <c r="V3" i="1476"/>
  <c r="U3" i="1476"/>
  <c r="T3" i="1476"/>
  <c r="P3" i="1476"/>
  <c r="O3" i="1476"/>
  <c r="N3" i="1476"/>
  <c r="M3" i="1476"/>
  <c r="L3" i="1476"/>
  <c r="K3" i="1476"/>
  <c r="J3" i="1476"/>
  <c r="I3" i="1476"/>
  <c r="H3" i="1476"/>
  <c r="G3" i="1476"/>
  <c r="F3" i="1476"/>
  <c r="E3" i="1476"/>
  <c r="D3" i="1476"/>
  <c r="C3" i="1476"/>
  <c r="C44" i="1471" l="1"/>
  <c r="C44" i="1470"/>
  <c r="C44" i="1469"/>
  <c r="C45" i="1465"/>
  <c r="C44" i="1465"/>
  <c r="C44" i="1462" l="1"/>
  <c r="C44" i="1461"/>
  <c r="C45" i="1457" l="1"/>
  <c r="C44" i="1457"/>
  <c r="C45" i="1459"/>
  <c r="C44" i="1459"/>
  <c r="C45" i="1458"/>
  <c r="C44" i="1458"/>
  <c r="C44" i="1455" l="1"/>
  <c r="C44" i="1454"/>
  <c r="C44" i="1453"/>
  <c r="C45" i="1451" l="1"/>
  <c r="C44" i="1451"/>
  <c r="C45" i="1450"/>
  <c r="C44" i="1450"/>
  <c r="C45" i="1449"/>
  <c r="C44" i="1449"/>
  <c r="F21" i="1475" l="1"/>
  <c r="Y19" i="1475"/>
  <c r="W19" i="1475"/>
  <c r="V19" i="1475"/>
  <c r="U19" i="1475"/>
  <c r="T19" i="1475"/>
  <c r="P19" i="1475"/>
  <c r="O19" i="1475"/>
  <c r="N19" i="1475"/>
  <c r="M19" i="1475"/>
  <c r="L19" i="1475"/>
  <c r="K19" i="1475"/>
  <c r="J19" i="1475"/>
  <c r="I19" i="1475"/>
  <c r="H19" i="1475"/>
  <c r="G19" i="1475"/>
  <c r="F19" i="1475"/>
  <c r="E19" i="1475"/>
  <c r="D19" i="1475"/>
  <c r="C19" i="1475"/>
  <c r="Y18" i="1475"/>
  <c r="W18" i="1475"/>
  <c r="V18" i="1475"/>
  <c r="U18" i="1475"/>
  <c r="T18" i="1475"/>
  <c r="P18" i="1475"/>
  <c r="O18" i="1475"/>
  <c r="N18" i="1475"/>
  <c r="M18" i="1475"/>
  <c r="L18" i="1475"/>
  <c r="K18" i="1475"/>
  <c r="J18" i="1475"/>
  <c r="I18" i="1475"/>
  <c r="H18" i="1475"/>
  <c r="G18" i="1475"/>
  <c r="F18" i="1475"/>
  <c r="E18" i="1475"/>
  <c r="D18" i="1475"/>
  <c r="C18" i="1475"/>
  <c r="Y4" i="1475"/>
  <c r="W4" i="1475"/>
  <c r="V4" i="1475"/>
  <c r="U4" i="1475"/>
  <c r="T4" i="1475"/>
  <c r="P4" i="1475"/>
  <c r="O4" i="1475"/>
  <c r="N4" i="1475"/>
  <c r="M4" i="1475"/>
  <c r="L4" i="1475"/>
  <c r="K4" i="1475"/>
  <c r="J4" i="1475"/>
  <c r="I4" i="1475"/>
  <c r="H4" i="1475"/>
  <c r="G4" i="1475"/>
  <c r="F4" i="1475"/>
  <c r="E4" i="1475"/>
  <c r="D4" i="1475"/>
  <c r="C4" i="1475"/>
  <c r="Y3" i="1475"/>
  <c r="W3" i="1475"/>
  <c r="V3" i="1475"/>
  <c r="U3" i="1475"/>
  <c r="T3" i="1475"/>
  <c r="P3" i="1475"/>
  <c r="O3" i="1475"/>
  <c r="N3" i="1475"/>
  <c r="M3" i="1475"/>
  <c r="L3" i="1475"/>
  <c r="K3" i="1475"/>
  <c r="J3" i="1475"/>
  <c r="I3" i="1475"/>
  <c r="H3" i="1475"/>
  <c r="G3" i="1475"/>
  <c r="F3" i="1475"/>
  <c r="E3" i="1475"/>
  <c r="D3" i="1475"/>
  <c r="C3" i="1475"/>
  <c r="F21" i="1474"/>
  <c r="Y19" i="1474"/>
  <c r="W19" i="1474"/>
  <c r="V19" i="1474"/>
  <c r="U19" i="1474"/>
  <c r="T19" i="1474"/>
  <c r="P19" i="1474"/>
  <c r="O19" i="1474"/>
  <c r="N19" i="1474"/>
  <c r="M19" i="1474"/>
  <c r="L19" i="1474"/>
  <c r="K19" i="1474"/>
  <c r="J19" i="1474"/>
  <c r="I19" i="1474"/>
  <c r="H19" i="1474"/>
  <c r="G19" i="1474"/>
  <c r="F19" i="1474"/>
  <c r="E19" i="1474"/>
  <c r="D19" i="1474"/>
  <c r="C19" i="1474"/>
  <c r="Y18" i="1474"/>
  <c r="W18" i="1474"/>
  <c r="V18" i="1474"/>
  <c r="U18" i="1474"/>
  <c r="T18" i="1474"/>
  <c r="P18" i="1474"/>
  <c r="O18" i="1474"/>
  <c r="N18" i="1474"/>
  <c r="M18" i="1474"/>
  <c r="L18" i="1474"/>
  <c r="K18" i="1474"/>
  <c r="J18" i="1474"/>
  <c r="I18" i="1474"/>
  <c r="H18" i="1474"/>
  <c r="G18" i="1474"/>
  <c r="F18" i="1474"/>
  <c r="E18" i="1474"/>
  <c r="D18" i="1474"/>
  <c r="C18" i="1474"/>
  <c r="Y4" i="1474"/>
  <c r="W4" i="1474"/>
  <c r="V4" i="1474"/>
  <c r="U4" i="1474"/>
  <c r="T4" i="1474"/>
  <c r="P4" i="1474"/>
  <c r="O4" i="1474"/>
  <c r="N4" i="1474"/>
  <c r="M4" i="1474"/>
  <c r="L4" i="1474"/>
  <c r="K4" i="1474"/>
  <c r="J4" i="1474"/>
  <c r="I4" i="1474"/>
  <c r="H4" i="1474"/>
  <c r="G4" i="1474"/>
  <c r="F4" i="1474"/>
  <c r="E4" i="1474"/>
  <c r="D4" i="1474"/>
  <c r="C4" i="1474"/>
  <c r="Y3" i="1474"/>
  <c r="W3" i="1474"/>
  <c r="V3" i="1474"/>
  <c r="U3" i="1474"/>
  <c r="T3" i="1474"/>
  <c r="P3" i="1474"/>
  <c r="O3" i="1474"/>
  <c r="N3" i="1474"/>
  <c r="M3" i="1474"/>
  <c r="L3" i="1474"/>
  <c r="K3" i="1474"/>
  <c r="J3" i="1474"/>
  <c r="I3" i="1474"/>
  <c r="H3" i="1474"/>
  <c r="G3" i="1474"/>
  <c r="F3" i="1474"/>
  <c r="E3" i="1474"/>
  <c r="D3" i="1474"/>
  <c r="C3" i="1474"/>
  <c r="F21" i="1473"/>
  <c r="Y19" i="1473"/>
  <c r="W19" i="1473"/>
  <c r="V19" i="1473"/>
  <c r="U19" i="1473"/>
  <c r="T19" i="1473"/>
  <c r="P19" i="1473"/>
  <c r="O19" i="1473"/>
  <c r="N19" i="1473"/>
  <c r="M19" i="1473"/>
  <c r="L19" i="1473"/>
  <c r="K19" i="1473"/>
  <c r="J19" i="1473"/>
  <c r="I19" i="1473"/>
  <c r="H19" i="1473"/>
  <c r="G19" i="1473"/>
  <c r="F19" i="1473"/>
  <c r="E19" i="1473"/>
  <c r="D19" i="1473"/>
  <c r="C19" i="1473"/>
  <c r="Y18" i="1473"/>
  <c r="W18" i="1473"/>
  <c r="V18" i="1473"/>
  <c r="U18" i="1473"/>
  <c r="T18" i="1473"/>
  <c r="P18" i="1473"/>
  <c r="O18" i="1473"/>
  <c r="N18" i="1473"/>
  <c r="M18" i="1473"/>
  <c r="L18" i="1473"/>
  <c r="K18" i="1473"/>
  <c r="J18" i="1473"/>
  <c r="I18" i="1473"/>
  <c r="H18" i="1473"/>
  <c r="G18" i="1473"/>
  <c r="F18" i="1473"/>
  <c r="E18" i="1473"/>
  <c r="D18" i="1473"/>
  <c r="C18" i="1473"/>
  <c r="Y4" i="1473"/>
  <c r="W4" i="1473"/>
  <c r="V4" i="1473"/>
  <c r="U4" i="1473"/>
  <c r="T4" i="1473"/>
  <c r="P4" i="1473"/>
  <c r="O4" i="1473"/>
  <c r="N4" i="1473"/>
  <c r="M4" i="1473"/>
  <c r="L4" i="1473"/>
  <c r="K4" i="1473"/>
  <c r="J4" i="1473"/>
  <c r="I4" i="1473"/>
  <c r="H4" i="1473"/>
  <c r="G4" i="1473"/>
  <c r="F4" i="1473"/>
  <c r="E4" i="1473"/>
  <c r="D4" i="1473"/>
  <c r="C4" i="1473"/>
  <c r="Y3" i="1473"/>
  <c r="W3" i="1473"/>
  <c r="V3" i="1473"/>
  <c r="U3" i="1473"/>
  <c r="T3" i="1473"/>
  <c r="P3" i="1473"/>
  <c r="O3" i="1473"/>
  <c r="N3" i="1473"/>
  <c r="M3" i="1473"/>
  <c r="L3" i="1473"/>
  <c r="K3" i="1473"/>
  <c r="J3" i="1473"/>
  <c r="I3" i="1473"/>
  <c r="H3" i="1473"/>
  <c r="G3" i="1473"/>
  <c r="F3" i="1473"/>
  <c r="E3" i="1473"/>
  <c r="D3" i="1473"/>
  <c r="C3" i="1473"/>
  <c r="F21" i="1472"/>
  <c r="Y19" i="1472"/>
  <c r="W19" i="1472"/>
  <c r="V19" i="1472"/>
  <c r="U19" i="1472"/>
  <c r="T19" i="1472"/>
  <c r="P19" i="1472"/>
  <c r="O19" i="1472"/>
  <c r="N19" i="1472"/>
  <c r="M19" i="1472"/>
  <c r="L19" i="1472"/>
  <c r="K19" i="1472"/>
  <c r="J19" i="1472"/>
  <c r="I19" i="1472"/>
  <c r="H19" i="1472"/>
  <c r="G19" i="1472"/>
  <c r="F19" i="1472"/>
  <c r="E19" i="1472"/>
  <c r="D19" i="1472"/>
  <c r="C19" i="1472"/>
  <c r="Y18" i="1472"/>
  <c r="W18" i="1472"/>
  <c r="V18" i="1472"/>
  <c r="U18" i="1472"/>
  <c r="T18" i="1472"/>
  <c r="P18" i="1472"/>
  <c r="O18" i="1472"/>
  <c r="N18" i="1472"/>
  <c r="M18" i="1472"/>
  <c r="L18" i="1472"/>
  <c r="K18" i="1472"/>
  <c r="J18" i="1472"/>
  <c r="I18" i="1472"/>
  <c r="H18" i="1472"/>
  <c r="G18" i="1472"/>
  <c r="F18" i="1472"/>
  <c r="E18" i="1472"/>
  <c r="D18" i="1472"/>
  <c r="C18" i="1472"/>
  <c r="Y4" i="1472"/>
  <c r="W4" i="1472"/>
  <c r="V4" i="1472"/>
  <c r="U4" i="1472"/>
  <c r="T4" i="1472"/>
  <c r="P4" i="1472"/>
  <c r="O4" i="1472"/>
  <c r="N4" i="1472"/>
  <c r="M4" i="1472"/>
  <c r="L4" i="1472"/>
  <c r="K4" i="1472"/>
  <c r="J4" i="1472"/>
  <c r="I4" i="1472"/>
  <c r="H4" i="1472"/>
  <c r="G4" i="1472"/>
  <c r="F4" i="1472"/>
  <c r="E4" i="1472"/>
  <c r="D4" i="1472"/>
  <c r="C4" i="1472"/>
  <c r="Y3" i="1472"/>
  <c r="W3" i="1472"/>
  <c r="V3" i="1472"/>
  <c r="U3" i="1472"/>
  <c r="T3" i="1472"/>
  <c r="P3" i="1472"/>
  <c r="O3" i="1472"/>
  <c r="N3" i="1472"/>
  <c r="M3" i="1472"/>
  <c r="L3" i="1472"/>
  <c r="K3" i="1472"/>
  <c r="J3" i="1472"/>
  <c r="I3" i="1472"/>
  <c r="H3" i="1472"/>
  <c r="G3" i="1472"/>
  <c r="F3" i="1472"/>
  <c r="E3" i="1472"/>
  <c r="D3" i="1472"/>
  <c r="C3" i="1472"/>
  <c r="F21" i="1471"/>
  <c r="Y19" i="1471"/>
  <c r="W19" i="1471"/>
  <c r="V19" i="1471"/>
  <c r="U19" i="1471"/>
  <c r="T19" i="1471"/>
  <c r="P19" i="1471"/>
  <c r="O19" i="1471"/>
  <c r="N19" i="1471"/>
  <c r="M19" i="1471"/>
  <c r="L19" i="1471"/>
  <c r="K19" i="1471"/>
  <c r="J19" i="1471"/>
  <c r="I19" i="1471"/>
  <c r="H19" i="1471"/>
  <c r="G19" i="1471"/>
  <c r="F19" i="1471"/>
  <c r="E19" i="1471"/>
  <c r="D19" i="1471"/>
  <c r="C19" i="1471"/>
  <c r="Y18" i="1471"/>
  <c r="W18" i="1471"/>
  <c r="V18" i="1471"/>
  <c r="U18" i="1471"/>
  <c r="T18" i="1471"/>
  <c r="P18" i="1471"/>
  <c r="O18" i="1471"/>
  <c r="N18" i="1471"/>
  <c r="M18" i="1471"/>
  <c r="L18" i="1471"/>
  <c r="K18" i="1471"/>
  <c r="J18" i="1471"/>
  <c r="I18" i="1471"/>
  <c r="H18" i="1471"/>
  <c r="G18" i="1471"/>
  <c r="F18" i="1471"/>
  <c r="E18" i="1471"/>
  <c r="D18" i="1471"/>
  <c r="C18" i="1471"/>
  <c r="Y4" i="1471"/>
  <c r="W4" i="1471"/>
  <c r="V4" i="1471"/>
  <c r="U4" i="1471"/>
  <c r="T4" i="1471"/>
  <c r="P4" i="1471"/>
  <c r="O4" i="1471"/>
  <c r="N4" i="1471"/>
  <c r="M4" i="1471"/>
  <c r="L4" i="1471"/>
  <c r="K4" i="1471"/>
  <c r="J4" i="1471"/>
  <c r="I4" i="1471"/>
  <c r="H4" i="1471"/>
  <c r="G4" i="1471"/>
  <c r="F4" i="1471"/>
  <c r="E4" i="1471"/>
  <c r="D4" i="1471"/>
  <c r="C4" i="1471"/>
  <c r="Y3" i="1471"/>
  <c r="W3" i="1471"/>
  <c r="V3" i="1471"/>
  <c r="U3" i="1471"/>
  <c r="T3" i="1471"/>
  <c r="P3" i="1471"/>
  <c r="O3" i="1471"/>
  <c r="N3" i="1471"/>
  <c r="M3" i="1471"/>
  <c r="L3" i="1471"/>
  <c r="K3" i="1471"/>
  <c r="J3" i="1471"/>
  <c r="I3" i="1471"/>
  <c r="H3" i="1471"/>
  <c r="G3" i="1471"/>
  <c r="F3" i="1471"/>
  <c r="E3" i="1471"/>
  <c r="D3" i="1471"/>
  <c r="C3" i="1471"/>
  <c r="F21" i="1470"/>
  <c r="Y19" i="1470"/>
  <c r="W19" i="1470"/>
  <c r="V19" i="1470"/>
  <c r="U19" i="1470"/>
  <c r="T19" i="1470"/>
  <c r="P19" i="1470"/>
  <c r="O19" i="1470"/>
  <c r="N19" i="1470"/>
  <c r="M19" i="1470"/>
  <c r="L19" i="1470"/>
  <c r="K19" i="1470"/>
  <c r="J19" i="1470"/>
  <c r="I19" i="1470"/>
  <c r="H19" i="1470"/>
  <c r="G19" i="1470"/>
  <c r="F19" i="1470"/>
  <c r="E19" i="1470"/>
  <c r="D19" i="1470"/>
  <c r="C19" i="1470"/>
  <c r="Y18" i="1470"/>
  <c r="W18" i="1470"/>
  <c r="V18" i="1470"/>
  <c r="U18" i="1470"/>
  <c r="T18" i="1470"/>
  <c r="P18" i="1470"/>
  <c r="O18" i="1470"/>
  <c r="N18" i="1470"/>
  <c r="M18" i="1470"/>
  <c r="L18" i="1470"/>
  <c r="K18" i="1470"/>
  <c r="J18" i="1470"/>
  <c r="I18" i="1470"/>
  <c r="H18" i="1470"/>
  <c r="G18" i="1470"/>
  <c r="F18" i="1470"/>
  <c r="E18" i="1470"/>
  <c r="D18" i="1470"/>
  <c r="C18" i="1470"/>
  <c r="Y4" i="1470"/>
  <c r="W4" i="1470"/>
  <c r="V4" i="1470"/>
  <c r="U4" i="1470"/>
  <c r="T4" i="1470"/>
  <c r="P4" i="1470"/>
  <c r="O4" i="1470"/>
  <c r="N4" i="1470"/>
  <c r="M4" i="1470"/>
  <c r="L4" i="1470"/>
  <c r="K4" i="1470"/>
  <c r="J4" i="1470"/>
  <c r="I4" i="1470"/>
  <c r="H4" i="1470"/>
  <c r="G4" i="1470"/>
  <c r="F4" i="1470"/>
  <c r="E4" i="1470"/>
  <c r="D4" i="1470"/>
  <c r="C4" i="1470"/>
  <c r="Y3" i="1470"/>
  <c r="W3" i="1470"/>
  <c r="V3" i="1470"/>
  <c r="U3" i="1470"/>
  <c r="T3" i="1470"/>
  <c r="P3" i="1470"/>
  <c r="O3" i="1470"/>
  <c r="N3" i="1470"/>
  <c r="M3" i="1470"/>
  <c r="L3" i="1470"/>
  <c r="K3" i="1470"/>
  <c r="J3" i="1470"/>
  <c r="I3" i="1470"/>
  <c r="H3" i="1470"/>
  <c r="G3" i="1470"/>
  <c r="F3" i="1470"/>
  <c r="E3" i="1470"/>
  <c r="D3" i="1470"/>
  <c r="C3" i="1470"/>
  <c r="F21" i="1469"/>
  <c r="Y19" i="1469"/>
  <c r="W19" i="1469"/>
  <c r="V19" i="1469"/>
  <c r="U19" i="1469"/>
  <c r="T19" i="1469"/>
  <c r="P19" i="1469"/>
  <c r="O19" i="1469"/>
  <c r="N19" i="1469"/>
  <c r="M19" i="1469"/>
  <c r="L19" i="1469"/>
  <c r="K19" i="1469"/>
  <c r="J19" i="1469"/>
  <c r="I19" i="1469"/>
  <c r="H19" i="1469"/>
  <c r="G19" i="1469"/>
  <c r="F19" i="1469"/>
  <c r="E19" i="1469"/>
  <c r="D19" i="1469"/>
  <c r="C19" i="1469"/>
  <c r="Y18" i="1469"/>
  <c r="W18" i="1469"/>
  <c r="V18" i="1469"/>
  <c r="U18" i="1469"/>
  <c r="T18" i="1469"/>
  <c r="P18" i="1469"/>
  <c r="O18" i="1469"/>
  <c r="N18" i="1469"/>
  <c r="M18" i="1469"/>
  <c r="L18" i="1469"/>
  <c r="K18" i="1469"/>
  <c r="J18" i="1469"/>
  <c r="I18" i="1469"/>
  <c r="H18" i="1469"/>
  <c r="G18" i="1469"/>
  <c r="F18" i="1469"/>
  <c r="E18" i="1469"/>
  <c r="D18" i="1469"/>
  <c r="C18" i="1469"/>
  <c r="Y4" i="1469"/>
  <c r="W4" i="1469"/>
  <c r="V4" i="1469"/>
  <c r="U4" i="1469"/>
  <c r="T4" i="1469"/>
  <c r="P4" i="1469"/>
  <c r="O4" i="1469"/>
  <c r="N4" i="1469"/>
  <c r="M4" i="1469"/>
  <c r="L4" i="1469"/>
  <c r="K4" i="1469"/>
  <c r="J4" i="1469"/>
  <c r="I4" i="1469"/>
  <c r="H4" i="1469"/>
  <c r="G4" i="1469"/>
  <c r="F4" i="1469"/>
  <c r="E4" i="1469"/>
  <c r="D4" i="1469"/>
  <c r="C4" i="1469"/>
  <c r="Y3" i="1469"/>
  <c r="W3" i="1469"/>
  <c r="V3" i="1469"/>
  <c r="U3" i="1469"/>
  <c r="T3" i="1469"/>
  <c r="P3" i="1469"/>
  <c r="O3" i="1469"/>
  <c r="N3" i="1469"/>
  <c r="M3" i="1469"/>
  <c r="L3" i="1469"/>
  <c r="K3" i="1469"/>
  <c r="J3" i="1469"/>
  <c r="I3" i="1469"/>
  <c r="H3" i="1469"/>
  <c r="G3" i="1469"/>
  <c r="F3" i="1469"/>
  <c r="E3" i="1469"/>
  <c r="D3" i="1469"/>
  <c r="C3" i="1469"/>
  <c r="F21" i="1468"/>
  <c r="Y19" i="1468"/>
  <c r="W19" i="1468"/>
  <c r="V19" i="1468"/>
  <c r="U19" i="1468"/>
  <c r="T19" i="1468"/>
  <c r="P19" i="1468"/>
  <c r="O19" i="1468"/>
  <c r="N19" i="1468"/>
  <c r="M19" i="1468"/>
  <c r="L19" i="1468"/>
  <c r="K19" i="1468"/>
  <c r="J19" i="1468"/>
  <c r="I19" i="1468"/>
  <c r="H19" i="1468"/>
  <c r="G19" i="1468"/>
  <c r="F19" i="1468"/>
  <c r="E19" i="1468"/>
  <c r="D19" i="1468"/>
  <c r="C19" i="1468"/>
  <c r="Y18" i="1468"/>
  <c r="W18" i="1468"/>
  <c r="V18" i="1468"/>
  <c r="U18" i="1468"/>
  <c r="T18" i="1468"/>
  <c r="P18" i="1468"/>
  <c r="O18" i="1468"/>
  <c r="N18" i="1468"/>
  <c r="M18" i="1468"/>
  <c r="L18" i="1468"/>
  <c r="K18" i="1468"/>
  <c r="J18" i="1468"/>
  <c r="I18" i="1468"/>
  <c r="H18" i="1468"/>
  <c r="G18" i="1468"/>
  <c r="F18" i="1468"/>
  <c r="E18" i="1468"/>
  <c r="D18" i="1468"/>
  <c r="C18" i="1468"/>
  <c r="Y4" i="1468"/>
  <c r="W4" i="1468"/>
  <c r="V4" i="1468"/>
  <c r="U4" i="1468"/>
  <c r="T4" i="1468"/>
  <c r="P4" i="1468"/>
  <c r="O4" i="1468"/>
  <c r="N4" i="1468"/>
  <c r="M4" i="1468"/>
  <c r="L4" i="1468"/>
  <c r="K4" i="1468"/>
  <c r="J4" i="1468"/>
  <c r="I4" i="1468"/>
  <c r="H4" i="1468"/>
  <c r="G4" i="1468"/>
  <c r="F4" i="1468"/>
  <c r="E4" i="1468"/>
  <c r="D4" i="1468"/>
  <c r="C4" i="1468"/>
  <c r="Y3" i="1468"/>
  <c r="W3" i="1468"/>
  <c r="V3" i="1468"/>
  <c r="U3" i="1468"/>
  <c r="T3" i="1468"/>
  <c r="P3" i="1468"/>
  <c r="O3" i="1468"/>
  <c r="N3" i="1468"/>
  <c r="M3" i="1468"/>
  <c r="L3" i="1468"/>
  <c r="K3" i="1468"/>
  <c r="J3" i="1468"/>
  <c r="I3" i="1468"/>
  <c r="H3" i="1468"/>
  <c r="G3" i="1468"/>
  <c r="F3" i="1468"/>
  <c r="E3" i="1468"/>
  <c r="D3" i="1468"/>
  <c r="C3" i="1468"/>
  <c r="F21" i="1467"/>
  <c r="Y19" i="1467"/>
  <c r="W19" i="1467"/>
  <c r="V19" i="1467"/>
  <c r="U19" i="1467"/>
  <c r="T19" i="1467"/>
  <c r="P19" i="1467"/>
  <c r="O19" i="1467"/>
  <c r="N19" i="1467"/>
  <c r="M19" i="1467"/>
  <c r="L19" i="1467"/>
  <c r="K19" i="1467"/>
  <c r="J19" i="1467"/>
  <c r="I19" i="1467"/>
  <c r="H19" i="1467"/>
  <c r="G19" i="1467"/>
  <c r="F19" i="1467"/>
  <c r="E19" i="1467"/>
  <c r="D19" i="1467"/>
  <c r="C19" i="1467"/>
  <c r="Y18" i="1467"/>
  <c r="W18" i="1467"/>
  <c r="V18" i="1467"/>
  <c r="U18" i="1467"/>
  <c r="T18" i="1467"/>
  <c r="P18" i="1467"/>
  <c r="O18" i="1467"/>
  <c r="N18" i="1467"/>
  <c r="M18" i="1467"/>
  <c r="L18" i="1467"/>
  <c r="K18" i="1467"/>
  <c r="J18" i="1467"/>
  <c r="I18" i="1467"/>
  <c r="H18" i="1467"/>
  <c r="G18" i="1467"/>
  <c r="F18" i="1467"/>
  <c r="E18" i="1467"/>
  <c r="D18" i="1467"/>
  <c r="C18" i="1467"/>
  <c r="Y4" i="1467"/>
  <c r="W4" i="1467"/>
  <c r="V4" i="1467"/>
  <c r="U4" i="1467"/>
  <c r="T4" i="1467"/>
  <c r="P4" i="1467"/>
  <c r="O4" i="1467"/>
  <c r="N4" i="1467"/>
  <c r="M4" i="1467"/>
  <c r="L4" i="1467"/>
  <c r="K4" i="1467"/>
  <c r="J4" i="1467"/>
  <c r="I4" i="1467"/>
  <c r="H4" i="1467"/>
  <c r="G4" i="1467"/>
  <c r="F4" i="1467"/>
  <c r="E4" i="1467"/>
  <c r="D4" i="1467"/>
  <c r="C4" i="1467"/>
  <c r="Y3" i="1467"/>
  <c r="W3" i="1467"/>
  <c r="V3" i="1467"/>
  <c r="U3" i="1467"/>
  <c r="T3" i="1467"/>
  <c r="P3" i="1467"/>
  <c r="O3" i="1467"/>
  <c r="N3" i="1467"/>
  <c r="M3" i="1467"/>
  <c r="L3" i="1467"/>
  <c r="K3" i="1467"/>
  <c r="J3" i="1467"/>
  <c r="I3" i="1467"/>
  <c r="H3" i="1467"/>
  <c r="G3" i="1467"/>
  <c r="F3" i="1467"/>
  <c r="E3" i="1467"/>
  <c r="D3" i="1467"/>
  <c r="C3" i="1467"/>
  <c r="F21" i="1466"/>
  <c r="Y19" i="1466"/>
  <c r="W19" i="1466"/>
  <c r="V19" i="1466"/>
  <c r="U19" i="1466"/>
  <c r="T19" i="1466"/>
  <c r="P19" i="1466"/>
  <c r="O19" i="1466"/>
  <c r="N19" i="1466"/>
  <c r="M19" i="1466"/>
  <c r="L19" i="1466"/>
  <c r="K19" i="1466"/>
  <c r="J19" i="1466"/>
  <c r="I19" i="1466"/>
  <c r="H19" i="1466"/>
  <c r="G19" i="1466"/>
  <c r="F19" i="1466"/>
  <c r="E19" i="1466"/>
  <c r="D19" i="1466"/>
  <c r="C19" i="1466"/>
  <c r="Y18" i="1466"/>
  <c r="W18" i="1466"/>
  <c r="V18" i="1466"/>
  <c r="U18" i="1466"/>
  <c r="T18" i="1466"/>
  <c r="P18" i="1466"/>
  <c r="O18" i="1466"/>
  <c r="N18" i="1466"/>
  <c r="M18" i="1466"/>
  <c r="L18" i="1466"/>
  <c r="K18" i="1466"/>
  <c r="J18" i="1466"/>
  <c r="I18" i="1466"/>
  <c r="H18" i="1466"/>
  <c r="G18" i="1466"/>
  <c r="F18" i="1466"/>
  <c r="E18" i="1466"/>
  <c r="D18" i="1466"/>
  <c r="C18" i="1466"/>
  <c r="Y4" i="1466"/>
  <c r="W4" i="1466"/>
  <c r="V4" i="1466"/>
  <c r="U4" i="1466"/>
  <c r="T4" i="1466"/>
  <c r="P4" i="1466"/>
  <c r="O4" i="1466"/>
  <c r="N4" i="1466"/>
  <c r="M4" i="1466"/>
  <c r="L4" i="1466"/>
  <c r="K4" i="1466"/>
  <c r="J4" i="1466"/>
  <c r="I4" i="1466"/>
  <c r="H4" i="1466"/>
  <c r="G4" i="1466"/>
  <c r="F4" i="1466"/>
  <c r="E4" i="1466"/>
  <c r="D4" i="1466"/>
  <c r="C4" i="1466"/>
  <c r="Y3" i="1466"/>
  <c r="W3" i="1466"/>
  <c r="V3" i="1466"/>
  <c r="U3" i="1466"/>
  <c r="T3" i="1466"/>
  <c r="P3" i="1466"/>
  <c r="O3" i="1466"/>
  <c r="N3" i="1466"/>
  <c r="M3" i="1466"/>
  <c r="L3" i="1466"/>
  <c r="K3" i="1466"/>
  <c r="J3" i="1466"/>
  <c r="I3" i="1466"/>
  <c r="H3" i="1466"/>
  <c r="G3" i="1466"/>
  <c r="F3" i="1466"/>
  <c r="E3" i="1466"/>
  <c r="D3" i="1466"/>
  <c r="C3" i="1466"/>
  <c r="F21" i="1465"/>
  <c r="Y19" i="1465"/>
  <c r="W19" i="1465"/>
  <c r="V19" i="1465"/>
  <c r="U19" i="1465"/>
  <c r="T19" i="1465"/>
  <c r="P19" i="1465"/>
  <c r="O19" i="1465"/>
  <c r="N19" i="1465"/>
  <c r="M19" i="1465"/>
  <c r="L19" i="1465"/>
  <c r="K19" i="1465"/>
  <c r="J19" i="1465"/>
  <c r="I19" i="1465"/>
  <c r="H19" i="1465"/>
  <c r="G19" i="1465"/>
  <c r="F19" i="1465"/>
  <c r="E19" i="1465"/>
  <c r="D19" i="1465"/>
  <c r="C19" i="1465"/>
  <c r="Y18" i="1465"/>
  <c r="W18" i="1465"/>
  <c r="V18" i="1465"/>
  <c r="U18" i="1465"/>
  <c r="T18" i="1465"/>
  <c r="P18" i="1465"/>
  <c r="O18" i="1465"/>
  <c r="N18" i="1465"/>
  <c r="M18" i="1465"/>
  <c r="L18" i="1465"/>
  <c r="K18" i="1465"/>
  <c r="J18" i="1465"/>
  <c r="I18" i="1465"/>
  <c r="H18" i="1465"/>
  <c r="G18" i="1465"/>
  <c r="F18" i="1465"/>
  <c r="E18" i="1465"/>
  <c r="D18" i="1465"/>
  <c r="C18" i="1465"/>
  <c r="Y4" i="1465"/>
  <c r="W4" i="1465"/>
  <c r="V4" i="1465"/>
  <c r="U4" i="1465"/>
  <c r="T4" i="1465"/>
  <c r="P4" i="1465"/>
  <c r="O4" i="1465"/>
  <c r="N4" i="1465"/>
  <c r="M4" i="1465"/>
  <c r="L4" i="1465"/>
  <c r="K4" i="1465"/>
  <c r="J4" i="1465"/>
  <c r="I4" i="1465"/>
  <c r="H4" i="1465"/>
  <c r="G4" i="1465"/>
  <c r="F4" i="1465"/>
  <c r="E4" i="1465"/>
  <c r="D4" i="1465"/>
  <c r="C4" i="1465"/>
  <c r="Y3" i="1465"/>
  <c r="W3" i="1465"/>
  <c r="V3" i="1465"/>
  <c r="U3" i="1465"/>
  <c r="T3" i="1465"/>
  <c r="P3" i="1465"/>
  <c r="O3" i="1465"/>
  <c r="N3" i="1465"/>
  <c r="M3" i="1465"/>
  <c r="L3" i="1465"/>
  <c r="K3" i="1465"/>
  <c r="J3" i="1465"/>
  <c r="I3" i="1465"/>
  <c r="H3" i="1465"/>
  <c r="G3" i="1465"/>
  <c r="F3" i="1465"/>
  <c r="E3" i="1465"/>
  <c r="D3" i="1465"/>
  <c r="C3" i="1465"/>
  <c r="F21" i="1464"/>
  <c r="Y19" i="1464"/>
  <c r="W19" i="1464"/>
  <c r="V19" i="1464"/>
  <c r="U19" i="1464"/>
  <c r="T19" i="1464"/>
  <c r="P19" i="1464"/>
  <c r="O19" i="1464"/>
  <c r="N19" i="1464"/>
  <c r="M19" i="1464"/>
  <c r="L19" i="1464"/>
  <c r="K19" i="1464"/>
  <c r="J19" i="1464"/>
  <c r="I19" i="1464"/>
  <c r="H19" i="1464"/>
  <c r="G19" i="1464"/>
  <c r="F19" i="1464"/>
  <c r="E19" i="1464"/>
  <c r="D19" i="1464"/>
  <c r="C19" i="1464"/>
  <c r="Y18" i="1464"/>
  <c r="W18" i="1464"/>
  <c r="V18" i="1464"/>
  <c r="U18" i="1464"/>
  <c r="T18" i="1464"/>
  <c r="P18" i="1464"/>
  <c r="O18" i="1464"/>
  <c r="N18" i="1464"/>
  <c r="M18" i="1464"/>
  <c r="L18" i="1464"/>
  <c r="K18" i="1464"/>
  <c r="J18" i="1464"/>
  <c r="I18" i="1464"/>
  <c r="H18" i="1464"/>
  <c r="G18" i="1464"/>
  <c r="F18" i="1464"/>
  <c r="E18" i="1464"/>
  <c r="D18" i="1464"/>
  <c r="C18" i="1464"/>
  <c r="Y4" i="1464"/>
  <c r="W4" i="1464"/>
  <c r="V4" i="1464"/>
  <c r="U4" i="1464"/>
  <c r="T4" i="1464"/>
  <c r="P4" i="1464"/>
  <c r="O4" i="1464"/>
  <c r="N4" i="1464"/>
  <c r="M4" i="1464"/>
  <c r="L4" i="1464"/>
  <c r="K4" i="1464"/>
  <c r="J4" i="1464"/>
  <c r="I4" i="1464"/>
  <c r="H4" i="1464"/>
  <c r="G4" i="1464"/>
  <c r="F4" i="1464"/>
  <c r="E4" i="1464"/>
  <c r="D4" i="1464"/>
  <c r="C4" i="1464"/>
  <c r="Y3" i="1464"/>
  <c r="W3" i="1464"/>
  <c r="V3" i="1464"/>
  <c r="U3" i="1464"/>
  <c r="T3" i="1464"/>
  <c r="P3" i="1464"/>
  <c r="O3" i="1464"/>
  <c r="N3" i="1464"/>
  <c r="M3" i="1464"/>
  <c r="L3" i="1464"/>
  <c r="K3" i="1464"/>
  <c r="J3" i="1464"/>
  <c r="I3" i="1464"/>
  <c r="H3" i="1464"/>
  <c r="G3" i="1464"/>
  <c r="F3" i="1464"/>
  <c r="E3" i="1464"/>
  <c r="D3" i="1464"/>
  <c r="C3" i="1464"/>
  <c r="F21" i="1463"/>
  <c r="Y19" i="1463"/>
  <c r="W19" i="1463"/>
  <c r="V19" i="1463"/>
  <c r="U19" i="1463"/>
  <c r="T19" i="1463"/>
  <c r="P19" i="1463"/>
  <c r="O19" i="1463"/>
  <c r="N19" i="1463"/>
  <c r="M19" i="1463"/>
  <c r="L19" i="1463"/>
  <c r="K19" i="1463"/>
  <c r="J19" i="1463"/>
  <c r="I19" i="1463"/>
  <c r="H19" i="1463"/>
  <c r="G19" i="1463"/>
  <c r="F19" i="1463"/>
  <c r="E19" i="1463"/>
  <c r="D19" i="1463"/>
  <c r="C19" i="1463"/>
  <c r="Y18" i="1463"/>
  <c r="W18" i="1463"/>
  <c r="V18" i="1463"/>
  <c r="U18" i="1463"/>
  <c r="T18" i="1463"/>
  <c r="P18" i="1463"/>
  <c r="O18" i="1463"/>
  <c r="N18" i="1463"/>
  <c r="M18" i="1463"/>
  <c r="L18" i="1463"/>
  <c r="K18" i="1463"/>
  <c r="J18" i="1463"/>
  <c r="I18" i="1463"/>
  <c r="H18" i="1463"/>
  <c r="G18" i="1463"/>
  <c r="F18" i="1463"/>
  <c r="E18" i="1463"/>
  <c r="D18" i="1463"/>
  <c r="C18" i="1463"/>
  <c r="Y4" i="1463"/>
  <c r="W4" i="1463"/>
  <c r="V4" i="1463"/>
  <c r="U4" i="1463"/>
  <c r="T4" i="1463"/>
  <c r="P4" i="1463"/>
  <c r="O4" i="1463"/>
  <c r="N4" i="1463"/>
  <c r="M4" i="1463"/>
  <c r="L4" i="1463"/>
  <c r="K4" i="1463"/>
  <c r="J4" i="1463"/>
  <c r="I4" i="1463"/>
  <c r="H4" i="1463"/>
  <c r="G4" i="1463"/>
  <c r="F4" i="1463"/>
  <c r="E4" i="1463"/>
  <c r="D4" i="1463"/>
  <c r="C4" i="1463"/>
  <c r="Y3" i="1463"/>
  <c r="W3" i="1463"/>
  <c r="V3" i="1463"/>
  <c r="U3" i="1463"/>
  <c r="T3" i="1463"/>
  <c r="P3" i="1463"/>
  <c r="O3" i="1463"/>
  <c r="N3" i="1463"/>
  <c r="M3" i="1463"/>
  <c r="L3" i="1463"/>
  <c r="K3" i="1463"/>
  <c r="J3" i="1463"/>
  <c r="I3" i="1463"/>
  <c r="H3" i="1463"/>
  <c r="G3" i="1463"/>
  <c r="F3" i="1463"/>
  <c r="E3" i="1463"/>
  <c r="D3" i="1463"/>
  <c r="C3" i="1463"/>
  <c r="F21" i="1462"/>
  <c r="Y19" i="1462"/>
  <c r="W19" i="1462"/>
  <c r="V19" i="1462"/>
  <c r="U19" i="1462"/>
  <c r="T19" i="1462"/>
  <c r="P19" i="1462"/>
  <c r="O19" i="1462"/>
  <c r="N19" i="1462"/>
  <c r="M19" i="1462"/>
  <c r="L19" i="1462"/>
  <c r="K19" i="1462"/>
  <c r="J19" i="1462"/>
  <c r="I19" i="1462"/>
  <c r="H19" i="1462"/>
  <c r="G19" i="1462"/>
  <c r="F19" i="1462"/>
  <c r="E19" i="1462"/>
  <c r="D19" i="1462"/>
  <c r="C19" i="1462"/>
  <c r="Y18" i="1462"/>
  <c r="W18" i="1462"/>
  <c r="V18" i="1462"/>
  <c r="U18" i="1462"/>
  <c r="T18" i="1462"/>
  <c r="P18" i="1462"/>
  <c r="O18" i="1462"/>
  <c r="N18" i="1462"/>
  <c r="M18" i="1462"/>
  <c r="L18" i="1462"/>
  <c r="K18" i="1462"/>
  <c r="J18" i="1462"/>
  <c r="I18" i="1462"/>
  <c r="H18" i="1462"/>
  <c r="G18" i="1462"/>
  <c r="F18" i="1462"/>
  <c r="E18" i="1462"/>
  <c r="D18" i="1462"/>
  <c r="C18" i="1462"/>
  <c r="Y4" i="1462"/>
  <c r="W4" i="1462"/>
  <c r="V4" i="1462"/>
  <c r="U4" i="1462"/>
  <c r="T4" i="1462"/>
  <c r="P4" i="1462"/>
  <c r="O4" i="1462"/>
  <c r="N4" i="1462"/>
  <c r="M4" i="1462"/>
  <c r="L4" i="1462"/>
  <c r="K4" i="1462"/>
  <c r="J4" i="1462"/>
  <c r="I4" i="1462"/>
  <c r="H4" i="1462"/>
  <c r="G4" i="1462"/>
  <c r="F4" i="1462"/>
  <c r="E4" i="1462"/>
  <c r="D4" i="1462"/>
  <c r="C4" i="1462"/>
  <c r="Y3" i="1462"/>
  <c r="W3" i="1462"/>
  <c r="V3" i="1462"/>
  <c r="U3" i="1462"/>
  <c r="T3" i="1462"/>
  <c r="P3" i="1462"/>
  <c r="O3" i="1462"/>
  <c r="N3" i="1462"/>
  <c r="M3" i="1462"/>
  <c r="L3" i="1462"/>
  <c r="K3" i="1462"/>
  <c r="J3" i="1462"/>
  <c r="I3" i="1462"/>
  <c r="H3" i="1462"/>
  <c r="G3" i="1462"/>
  <c r="F3" i="1462"/>
  <c r="E3" i="1462"/>
  <c r="D3" i="1462"/>
  <c r="C3" i="1462"/>
  <c r="F21" i="1461"/>
  <c r="Y19" i="1461"/>
  <c r="W19" i="1461"/>
  <c r="V19" i="1461"/>
  <c r="U19" i="1461"/>
  <c r="T19" i="1461"/>
  <c r="P19" i="1461"/>
  <c r="O19" i="1461"/>
  <c r="N19" i="1461"/>
  <c r="M19" i="1461"/>
  <c r="L19" i="1461"/>
  <c r="K19" i="1461"/>
  <c r="J19" i="1461"/>
  <c r="I19" i="1461"/>
  <c r="H19" i="1461"/>
  <c r="G19" i="1461"/>
  <c r="F19" i="1461"/>
  <c r="E19" i="1461"/>
  <c r="D19" i="1461"/>
  <c r="C19" i="1461"/>
  <c r="Y18" i="1461"/>
  <c r="W18" i="1461"/>
  <c r="V18" i="1461"/>
  <c r="U18" i="1461"/>
  <c r="T18" i="1461"/>
  <c r="P18" i="1461"/>
  <c r="O18" i="1461"/>
  <c r="N18" i="1461"/>
  <c r="M18" i="1461"/>
  <c r="L18" i="1461"/>
  <c r="K18" i="1461"/>
  <c r="J18" i="1461"/>
  <c r="I18" i="1461"/>
  <c r="H18" i="1461"/>
  <c r="G18" i="1461"/>
  <c r="F18" i="1461"/>
  <c r="E18" i="1461"/>
  <c r="D18" i="1461"/>
  <c r="C18" i="1461"/>
  <c r="Y4" i="1461"/>
  <c r="W4" i="1461"/>
  <c r="V4" i="1461"/>
  <c r="U4" i="1461"/>
  <c r="T4" i="1461"/>
  <c r="P4" i="1461"/>
  <c r="O4" i="1461"/>
  <c r="N4" i="1461"/>
  <c r="M4" i="1461"/>
  <c r="L4" i="1461"/>
  <c r="K4" i="1461"/>
  <c r="J4" i="1461"/>
  <c r="I4" i="1461"/>
  <c r="H4" i="1461"/>
  <c r="G4" i="1461"/>
  <c r="F4" i="1461"/>
  <c r="E4" i="1461"/>
  <c r="D4" i="1461"/>
  <c r="C4" i="1461"/>
  <c r="Y3" i="1461"/>
  <c r="W3" i="1461"/>
  <c r="V3" i="1461"/>
  <c r="U3" i="1461"/>
  <c r="T3" i="1461"/>
  <c r="P3" i="1461"/>
  <c r="O3" i="1461"/>
  <c r="N3" i="1461"/>
  <c r="M3" i="1461"/>
  <c r="L3" i="1461"/>
  <c r="K3" i="1461"/>
  <c r="J3" i="1461"/>
  <c r="I3" i="1461"/>
  <c r="H3" i="1461"/>
  <c r="G3" i="1461"/>
  <c r="F3" i="1461"/>
  <c r="E3" i="1461"/>
  <c r="D3" i="1461"/>
  <c r="C3" i="1461"/>
  <c r="F21" i="1460"/>
  <c r="Y19" i="1460"/>
  <c r="W19" i="1460"/>
  <c r="V19" i="1460"/>
  <c r="U19" i="1460"/>
  <c r="T19" i="1460"/>
  <c r="P19" i="1460"/>
  <c r="O19" i="1460"/>
  <c r="N19" i="1460"/>
  <c r="M19" i="1460"/>
  <c r="L19" i="1460"/>
  <c r="K19" i="1460"/>
  <c r="J19" i="1460"/>
  <c r="I19" i="1460"/>
  <c r="H19" i="1460"/>
  <c r="G19" i="1460"/>
  <c r="F19" i="1460"/>
  <c r="E19" i="1460"/>
  <c r="D19" i="1460"/>
  <c r="C19" i="1460"/>
  <c r="Y18" i="1460"/>
  <c r="W18" i="1460"/>
  <c r="V18" i="1460"/>
  <c r="U18" i="1460"/>
  <c r="T18" i="1460"/>
  <c r="P18" i="1460"/>
  <c r="O18" i="1460"/>
  <c r="N18" i="1460"/>
  <c r="M18" i="1460"/>
  <c r="L18" i="1460"/>
  <c r="K18" i="1460"/>
  <c r="J18" i="1460"/>
  <c r="I18" i="1460"/>
  <c r="H18" i="1460"/>
  <c r="G18" i="1460"/>
  <c r="F18" i="1460"/>
  <c r="E18" i="1460"/>
  <c r="D18" i="1460"/>
  <c r="C18" i="1460"/>
  <c r="Y4" i="1460"/>
  <c r="W4" i="1460"/>
  <c r="V4" i="1460"/>
  <c r="U4" i="1460"/>
  <c r="T4" i="1460"/>
  <c r="P4" i="1460"/>
  <c r="O4" i="1460"/>
  <c r="N4" i="1460"/>
  <c r="M4" i="1460"/>
  <c r="L4" i="1460"/>
  <c r="K4" i="1460"/>
  <c r="J4" i="1460"/>
  <c r="I4" i="1460"/>
  <c r="H4" i="1460"/>
  <c r="G4" i="1460"/>
  <c r="F4" i="1460"/>
  <c r="E4" i="1460"/>
  <c r="D4" i="1460"/>
  <c r="C4" i="1460"/>
  <c r="Y3" i="1460"/>
  <c r="W3" i="1460"/>
  <c r="V3" i="1460"/>
  <c r="U3" i="1460"/>
  <c r="T3" i="1460"/>
  <c r="P3" i="1460"/>
  <c r="O3" i="1460"/>
  <c r="N3" i="1460"/>
  <c r="M3" i="1460"/>
  <c r="L3" i="1460"/>
  <c r="K3" i="1460"/>
  <c r="J3" i="1460"/>
  <c r="I3" i="1460"/>
  <c r="H3" i="1460"/>
  <c r="G3" i="1460"/>
  <c r="F3" i="1460"/>
  <c r="E3" i="1460"/>
  <c r="D3" i="1460"/>
  <c r="C3" i="1460"/>
  <c r="F21" i="1459"/>
  <c r="Y19" i="1459"/>
  <c r="W19" i="1459"/>
  <c r="V19" i="1459"/>
  <c r="U19" i="1459"/>
  <c r="T19" i="1459"/>
  <c r="P19" i="1459"/>
  <c r="O19" i="1459"/>
  <c r="N19" i="1459"/>
  <c r="M19" i="1459"/>
  <c r="L19" i="1459"/>
  <c r="K19" i="1459"/>
  <c r="J19" i="1459"/>
  <c r="I19" i="1459"/>
  <c r="H19" i="1459"/>
  <c r="G19" i="1459"/>
  <c r="F19" i="1459"/>
  <c r="E19" i="1459"/>
  <c r="D19" i="1459"/>
  <c r="C19" i="1459"/>
  <c r="Y18" i="1459"/>
  <c r="W18" i="1459"/>
  <c r="V18" i="1459"/>
  <c r="U18" i="1459"/>
  <c r="T18" i="1459"/>
  <c r="P18" i="1459"/>
  <c r="O18" i="1459"/>
  <c r="N18" i="1459"/>
  <c r="M18" i="1459"/>
  <c r="L18" i="1459"/>
  <c r="K18" i="1459"/>
  <c r="J18" i="1459"/>
  <c r="I18" i="1459"/>
  <c r="H18" i="1459"/>
  <c r="G18" i="1459"/>
  <c r="F18" i="1459"/>
  <c r="E18" i="1459"/>
  <c r="D18" i="1459"/>
  <c r="C18" i="1459"/>
  <c r="Y4" i="1459"/>
  <c r="W4" i="1459"/>
  <c r="V4" i="1459"/>
  <c r="U4" i="1459"/>
  <c r="T4" i="1459"/>
  <c r="P4" i="1459"/>
  <c r="O4" i="1459"/>
  <c r="N4" i="1459"/>
  <c r="M4" i="1459"/>
  <c r="L4" i="1459"/>
  <c r="K4" i="1459"/>
  <c r="J4" i="1459"/>
  <c r="I4" i="1459"/>
  <c r="H4" i="1459"/>
  <c r="G4" i="1459"/>
  <c r="F4" i="1459"/>
  <c r="E4" i="1459"/>
  <c r="D4" i="1459"/>
  <c r="C4" i="1459"/>
  <c r="Y3" i="1459"/>
  <c r="W3" i="1459"/>
  <c r="V3" i="1459"/>
  <c r="U3" i="1459"/>
  <c r="T3" i="1459"/>
  <c r="P3" i="1459"/>
  <c r="O3" i="1459"/>
  <c r="N3" i="1459"/>
  <c r="M3" i="1459"/>
  <c r="L3" i="1459"/>
  <c r="K3" i="1459"/>
  <c r="J3" i="1459"/>
  <c r="I3" i="1459"/>
  <c r="H3" i="1459"/>
  <c r="G3" i="1459"/>
  <c r="F3" i="1459"/>
  <c r="E3" i="1459"/>
  <c r="D3" i="1459"/>
  <c r="C3" i="1459"/>
  <c r="F21" i="1458"/>
  <c r="Y19" i="1458"/>
  <c r="W19" i="1458"/>
  <c r="V19" i="1458"/>
  <c r="U19" i="1458"/>
  <c r="T19" i="1458"/>
  <c r="P19" i="1458"/>
  <c r="O19" i="1458"/>
  <c r="N19" i="1458"/>
  <c r="M19" i="1458"/>
  <c r="L19" i="1458"/>
  <c r="K19" i="1458"/>
  <c r="J19" i="1458"/>
  <c r="I19" i="1458"/>
  <c r="H19" i="1458"/>
  <c r="G19" i="1458"/>
  <c r="F19" i="1458"/>
  <c r="E19" i="1458"/>
  <c r="D19" i="1458"/>
  <c r="C19" i="1458"/>
  <c r="Y18" i="1458"/>
  <c r="W18" i="1458"/>
  <c r="V18" i="1458"/>
  <c r="U18" i="1458"/>
  <c r="T18" i="1458"/>
  <c r="P18" i="1458"/>
  <c r="O18" i="1458"/>
  <c r="N18" i="1458"/>
  <c r="M18" i="1458"/>
  <c r="L18" i="1458"/>
  <c r="K18" i="1458"/>
  <c r="J18" i="1458"/>
  <c r="I18" i="1458"/>
  <c r="H18" i="1458"/>
  <c r="G18" i="1458"/>
  <c r="F18" i="1458"/>
  <c r="E18" i="1458"/>
  <c r="D18" i="1458"/>
  <c r="C18" i="1458"/>
  <c r="Y4" i="1458"/>
  <c r="W4" i="1458"/>
  <c r="V4" i="1458"/>
  <c r="U4" i="1458"/>
  <c r="T4" i="1458"/>
  <c r="P4" i="1458"/>
  <c r="O4" i="1458"/>
  <c r="N4" i="1458"/>
  <c r="M4" i="1458"/>
  <c r="L4" i="1458"/>
  <c r="K4" i="1458"/>
  <c r="J4" i="1458"/>
  <c r="I4" i="1458"/>
  <c r="H4" i="1458"/>
  <c r="G4" i="1458"/>
  <c r="F4" i="1458"/>
  <c r="E4" i="1458"/>
  <c r="D4" i="1458"/>
  <c r="C4" i="1458"/>
  <c r="Y3" i="1458"/>
  <c r="W3" i="1458"/>
  <c r="V3" i="1458"/>
  <c r="U3" i="1458"/>
  <c r="T3" i="1458"/>
  <c r="P3" i="1458"/>
  <c r="O3" i="1458"/>
  <c r="N3" i="1458"/>
  <c r="M3" i="1458"/>
  <c r="L3" i="1458"/>
  <c r="K3" i="1458"/>
  <c r="J3" i="1458"/>
  <c r="I3" i="1458"/>
  <c r="H3" i="1458"/>
  <c r="G3" i="1458"/>
  <c r="F3" i="1458"/>
  <c r="E3" i="1458"/>
  <c r="D3" i="1458"/>
  <c r="C3" i="1458"/>
  <c r="F21" i="1457"/>
  <c r="Y19" i="1457"/>
  <c r="W19" i="1457"/>
  <c r="V19" i="1457"/>
  <c r="U19" i="1457"/>
  <c r="T19" i="1457"/>
  <c r="P19" i="1457"/>
  <c r="O19" i="1457"/>
  <c r="N19" i="1457"/>
  <c r="M19" i="1457"/>
  <c r="L19" i="1457"/>
  <c r="K19" i="1457"/>
  <c r="J19" i="1457"/>
  <c r="I19" i="1457"/>
  <c r="H19" i="1457"/>
  <c r="G19" i="1457"/>
  <c r="F19" i="1457"/>
  <c r="E19" i="1457"/>
  <c r="D19" i="1457"/>
  <c r="C19" i="1457"/>
  <c r="Y18" i="1457"/>
  <c r="W18" i="1457"/>
  <c r="V18" i="1457"/>
  <c r="U18" i="1457"/>
  <c r="T18" i="1457"/>
  <c r="P18" i="1457"/>
  <c r="O18" i="1457"/>
  <c r="N18" i="1457"/>
  <c r="M18" i="1457"/>
  <c r="L18" i="1457"/>
  <c r="K18" i="1457"/>
  <c r="J18" i="1457"/>
  <c r="I18" i="1457"/>
  <c r="H18" i="1457"/>
  <c r="G18" i="1457"/>
  <c r="F18" i="1457"/>
  <c r="E18" i="1457"/>
  <c r="D18" i="1457"/>
  <c r="C18" i="1457"/>
  <c r="Y4" i="1457"/>
  <c r="W4" i="1457"/>
  <c r="V4" i="1457"/>
  <c r="U4" i="1457"/>
  <c r="T4" i="1457"/>
  <c r="P4" i="1457"/>
  <c r="O4" i="1457"/>
  <c r="N4" i="1457"/>
  <c r="M4" i="1457"/>
  <c r="L4" i="1457"/>
  <c r="K4" i="1457"/>
  <c r="J4" i="1457"/>
  <c r="I4" i="1457"/>
  <c r="H4" i="1457"/>
  <c r="G4" i="1457"/>
  <c r="F4" i="1457"/>
  <c r="E4" i="1457"/>
  <c r="D4" i="1457"/>
  <c r="C4" i="1457"/>
  <c r="Y3" i="1457"/>
  <c r="W3" i="1457"/>
  <c r="V3" i="1457"/>
  <c r="U3" i="1457"/>
  <c r="T3" i="1457"/>
  <c r="P3" i="1457"/>
  <c r="O3" i="1457"/>
  <c r="N3" i="1457"/>
  <c r="M3" i="1457"/>
  <c r="L3" i="1457"/>
  <c r="K3" i="1457"/>
  <c r="J3" i="1457"/>
  <c r="I3" i="1457"/>
  <c r="H3" i="1457"/>
  <c r="G3" i="1457"/>
  <c r="F3" i="1457"/>
  <c r="E3" i="1457"/>
  <c r="D3" i="1457"/>
  <c r="C3" i="1457"/>
  <c r="F21" i="1456"/>
  <c r="Y19" i="1456"/>
  <c r="W19" i="1456"/>
  <c r="V19" i="1456"/>
  <c r="U19" i="1456"/>
  <c r="T19" i="1456"/>
  <c r="P19" i="1456"/>
  <c r="O19" i="1456"/>
  <c r="N19" i="1456"/>
  <c r="M19" i="1456"/>
  <c r="L19" i="1456"/>
  <c r="K19" i="1456"/>
  <c r="J19" i="1456"/>
  <c r="I19" i="1456"/>
  <c r="H19" i="1456"/>
  <c r="G19" i="1456"/>
  <c r="F19" i="1456"/>
  <c r="E19" i="1456"/>
  <c r="D19" i="1456"/>
  <c r="C19" i="1456"/>
  <c r="Y18" i="1456"/>
  <c r="W18" i="1456"/>
  <c r="V18" i="1456"/>
  <c r="U18" i="1456"/>
  <c r="T18" i="1456"/>
  <c r="P18" i="1456"/>
  <c r="O18" i="1456"/>
  <c r="N18" i="1456"/>
  <c r="M18" i="1456"/>
  <c r="L18" i="1456"/>
  <c r="K18" i="1456"/>
  <c r="J18" i="1456"/>
  <c r="I18" i="1456"/>
  <c r="H18" i="1456"/>
  <c r="G18" i="1456"/>
  <c r="F18" i="1456"/>
  <c r="E18" i="1456"/>
  <c r="D18" i="1456"/>
  <c r="C18" i="1456"/>
  <c r="Y4" i="1456"/>
  <c r="W4" i="1456"/>
  <c r="V4" i="1456"/>
  <c r="U4" i="1456"/>
  <c r="T4" i="1456"/>
  <c r="P4" i="1456"/>
  <c r="O4" i="1456"/>
  <c r="N4" i="1456"/>
  <c r="M4" i="1456"/>
  <c r="L4" i="1456"/>
  <c r="K4" i="1456"/>
  <c r="J4" i="1456"/>
  <c r="I4" i="1456"/>
  <c r="H4" i="1456"/>
  <c r="G4" i="1456"/>
  <c r="F4" i="1456"/>
  <c r="E4" i="1456"/>
  <c r="D4" i="1456"/>
  <c r="C4" i="1456"/>
  <c r="Y3" i="1456"/>
  <c r="W3" i="1456"/>
  <c r="V3" i="1456"/>
  <c r="U3" i="1456"/>
  <c r="T3" i="1456"/>
  <c r="P3" i="1456"/>
  <c r="O3" i="1456"/>
  <c r="N3" i="1456"/>
  <c r="M3" i="1456"/>
  <c r="L3" i="1456"/>
  <c r="K3" i="1456"/>
  <c r="J3" i="1456"/>
  <c r="I3" i="1456"/>
  <c r="H3" i="1456"/>
  <c r="G3" i="1456"/>
  <c r="F3" i="1456"/>
  <c r="E3" i="1456"/>
  <c r="D3" i="1456"/>
  <c r="C3" i="1456"/>
  <c r="F21" i="1455"/>
  <c r="Y19" i="1455"/>
  <c r="W19" i="1455"/>
  <c r="V19" i="1455"/>
  <c r="U19" i="1455"/>
  <c r="T19" i="1455"/>
  <c r="P19" i="1455"/>
  <c r="O19" i="1455"/>
  <c r="N19" i="1455"/>
  <c r="M19" i="1455"/>
  <c r="L19" i="1455"/>
  <c r="K19" i="1455"/>
  <c r="J19" i="1455"/>
  <c r="I19" i="1455"/>
  <c r="H19" i="1455"/>
  <c r="G19" i="1455"/>
  <c r="F19" i="1455"/>
  <c r="E19" i="1455"/>
  <c r="D19" i="1455"/>
  <c r="C19" i="1455"/>
  <c r="Y18" i="1455"/>
  <c r="W18" i="1455"/>
  <c r="V18" i="1455"/>
  <c r="U18" i="1455"/>
  <c r="T18" i="1455"/>
  <c r="P18" i="1455"/>
  <c r="O18" i="1455"/>
  <c r="N18" i="1455"/>
  <c r="M18" i="1455"/>
  <c r="L18" i="1455"/>
  <c r="K18" i="1455"/>
  <c r="J18" i="1455"/>
  <c r="I18" i="1455"/>
  <c r="H18" i="1455"/>
  <c r="G18" i="1455"/>
  <c r="F18" i="1455"/>
  <c r="E18" i="1455"/>
  <c r="D18" i="1455"/>
  <c r="C18" i="1455"/>
  <c r="Y4" i="1455"/>
  <c r="W4" i="1455"/>
  <c r="V4" i="1455"/>
  <c r="U4" i="1455"/>
  <c r="T4" i="1455"/>
  <c r="P4" i="1455"/>
  <c r="O4" i="1455"/>
  <c r="N4" i="1455"/>
  <c r="M4" i="1455"/>
  <c r="L4" i="1455"/>
  <c r="K4" i="1455"/>
  <c r="J4" i="1455"/>
  <c r="I4" i="1455"/>
  <c r="H4" i="1455"/>
  <c r="G4" i="1455"/>
  <c r="F4" i="1455"/>
  <c r="E4" i="1455"/>
  <c r="D4" i="1455"/>
  <c r="C4" i="1455"/>
  <c r="Y3" i="1455"/>
  <c r="W3" i="1455"/>
  <c r="V3" i="1455"/>
  <c r="U3" i="1455"/>
  <c r="T3" i="1455"/>
  <c r="P3" i="1455"/>
  <c r="O3" i="1455"/>
  <c r="N3" i="1455"/>
  <c r="M3" i="1455"/>
  <c r="L3" i="1455"/>
  <c r="K3" i="1455"/>
  <c r="J3" i="1455"/>
  <c r="I3" i="1455"/>
  <c r="H3" i="1455"/>
  <c r="G3" i="1455"/>
  <c r="F3" i="1455"/>
  <c r="E3" i="1455"/>
  <c r="D3" i="1455"/>
  <c r="C3" i="1455"/>
  <c r="F21" i="1454"/>
  <c r="Y19" i="1454"/>
  <c r="W19" i="1454"/>
  <c r="V19" i="1454"/>
  <c r="U19" i="1454"/>
  <c r="T19" i="1454"/>
  <c r="P19" i="1454"/>
  <c r="O19" i="1454"/>
  <c r="N19" i="1454"/>
  <c r="M19" i="1454"/>
  <c r="L19" i="1454"/>
  <c r="K19" i="1454"/>
  <c r="J19" i="1454"/>
  <c r="I19" i="1454"/>
  <c r="H19" i="1454"/>
  <c r="G19" i="1454"/>
  <c r="F19" i="1454"/>
  <c r="E19" i="1454"/>
  <c r="D19" i="1454"/>
  <c r="C19" i="1454"/>
  <c r="Y18" i="1454"/>
  <c r="W18" i="1454"/>
  <c r="V18" i="1454"/>
  <c r="U18" i="1454"/>
  <c r="T18" i="1454"/>
  <c r="P18" i="1454"/>
  <c r="O18" i="1454"/>
  <c r="N18" i="1454"/>
  <c r="M18" i="1454"/>
  <c r="L18" i="1454"/>
  <c r="K18" i="1454"/>
  <c r="J18" i="1454"/>
  <c r="I18" i="1454"/>
  <c r="H18" i="1454"/>
  <c r="G18" i="1454"/>
  <c r="F18" i="1454"/>
  <c r="E18" i="1454"/>
  <c r="D18" i="1454"/>
  <c r="C18" i="1454"/>
  <c r="Y4" i="1454"/>
  <c r="W4" i="1454"/>
  <c r="V4" i="1454"/>
  <c r="U4" i="1454"/>
  <c r="T4" i="1454"/>
  <c r="P4" i="1454"/>
  <c r="O4" i="1454"/>
  <c r="N4" i="1454"/>
  <c r="M4" i="1454"/>
  <c r="L4" i="1454"/>
  <c r="K4" i="1454"/>
  <c r="J4" i="1454"/>
  <c r="I4" i="1454"/>
  <c r="H4" i="1454"/>
  <c r="G4" i="1454"/>
  <c r="F4" i="1454"/>
  <c r="E4" i="1454"/>
  <c r="D4" i="1454"/>
  <c r="C4" i="1454"/>
  <c r="Y3" i="1454"/>
  <c r="W3" i="1454"/>
  <c r="V3" i="1454"/>
  <c r="U3" i="1454"/>
  <c r="T3" i="1454"/>
  <c r="P3" i="1454"/>
  <c r="O3" i="1454"/>
  <c r="N3" i="1454"/>
  <c r="M3" i="1454"/>
  <c r="L3" i="1454"/>
  <c r="K3" i="1454"/>
  <c r="J3" i="1454"/>
  <c r="I3" i="1454"/>
  <c r="H3" i="1454"/>
  <c r="G3" i="1454"/>
  <c r="F3" i="1454"/>
  <c r="E3" i="1454"/>
  <c r="D3" i="1454"/>
  <c r="C3" i="1454"/>
  <c r="F21" i="1453"/>
  <c r="Y19" i="1453"/>
  <c r="W19" i="1453"/>
  <c r="V19" i="1453"/>
  <c r="U19" i="1453"/>
  <c r="T19" i="1453"/>
  <c r="P19" i="1453"/>
  <c r="O19" i="1453"/>
  <c r="N19" i="1453"/>
  <c r="M19" i="1453"/>
  <c r="L19" i="1453"/>
  <c r="K19" i="1453"/>
  <c r="J19" i="1453"/>
  <c r="I19" i="1453"/>
  <c r="H19" i="1453"/>
  <c r="G19" i="1453"/>
  <c r="F19" i="1453"/>
  <c r="E19" i="1453"/>
  <c r="D19" i="1453"/>
  <c r="C19" i="1453"/>
  <c r="Y18" i="1453"/>
  <c r="W18" i="1453"/>
  <c r="V18" i="1453"/>
  <c r="U18" i="1453"/>
  <c r="T18" i="1453"/>
  <c r="P18" i="1453"/>
  <c r="O18" i="1453"/>
  <c r="N18" i="1453"/>
  <c r="M18" i="1453"/>
  <c r="L18" i="1453"/>
  <c r="K18" i="1453"/>
  <c r="J18" i="1453"/>
  <c r="I18" i="1453"/>
  <c r="H18" i="1453"/>
  <c r="G18" i="1453"/>
  <c r="F18" i="1453"/>
  <c r="E18" i="1453"/>
  <c r="D18" i="1453"/>
  <c r="C18" i="1453"/>
  <c r="Y4" i="1453"/>
  <c r="W4" i="1453"/>
  <c r="V4" i="1453"/>
  <c r="U4" i="1453"/>
  <c r="T4" i="1453"/>
  <c r="P4" i="1453"/>
  <c r="O4" i="1453"/>
  <c r="N4" i="1453"/>
  <c r="M4" i="1453"/>
  <c r="L4" i="1453"/>
  <c r="K4" i="1453"/>
  <c r="J4" i="1453"/>
  <c r="I4" i="1453"/>
  <c r="H4" i="1453"/>
  <c r="G4" i="1453"/>
  <c r="F4" i="1453"/>
  <c r="E4" i="1453"/>
  <c r="D4" i="1453"/>
  <c r="C4" i="1453"/>
  <c r="Y3" i="1453"/>
  <c r="W3" i="1453"/>
  <c r="V3" i="1453"/>
  <c r="U3" i="1453"/>
  <c r="T3" i="1453"/>
  <c r="P3" i="1453"/>
  <c r="O3" i="1453"/>
  <c r="N3" i="1453"/>
  <c r="M3" i="1453"/>
  <c r="L3" i="1453"/>
  <c r="K3" i="1453"/>
  <c r="J3" i="1453"/>
  <c r="I3" i="1453"/>
  <c r="H3" i="1453"/>
  <c r="G3" i="1453"/>
  <c r="F3" i="1453"/>
  <c r="E3" i="1453"/>
  <c r="D3" i="1453"/>
  <c r="C3" i="1453"/>
  <c r="F21" i="1452"/>
  <c r="Y19" i="1452"/>
  <c r="W19" i="1452"/>
  <c r="V19" i="1452"/>
  <c r="U19" i="1452"/>
  <c r="T19" i="1452"/>
  <c r="P19" i="1452"/>
  <c r="O19" i="1452"/>
  <c r="N19" i="1452"/>
  <c r="M19" i="1452"/>
  <c r="L19" i="1452"/>
  <c r="K19" i="1452"/>
  <c r="J19" i="1452"/>
  <c r="I19" i="1452"/>
  <c r="H19" i="1452"/>
  <c r="G19" i="1452"/>
  <c r="F19" i="1452"/>
  <c r="E19" i="1452"/>
  <c r="D19" i="1452"/>
  <c r="C19" i="1452"/>
  <c r="Y18" i="1452"/>
  <c r="W18" i="1452"/>
  <c r="V18" i="1452"/>
  <c r="U18" i="1452"/>
  <c r="T18" i="1452"/>
  <c r="P18" i="1452"/>
  <c r="O18" i="1452"/>
  <c r="N18" i="1452"/>
  <c r="M18" i="1452"/>
  <c r="L18" i="1452"/>
  <c r="K18" i="1452"/>
  <c r="J18" i="1452"/>
  <c r="I18" i="1452"/>
  <c r="H18" i="1452"/>
  <c r="G18" i="1452"/>
  <c r="F18" i="1452"/>
  <c r="E18" i="1452"/>
  <c r="D18" i="1452"/>
  <c r="C18" i="1452"/>
  <c r="Y4" i="1452"/>
  <c r="W4" i="1452"/>
  <c r="V4" i="1452"/>
  <c r="U4" i="1452"/>
  <c r="T4" i="1452"/>
  <c r="P4" i="1452"/>
  <c r="O4" i="1452"/>
  <c r="N4" i="1452"/>
  <c r="M4" i="1452"/>
  <c r="L4" i="1452"/>
  <c r="K4" i="1452"/>
  <c r="J4" i="1452"/>
  <c r="I4" i="1452"/>
  <c r="H4" i="1452"/>
  <c r="G4" i="1452"/>
  <c r="F4" i="1452"/>
  <c r="E4" i="1452"/>
  <c r="D4" i="1452"/>
  <c r="C4" i="1452"/>
  <c r="Y3" i="1452"/>
  <c r="W3" i="1452"/>
  <c r="V3" i="1452"/>
  <c r="U3" i="1452"/>
  <c r="T3" i="1452"/>
  <c r="P3" i="1452"/>
  <c r="O3" i="1452"/>
  <c r="N3" i="1452"/>
  <c r="M3" i="1452"/>
  <c r="L3" i="1452"/>
  <c r="K3" i="1452"/>
  <c r="J3" i="1452"/>
  <c r="I3" i="1452"/>
  <c r="H3" i="1452"/>
  <c r="G3" i="1452"/>
  <c r="F3" i="1452"/>
  <c r="E3" i="1452"/>
  <c r="D3" i="1452"/>
  <c r="C3" i="1452"/>
  <c r="F21" i="1451" l="1"/>
  <c r="Y19" i="1451"/>
  <c r="W19" i="1451"/>
  <c r="V19" i="1451"/>
  <c r="U19" i="1451"/>
  <c r="T19" i="1451"/>
  <c r="P19" i="1451"/>
  <c r="O19" i="1451"/>
  <c r="N19" i="1451"/>
  <c r="M19" i="1451"/>
  <c r="L19" i="1451"/>
  <c r="K19" i="1451"/>
  <c r="J19" i="1451"/>
  <c r="I19" i="1451"/>
  <c r="H19" i="1451"/>
  <c r="G19" i="1451"/>
  <c r="F19" i="1451"/>
  <c r="E19" i="1451"/>
  <c r="D19" i="1451"/>
  <c r="C19" i="1451"/>
  <c r="Y18" i="1451"/>
  <c r="W18" i="1451"/>
  <c r="V18" i="1451"/>
  <c r="U18" i="1451"/>
  <c r="T18" i="1451"/>
  <c r="P18" i="1451"/>
  <c r="O18" i="1451"/>
  <c r="N18" i="1451"/>
  <c r="M18" i="1451"/>
  <c r="L18" i="1451"/>
  <c r="K18" i="1451"/>
  <c r="J18" i="1451"/>
  <c r="I18" i="1451"/>
  <c r="H18" i="1451"/>
  <c r="G18" i="1451"/>
  <c r="F18" i="1451"/>
  <c r="E18" i="1451"/>
  <c r="D18" i="1451"/>
  <c r="C18" i="1451"/>
  <c r="Y4" i="1451"/>
  <c r="W4" i="1451"/>
  <c r="V4" i="1451"/>
  <c r="U4" i="1451"/>
  <c r="T4" i="1451"/>
  <c r="P4" i="1451"/>
  <c r="O4" i="1451"/>
  <c r="N4" i="1451"/>
  <c r="M4" i="1451"/>
  <c r="L4" i="1451"/>
  <c r="K4" i="1451"/>
  <c r="J4" i="1451"/>
  <c r="I4" i="1451"/>
  <c r="H4" i="1451"/>
  <c r="G4" i="1451"/>
  <c r="F4" i="1451"/>
  <c r="E4" i="1451"/>
  <c r="D4" i="1451"/>
  <c r="C4" i="1451"/>
  <c r="Y3" i="1451"/>
  <c r="W3" i="1451"/>
  <c r="V3" i="1451"/>
  <c r="U3" i="1451"/>
  <c r="T3" i="1451"/>
  <c r="P3" i="1451"/>
  <c r="O3" i="1451"/>
  <c r="N3" i="1451"/>
  <c r="M3" i="1451"/>
  <c r="L3" i="1451"/>
  <c r="K3" i="1451"/>
  <c r="J3" i="1451"/>
  <c r="I3" i="1451"/>
  <c r="H3" i="1451"/>
  <c r="G3" i="1451"/>
  <c r="F3" i="1451"/>
  <c r="E3" i="1451"/>
  <c r="D3" i="1451"/>
  <c r="C3" i="1451"/>
  <c r="F21" i="1450"/>
  <c r="Y19" i="1450"/>
  <c r="W19" i="1450"/>
  <c r="V19" i="1450"/>
  <c r="U19" i="1450"/>
  <c r="T19" i="1450"/>
  <c r="P19" i="1450"/>
  <c r="O19" i="1450"/>
  <c r="N19" i="1450"/>
  <c r="M19" i="1450"/>
  <c r="L19" i="1450"/>
  <c r="K19" i="1450"/>
  <c r="J19" i="1450"/>
  <c r="I19" i="1450"/>
  <c r="H19" i="1450"/>
  <c r="G19" i="1450"/>
  <c r="F19" i="1450"/>
  <c r="E19" i="1450"/>
  <c r="D19" i="1450"/>
  <c r="C19" i="1450"/>
  <c r="Y18" i="1450"/>
  <c r="W18" i="1450"/>
  <c r="V18" i="1450"/>
  <c r="U18" i="1450"/>
  <c r="T18" i="1450"/>
  <c r="P18" i="1450"/>
  <c r="O18" i="1450"/>
  <c r="N18" i="1450"/>
  <c r="M18" i="1450"/>
  <c r="L18" i="1450"/>
  <c r="K18" i="1450"/>
  <c r="J18" i="1450"/>
  <c r="I18" i="1450"/>
  <c r="H18" i="1450"/>
  <c r="G18" i="1450"/>
  <c r="F18" i="1450"/>
  <c r="E18" i="1450"/>
  <c r="D18" i="1450"/>
  <c r="C18" i="1450"/>
  <c r="Y4" i="1450"/>
  <c r="W4" i="1450"/>
  <c r="V4" i="1450"/>
  <c r="U4" i="1450"/>
  <c r="T4" i="1450"/>
  <c r="P4" i="1450"/>
  <c r="O4" i="1450"/>
  <c r="N4" i="1450"/>
  <c r="M4" i="1450"/>
  <c r="L4" i="1450"/>
  <c r="K4" i="1450"/>
  <c r="J4" i="1450"/>
  <c r="I4" i="1450"/>
  <c r="H4" i="1450"/>
  <c r="G4" i="1450"/>
  <c r="F4" i="1450"/>
  <c r="E4" i="1450"/>
  <c r="D4" i="1450"/>
  <c r="C4" i="1450"/>
  <c r="Y3" i="1450"/>
  <c r="W3" i="1450"/>
  <c r="V3" i="1450"/>
  <c r="U3" i="1450"/>
  <c r="T3" i="1450"/>
  <c r="P3" i="1450"/>
  <c r="O3" i="1450"/>
  <c r="N3" i="1450"/>
  <c r="M3" i="1450"/>
  <c r="L3" i="1450"/>
  <c r="K3" i="1450"/>
  <c r="J3" i="1450"/>
  <c r="I3" i="1450"/>
  <c r="H3" i="1450"/>
  <c r="G3" i="1450"/>
  <c r="F3" i="1450"/>
  <c r="E3" i="1450"/>
  <c r="D3" i="1450"/>
  <c r="C3" i="1450"/>
  <c r="F21" i="1449"/>
  <c r="Y19" i="1449"/>
  <c r="W19" i="1449"/>
  <c r="V19" i="1449"/>
  <c r="U19" i="1449"/>
  <c r="T19" i="1449"/>
  <c r="P19" i="1449"/>
  <c r="O19" i="1449"/>
  <c r="N19" i="1449"/>
  <c r="M19" i="1449"/>
  <c r="L19" i="1449"/>
  <c r="K19" i="1449"/>
  <c r="J19" i="1449"/>
  <c r="I19" i="1449"/>
  <c r="H19" i="1449"/>
  <c r="G19" i="1449"/>
  <c r="F19" i="1449"/>
  <c r="E19" i="1449"/>
  <c r="D19" i="1449"/>
  <c r="C19" i="1449"/>
  <c r="Y18" i="1449"/>
  <c r="W18" i="1449"/>
  <c r="V18" i="1449"/>
  <c r="U18" i="1449"/>
  <c r="T18" i="1449"/>
  <c r="P18" i="1449"/>
  <c r="O18" i="1449"/>
  <c r="N18" i="1449"/>
  <c r="M18" i="1449"/>
  <c r="L18" i="1449"/>
  <c r="K18" i="1449"/>
  <c r="J18" i="1449"/>
  <c r="I18" i="1449"/>
  <c r="H18" i="1449"/>
  <c r="G18" i="1449"/>
  <c r="F18" i="1449"/>
  <c r="E18" i="1449"/>
  <c r="D18" i="1449"/>
  <c r="C18" i="1449"/>
  <c r="Y4" i="1449"/>
  <c r="W4" i="1449"/>
  <c r="V4" i="1449"/>
  <c r="U4" i="1449"/>
  <c r="T4" i="1449"/>
  <c r="P4" i="1449"/>
  <c r="O4" i="1449"/>
  <c r="N4" i="1449"/>
  <c r="M4" i="1449"/>
  <c r="L4" i="1449"/>
  <c r="K4" i="1449"/>
  <c r="J4" i="1449"/>
  <c r="I4" i="1449"/>
  <c r="H4" i="1449"/>
  <c r="G4" i="1449"/>
  <c r="F4" i="1449"/>
  <c r="E4" i="1449"/>
  <c r="D4" i="1449"/>
  <c r="C4" i="1449"/>
  <c r="Y3" i="1449"/>
  <c r="W3" i="1449"/>
  <c r="V3" i="1449"/>
  <c r="U3" i="1449"/>
  <c r="T3" i="1449"/>
  <c r="P3" i="1449"/>
  <c r="O3" i="1449"/>
  <c r="N3" i="1449"/>
  <c r="M3" i="1449"/>
  <c r="L3" i="1449"/>
  <c r="K3" i="1449"/>
  <c r="J3" i="1449"/>
  <c r="I3" i="1449"/>
  <c r="H3" i="1449"/>
  <c r="G3" i="1449"/>
  <c r="F3" i="1449"/>
  <c r="E3" i="1449"/>
  <c r="D3" i="1449"/>
  <c r="C3" i="1449"/>
  <c r="F21" i="1448"/>
  <c r="Y19" i="1448"/>
  <c r="W19" i="1448"/>
  <c r="V19" i="1448"/>
  <c r="U19" i="1448"/>
  <c r="T19" i="1448"/>
  <c r="P19" i="1448"/>
  <c r="O19" i="1448"/>
  <c r="N19" i="1448"/>
  <c r="M19" i="1448"/>
  <c r="L19" i="1448"/>
  <c r="K19" i="1448"/>
  <c r="J19" i="1448"/>
  <c r="I19" i="1448"/>
  <c r="H19" i="1448"/>
  <c r="G19" i="1448"/>
  <c r="F19" i="1448"/>
  <c r="E19" i="1448"/>
  <c r="D19" i="1448"/>
  <c r="C19" i="1448"/>
  <c r="Y18" i="1448"/>
  <c r="W18" i="1448"/>
  <c r="V18" i="1448"/>
  <c r="U18" i="1448"/>
  <c r="T18" i="1448"/>
  <c r="P18" i="1448"/>
  <c r="O18" i="1448"/>
  <c r="N18" i="1448"/>
  <c r="M18" i="1448"/>
  <c r="L18" i="1448"/>
  <c r="K18" i="1448"/>
  <c r="J18" i="1448"/>
  <c r="I18" i="1448"/>
  <c r="H18" i="1448"/>
  <c r="G18" i="1448"/>
  <c r="F18" i="1448"/>
  <c r="E18" i="1448"/>
  <c r="D18" i="1448"/>
  <c r="C18" i="1448"/>
  <c r="Y4" i="1448"/>
  <c r="W4" i="1448"/>
  <c r="V4" i="1448"/>
  <c r="U4" i="1448"/>
  <c r="T4" i="1448"/>
  <c r="P4" i="1448"/>
  <c r="O4" i="1448"/>
  <c r="N4" i="1448"/>
  <c r="M4" i="1448"/>
  <c r="L4" i="1448"/>
  <c r="K4" i="1448"/>
  <c r="J4" i="1448"/>
  <c r="I4" i="1448"/>
  <c r="H4" i="1448"/>
  <c r="G4" i="1448"/>
  <c r="F4" i="1448"/>
  <c r="E4" i="1448"/>
  <c r="D4" i="1448"/>
  <c r="C4" i="1448"/>
  <c r="Y3" i="1448"/>
  <c r="W3" i="1448"/>
  <c r="V3" i="1448"/>
  <c r="U3" i="1448"/>
  <c r="T3" i="1448"/>
  <c r="P3" i="1448"/>
  <c r="O3" i="1448"/>
  <c r="N3" i="1448"/>
  <c r="M3" i="1448"/>
  <c r="L3" i="1448"/>
  <c r="K3" i="1448"/>
  <c r="J3" i="1448"/>
  <c r="I3" i="1448"/>
  <c r="H3" i="1448"/>
  <c r="G3" i="1448"/>
  <c r="F3" i="1448"/>
  <c r="E3" i="1448"/>
  <c r="D3" i="1448"/>
  <c r="C3" i="1448"/>
</calcChain>
</file>

<file path=xl/sharedStrings.xml><?xml version="1.0" encoding="utf-8"?>
<sst xmlns="http://schemas.openxmlformats.org/spreadsheetml/2006/main" count="9071" uniqueCount="229">
  <si>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</si>
  <si>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</si>
  <si>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</si>
  <si>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</si>
  <si>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</si>
  <si>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</si>
  <si>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</si>
  <si>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</si>
  <si>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</si>
  <si>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</si>
  <si>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</si>
  <si>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</si>
  <si>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</si>
  <si>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</si>
  <si>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</si>
  <si>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</si>
  <si>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</si>
  <si>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</si>
  <si>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</si>
  <si>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</si>
  <si>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</si>
  <si>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</si>
  <si>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</si>
  <si>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</si>
  <si>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</si>
  <si>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</si>
  <si>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</si>
  <si>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</si>
  <si>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</si>
  <si>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</si>
  <si>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</si>
  <si>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</si>
  <si>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</si>
  <si>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</si>
  <si>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</si>
  <si>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</si>
  <si>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</si>
  <si>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</si>
  <si>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</si>
  <si>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</si>
  <si>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</si>
  <si>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</si>
  <si>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</si>
  <si>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</si>
  <si>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</si>
  <si>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</si>
  <si>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</si>
  <si>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</si>
  <si>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</si>
  <si>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</si>
  <si>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</si>
  <si>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</si>
  <si>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</si>
  <si>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</si>
  <si>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</si>
  <si>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</si>
  <si>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</si>
  <si>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</si>
  <si>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</si>
  <si>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</si>
  <si>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</si>
  <si>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</si>
  <si>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</si>
  <si>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</si>
  <si>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</si>
  <si>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</si>
  <si>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</si>
  <si>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</si>
  <si>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</si>
  <si>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</si>
  <si>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___________03/02/2026___________</t>
  </si>
  <si>
    <t>DATE ___________03/03/2026___________</t>
  </si>
  <si>
    <t>DATE ___________03/04/2026___________</t>
  </si>
  <si>
    <t>DATE ___________03/05/2026___________</t>
  </si>
  <si>
    <t>DATE ___________03/06/2026___________</t>
  </si>
  <si>
    <t>DATE ___________03/07/2026___________</t>
  </si>
  <si>
    <t>DATE ___________03/09/2026___________</t>
  </si>
  <si>
    <t>6/5b</t>
  </si>
  <si>
    <t>6/23b</t>
  </si>
  <si>
    <t>13/4b</t>
  </si>
  <si>
    <t>2/12b</t>
  </si>
  <si>
    <t>12b</t>
  </si>
  <si>
    <t>9/3b</t>
  </si>
  <si>
    <t>10/12b</t>
  </si>
  <si>
    <t>1/12b</t>
  </si>
  <si>
    <t>3/4b</t>
  </si>
  <si>
    <t>12/8b</t>
  </si>
  <si>
    <t>5/20b</t>
  </si>
  <si>
    <t>18/4b</t>
  </si>
  <si>
    <t>9B</t>
  </si>
  <si>
    <t>11/14B</t>
  </si>
  <si>
    <t>11/23B</t>
  </si>
  <si>
    <t>1/12B</t>
  </si>
  <si>
    <t>2/12B</t>
  </si>
  <si>
    <t>7/14B</t>
  </si>
  <si>
    <t>7/10B</t>
  </si>
  <si>
    <t>3/4B</t>
  </si>
  <si>
    <t>20/20B</t>
  </si>
  <si>
    <t>5/20B</t>
  </si>
  <si>
    <t>14/5B</t>
  </si>
  <si>
    <t>1/5B</t>
  </si>
  <si>
    <t>15/10B</t>
  </si>
  <si>
    <t>15/20B</t>
  </si>
  <si>
    <t>7/13B</t>
  </si>
  <si>
    <t>8/7B</t>
  </si>
  <si>
    <t>18/14B</t>
  </si>
  <si>
    <t>23/14B</t>
  </si>
  <si>
    <t>10/12B</t>
  </si>
  <si>
    <t>12B</t>
  </si>
  <si>
    <t>4/5B</t>
  </si>
  <si>
    <t>11/5B</t>
  </si>
  <si>
    <t>22/13b</t>
  </si>
  <si>
    <t>13/13b</t>
  </si>
  <si>
    <t>5B</t>
  </si>
  <si>
    <t>10/5B</t>
  </si>
  <si>
    <t>DATE ___________03/10/2026___________</t>
  </si>
  <si>
    <t>DATE ___________03/11/2026___________</t>
  </si>
  <si>
    <t>DATE ___________03/12/2026___________</t>
  </si>
  <si>
    <t>DATE ___________03/13/2026___________</t>
  </si>
  <si>
    <t>DATE ___________03/14/2026___________</t>
  </si>
  <si>
    <t>DATE ___________03/16/2026___________</t>
  </si>
  <si>
    <t>26/5B</t>
  </si>
  <si>
    <t>5/21B</t>
  </si>
  <si>
    <t>20/8B</t>
  </si>
  <si>
    <t>20/5B</t>
  </si>
  <si>
    <t>3/19B</t>
  </si>
  <si>
    <t>5/6b</t>
  </si>
  <si>
    <t>6/13b</t>
  </si>
  <si>
    <t>11/19b</t>
  </si>
  <si>
    <t>14/20B</t>
  </si>
  <si>
    <t>4B</t>
  </si>
  <si>
    <t>11/6b</t>
  </si>
  <si>
    <t>2/15b</t>
  </si>
  <si>
    <t>13/21b</t>
  </si>
  <si>
    <t>5b</t>
  </si>
  <si>
    <t>9/19b</t>
  </si>
  <si>
    <t>9/4b</t>
  </si>
  <si>
    <t>20/13B</t>
  </si>
  <si>
    <t>4/16B</t>
  </si>
  <si>
    <t>15/21B</t>
  </si>
  <si>
    <t>10/7B</t>
  </si>
  <si>
    <t>2/8B</t>
  </si>
  <si>
    <t>12/15B</t>
  </si>
  <si>
    <t>9/19B</t>
  </si>
  <si>
    <t>8/4B</t>
  </si>
  <si>
    <t>9/4B</t>
  </si>
  <si>
    <t>10/14B</t>
  </si>
  <si>
    <t>22/4B</t>
  </si>
  <si>
    <t>19/16B</t>
  </si>
  <si>
    <t>16/17B</t>
  </si>
  <si>
    <t>15B</t>
  </si>
  <si>
    <t>17/8B</t>
  </si>
  <si>
    <t>14/4B</t>
  </si>
  <si>
    <t>6/10B</t>
  </si>
  <si>
    <t>20/14B</t>
  </si>
  <si>
    <t>4/8B</t>
  </si>
  <si>
    <t>8/14B</t>
  </si>
  <si>
    <t>6/4B</t>
  </si>
  <si>
    <t>25/16B</t>
  </si>
  <si>
    <t>5/12B</t>
  </si>
  <si>
    <t>20/4B</t>
  </si>
  <si>
    <t>15/22B</t>
  </si>
  <si>
    <t>26/10B</t>
  </si>
  <si>
    <t>DATE ___________03/17/2026___________</t>
  </si>
  <si>
    <t>DATE ___________03/18/2026___________</t>
  </si>
  <si>
    <t>DATE ___________03/19/2026___________</t>
  </si>
  <si>
    <t>DATE ___________03/20/2026___________</t>
  </si>
  <si>
    <t>20/22B</t>
  </si>
  <si>
    <t>15/14B</t>
  </si>
  <si>
    <t>5/8B</t>
  </si>
  <si>
    <t>16/13B</t>
  </si>
  <si>
    <t>2/19B</t>
  </si>
  <si>
    <t>19/8B</t>
  </si>
  <si>
    <t>6/8B</t>
  </si>
  <si>
    <t>41/12B</t>
  </si>
  <si>
    <t>5/6B</t>
  </si>
  <si>
    <t>36/6B</t>
  </si>
  <si>
    <t>12/8B</t>
  </si>
  <si>
    <t>5/11B</t>
  </si>
  <si>
    <t>17/19B</t>
  </si>
  <si>
    <t>5/14B</t>
  </si>
  <si>
    <t>1/6B</t>
  </si>
  <si>
    <t>15/11B</t>
  </si>
  <si>
    <t>3/17B</t>
  </si>
  <si>
    <t>1/13B</t>
  </si>
  <si>
    <t>8/10B</t>
  </si>
  <si>
    <t>12/4B</t>
  </si>
  <si>
    <t>3/1B</t>
  </si>
  <si>
    <t>13/6B</t>
  </si>
  <si>
    <t>18/17B</t>
  </si>
  <si>
    <t>5/1B</t>
  </si>
  <si>
    <t>13/16B</t>
  </si>
  <si>
    <t>8B</t>
  </si>
  <si>
    <t>20/10B</t>
  </si>
  <si>
    <t>15/1B</t>
  </si>
  <si>
    <t>7/12B</t>
  </si>
  <si>
    <t>3/12B</t>
  </si>
  <si>
    <t>1/1B</t>
  </si>
  <si>
    <t>13/1B</t>
  </si>
  <si>
    <t>1/4B</t>
  </si>
  <si>
    <t>12/11B</t>
  </si>
  <si>
    <t>8/13B</t>
  </si>
  <si>
    <t>DATE ___________03/24/2026___________</t>
  </si>
  <si>
    <t>DATE ___________03/25/2026___________</t>
  </si>
  <si>
    <t>DATE ___________03/23/2026___________</t>
  </si>
  <si>
    <t>22/13B</t>
  </si>
  <si>
    <t>21/11B</t>
  </si>
  <si>
    <t>1/2B</t>
  </si>
  <si>
    <t>20/1B</t>
  </si>
  <si>
    <t>1/15B</t>
  </si>
  <si>
    <t>18/10B</t>
  </si>
  <si>
    <t>1/19B</t>
  </si>
  <si>
    <t>13/13B</t>
  </si>
  <si>
    <t>DATE ___________03/26/2026___________</t>
  </si>
  <si>
    <t>DATE ___________03/27/2026___________</t>
  </si>
  <si>
    <t>DATE ___________03/28/2026___________</t>
  </si>
  <si>
    <t>DATE ___________03/30/2026___________</t>
  </si>
  <si>
    <t>DATE ___________03/31/2026___________</t>
  </si>
  <si>
    <t>9/1B</t>
  </si>
  <si>
    <t>2/14B</t>
  </si>
  <si>
    <t>11/15B</t>
  </si>
  <si>
    <t>5/4B</t>
  </si>
  <si>
    <t>20/12B</t>
  </si>
  <si>
    <t>2/10B</t>
  </si>
  <si>
    <t>18/2B</t>
  </si>
  <si>
    <t>13/20B</t>
  </si>
  <si>
    <t>10/20B</t>
  </si>
  <si>
    <t>18B</t>
  </si>
  <si>
    <t>17/10B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</si>
</sst>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16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82ED-7E51-47CF-952E-0047F6FDC228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51D9-8866-4DEA-88EE-E549270F280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>
        <v>1</v>
      </c>
      <c r="G8" s="14"/>
      <c r="H8" s="14" t="s">
        <v>79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>
        <v>0</v>
      </c>
      <c r="G15" s="23"/>
      <c r="H15" s="23" t="s">
        <v>78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2</v>
      </c>
      <c r="U15" s="23"/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1</v>
      </c>
      <c r="D16" s="59">
        <v>1</v>
      </c>
      <c r="E16" s="27"/>
      <c r="F16" s="27">
        <v>1</v>
      </c>
      <c r="G16" s="28"/>
      <c r="H16" s="28" t="s">
        <v>77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2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80</v>
      </c>
      <c r="G24" s="14"/>
      <c r="H24" s="14">
        <v>19</v>
      </c>
      <c r="I24" s="14"/>
      <c r="J24" s="14"/>
      <c r="K24" s="14">
        <v>1</v>
      </c>
      <c r="L24" s="14">
        <v>12</v>
      </c>
      <c r="M24" s="14">
        <v>325</v>
      </c>
      <c r="N24" s="14"/>
      <c r="O24" s="14"/>
      <c r="P24" s="14">
        <v>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81</v>
      </c>
      <c r="G31" s="23"/>
      <c r="H31" s="23">
        <v>1</v>
      </c>
      <c r="I31" s="23"/>
      <c r="J31" s="23"/>
      <c r="K31" s="23">
        <v>0</v>
      </c>
      <c r="L31" s="23">
        <v>0</v>
      </c>
      <c r="M31" s="23">
        <v>17</v>
      </c>
      <c r="N31" s="23"/>
      <c r="O31" s="23"/>
      <c r="P31" s="23">
        <v>5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18</v>
      </c>
      <c r="I32" s="28"/>
      <c r="J32" s="28"/>
      <c r="K32" s="28">
        <v>1</v>
      </c>
      <c r="L32" s="28">
        <v>12</v>
      </c>
      <c r="M32" s="28">
        <v>308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>
        <v>1</v>
      </c>
      <c r="E36" s="43">
        <v>20</v>
      </c>
      <c r="F36" s="43">
        <v>240</v>
      </c>
      <c r="G36" s="43">
        <v>1</v>
      </c>
      <c r="H36" s="43">
        <v>1</v>
      </c>
      <c r="I36" s="43">
        <v>22</v>
      </c>
      <c r="J36" s="43">
        <v>1</v>
      </c>
      <c r="K36" s="43">
        <v>7</v>
      </c>
      <c r="L36" s="43">
        <v>3</v>
      </c>
      <c r="M36" s="43">
        <v>2</v>
      </c>
      <c r="N36" s="43">
        <v>11</v>
      </c>
      <c r="O36" s="43">
        <v>7</v>
      </c>
      <c r="P36" s="43"/>
      <c r="Q36" s="44">
        <v>3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>
        <v>1</v>
      </c>
      <c r="E42" s="43">
        <v>20</v>
      </c>
      <c r="F42" s="43">
        <v>240</v>
      </c>
      <c r="G42" s="43">
        <v>1</v>
      </c>
      <c r="H42" s="43">
        <v>1</v>
      </c>
      <c r="I42" s="43">
        <v>22</v>
      </c>
      <c r="J42" s="43">
        <v>1</v>
      </c>
      <c r="K42" s="43">
        <v>7</v>
      </c>
      <c r="L42" s="43">
        <v>3</v>
      </c>
      <c r="M42" s="43">
        <v>2</v>
      </c>
      <c r="N42" s="43">
        <v>11</v>
      </c>
      <c r="O42" s="43">
        <v>7</v>
      </c>
      <c r="P42" s="43"/>
      <c r="Q42" s="44">
        <v>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1+1+1+6+2+2+18+1+12+308</f>
        <v>352</v>
      </c>
      <c r="D44" s="93"/>
      <c r="E44" s="93"/>
    </row>
    <row r="45" spans="2:25" x14ac:dyDescent="0.25">
      <c r="B45" s="77" t="s">
        <v>69</v>
      </c>
      <c r="C45" s="93">
        <f>5</f>
        <v>5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BA8A-BB27-489E-9E40-29326E946B3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>
        <v>2</v>
      </c>
      <c r="F8" s="14"/>
      <c r="G8" s="14"/>
      <c r="H8" s="14" t="s">
        <v>82</v>
      </c>
      <c r="I8" s="14"/>
      <c r="J8" s="14"/>
      <c r="K8" s="14"/>
      <c r="L8" s="14"/>
      <c r="M8" s="14"/>
      <c r="N8" s="14"/>
      <c r="O8" s="14"/>
      <c r="P8" s="14"/>
      <c r="Q8" s="14"/>
      <c r="R8" s="14">
        <v>1</v>
      </c>
      <c r="S8" s="14"/>
      <c r="T8" s="14"/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>
        <v>0</v>
      </c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</v>
      </c>
      <c r="S15" s="23"/>
      <c r="T15" s="23"/>
      <c r="U15" s="23"/>
      <c r="V15" s="23"/>
      <c r="W15" s="23">
        <v>2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2</v>
      </c>
      <c r="F16" s="27"/>
      <c r="G16" s="28"/>
      <c r="H16" s="28" t="s">
        <v>82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 t="s">
        <v>83</v>
      </c>
      <c r="G24" s="14"/>
      <c r="H24" s="14">
        <v>40</v>
      </c>
      <c r="I24" s="14"/>
      <c r="J24" s="14"/>
      <c r="K24" s="14" t="s">
        <v>84</v>
      </c>
      <c r="L24" s="14">
        <v>10</v>
      </c>
      <c r="M24" s="14">
        <v>391</v>
      </c>
      <c r="N24" s="14"/>
      <c r="O24" s="14"/>
      <c r="P24" s="14" t="s">
        <v>85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0</v>
      </c>
      <c r="G31" s="23"/>
      <c r="H31" s="23">
        <v>0</v>
      </c>
      <c r="I31" s="23"/>
      <c r="J31" s="23"/>
      <c r="K31" s="23">
        <v>1</v>
      </c>
      <c r="L31" s="23">
        <v>9</v>
      </c>
      <c r="M31" s="23">
        <v>40</v>
      </c>
      <c r="N31" s="23"/>
      <c r="O31" s="23"/>
      <c r="P31" s="23" t="s">
        <v>85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 t="s">
        <v>83</v>
      </c>
      <c r="G32" s="28"/>
      <c r="H32" s="28">
        <v>40</v>
      </c>
      <c r="I32" s="28"/>
      <c r="J32" s="28"/>
      <c r="K32" s="28" t="s">
        <v>81</v>
      </c>
      <c r="L32" s="28">
        <v>1</v>
      </c>
      <c r="M32" s="28">
        <v>351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9</v>
      </c>
      <c r="D36" s="42"/>
      <c r="E36" s="43">
        <v>10</v>
      </c>
      <c r="F36" s="43">
        <v>465</v>
      </c>
      <c r="G36" s="43">
        <v>10</v>
      </c>
      <c r="H36" s="43">
        <v>5</v>
      </c>
      <c r="I36" s="43">
        <v>1</v>
      </c>
      <c r="J36" s="43"/>
      <c r="K36" s="43">
        <v>2</v>
      </c>
      <c r="L36" s="43"/>
      <c r="M36" s="43">
        <v>1</v>
      </c>
      <c r="N36" s="43">
        <v>36</v>
      </c>
      <c r="O36" s="43">
        <v>6</v>
      </c>
      <c r="P36" s="43">
        <v>22</v>
      </c>
      <c r="Q36" s="44">
        <v>5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9</v>
      </c>
      <c r="D42" s="42"/>
      <c r="E42" s="43">
        <v>10</v>
      </c>
      <c r="F42" s="43">
        <v>465</v>
      </c>
      <c r="G42" s="43">
        <v>10</v>
      </c>
      <c r="H42" s="43">
        <v>5</v>
      </c>
      <c r="I42" s="43">
        <v>1</v>
      </c>
      <c r="J42" s="43"/>
      <c r="K42" s="43">
        <v>2</v>
      </c>
      <c r="L42" s="43"/>
      <c r="M42" s="43">
        <v>1</v>
      </c>
      <c r="N42" s="43">
        <v>36</v>
      </c>
      <c r="O42" s="43">
        <v>6</v>
      </c>
      <c r="P42" s="43">
        <v>22</v>
      </c>
      <c r="Q42" s="44">
        <v>5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2+9+1+10+40+1+351</f>
        <v>414</v>
      </c>
      <c r="D44" s="93"/>
      <c r="E44" s="93"/>
    </row>
    <row r="45" spans="2:25" x14ac:dyDescent="0.25">
      <c r="B45" s="77" t="s">
        <v>69</v>
      </c>
      <c r="C45" s="93">
        <f>3+12</f>
        <v>15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A8F6-33C9-4F98-90D1-6FB56FF12E6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 t="s">
        <v>88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/>
      <c r="U8" s="14"/>
      <c r="V8" s="14"/>
      <c r="W8" s="14">
        <v>3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/>
      <c r="F15" s="23"/>
      <c r="G15" s="23"/>
      <c r="H15" s="23" t="s">
        <v>87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/>
      <c r="U15" s="23"/>
      <c r="V15" s="23"/>
      <c r="W15" s="23">
        <v>1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86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111</v>
      </c>
      <c r="I24" s="14"/>
      <c r="J24" s="14"/>
      <c r="K24" s="14">
        <v>2</v>
      </c>
      <c r="L24" s="14">
        <v>15</v>
      </c>
      <c r="M24" s="14">
        <v>421</v>
      </c>
      <c r="N24" s="14"/>
      <c r="O24" s="14"/>
      <c r="P24" s="14">
        <v>10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54</v>
      </c>
      <c r="I31" s="23"/>
      <c r="J31" s="23"/>
      <c r="K31" s="23">
        <v>2</v>
      </c>
      <c r="L31" s="23">
        <v>6</v>
      </c>
      <c r="M31" s="23">
        <v>155</v>
      </c>
      <c r="N31" s="23"/>
      <c r="O31" s="23"/>
      <c r="P31" s="23">
        <v>10</v>
      </c>
      <c r="Q31" s="23"/>
      <c r="R31" s="23"/>
      <c r="S31" s="23"/>
      <c r="T31" s="23"/>
      <c r="U31" s="23"/>
      <c r="V31" s="23">
        <v>0</v>
      </c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57</v>
      </c>
      <c r="I32" s="28"/>
      <c r="J32" s="28"/>
      <c r="K32" s="28">
        <v>0</v>
      </c>
      <c r="L32" s="28">
        <v>9</v>
      </c>
      <c r="M32" s="28">
        <v>266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1</v>
      </c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>
        <v>1</v>
      </c>
      <c r="E36" s="43">
        <v>12</v>
      </c>
      <c r="F36" s="43">
        <v>284</v>
      </c>
      <c r="G36" s="43">
        <v>17</v>
      </c>
      <c r="H36" s="43"/>
      <c r="I36" s="43">
        <v>16</v>
      </c>
      <c r="J36" s="43">
        <v>1</v>
      </c>
      <c r="K36" s="43">
        <v>10</v>
      </c>
      <c r="L36" s="43">
        <v>2</v>
      </c>
      <c r="M36" s="43"/>
      <c r="N36" s="43">
        <v>10</v>
      </c>
      <c r="O36" s="43">
        <v>12</v>
      </c>
      <c r="P36" s="43"/>
      <c r="Q36" s="44">
        <v>1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>
        <v>1</v>
      </c>
      <c r="E42" s="43">
        <v>12</v>
      </c>
      <c r="F42" s="43">
        <v>284</v>
      </c>
      <c r="G42" s="43">
        <v>17</v>
      </c>
      <c r="H42" s="43"/>
      <c r="I42" s="43">
        <v>16</v>
      </c>
      <c r="J42" s="43">
        <v>1</v>
      </c>
      <c r="K42" s="43">
        <v>10</v>
      </c>
      <c r="L42" s="43">
        <v>2</v>
      </c>
      <c r="M42" s="43"/>
      <c r="N42" s="43">
        <v>10</v>
      </c>
      <c r="O42" s="43">
        <v>12</v>
      </c>
      <c r="P42" s="43"/>
      <c r="Q42" s="44">
        <v>1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12+2+1+57+9+266+1</f>
        <v>348</v>
      </c>
      <c r="D44" s="93"/>
      <c r="E44" s="93"/>
    </row>
    <row r="45" spans="2:25" x14ac:dyDescent="0.25">
      <c r="B45" s="77" t="s">
        <v>69</v>
      </c>
      <c r="C45" s="93">
        <f>8</f>
        <v>8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FF99-24D0-4968-9103-9B2F1222268D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22B5-BB0E-4C49-89FA-A17493EA7B4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>
        <v>1</v>
      </c>
      <c r="F8" s="14">
        <v>1</v>
      </c>
      <c r="G8" s="14"/>
      <c r="H8" s="14" t="s">
        <v>91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>
        <v>2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>
        <v>0</v>
      </c>
      <c r="G15" s="23"/>
      <c r="H15" s="23" t="s">
        <v>90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2</v>
      </c>
      <c r="U15" s="23"/>
      <c r="V15" s="23"/>
      <c r="W15" s="23">
        <v>2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1</v>
      </c>
      <c r="F16" s="27">
        <v>1</v>
      </c>
      <c r="G16" s="28"/>
      <c r="H16" s="28" t="s">
        <v>89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92</v>
      </c>
      <c r="G24" s="14"/>
      <c r="H24" s="14">
        <v>35</v>
      </c>
      <c r="I24" s="14"/>
      <c r="J24" s="14"/>
      <c r="K24" s="14"/>
      <c r="L24" s="14">
        <v>10</v>
      </c>
      <c r="M24" s="14">
        <v>419</v>
      </c>
      <c r="N24" s="14"/>
      <c r="O24" s="14"/>
      <c r="P24" s="14">
        <v>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92</v>
      </c>
      <c r="G31" s="23"/>
      <c r="H31" s="23">
        <v>4</v>
      </c>
      <c r="I31" s="23"/>
      <c r="J31" s="23"/>
      <c r="K31" s="23"/>
      <c r="L31" s="23">
        <v>3</v>
      </c>
      <c r="M31" s="23">
        <v>37</v>
      </c>
      <c r="N31" s="23"/>
      <c r="O31" s="23"/>
      <c r="P31" s="23">
        <v>4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31</v>
      </c>
      <c r="I32" s="28"/>
      <c r="J32" s="28"/>
      <c r="K32" s="28"/>
      <c r="L32" s="28">
        <v>7</v>
      </c>
      <c r="M32" s="28">
        <v>382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393</v>
      </c>
      <c r="G36" s="43">
        <v>1</v>
      </c>
      <c r="H36" s="43"/>
      <c r="I36" s="43">
        <v>5</v>
      </c>
      <c r="J36" s="43">
        <v>1</v>
      </c>
      <c r="K36" s="43">
        <v>2</v>
      </c>
      <c r="L36" s="43"/>
      <c r="M36" s="43"/>
      <c r="N36" s="43"/>
      <c r="O36" s="43"/>
      <c r="P36" s="43"/>
      <c r="Q36" s="44">
        <v>8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393</v>
      </c>
      <c r="G42" s="43">
        <v>1</v>
      </c>
      <c r="H42" s="43"/>
      <c r="I42" s="43">
        <v>5</v>
      </c>
      <c r="J42" s="43">
        <v>1</v>
      </c>
      <c r="K42" s="43">
        <v>2</v>
      </c>
      <c r="L42" s="43"/>
      <c r="M42" s="43"/>
      <c r="N42" s="43"/>
      <c r="O42" s="43"/>
      <c r="P42" s="43"/>
      <c r="Q42" s="44">
        <v>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1+1+31+7+382+3</f>
        <v>425</v>
      </c>
      <c r="D44" s="93"/>
      <c r="E44" s="93"/>
    </row>
    <row r="45" spans="2:25" x14ac:dyDescent="0.25">
      <c r="B45" s="77" t="s">
        <v>69</v>
      </c>
      <c r="C45" s="93">
        <v>9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E283-1A1A-4118-B3C4-90376A37413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2</v>
      </c>
      <c r="F8" s="14">
        <v>1</v>
      </c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>
        <v>1</v>
      </c>
      <c r="S8" s="14"/>
      <c r="T8" s="14"/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0</v>
      </c>
      <c r="F15" s="23">
        <v>1</v>
      </c>
      <c r="G15" s="23"/>
      <c r="H15" s="23" t="s">
        <v>95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</v>
      </c>
      <c r="S15" s="23"/>
      <c r="T15" s="23"/>
      <c r="U15" s="23"/>
      <c r="V15" s="23"/>
      <c r="W15" s="23">
        <v>2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2</v>
      </c>
      <c r="F16" s="27">
        <v>0</v>
      </c>
      <c r="G16" s="28"/>
      <c r="H16" s="28" t="s">
        <v>94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/>
      <c r="G24" s="14"/>
      <c r="H24" s="14">
        <v>72</v>
      </c>
      <c r="I24" s="14"/>
      <c r="J24" s="14"/>
      <c r="K24" s="14">
        <v>1</v>
      </c>
      <c r="L24" s="14">
        <v>9</v>
      </c>
      <c r="M24" s="14">
        <v>364</v>
      </c>
      <c r="N24" s="14"/>
      <c r="O24" s="14"/>
      <c r="P24" s="14" t="s">
        <v>96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/>
      <c r="G31" s="23"/>
      <c r="H31" s="23">
        <v>1</v>
      </c>
      <c r="I31" s="23"/>
      <c r="J31" s="23"/>
      <c r="K31" s="23">
        <v>1</v>
      </c>
      <c r="L31" s="23">
        <v>7</v>
      </c>
      <c r="M31" s="23">
        <v>140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/>
      <c r="G32" s="28"/>
      <c r="H32" s="28">
        <v>71</v>
      </c>
      <c r="I32" s="28"/>
      <c r="J32" s="28"/>
      <c r="K32" s="28">
        <v>0</v>
      </c>
      <c r="L32" s="28">
        <v>2</v>
      </c>
      <c r="M32" s="28">
        <v>224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282</v>
      </c>
      <c r="G36" s="43">
        <v>31</v>
      </c>
      <c r="H36" s="43"/>
      <c r="I36" s="43">
        <v>6</v>
      </c>
      <c r="J36" s="43"/>
      <c r="K36" s="43"/>
      <c r="L36" s="43"/>
      <c r="M36" s="43"/>
      <c r="N36" s="43">
        <v>1</v>
      </c>
      <c r="O36" s="43">
        <v>4</v>
      </c>
      <c r="P36" s="43">
        <v>3</v>
      </c>
      <c r="Q36" s="44">
        <v>19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282</v>
      </c>
      <c r="G42" s="43">
        <v>31</v>
      </c>
      <c r="H42" s="43"/>
      <c r="I42" s="43">
        <v>6</v>
      </c>
      <c r="J42" s="43"/>
      <c r="K42" s="43"/>
      <c r="L42" s="43"/>
      <c r="M42" s="43"/>
      <c r="N42" s="43">
        <v>1</v>
      </c>
      <c r="O42" s="43">
        <v>4</v>
      </c>
      <c r="P42" s="43">
        <v>3</v>
      </c>
      <c r="Q42" s="44">
        <v>19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2+7+1+71+2+224</f>
        <v>307</v>
      </c>
      <c r="D44" s="93"/>
      <c r="E44" s="93"/>
    </row>
    <row r="45" spans="2:25" x14ac:dyDescent="0.25">
      <c r="B45" s="77" t="s">
        <v>69</v>
      </c>
      <c r="C45" s="93">
        <v>14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5592-8F73-4368-8AA6-A0A9C46539B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1</v>
      </c>
      <c r="F8" s="14"/>
      <c r="G8" s="14"/>
      <c r="H8" s="14" t="s">
        <v>97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/>
      <c r="U8" s="14"/>
      <c r="V8" s="14"/>
      <c r="W8" s="14">
        <v>3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/>
      <c r="G15" s="23"/>
      <c r="H15" s="23" t="s">
        <v>98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/>
      <c r="U15" s="23"/>
      <c r="V15" s="23"/>
      <c r="W15" s="23">
        <v>0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1</v>
      </c>
      <c r="D16" s="59"/>
      <c r="E16" s="27">
        <v>1</v>
      </c>
      <c r="F16" s="27"/>
      <c r="G16" s="28"/>
      <c r="H16" s="28">
        <v>15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3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79</v>
      </c>
      <c r="I24" s="14"/>
      <c r="J24" s="14"/>
      <c r="K24" s="14">
        <v>2</v>
      </c>
      <c r="L24" s="14">
        <v>20</v>
      </c>
      <c r="M24" s="14">
        <v>425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43</v>
      </c>
      <c r="I31" s="23"/>
      <c r="J31" s="23"/>
      <c r="K31" s="23">
        <v>1</v>
      </c>
      <c r="L31" s="23">
        <v>0</v>
      </c>
      <c r="M31" s="23">
        <v>134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36</v>
      </c>
      <c r="I32" s="28"/>
      <c r="J32" s="28"/>
      <c r="K32" s="28">
        <v>1</v>
      </c>
      <c r="L32" s="28">
        <v>20</v>
      </c>
      <c r="M32" s="28">
        <v>291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2</v>
      </c>
      <c r="D36" s="42"/>
      <c r="E36" s="43"/>
      <c r="F36" s="43">
        <v>302</v>
      </c>
      <c r="G36" s="43">
        <v>3</v>
      </c>
      <c r="H36" s="43">
        <v>3</v>
      </c>
      <c r="I36" s="43">
        <v>46</v>
      </c>
      <c r="J36" s="43"/>
      <c r="K36" s="43">
        <v>12</v>
      </c>
      <c r="L36" s="43">
        <v>2</v>
      </c>
      <c r="M36" s="43"/>
      <c r="N36" s="43">
        <v>64</v>
      </c>
      <c r="O36" s="43">
        <v>8</v>
      </c>
      <c r="P36" s="43">
        <v>3</v>
      </c>
      <c r="Q36" s="44">
        <v>22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2</v>
      </c>
      <c r="D42" s="42"/>
      <c r="E42" s="43"/>
      <c r="F42" s="43">
        <v>302</v>
      </c>
      <c r="G42" s="43">
        <v>3</v>
      </c>
      <c r="H42" s="43">
        <v>3</v>
      </c>
      <c r="I42" s="43">
        <v>46</v>
      </c>
      <c r="J42" s="43"/>
      <c r="K42" s="43">
        <v>12</v>
      </c>
      <c r="L42" s="43">
        <v>2</v>
      </c>
      <c r="M42" s="43"/>
      <c r="N42" s="43">
        <v>64</v>
      </c>
      <c r="O42" s="43">
        <v>8</v>
      </c>
      <c r="P42" s="43">
        <v>3</v>
      </c>
      <c r="Q42" s="44">
        <v>22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1+1+15+3+36+1+20+291</f>
        <v>368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95F1-09D9-460C-B2D2-9084363A290C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DF23-812C-4CC0-B464-D4482EB0AB3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106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>
        <v>3</v>
      </c>
      <c r="U8" s="14"/>
      <c r="V8" s="14"/>
      <c r="W8" s="14">
        <v>4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>
        <v>1</v>
      </c>
      <c r="U15" s="23"/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105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2</v>
      </c>
      <c r="U16" s="28"/>
      <c r="V16" s="28"/>
      <c r="W16" s="57">
        <v>3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107</v>
      </c>
      <c r="G24" s="14"/>
      <c r="H24" s="14">
        <v>117</v>
      </c>
      <c r="I24" s="14"/>
      <c r="J24" s="14"/>
      <c r="K24" s="14"/>
      <c r="L24" s="14">
        <v>8</v>
      </c>
      <c r="M24" s="14">
        <v>433</v>
      </c>
      <c r="N24" s="14"/>
      <c r="O24" s="14"/>
      <c r="P24" s="14">
        <v>4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108</v>
      </c>
      <c r="G31" s="23"/>
      <c r="H31" s="23">
        <v>0</v>
      </c>
      <c r="I31" s="23"/>
      <c r="J31" s="23"/>
      <c r="K31" s="23"/>
      <c r="L31" s="23">
        <v>2</v>
      </c>
      <c r="M31" s="23">
        <v>74</v>
      </c>
      <c r="N31" s="23"/>
      <c r="O31" s="23"/>
      <c r="P31" s="23">
        <v>1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117</v>
      </c>
      <c r="I32" s="28"/>
      <c r="J32" s="28"/>
      <c r="K32" s="28"/>
      <c r="L32" s="28">
        <v>6</v>
      </c>
      <c r="M32" s="28">
        <v>359</v>
      </c>
      <c r="N32" s="28"/>
      <c r="O32" s="23"/>
      <c r="P32" s="28">
        <v>3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3</v>
      </c>
      <c r="D36" s="42">
        <v>1</v>
      </c>
      <c r="E36" s="43">
        <v>20</v>
      </c>
      <c r="F36" s="43">
        <v>360</v>
      </c>
      <c r="G36" s="43">
        <v>14</v>
      </c>
      <c r="H36" s="43">
        <v>3</v>
      </c>
      <c r="I36" s="43">
        <v>8</v>
      </c>
      <c r="J36" s="43"/>
      <c r="K36" s="43">
        <v>7</v>
      </c>
      <c r="L36" s="43">
        <v>4</v>
      </c>
      <c r="M36" s="43"/>
      <c r="N36" s="43">
        <v>2</v>
      </c>
      <c r="O36" s="43">
        <v>3</v>
      </c>
      <c r="P36" s="43">
        <v>7</v>
      </c>
      <c r="Q36" s="44">
        <v>17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3</v>
      </c>
      <c r="D42" s="42">
        <v>1</v>
      </c>
      <c r="E42" s="43">
        <v>20</v>
      </c>
      <c r="F42" s="43">
        <v>360</v>
      </c>
      <c r="G42" s="43">
        <v>14</v>
      </c>
      <c r="H42" s="43">
        <v>3</v>
      </c>
      <c r="I42" s="43">
        <v>8</v>
      </c>
      <c r="J42" s="43"/>
      <c r="K42" s="43">
        <v>7</v>
      </c>
      <c r="L42" s="43">
        <v>4</v>
      </c>
      <c r="M42" s="43"/>
      <c r="N42" s="43">
        <v>2</v>
      </c>
      <c r="O42" s="43">
        <v>3</v>
      </c>
      <c r="P42" s="43">
        <v>7</v>
      </c>
      <c r="Q42" s="44">
        <v>17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18+2+3+10+117+6+359+3</f>
        <v>518</v>
      </c>
      <c r="D44" s="93"/>
      <c r="E44" s="93"/>
    </row>
    <row r="45" spans="2:25" x14ac:dyDescent="0.25">
      <c r="B45" s="77" t="s">
        <v>69</v>
      </c>
      <c r="C45" s="93">
        <f>14</f>
        <v>14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1279-53EC-43DB-8DF4-03F42585161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2</v>
      </c>
      <c r="F8" s="14">
        <v>2</v>
      </c>
      <c r="G8" s="14"/>
      <c r="H8" s="14" t="s">
        <v>101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2</v>
      </c>
      <c r="F15" s="23">
        <v>0</v>
      </c>
      <c r="G15" s="23"/>
      <c r="H15" s="23" t="s">
        <v>100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/>
      <c r="V15" s="23"/>
      <c r="W15" s="23">
        <v>2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>
        <v>2</v>
      </c>
      <c r="G16" s="28"/>
      <c r="H16" s="28" t="s">
        <v>99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/>
      <c r="G24" s="14"/>
      <c r="H24" s="14">
        <v>41</v>
      </c>
      <c r="I24" s="14"/>
      <c r="J24" s="14"/>
      <c r="K24" s="14">
        <v>1</v>
      </c>
      <c r="L24" s="14">
        <v>7</v>
      </c>
      <c r="M24" s="14">
        <v>256</v>
      </c>
      <c r="N24" s="14"/>
      <c r="O24" s="14"/>
      <c r="P24" s="14" t="s">
        <v>96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/>
      <c r="G31" s="23"/>
      <c r="H31" s="23">
        <v>41</v>
      </c>
      <c r="I31" s="23"/>
      <c r="J31" s="23"/>
      <c r="K31" s="23">
        <v>1</v>
      </c>
      <c r="L31" s="23">
        <v>7</v>
      </c>
      <c r="M31" s="23">
        <v>30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/>
      <c r="G32" s="28"/>
      <c r="H32" s="28">
        <v>0</v>
      </c>
      <c r="I32" s="28"/>
      <c r="J32" s="28"/>
      <c r="K32" s="28">
        <v>0</v>
      </c>
      <c r="L32" s="28">
        <v>0</v>
      </c>
      <c r="M32" s="28">
        <v>326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325</v>
      </c>
      <c r="G36" s="43">
        <v>1</v>
      </c>
      <c r="H36" s="43">
        <v>1</v>
      </c>
      <c r="I36" s="43"/>
      <c r="J36" s="43"/>
      <c r="K36" s="43"/>
      <c r="L36" s="43"/>
      <c r="M36" s="43"/>
      <c r="N36" s="43"/>
      <c r="O36" s="43">
        <v>3</v>
      </c>
      <c r="P36" s="43">
        <v>10</v>
      </c>
      <c r="Q36" s="44">
        <v>1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325</v>
      </c>
      <c r="G42" s="43">
        <v>1</v>
      </c>
      <c r="H42" s="43">
        <v>1</v>
      </c>
      <c r="I42" s="43"/>
      <c r="J42" s="43"/>
      <c r="K42" s="43"/>
      <c r="L42" s="43"/>
      <c r="M42" s="43"/>
      <c r="N42" s="43"/>
      <c r="O42" s="43">
        <v>3</v>
      </c>
      <c r="P42" s="43">
        <v>10</v>
      </c>
      <c r="Q42" s="44">
        <v>1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2+14+326</f>
        <v>342</v>
      </c>
      <c r="D44" s="93"/>
      <c r="E44" s="93"/>
    </row>
    <row r="45" spans="2:25" x14ac:dyDescent="0.25">
      <c r="B45" s="77" t="s">
        <v>69</v>
      </c>
      <c r="C45" s="93">
        <f>5</f>
        <v>5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990-614D-4631-9BEC-D6BEFE8FCE9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8</v>
      </c>
      <c r="F8" s="14">
        <v>1</v>
      </c>
      <c r="G8" s="14"/>
      <c r="H8" s="14" t="s">
        <v>102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/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/>
      <c r="H15" s="23" t="s">
        <v>103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/>
      <c r="V15" s="23"/>
      <c r="W15" s="23"/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>
        <v>8</v>
      </c>
      <c r="F16" s="27">
        <v>1</v>
      </c>
      <c r="G16" s="28"/>
      <c r="H16" s="28" t="s">
        <v>104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/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64</v>
      </c>
      <c r="I24" s="14">
        <v>1</v>
      </c>
      <c r="J24" s="14"/>
      <c r="K24" s="14">
        <v>1</v>
      </c>
      <c r="L24" s="14">
        <v>15</v>
      </c>
      <c r="M24" s="14">
        <v>350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35</v>
      </c>
      <c r="I31" s="23">
        <v>0</v>
      </c>
      <c r="J31" s="23"/>
      <c r="K31" s="23">
        <v>1</v>
      </c>
      <c r="L31" s="23">
        <v>15</v>
      </c>
      <c r="M31" s="23">
        <v>80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29</v>
      </c>
      <c r="I32" s="28">
        <v>1</v>
      </c>
      <c r="J32" s="28"/>
      <c r="K32" s="28">
        <v>0</v>
      </c>
      <c r="L32" s="28">
        <v>0</v>
      </c>
      <c r="M32" s="28">
        <v>270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297</v>
      </c>
      <c r="G36" s="43">
        <v>2</v>
      </c>
      <c r="H36" s="43">
        <v>2</v>
      </c>
      <c r="I36" s="43"/>
      <c r="J36" s="43"/>
      <c r="K36" s="43">
        <v>17</v>
      </c>
      <c r="L36" s="43"/>
      <c r="M36" s="43"/>
      <c r="N36" s="43"/>
      <c r="O36" s="43">
        <v>5</v>
      </c>
      <c r="P36" s="43">
        <v>4</v>
      </c>
      <c r="Q36" s="44">
        <v>6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297</v>
      </c>
      <c r="G42" s="43">
        <v>2</v>
      </c>
      <c r="H42" s="43">
        <v>2</v>
      </c>
      <c r="I42" s="43"/>
      <c r="J42" s="43"/>
      <c r="K42" s="43">
        <v>17</v>
      </c>
      <c r="L42" s="43"/>
      <c r="M42" s="43"/>
      <c r="N42" s="43"/>
      <c r="O42" s="43">
        <v>5</v>
      </c>
      <c r="P42" s="43">
        <v>4</v>
      </c>
      <c r="Q42" s="44">
        <v>6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8+1+8+29+1+270</f>
        <v>317</v>
      </c>
      <c r="D44" s="93"/>
      <c r="E44" s="93"/>
    </row>
    <row r="45" spans="2:25" x14ac:dyDescent="0.25">
      <c r="B45" s="77" t="s">
        <v>69</v>
      </c>
      <c r="C45" s="93">
        <f>7</f>
        <v>7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5BDB-0E7E-4D16-B115-315663BFA08C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6438-4C05-4828-9F23-144B6FEC842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>
        <v>1</v>
      </c>
      <c r="U8" s="14"/>
      <c r="V8" s="14"/>
      <c r="W8" s="14">
        <v>1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0</v>
      </c>
      <c r="U15" s="23"/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>
        <v>10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2</v>
      </c>
      <c r="S16" s="28"/>
      <c r="T16" s="28">
        <v>1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108</v>
      </c>
      <c r="G24" s="14"/>
      <c r="H24" s="14">
        <v>10</v>
      </c>
      <c r="I24" s="14"/>
      <c r="J24" s="14"/>
      <c r="K24" s="14"/>
      <c r="L24" s="14">
        <v>2</v>
      </c>
      <c r="M24" s="14">
        <v>433</v>
      </c>
      <c r="N24" s="14"/>
      <c r="O24" s="14"/>
      <c r="P24" s="14">
        <v>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108</v>
      </c>
      <c r="G31" s="23"/>
      <c r="H31" s="23">
        <v>0</v>
      </c>
      <c r="I31" s="23"/>
      <c r="J31" s="23"/>
      <c r="K31" s="23"/>
      <c r="L31" s="23">
        <v>2</v>
      </c>
      <c r="M31" s="23">
        <v>56</v>
      </c>
      <c r="N31" s="23"/>
      <c r="O31" s="23"/>
      <c r="P31" s="23">
        <v>1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</v>
      </c>
      <c r="I32" s="28"/>
      <c r="J32" s="28"/>
      <c r="K32" s="28"/>
      <c r="L32" s="28">
        <v>0</v>
      </c>
      <c r="M32" s="28">
        <v>377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493</v>
      </c>
      <c r="G36" s="43">
        <v>2</v>
      </c>
      <c r="H36" s="43">
        <v>5</v>
      </c>
      <c r="I36" s="43"/>
      <c r="J36" s="43"/>
      <c r="K36" s="43"/>
      <c r="L36" s="43"/>
      <c r="M36" s="43">
        <v>1</v>
      </c>
      <c r="N36" s="43">
        <v>6</v>
      </c>
      <c r="O36" s="43">
        <v>5</v>
      </c>
      <c r="P36" s="43">
        <v>10</v>
      </c>
      <c r="Q36" s="44">
        <v>18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493</v>
      </c>
      <c r="G42" s="43">
        <v>2</v>
      </c>
      <c r="H42" s="43">
        <v>5</v>
      </c>
      <c r="I42" s="43"/>
      <c r="J42" s="43"/>
      <c r="K42" s="43"/>
      <c r="L42" s="43"/>
      <c r="M42" s="43">
        <v>1</v>
      </c>
      <c r="N42" s="43">
        <v>6</v>
      </c>
      <c r="O42" s="43">
        <v>5</v>
      </c>
      <c r="P42" s="43">
        <v>10</v>
      </c>
      <c r="Q42" s="44">
        <v>18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10+2+1+10+377</f>
        <v>400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249C-95FD-4ADD-99BC-DD71B9EFEC9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18</v>
      </c>
      <c r="F8" s="14">
        <v>14</v>
      </c>
      <c r="G8" s="14"/>
      <c r="H8" s="14" t="s">
        <v>110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>
        <v>4</v>
      </c>
      <c r="V8" s="14"/>
      <c r="W8" s="14">
        <v>4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1</v>
      </c>
      <c r="F15" s="23">
        <v>1</v>
      </c>
      <c r="G15" s="23"/>
      <c r="H15" s="23" t="s">
        <v>109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>
        <v>0</v>
      </c>
      <c r="V15" s="23"/>
      <c r="W15" s="23">
        <v>2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17</v>
      </c>
      <c r="F16" s="27">
        <v>13</v>
      </c>
      <c r="G16" s="28"/>
      <c r="H16" s="28">
        <v>7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>
        <v>4</v>
      </c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11</v>
      </c>
      <c r="D24" s="14"/>
      <c r="E24" s="14">
        <v>3</v>
      </c>
      <c r="F24" s="14"/>
      <c r="G24" s="14"/>
      <c r="H24" s="14">
        <v>41</v>
      </c>
      <c r="I24" s="14">
        <v>6</v>
      </c>
      <c r="J24" s="14"/>
      <c r="K24" s="14">
        <v>1</v>
      </c>
      <c r="L24" s="14">
        <v>7</v>
      </c>
      <c r="M24" s="14">
        <v>331</v>
      </c>
      <c r="N24" s="14"/>
      <c r="O24" s="14">
        <v>4</v>
      </c>
      <c r="P24" s="14" t="s">
        <v>96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>
        <v>0</v>
      </c>
      <c r="F31" s="23"/>
      <c r="G31" s="23"/>
      <c r="H31" s="23">
        <v>17</v>
      </c>
      <c r="I31" s="23">
        <v>0</v>
      </c>
      <c r="J31" s="23"/>
      <c r="K31" s="23">
        <v>1</v>
      </c>
      <c r="L31" s="23">
        <v>6</v>
      </c>
      <c r="M31" s="23">
        <v>85</v>
      </c>
      <c r="N31" s="23"/>
      <c r="O31" s="23">
        <v>0</v>
      </c>
      <c r="P31" s="23" t="s">
        <v>96</v>
      </c>
      <c r="Q31" s="23"/>
      <c r="R31" s="23"/>
      <c r="S31" s="23"/>
      <c r="T31" s="23"/>
      <c r="U31" s="23"/>
      <c r="V31" s="23">
        <v>0</v>
      </c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11</v>
      </c>
      <c r="D32" s="27"/>
      <c r="E32" s="27">
        <v>3</v>
      </c>
      <c r="F32" s="27"/>
      <c r="G32" s="28"/>
      <c r="H32" s="28">
        <v>24</v>
      </c>
      <c r="I32" s="28">
        <v>6</v>
      </c>
      <c r="J32" s="28"/>
      <c r="K32" s="28">
        <v>0</v>
      </c>
      <c r="L32" s="28">
        <v>1</v>
      </c>
      <c r="M32" s="28">
        <v>246</v>
      </c>
      <c r="N32" s="28"/>
      <c r="O32" s="23">
        <v>4</v>
      </c>
      <c r="P32" s="28">
        <v>0</v>
      </c>
      <c r="Q32" s="28"/>
      <c r="R32" s="28"/>
      <c r="S32" s="28"/>
      <c r="T32" s="28"/>
      <c r="U32" s="28"/>
      <c r="V32" s="28">
        <v>1</v>
      </c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304</v>
      </c>
      <c r="G36" s="43">
        <v>1</v>
      </c>
      <c r="H36" s="43">
        <v>5</v>
      </c>
      <c r="I36" s="43">
        <v>3</v>
      </c>
      <c r="J36" s="43"/>
      <c r="K36" s="43">
        <v>2</v>
      </c>
      <c r="L36" s="43"/>
      <c r="M36" s="43"/>
      <c r="N36" s="43"/>
      <c r="O36" s="43">
        <v>4</v>
      </c>
      <c r="P36" s="43">
        <v>10</v>
      </c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304</v>
      </c>
      <c r="G42" s="43">
        <v>1</v>
      </c>
      <c r="H42" s="43">
        <v>5</v>
      </c>
      <c r="I42" s="43">
        <v>3</v>
      </c>
      <c r="J42" s="43"/>
      <c r="K42" s="43">
        <v>2</v>
      </c>
      <c r="L42" s="43"/>
      <c r="M42" s="43"/>
      <c r="N42" s="43"/>
      <c r="O42" s="43">
        <v>4</v>
      </c>
      <c r="P42" s="43">
        <v>10</v>
      </c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17+13+7+4+2+11+3+24+6+1+246+4+1</f>
        <v>339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6D13-DD1D-46C2-A7DF-D4B33B25263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AED-65FA-4648-8A88-132816BE380D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BD33-1BFF-4E7A-A164-05837058A447}">
  <dimension ref="B1:AA45"/>
  <sheetViews>
    <sheetView showGridLines="0" zoomScale="160" zoomScaleNormal="160" workbookViewId="0">
      <selection activeCell="B7" sqref="B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CBE8-63B8-4D25-833B-5A28338CE0E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D0A-3CC0-477D-A831-E3EA7809BFE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 t="s">
        <v>111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>
        <v>4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9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/>
      <c r="V15" s="23"/>
      <c r="W15" s="23">
        <v>4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/>
      <c r="F16" s="27"/>
      <c r="G16" s="28"/>
      <c r="H16" s="28" t="s">
        <v>112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143</v>
      </c>
      <c r="I24" s="14"/>
      <c r="J24" s="14"/>
      <c r="K24" s="14">
        <v>2</v>
      </c>
      <c r="L24" s="14">
        <v>15</v>
      </c>
      <c r="M24" s="14">
        <v>356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32</v>
      </c>
      <c r="I31" s="23"/>
      <c r="J31" s="23"/>
      <c r="K31" s="23">
        <v>2</v>
      </c>
      <c r="L31" s="23">
        <v>5</v>
      </c>
      <c r="M31" s="23">
        <v>1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111</v>
      </c>
      <c r="I32" s="28"/>
      <c r="J32" s="28"/>
      <c r="K32" s="28">
        <v>0</v>
      </c>
      <c r="L32" s="28">
        <v>10</v>
      </c>
      <c r="M32" s="28">
        <v>355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481</v>
      </c>
      <c r="G36" s="43">
        <v>1</v>
      </c>
      <c r="H36" s="43"/>
      <c r="I36" s="43">
        <v>7</v>
      </c>
      <c r="J36" s="43"/>
      <c r="K36" s="43">
        <v>2</v>
      </c>
      <c r="L36" s="43"/>
      <c r="M36" s="43"/>
      <c r="N36" s="43"/>
      <c r="O36" s="43">
        <v>4</v>
      </c>
      <c r="P36" s="43">
        <v>4</v>
      </c>
      <c r="Q36" s="44">
        <v>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481</v>
      </c>
      <c r="G42" s="43">
        <v>1</v>
      </c>
      <c r="H42" s="43"/>
      <c r="I42" s="43">
        <v>7</v>
      </c>
      <c r="J42" s="43"/>
      <c r="K42" s="43">
        <v>2</v>
      </c>
      <c r="L42" s="43"/>
      <c r="M42" s="43"/>
      <c r="N42" s="43"/>
      <c r="O42" s="43">
        <v>4</v>
      </c>
      <c r="P42" s="43">
        <v>4</v>
      </c>
      <c r="Q42" s="44">
        <v>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13+111+10+355</f>
        <v>489</v>
      </c>
      <c r="D44" s="93"/>
      <c r="E44" s="93"/>
    </row>
    <row r="45" spans="2:25" x14ac:dyDescent="0.25">
      <c r="B45" s="77" t="s">
        <v>69</v>
      </c>
      <c r="C45" s="93">
        <f>13</f>
        <v>13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7353-0FE2-4798-83C1-A24826F69272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9100-37AC-4176-87D3-C76B17C0CD2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>
        <v>2</v>
      </c>
      <c r="F8" s="14">
        <v>1</v>
      </c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2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>
        <v>0</v>
      </c>
      <c r="G15" s="23"/>
      <c r="H15" s="23">
        <v>12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6</v>
      </c>
      <c r="S15" s="23"/>
      <c r="T15" s="23">
        <v>0</v>
      </c>
      <c r="U15" s="23"/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2</v>
      </c>
      <c r="F16" s="27">
        <v>1</v>
      </c>
      <c r="G16" s="28"/>
      <c r="H16" s="28">
        <v>1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2</v>
      </c>
      <c r="S16" s="28"/>
      <c r="T16" s="28">
        <v>2</v>
      </c>
      <c r="U16" s="28"/>
      <c r="V16" s="28"/>
      <c r="W16" s="57">
        <v>1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92</v>
      </c>
      <c r="G24" s="14"/>
      <c r="H24" s="14">
        <v>25</v>
      </c>
      <c r="I24" s="14"/>
      <c r="J24" s="14"/>
      <c r="K24" s="14">
        <v>50</v>
      </c>
      <c r="L24" s="14">
        <v>5</v>
      </c>
      <c r="M24" s="14">
        <v>320</v>
      </c>
      <c r="N24" s="14"/>
      <c r="O24" s="14"/>
      <c r="P24" s="14">
        <v>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92</v>
      </c>
      <c r="G31" s="23"/>
      <c r="H31" s="23">
        <v>8</v>
      </c>
      <c r="I31" s="23"/>
      <c r="J31" s="23"/>
      <c r="K31" s="23">
        <v>0</v>
      </c>
      <c r="L31" s="23">
        <v>5</v>
      </c>
      <c r="M31" s="23">
        <v>1</v>
      </c>
      <c r="N31" s="23"/>
      <c r="O31" s="23"/>
      <c r="P31" s="23">
        <v>4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17</v>
      </c>
      <c r="I32" s="28"/>
      <c r="J32" s="28"/>
      <c r="K32" s="28">
        <v>50</v>
      </c>
      <c r="L32" s="28">
        <v>0</v>
      </c>
      <c r="M32" s="28">
        <v>319</v>
      </c>
      <c r="N32" s="28"/>
      <c r="O32" s="23"/>
      <c r="P32" s="28">
        <v>1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/>
      <c r="E36" s="43">
        <v>2</v>
      </c>
      <c r="F36" s="43">
        <v>317</v>
      </c>
      <c r="G36" s="43">
        <v>1</v>
      </c>
      <c r="H36" s="43"/>
      <c r="I36" s="43">
        <v>62</v>
      </c>
      <c r="J36" s="43">
        <v>1</v>
      </c>
      <c r="K36" s="43">
        <v>9</v>
      </c>
      <c r="L36" s="43"/>
      <c r="M36" s="43"/>
      <c r="N36" s="43">
        <v>3</v>
      </c>
      <c r="O36" s="43">
        <v>1</v>
      </c>
      <c r="P36" s="43"/>
      <c r="Q36" s="44">
        <v>8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>
        <v>2</v>
      </c>
      <c r="F42" s="43">
        <v>317</v>
      </c>
      <c r="G42" s="43">
        <v>1</v>
      </c>
      <c r="H42" s="43"/>
      <c r="I42" s="43">
        <v>62</v>
      </c>
      <c r="J42" s="43">
        <v>1</v>
      </c>
      <c r="K42" s="43">
        <v>9</v>
      </c>
      <c r="L42" s="43"/>
      <c r="M42" s="43"/>
      <c r="N42" s="43">
        <v>3</v>
      </c>
      <c r="O42" s="43">
        <v>1</v>
      </c>
      <c r="P42" s="43"/>
      <c r="Q42" s="44">
        <v>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2+1+1+2+2+1+17+50+319+1</f>
        <v>396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9D9A-4B66-4757-B161-97EFD019EB6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1</v>
      </c>
      <c r="F8" s="14">
        <v>1</v>
      </c>
      <c r="G8" s="14"/>
      <c r="H8" s="14" t="s">
        <v>114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0</v>
      </c>
      <c r="F15" s="23">
        <v>1</v>
      </c>
      <c r="G15" s="23"/>
      <c r="H15" s="23" t="s">
        <v>113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/>
      <c r="V15" s="23"/>
      <c r="W15" s="23">
        <v>0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1</v>
      </c>
      <c r="F16" s="27">
        <v>0</v>
      </c>
      <c r="G16" s="28"/>
      <c r="H16" s="28">
        <v>10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68</v>
      </c>
      <c r="I24" s="14"/>
      <c r="J24" s="14"/>
      <c r="K24" s="14">
        <v>1</v>
      </c>
      <c r="L24" s="14">
        <v>8</v>
      </c>
      <c r="M24" s="14">
        <v>481</v>
      </c>
      <c r="N24" s="14"/>
      <c r="O24" s="14"/>
      <c r="P24" s="14" t="s">
        <v>96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0</v>
      </c>
      <c r="I31" s="23"/>
      <c r="J31" s="23"/>
      <c r="K31" s="23">
        <v>1</v>
      </c>
      <c r="L31" s="23">
        <v>4</v>
      </c>
      <c r="M31" s="23">
        <v>96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68</v>
      </c>
      <c r="I32" s="28"/>
      <c r="J32" s="28"/>
      <c r="K32" s="28">
        <v>0</v>
      </c>
      <c r="L32" s="28">
        <v>4</v>
      </c>
      <c r="M32" s="28">
        <v>385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278</v>
      </c>
      <c r="G36" s="43">
        <v>18</v>
      </c>
      <c r="H36" s="43">
        <v>7</v>
      </c>
      <c r="I36" s="43">
        <v>4</v>
      </c>
      <c r="J36" s="43"/>
      <c r="K36" s="43">
        <v>12</v>
      </c>
      <c r="L36" s="43"/>
      <c r="M36" s="43">
        <v>2</v>
      </c>
      <c r="N36" s="43"/>
      <c r="O36" s="43">
        <v>3</v>
      </c>
      <c r="P36" s="43">
        <v>1</v>
      </c>
      <c r="Q36" s="44">
        <v>73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278</v>
      </c>
      <c r="G42" s="43">
        <v>18</v>
      </c>
      <c r="H42" s="43">
        <v>7</v>
      </c>
      <c r="I42" s="43">
        <v>4</v>
      </c>
      <c r="J42" s="43"/>
      <c r="K42" s="43">
        <v>12</v>
      </c>
      <c r="L42" s="43"/>
      <c r="M42" s="43">
        <v>2</v>
      </c>
      <c r="N42" s="43"/>
      <c r="O42" s="43">
        <v>3</v>
      </c>
      <c r="P42" s="43">
        <v>1</v>
      </c>
      <c r="Q42" s="44">
        <v>73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1+10+2+68+4+385</f>
        <v>470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0ED2-EC58-40B0-B919-1D79F53D806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>
        <v>15</v>
      </c>
      <c r="F8" s="14">
        <v>15</v>
      </c>
      <c r="G8" s="14"/>
      <c r="H8" s="14">
        <v>19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>
        <v>8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>
        <v>0</v>
      </c>
      <c r="F15" s="23">
        <v>0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9</v>
      </c>
      <c r="S15" s="23"/>
      <c r="T15" s="23"/>
      <c r="U15" s="23"/>
      <c r="V15" s="23"/>
      <c r="W15" s="23">
        <v>2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>
        <v>15</v>
      </c>
      <c r="F16" s="27">
        <v>15</v>
      </c>
      <c r="G16" s="28"/>
      <c r="H16" s="28">
        <v>19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1</v>
      </c>
      <c r="S16" s="28"/>
      <c r="T16" s="28"/>
      <c r="U16" s="28"/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2</v>
      </c>
      <c r="D24" s="14"/>
      <c r="E24" s="14"/>
      <c r="F24" s="14">
        <v>2</v>
      </c>
      <c r="G24" s="14"/>
      <c r="H24" s="14">
        <v>140</v>
      </c>
      <c r="I24" s="14"/>
      <c r="J24" s="14"/>
      <c r="K24" s="14">
        <v>2</v>
      </c>
      <c r="L24" s="14">
        <v>15</v>
      </c>
      <c r="M24" s="14">
        <v>433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2</v>
      </c>
      <c r="G31" s="23"/>
      <c r="H31" s="23">
        <v>81</v>
      </c>
      <c r="I31" s="23"/>
      <c r="J31" s="23"/>
      <c r="K31" s="23">
        <v>2</v>
      </c>
      <c r="L31" s="23">
        <v>3</v>
      </c>
      <c r="M31" s="23">
        <v>1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2</v>
      </c>
      <c r="D32" s="27"/>
      <c r="E32" s="27"/>
      <c r="F32" s="27">
        <v>0</v>
      </c>
      <c r="G32" s="28"/>
      <c r="H32" s="28">
        <v>59</v>
      </c>
      <c r="I32" s="28"/>
      <c r="J32" s="28"/>
      <c r="K32" s="28">
        <v>0</v>
      </c>
      <c r="L32" s="28">
        <v>12</v>
      </c>
      <c r="M32" s="28">
        <v>432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510</v>
      </c>
      <c r="G36" s="43">
        <v>1</v>
      </c>
      <c r="H36" s="43">
        <v>5</v>
      </c>
      <c r="I36" s="43">
        <v>2</v>
      </c>
      <c r="J36" s="43"/>
      <c r="K36" s="43">
        <v>2</v>
      </c>
      <c r="L36" s="43">
        <v>2</v>
      </c>
      <c r="M36" s="43"/>
      <c r="N36" s="43">
        <v>2</v>
      </c>
      <c r="O36" s="43">
        <v>12</v>
      </c>
      <c r="P36" s="43">
        <v>18</v>
      </c>
      <c r="Q36" s="44">
        <v>19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510</v>
      </c>
      <c r="G42" s="43">
        <v>1</v>
      </c>
      <c r="H42" s="43">
        <v>5</v>
      </c>
      <c r="I42" s="43">
        <v>2</v>
      </c>
      <c r="J42" s="43"/>
      <c r="K42" s="43">
        <v>2</v>
      </c>
      <c r="L42" s="43">
        <v>2</v>
      </c>
      <c r="M42" s="43"/>
      <c r="N42" s="43">
        <v>2</v>
      </c>
      <c r="O42" s="43">
        <v>12</v>
      </c>
      <c r="P42" s="43">
        <v>18</v>
      </c>
      <c r="Q42" s="44">
        <v>19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15+15+19+1+2+2+59+12+432</f>
        <v>557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6314-D31F-4C57-A6E5-A6C5D2AD24B6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333B-2EFF-48D9-BA30-3570803545D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>
        <v>24</v>
      </c>
      <c r="I8" s="14"/>
      <c r="J8" s="14"/>
      <c r="K8" s="14"/>
      <c r="L8" s="14"/>
      <c r="M8" s="14"/>
      <c r="N8" s="14"/>
      <c r="O8" s="14"/>
      <c r="P8" s="14"/>
      <c r="Q8" s="14"/>
      <c r="R8" s="14">
        <v>6</v>
      </c>
      <c r="S8" s="14"/>
      <c r="T8" s="14"/>
      <c r="U8" s="14"/>
      <c r="V8" s="14"/>
      <c r="W8" s="14">
        <v>1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/>
      <c r="F15" s="23"/>
      <c r="G15" s="23"/>
      <c r="H15" s="23" t="s">
        <v>125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4</v>
      </c>
      <c r="S15" s="23"/>
      <c r="T15" s="23"/>
      <c r="U15" s="23"/>
      <c r="V15" s="23"/>
      <c r="W15" s="23">
        <v>0</v>
      </c>
      <c r="X15" s="62"/>
      <c r="Y15" s="24"/>
    </row>
    <row r="16" spans="2:27" ht="18" customHeight="1" thickBot="1" x14ac:dyDescent="0.3">
      <c r="B16" s="25" t="s">
        <v>26</v>
      </c>
      <c r="C16" s="58">
        <v>1</v>
      </c>
      <c r="D16" s="59"/>
      <c r="E16" s="27"/>
      <c r="F16" s="27"/>
      <c r="G16" s="28"/>
      <c r="H16" s="28" t="s">
        <v>124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2</v>
      </c>
      <c r="S16" s="28"/>
      <c r="T16" s="28"/>
      <c r="U16" s="28"/>
      <c r="V16" s="28"/>
      <c r="W16" s="57">
        <v>1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92</v>
      </c>
      <c r="G24" s="14"/>
      <c r="H24" s="14">
        <v>67</v>
      </c>
      <c r="I24" s="14"/>
      <c r="J24" s="14"/>
      <c r="K24" s="14">
        <v>2</v>
      </c>
      <c r="L24" s="14">
        <v>55</v>
      </c>
      <c r="M24" s="14">
        <v>560</v>
      </c>
      <c r="N24" s="14"/>
      <c r="O24" s="14"/>
      <c r="P24" s="14">
        <v>4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>
        <v>2</v>
      </c>
      <c r="L31" s="23">
        <v>0</v>
      </c>
      <c r="M31" s="23">
        <v>2</v>
      </c>
      <c r="N31" s="23"/>
      <c r="O31" s="23"/>
      <c r="P31" s="23">
        <v>4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 t="s">
        <v>92</v>
      </c>
      <c r="G32" s="28"/>
      <c r="H32" s="28">
        <v>67</v>
      </c>
      <c r="I32" s="28"/>
      <c r="J32" s="28"/>
      <c r="K32" s="28">
        <v>0</v>
      </c>
      <c r="L32" s="28">
        <v>55</v>
      </c>
      <c r="M32" s="28">
        <v>558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/>
      <c r="E36" s="43">
        <v>16</v>
      </c>
      <c r="F36" s="43">
        <v>462</v>
      </c>
      <c r="G36" s="43">
        <v>138</v>
      </c>
      <c r="H36" s="43">
        <v>1</v>
      </c>
      <c r="I36" s="43">
        <v>18</v>
      </c>
      <c r="J36" s="43">
        <v>30</v>
      </c>
      <c r="K36" s="43">
        <v>7</v>
      </c>
      <c r="L36" s="43">
        <v>2</v>
      </c>
      <c r="M36" s="43">
        <v>1</v>
      </c>
      <c r="N36" s="43"/>
      <c r="O36" s="43"/>
      <c r="P36" s="43"/>
      <c r="Q36" s="44">
        <v>19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>
        <v>16</v>
      </c>
      <c r="F42" s="43">
        <v>462</v>
      </c>
      <c r="G42" s="43">
        <v>138</v>
      </c>
      <c r="H42" s="43">
        <v>1</v>
      </c>
      <c r="I42" s="43">
        <v>18</v>
      </c>
      <c r="J42" s="43">
        <v>30</v>
      </c>
      <c r="K42" s="43">
        <v>7</v>
      </c>
      <c r="L42" s="43">
        <v>2</v>
      </c>
      <c r="M42" s="43">
        <v>1</v>
      </c>
      <c r="N42" s="43"/>
      <c r="O42" s="43"/>
      <c r="P42" s="43"/>
      <c r="Q42" s="44">
        <v>19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1+20+2+1+1+67+55+558</f>
        <v>705</v>
      </c>
      <c r="D44" s="93"/>
      <c r="E44" s="93"/>
    </row>
    <row r="45" spans="2:25" x14ac:dyDescent="0.25">
      <c r="B45" s="77" t="s">
        <v>69</v>
      </c>
      <c r="C45" s="93">
        <f>5+12</f>
        <v>17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8615-96CF-4C42-852A-3A592137003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>
        <v>1</v>
      </c>
      <c r="G8" s="14"/>
      <c r="H8" s="14" t="s">
        <v>121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/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/>
      <c r="F15" s="23">
        <v>1</v>
      </c>
      <c r="G15" s="23"/>
      <c r="H15" s="23" t="s">
        <v>122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10</v>
      </c>
      <c r="S15" s="23"/>
      <c r="T15" s="23"/>
      <c r="U15" s="23"/>
      <c r="V15" s="23"/>
      <c r="W15" s="23">
        <v>2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>
        <v>0</v>
      </c>
      <c r="G16" s="28"/>
      <c r="H16" s="28" t="s">
        <v>123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118</v>
      </c>
      <c r="I24" s="14"/>
      <c r="J24" s="14"/>
      <c r="K24" s="14">
        <v>1</v>
      </c>
      <c r="L24" s="14">
        <v>4</v>
      </c>
      <c r="M24" s="14">
        <v>594</v>
      </c>
      <c r="N24" s="14"/>
      <c r="O24" s="14"/>
      <c r="P24" s="14" t="s">
        <v>96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0</v>
      </c>
      <c r="I31" s="23"/>
      <c r="J31" s="23"/>
      <c r="K31" s="23">
        <v>1</v>
      </c>
      <c r="L31" s="23">
        <v>3</v>
      </c>
      <c r="M31" s="23">
        <v>56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118</v>
      </c>
      <c r="I32" s="28"/>
      <c r="J32" s="28"/>
      <c r="K32" s="28">
        <v>0</v>
      </c>
      <c r="L32" s="28">
        <v>1</v>
      </c>
      <c r="M32" s="28">
        <v>538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670</v>
      </c>
      <c r="G36" s="43">
        <v>1</v>
      </c>
      <c r="H36" s="43">
        <v>4</v>
      </c>
      <c r="I36" s="43">
        <v>1</v>
      </c>
      <c r="J36" s="43">
        <v>2</v>
      </c>
      <c r="K36" s="43"/>
      <c r="L36" s="43"/>
      <c r="M36" s="43"/>
      <c r="N36" s="43"/>
      <c r="O36" s="43">
        <v>6</v>
      </c>
      <c r="P36" s="43">
        <v>14</v>
      </c>
      <c r="Q36" s="44">
        <v>21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670</v>
      </c>
      <c r="G42" s="43">
        <v>1</v>
      </c>
      <c r="H42" s="43">
        <v>4</v>
      </c>
      <c r="I42" s="43">
        <v>1</v>
      </c>
      <c r="J42" s="43">
        <v>2</v>
      </c>
      <c r="K42" s="43"/>
      <c r="L42" s="43"/>
      <c r="M42" s="43"/>
      <c r="N42" s="43"/>
      <c r="O42" s="43">
        <v>6</v>
      </c>
      <c r="P42" s="43">
        <v>14</v>
      </c>
      <c r="Q42" s="44">
        <v>21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20+118+1+538</f>
        <v>677</v>
      </c>
      <c r="D44" s="93"/>
      <c r="E44" s="93"/>
    </row>
    <row r="45" spans="2:25" x14ac:dyDescent="0.25">
      <c r="B45" s="77" t="s">
        <v>69</v>
      </c>
      <c r="C45" s="93">
        <f>8</f>
        <v>8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32AC-8596-40F5-887B-DED678E230F2}">
  <dimension ref="B1:AA45"/>
  <sheetViews>
    <sheetView showGridLines="0" topLeftCell="A26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>
        <v>9</v>
      </c>
      <c r="S8" s="14"/>
      <c r="T8" s="14"/>
      <c r="U8" s="14"/>
      <c r="V8" s="14"/>
      <c r="W8" s="14">
        <v>4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/>
      <c r="U15" s="23"/>
      <c r="V15" s="23"/>
      <c r="W15" s="23">
        <v>2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/>
      <c r="F16" s="27"/>
      <c r="G16" s="28"/>
      <c r="H16" s="28">
        <v>15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1</v>
      </c>
      <c r="S16" s="28"/>
      <c r="T16" s="28"/>
      <c r="U16" s="28"/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81</v>
      </c>
      <c r="I24" s="14"/>
      <c r="J24" s="14"/>
      <c r="K24" s="14">
        <v>2</v>
      </c>
      <c r="L24" s="14">
        <v>15</v>
      </c>
      <c r="M24" s="14">
        <v>432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18</v>
      </c>
      <c r="I31" s="23"/>
      <c r="J31" s="23"/>
      <c r="K31" s="23">
        <v>1</v>
      </c>
      <c r="L31" s="23">
        <v>4</v>
      </c>
      <c r="M31" s="23">
        <v>63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63</v>
      </c>
      <c r="I32" s="28"/>
      <c r="J32" s="28"/>
      <c r="K32" s="28">
        <v>1</v>
      </c>
      <c r="L32" s="28">
        <v>11</v>
      </c>
      <c r="M32" s="28">
        <v>369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221</v>
      </c>
      <c r="G36" s="43"/>
      <c r="H36" s="43"/>
      <c r="I36" s="43">
        <v>6</v>
      </c>
      <c r="J36" s="43">
        <v>1</v>
      </c>
      <c r="K36" s="43">
        <v>7</v>
      </c>
      <c r="L36" s="43">
        <v>1</v>
      </c>
      <c r="M36" s="43"/>
      <c r="N36" s="43"/>
      <c r="O36" s="43">
        <v>4</v>
      </c>
      <c r="P36" s="43">
        <v>1</v>
      </c>
      <c r="Q36" s="44">
        <v>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221</v>
      </c>
      <c r="G42" s="43"/>
      <c r="H42" s="43"/>
      <c r="I42" s="43">
        <v>6</v>
      </c>
      <c r="J42" s="43">
        <v>1</v>
      </c>
      <c r="K42" s="43">
        <v>7</v>
      </c>
      <c r="L42" s="43">
        <v>1</v>
      </c>
      <c r="M42" s="43"/>
      <c r="N42" s="43"/>
      <c r="O42" s="43">
        <v>4</v>
      </c>
      <c r="P42" s="43">
        <v>1</v>
      </c>
      <c r="Q42" s="44">
        <v>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15+1+2+63+1+11+369</f>
        <v>462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C4AA-31C1-4389-B72D-6A40861A2618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35A9-BB90-4F0D-AE87-8A25C13201C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1</v>
      </c>
      <c r="F8" s="14">
        <v>1</v>
      </c>
      <c r="G8" s="14"/>
      <c r="H8" s="14" t="s">
        <v>128</v>
      </c>
      <c r="I8" s="14"/>
      <c r="J8" s="14"/>
      <c r="K8" s="14"/>
      <c r="L8" s="14"/>
      <c r="M8" s="14"/>
      <c r="N8" s="14"/>
      <c r="O8" s="14"/>
      <c r="P8" s="14"/>
      <c r="Q8" s="14"/>
      <c r="R8" s="14">
        <v>4</v>
      </c>
      <c r="S8" s="14"/>
      <c r="T8" s="14">
        <v>2</v>
      </c>
      <c r="U8" s="14"/>
      <c r="V8" s="14"/>
      <c r="W8" s="14">
        <v>2</v>
      </c>
      <c r="X8" s="60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>
        <v>0</v>
      </c>
      <c r="F15" s="23">
        <v>0</v>
      </c>
      <c r="G15" s="23"/>
      <c r="H15" s="23" t="s">
        <v>127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4</v>
      </c>
      <c r="S15" s="23"/>
      <c r="T15" s="23">
        <v>2</v>
      </c>
      <c r="U15" s="23"/>
      <c r="V15" s="23"/>
      <c r="W15" s="23">
        <v>2</v>
      </c>
      <c r="X15" s="62">
        <v>1</v>
      </c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1</v>
      </c>
      <c r="F16" s="27">
        <v>1</v>
      </c>
      <c r="G16" s="28"/>
      <c r="H16" s="28" t="s">
        <v>126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1</v>
      </c>
      <c r="G24" s="14"/>
      <c r="H24" s="14">
        <v>20</v>
      </c>
      <c r="I24" s="14"/>
      <c r="J24" s="14"/>
      <c r="K24" s="14">
        <v>2</v>
      </c>
      <c r="L24" s="14">
        <v>5</v>
      </c>
      <c r="M24" s="14">
        <v>326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1</v>
      </c>
      <c r="G31" s="23"/>
      <c r="H31" s="23">
        <v>0</v>
      </c>
      <c r="I31" s="23"/>
      <c r="J31" s="23"/>
      <c r="K31" s="23">
        <v>2</v>
      </c>
      <c r="L31" s="23">
        <v>2</v>
      </c>
      <c r="M31" s="23">
        <v>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>
        <v>0</v>
      </c>
      <c r="G32" s="28"/>
      <c r="H32" s="28">
        <v>20</v>
      </c>
      <c r="I32" s="28"/>
      <c r="J32" s="28"/>
      <c r="K32" s="28">
        <v>0</v>
      </c>
      <c r="L32" s="28">
        <v>3</v>
      </c>
      <c r="M32" s="28">
        <v>324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34</v>
      </c>
      <c r="G36" s="43">
        <v>1</v>
      </c>
      <c r="H36" s="43">
        <v>3</v>
      </c>
      <c r="I36" s="43">
        <v>3</v>
      </c>
      <c r="J36" s="43"/>
      <c r="K36" s="43">
        <v>5</v>
      </c>
      <c r="L36" s="43"/>
      <c r="M36" s="43"/>
      <c r="N36" s="43"/>
      <c r="O36" s="43">
        <v>4</v>
      </c>
      <c r="P36" s="43">
        <v>1</v>
      </c>
      <c r="Q36" s="44">
        <v>4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34</v>
      </c>
      <c r="G42" s="43">
        <v>1</v>
      </c>
      <c r="H42" s="43">
        <v>3</v>
      </c>
      <c r="I42" s="43">
        <v>3</v>
      </c>
      <c r="J42" s="43"/>
      <c r="K42" s="43">
        <v>5</v>
      </c>
      <c r="L42" s="43"/>
      <c r="M42" s="43"/>
      <c r="N42" s="43"/>
      <c r="O42" s="43">
        <v>4</v>
      </c>
      <c r="P42" s="43">
        <v>1</v>
      </c>
      <c r="Q42" s="44">
        <v>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1+1+5+1+20+3+324</f>
        <v>355</v>
      </c>
      <c r="D44" s="93"/>
      <c r="E44" s="93"/>
    </row>
    <row r="45" spans="2:25" x14ac:dyDescent="0.25">
      <c r="B45" s="77" t="s">
        <v>69</v>
      </c>
      <c r="C45" s="93">
        <v>6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5167-238B-4B67-8EEB-9AF2E722A20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>
        <v>1</v>
      </c>
      <c r="F8" s="14">
        <v>1</v>
      </c>
      <c r="G8" s="14"/>
      <c r="H8" s="14" t="s">
        <v>133</v>
      </c>
      <c r="I8" s="14"/>
      <c r="J8" s="14"/>
      <c r="K8" s="14"/>
      <c r="L8" s="14"/>
      <c r="M8" s="14"/>
      <c r="N8" s="14"/>
      <c r="O8" s="14"/>
      <c r="P8" s="14"/>
      <c r="Q8" s="14"/>
      <c r="R8" s="14">
        <v>10</v>
      </c>
      <c r="S8" s="14"/>
      <c r="T8" s="14">
        <v>1</v>
      </c>
      <c r="U8" s="14"/>
      <c r="V8" s="14"/>
      <c r="W8" s="14">
        <v>2</v>
      </c>
      <c r="X8" s="60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>
        <v>1</v>
      </c>
      <c r="F15" s="23">
        <v>1</v>
      </c>
      <c r="G15" s="23"/>
      <c r="H15" s="23" t="s">
        <v>132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135</v>
      </c>
      <c r="S15" s="23"/>
      <c r="T15" s="23">
        <v>1</v>
      </c>
      <c r="U15" s="23"/>
      <c r="V15" s="23"/>
      <c r="W15" s="23">
        <v>2</v>
      </c>
      <c r="X15" s="62">
        <v>1</v>
      </c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>
        <v>0</v>
      </c>
      <c r="G16" s="28"/>
      <c r="H16" s="28" t="s">
        <v>131</v>
      </c>
      <c r="I16" s="28"/>
      <c r="J16" s="28"/>
      <c r="K16" s="57"/>
      <c r="L16" s="28"/>
      <c r="M16" s="28"/>
      <c r="N16" s="28"/>
      <c r="O16" s="28"/>
      <c r="P16" s="28"/>
      <c r="Q16" s="28"/>
      <c r="R16" s="28" t="s">
        <v>134</v>
      </c>
      <c r="S16" s="28"/>
      <c r="T16" s="28">
        <v>0</v>
      </c>
      <c r="U16" s="28"/>
      <c r="V16" s="28"/>
      <c r="W16" s="57">
        <v>0</v>
      </c>
      <c r="X16" s="63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</v>
      </c>
      <c r="G24" s="14"/>
      <c r="H24" s="14">
        <v>30</v>
      </c>
      <c r="I24" s="14"/>
      <c r="J24" s="14"/>
      <c r="K24" s="14">
        <v>1</v>
      </c>
      <c r="L24" s="14">
        <v>10</v>
      </c>
      <c r="M24" s="14">
        <v>380</v>
      </c>
      <c r="N24" s="14"/>
      <c r="O24" s="14"/>
      <c r="P24" s="14" t="s">
        <v>136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2</v>
      </c>
      <c r="G31" s="23"/>
      <c r="H31" s="23">
        <v>1</v>
      </c>
      <c r="I31" s="23"/>
      <c r="J31" s="23"/>
      <c r="K31" s="23">
        <v>1</v>
      </c>
      <c r="L31" s="23">
        <v>4</v>
      </c>
      <c r="M31" s="23">
        <v>69</v>
      </c>
      <c r="N31" s="23"/>
      <c r="O31" s="23"/>
      <c r="P31" s="23" t="s">
        <v>136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0</v>
      </c>
      <c r="G32" s="28"/>
      <c r="H32" s="28">
        <v>29</v>
      </c>
      <c r="I32" s="28"/>
      <c r="J32" s="28"/>
      <c r="K32" s="28">
        <v>0</v>
      </c>
      <c r="L32" s="28">
        <v>6</v>
      </c>
      <c r="M32" s="28">
        <v>311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449</v>
      </c>
      <c r="G36" s="43">
        <v>10</v>
      </c>
      <c r="H36" s="43">
        <v>5</v>
      </c>
      <c r="I36" s="43">
        <v>9</v>
      </c>
      <c r="J36" s="43">
        <v>2</v>
      </c>
      <c r="K36" s="43">
        <v>10</v>
      </c>
      <c r="L36" s="43"/>
      <c r="M36" s="43"/>
      <c r="N36" s="43">
        <v>1</v>
      </c>
      <c r="O36" s="43">
        <v>9</v>
      </c>
      <c r="P36" s="43">
        <v>1</v>
      </c>
      <c r="Q36" s="44">
        <v>22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449</v>
      </c>
      <c r="G42" s="43">
        <v>10</v>
      </c>
      <c r="H42" s="43">
        <v>5</v>
      </c>
      <c r="I42" s="43">
        <v>9</v>
      </c>
      <c r="J42" s="43">
        <v>2</v>
      </c>
      <c r="K42" s="43">
        <v>10</v>
      </c>
      <c r="L42" s="43"/>
      <c r="M42" s="43"/>
      <c r="N42" s="43">
        <v>1</v>
      </c>
      <c r="O42" s="43">
        <v>9</v>
      </c>
      <c r="P42" s="43">
        <v>1</v>
      </c>
      <c r="Q42" s="44">
        <v>22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11+29+6+311</f>
        <v>357</v>
      </c>
      <c r="D44" s="93"/>
      <c r="E44" s="93"/>
    </row>
    <row r="45" spans="2:25" x14ac:dyDescent="0.25">
      <c r="B45" s="77" t="s">
        <v>69</v>
      </c>
      <c r="C45" s="93">
        <f>6+5</f>
        <v>11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DFD6-7B05-4856-BB2B-0D4EF75516F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/>
      <c r="U8" s="14"/>
      <c r="V8" s="14"/>
      <c r="W8" s="14">
        <v>2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 t="s">
        <v>130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/>
      <c r="U15" s="23"/>
      <c r="V15" s="23"/>
      <c r="W15" s="23">
        <v>0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1</v>
      </c>
      <c r="D16" s="59">
        <v>2</v>
      </c>
      <c r="E16" s="27"/>
      <c r="F16" s="27"/>
      <c r="G16" s="28"/>
      <c r="H16" s="28" t="s">
        <v>129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2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126</v>
      </c>
      <c r="I24" s="14"/>
      <c r="J24" s="14"/>
      <c r="K24" s="14">
        <v>1</v>
      </c>
      <c r="L24" s="14">
        <v>12</v>
      </c>
      <c r="M24" s="14">
        <v>337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105</v>
      </c>
      <c r="I31" s="23"/>
      <c r="J31" s="23"/>
      <c r="K31" s="23">
        <v>0</v>
      </c>
      <c r="L31" s="23">
        <v>7</v>
      </c>
      <c r="M31" s="23">
        <v>8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21</v>
      </c>
      <c r="I32" s="28"/>
      <c r="J32" s="28"/>
      <c r="K32" s="28">
        <v>1</v>
      </c>
      <c r="L32" s="28">
        <v>5</v>
      </c>
      <c r="M32" s="28">
        <v>329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2</v>
      </c>
      <c r="D36" s="42"/>
      <c r="E36" s="43"/>
      <c r="F36" s="43">
        <v>354</v>
      </c>
      <c r="G36" s="43"/>
      <c r="H36" s="43">
        <v>8</v>
      </c>
      <c r="I36" s="43">
        <v>12</v>
      </c>
      <c r="J36" s="43">
        <v>1</v>
      </c>
      <c r="K36" s="43">
        <v>3</v>
      </c>
      <c r="L36" s="43">
        <v>6</v>
      </c>
      <c r="M36" s="43"/>
      <c r="N36" s="43">
        <v>45</v>
      </c>
      <c r="O36" s="43">
        <v>9</v>
      </c>
      <c r="P36" s="43">
        <v>8</v>
      </c>
      <c r="Q36" s="44">
        <v>16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2</v>
      </c>
      <c r="D42" s="42"/>
      <c r="E42" s="43"/>
      <c r="F42" s="43">
        <v>354</v>
      </c>
      <c r="G42" s="43"/>
      <c r="H42" s="43">
        <v>8</v>
      </c>
      <c r="I42" s="43">
        <v>12</v>
      </c>
      <c r="J42" s="43">
        <v>1</v>
      </c>
      <c r="K42" s="43">
        <v>3</v>
      </c>
      <c r="L42" s="43">
        <v>6</v>
      </c>
      <c r="M42" s="43"/>
      <c r="N42" s="43">
        <v>45</v>
      </c>
      <c r="O42" s="43">
        <v>9</v>
      </c>
      <c r="P42" s="43">
        <v>8</v>
      </c>
      <c r="Q42" s="44">
        <v>16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1+2+14+2+2+21+1+5+329</f>
        <v>377</v>
      </c>
      <c r="D44" s="93"/>
      <c r="E44" s="93"/>
    </row>
    <row r="45" spans="2:25" x14ac:dyDescent="0.25">
      <c r="B45" s="77" t="s">
        <v>69</v>
      </c>
      <c r="C45" s="93">
        <f>20</f>
        <v>20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78F3-3C57-4B59-BACF-94DD23AD8BCE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4EDC-4FBB-4BB6-AD20-7EA84CC354F7}">
  <dimension ref="B1:AA45"/>
  <sheetViews>
    <sheetView showGridLines="0" topLeftCell="A26" zoomScale="160" zoomScaleNormal="160" workbookViewId="0">
      <selection activeCell="M17" sqref="M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1</v>
      </c>
      <c r="F8" s="14">
        <v>1</v>
      </c>
      <c r="G8" s="14">
        <v>1</v>
      </c>
      <c r="H8" s="14" t="s">
        <v>137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>
        <v>4</v>
      </c>
      <c r="S8" s="14"/>
      <c r="T8" s="14">
        <v>2</v>
      </c>
      <c r="U8" s="14">
        <v>1</v>
      </c>
      <c r="V8" s="14"/>
      <c r="W8" s="14">
        <v>2</v>
      </c>
      <c r="X8" s="60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>
        <v>0</v>
      </c>
      <c r="G15" s="23">
        <v>1</v>
      </c>
      <c r="H15" s="23" t="s">
        <v>138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>
        <v>4</v>
      </c>
      <c r="S15" s="23"/>
      <c r="T15" s="23">
        <v>2</v>
      </c>
      <c r="U15" s="23">
        <v>1</v>
      </c>
      <c r="V15" s="23"/>
      <c r="W15" s="23">
        <v>2</v>
      </c>
      <c r="X15" s="62">
        <v>1</v>
      </c>
      <c r="Y15" s="24"/>
    </row>
    <row r="16" spans="2:27" ht="18" customHeight="1" thickBot="1" x14ac:dyDescent="0.3">
      <c r="B16" s="25" t="s">
        <v>26</v>
      </c>
      <c r="C16" s="58">
        <v>1</v>
      </c>
      <c r="D16" s="59"/>
      <c r="E16" s="27">
        <v>0</v>
      </c>
      <c r="F16" s="27">
        <v>1</v>
      </c>
      <c r="G16" s="28">
        <v>0</v>
      </c>
      <c r="H16" s="28" t="s">
        <v>139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>
        <v>0</v>
      </c>
      <c r="S16" s="28"/>
      <c r="T16" s="28">
        <v>0</v>
      </c>
      <c r="U16" s="28">
        <v>0</v>
      </c>
      <c r="V16" s="28"/>
      <c r="W16" s="57">
        <v>0</v>
      </c>
      <c r="X16" s="63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1</v>
      </c>
      <c r="G24" s="14"/>
      <c r="H24" s="14"/>
      <c r="I24" s="14">
        <v>1</v>
      </c>
      <c r="J24" s="14"/>
      <c r="K24" s="14">
        <v>2</v>
      </c>
      <c r="L24" s="14">
        <v>2</v>
      </c>
      <c r="M24" s="14">
        <v>433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1</v>
      </c>
      <c r="G31" s="23"/>
      <c r="H31" s="23"/>
      <c r="I31" s="23">
        <v>1</v>
      </c>
      <c r="J31" s="23"/>
      <c r="K31" s="23">
        <v>2</v>
      </c>
      <c r="L31" s="23">
        <v>0</v>
      </c>
      <c r="M31" s="23">
        <v>22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0</v>
      </c>
      <c r="G32" s="28"/>
      <c r="H32" s="28"/>
      <c r="I32" s="28">
        <v>0</v>
      </c>
      <c r="J32" s="28"/>
      <c r="K32" s="28">
        <v>0</v>
      </c>
      <c r="L32" s="28">
        <v>2</v>
      </c>
      <c r="M32" s="28">
        <v>411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3</v>
      </c>
      <c r="D36" s="42">
        <v>1</v>
      </c>
      <c r="E36" s="43">
        <v>23</v>
      </c>
      <c r="F36" s="43">
        <v>468</v>
      </c>
      <c r="G36" s="43">
        <v>4</v>
      </c>
      <c r="H36" s="43">
        <v>7</v>
      </c>
      <c r="I36" s="43">
        <v>14</v>
      </c>
      <c r="J36" s="43"/>
      <c r="K36" s="43">
        <v>2</v>
      </c>
      <c r="L36" s="43">
        <v>2</v>
      </c>
      <c r="M36" s="43">
        <v>1</v>
      </c>
      <c r="N36" s="43">
        <v>16</v>
      </c>
      <c r="O36" s="43">
        <v>4</v>
      </c>
      <c r="P36" s="43">
        <v>1</v>
      </c>
      <c r="Q36" s="44">
        <v>34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3</v>
      </c>
      <c r="D42" s="42">
        <v>1</v>
      </c>
      <c r="E42" s="43">
        <v>23</v>
      </c>
      <c r="F42" s="43">
        <v>468</v>
      </c>
      <c r="G42" s="43">
        <v>4</v>
      </c>
      <c r="H42" s="43">
        <v>7</v>
      </c>
      <c r="I42" s="43">
        <v>14</v>
      </c>
      <c r="J42" s="43"/>
      <c r="K42" s="43">
        <v>2</v>
      </c>
      <c r="L42" s="43">
        <v>2</v>
      </c>
      <c r="M42" s="43">
        <v>1</v>
      </c>
      <c r="N42" s="43">
        <v>16</v>
      </c>
      <c r="O42" s="43">
        <v>4</v>
      </c>
      <c r="P42" s="43">
        <v>1</v>
      </c>
      <c r="Q42" s="44">
        <v>34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1+1+15+2+411</f>
        <v>430</v>
      </c>
      <c r="D44" s="93"/>
      <c r="E44" s="93"/>
    </row>
    <row r="45" spans="2:25" x14ac:dyDescent="0.25">
      <c r="B45" s="77" t="s">
        <v>69</v>
      </c>
      <c r="C45" s="93">
        <f>21</f>
        <v>21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2958-2E0B-4895-A9B1-ECECEA07FBF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2</v>
      </c>
      <c r="F8" s="14">
        <v>1</v>
      </c>
      <c r="G8" s="14"/>
      <c r="H8" s="14" t="s">
        <v>142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>
        <v>2</v>
      </c>
      <c r="X8" s="60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2</v>
      </c>
      <c r="F15" s="23">
        <v>1</v>
      </c>
      <c r="G15" s="23"/>
      <c r="H15" s="23" t="s">
        <v>141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2</v>
      </c>
      <c r="X15" s="62">
        <v>1</v>
      </c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>
        <v>0</v>
      </c>
      <c r="G16" s="28"/>
      <c r="H16" s="28" t="s">
        <v>140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30</v>
      </c>
      <c r="I24" s="14"/>
      <c r="J24" s="14"/>
      <c r="K24" s="14">
        <v>1</v>
      </c>
      <c r="L24" s="14">
        <v>8</v>
      </c>
      <c r="M24" s="14">
        <v>393</v>
      </c>
      <c r="N24" s="14"/>
      <c r="O24" s="14"/>
      <c r="P24" s="14" t="s">
        <v>145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30</v>
      </c>
      <c r="I31" s="23"/>
      <c r="J31" s="23"/>
      <c r="K31" s="23">
        <v>1</v>
      </c>
      <c r="L31" s="23">
        <v>8</v>
      </c>
      <c r="M31" s="23">
        <v>45</v>
      </c>
      <c r="N31" s="23"/>
      <c r="O31" s="23"/>
      <c r="P31" s="23" t="s">
        <v>144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0</v>
      </c>
      <c r="I32" s="28"/>
      <c r="J32" s="28"/>
      <c r="K32" s="28">
        <v>0</v>
      </c>
      <c r="L32" s="28">
        <v>0</v>
      </c>
      <c r="M32" s="28">
        <v>348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348</v>
      </c>
      <c r="G36" s="43">
        <v>65</v>
      </c>
      <c r="H36" s="43"/>
      <c r="I36" s="43"/>
      <c r="J36" s="43"/>
      <c r="K36" s="43"/>
      <c r="L36" s="43"/>
      <c r="M36" s="43"/>
      <c r="N36" s="43"/>
      <c r="O36" s="43"/>
      <c r="P36" s="43">
        <v>16</v>
      </c>
      <c r="Q36" s="44">
        <v>3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348</v>
      </c>
      <c r="G42" s="43">
        <v>65</v>
      </c>
      <c r="H42" s="43"/>
      <c r="I42" s="43"/>
      <c r="J42" s="43"/>
      <c r="K42" s="43"/>
      <c r="L42" s="43"/>
      <c r="M42" s="43"/>
      <c r="N42" s="43"/>
      <c r="O42" s="43"/>
      <c r="P42" s="43">
        <v>16</v>
      </c>
      <c r="Q42" s="44">
        <v>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10+348</f>
        <v>358</v>
      </c>
      <c r="D44" s="93"/>
      <c r="E44" s="93"/>
    </row>
    <row r="45" spans="2:25" x14ac:dyDescent="0.25">
      <c r="B45" s="77" t="s">
        <v>69</v>
      </c>
      <c r="C45" s="93">
        <f>7</f>
        <v>7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64D-E068-48F0-9D82-1D19DF1E17C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4</v>
      </c>
      <c r="D8" s="14"/>
      <c r="E8" s="14">
        <v>1</v>
      </c>
      <c r="F8" s="14">
        <v>1</v>
      </c>
      <c r="G8" s="14"/>
      <c r="H8" s="14" t="s">
        <v>147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1</v>
      </c>
      <c r="X8" s="60">
        <v>2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4</v>
      </c>
      <c r="D15" s="23"/>
      <c r="E15" s="23">
        <v>0</v>
      </c>
      <c r="F15" s="23">
        <v>0</v>
      </c>
      <c r="G15" s="23"/>
      <c r="H15" s="23" t="s">
        <v>146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2</v>
      </c>
      <c r="U15" s="23"/>
      <c r="V15" s="23"/>
      <c r="W15" s="23">
        <v>0</v>
      </c>
      <c r="X15" s="62">
        <v>0</v>
      </c>
      <c r="Y15" s="24">
        <v>0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1</v>
      </c>
      <c r="F16" s="27">
        <v>1</v>
      </c>
      <c r="G16" s="28"/>
      <c r="H16" s="78" t="s">
        <v>90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1</v>
      </c>
      <c r="X16" s="63">
        <v>2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105</v>
      </c>
      <c r="I24" s="14"/>
      <c r="J24" s="14"/>
      <c r="K24" s="14">
        <v>2</v>
      </c>
      <c r="L24" s="14">
        <v>15</v>
      </c>
      <c r="M24" s="14">
        <v>440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100</v>
      </c>
      <c r="I31" s="23"/>
      <c r="J31" s="23"/>
      <c r="K31" s="23">
        <v>0</v>
      </c>
      <c r="L31" s="23">
        <v>0</v>
      </c>
      <c r="M31" s="23">
        <v>22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4</v>
      </c>
      <c r="G32" s="28"/>
      <c r="H32" s="28">
        <v>5</v>
      </c>
      <c r="I32" s="28"/>
      <c r="J32" s="28"/>
      <c r="K32" s="28">
        <v>2</v>
      </c>
      <c r="L32" s="28">
        <v>15</v>
      </c>
      <c r="M32" s="28">
        <v>418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/>
      <c r="E36" s="43"/>
      <c r="F36" s="43">
        <v>502</v>
      </c>
      <c r="G36" s="43">
        <v>1</v>
      </c>
      <c r="H36" s="43">
        <v>1</v>
      </c>
      <c r="I36" s="43">
        <v>17</v>
      </c>
      <c r="J36" s="43">
        <v>1</v>
      </c>
      <c r="K36" s="43">
        <v>6</v>
      </c>
      <c r="L36" s="43">
        <v>11</v>
      </c>
      <c r="M36" s="43"/>
      <c r="N36" s="43">
        <v>31</v>
      </c>
      <c r="O36" s="43">
        <v>9</v>
      </c>
      <c r="P36" s="43">
        <v>3</v>
      </c>
      <c r="Q36" s="44">
        <v>19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/>
      <c r="F42" s="43">
        <v>502</v>
      </c>
      <c r="G42" s="43">
        <v>1</v>
      </c>
      <c r="H42" s="43">
        <v>1</v>
      </c>
      <c r="I42" s="43">
        <v>17</v>
      </c>
      <c r="J42" s="43">
        <v>1</v>
      </c>
      <c r="K42" s="43">
        <v>6</v>
      </c>
      <c r="L42" s="43">
        <v>11</v>
      </c>
      <c r="M42" s="43"/>
      <c r="N42" s="43">
        <v>31</v>
      </c>
      <c r="O42" s="43">
        <v>9</v>
      </c>
      <c r="P42" s="43">
        <v>3</v>
      </c>
      <c r="Q42" s="44">
        <v>19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1+1+11+1+2+2+4+5+2+15+418</f>
        <v>462</v>
      </c>
      <c r="D44" s="93"/>
      <c r="E44" s="93"/>
    </row>
    <row r="45" spans="2:25" x14ac:dyDescent="0.25">
      <c r="B45" s="77" t="s">
        <v>69</v>
      </c>
      <c r="C45" s="93">
        <f>14</f>
        <v>14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406F-5DD9-41AA-BB2D-2C7F57038E3B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CB74-31BD-4994-B9D6-8A3081A2857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>
        <v>1</v>
      </c>
      <c r="F8" s="14"/>
      <c r="G8" s="14">
        <v>1</v>
      </c>
      <c r="H8" s="14" t="s">
        <v>148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>
        <v>4</v>
      </c>
      <c r="S8" s="14"/>
      <c r="T8" s="14">
        <v>2</v>
      </c>
      <c r="U8" s="14">
        <v>1</v>
      </c>
      <c r="V8" s="14"/>
      <c r="W8" s="14">
        <v>2</v>
      </c>
      <c r="X8" s="60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/>
      <c r="G15" s="23">
        <v>1</v>
      </c>
      <c r="H15" s="23" t="s">
        <v>138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>
        <v>4</v>
      </c>
      <c r="S15" s="23"/>
      <c r="T15" s="23">
        <v>2</v>
      </c>
      <c r="U15" s="23">
        <v>1</v>
      </c>
      <c r="V15" s="23"/>
      <c r="W15" s="23">
        <v>2</v>
      </c>
      <c r="X15" s="62">
        <v>1</v>
      </c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/>
      <c r="G16" s="28">
        <v>0</v>
      </c>
      <c r="H16" s="28">
        <v>15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>
        <v>0</v>
      </c>
      <c r="S16" s="28"/>
      <c r="T16" s="28">
        <v>0</v>
      </c>
      <c r="U16" s="28">
        <v>0</v>
      </c>
      <c r="V16" s="28"/>
      <c r="W16" s="57">
        <v>0</v>
      </c>
      <c r="X16" s="63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1</v>
      </c>
      <c r="G24" s="14"/>
      <c r="H24" s="14">
        <v>45</v>
      </c>
      <c r="I24" s="14">
        <v>1</v>
      </c>
      <c r="J24" s="14"/>
      <c r="K24" s="14">
        <v>2</v>
      </c>
      <c r="L24" s="14"/>
      <c r="M24" s="14">
        <v>453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1</v>
      </c>
      <c r="G31" s="23"/>
      <c r="H31" s="23">
        <v>41</v>
      </c>
      <c r="I31" s="23">
        <v>1</v>
      </c>
      <c r="J31" s="23"/>
      <c r="K31" s="23">
        <v>2</v>
      </c>
      <c r="L31" s="23"/>
      <c r="M31" s="23">
        <v>22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0</v>
      </c>
      <c r="G32" s="28"/>
      <c r="H32" s="28">
        <v>4</v>
      </c>
      <c r="I32" s="28">
        <v>0</v>
      </c>
      <c r="J32" s="28"/>
      <c r="K32" s="28">
        <v>0</v>
      </c>
      <c r="L32" s="28"/>
      <c r="M32" s="28">
        <v>431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688</v>
      </c>
      <c r="G36" s="43">
        <v>7</v>
      </c>
      <c r="H36" s="43">
        <v>1</v>
      </c>
      <c r="I36" s="43">
        <v>1</v>
      </c>
      <c r="J36" s="43"/>
      <c r="K36" s="43"/>
      <c r="L36" s="43"/>
      <c r="M36" s="43"/>
      <c r="N36" s="43"/>
      <c r="O36" s="43">
        <v>14</v>
      </c>
      <c r="P36" s="43">
        <v>4</v>
      </c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688</v>
      </c>
      <c r="G42" s="43">
        <v>7</v>
      </c>
      <c r="H42" s="43">
        <v>1</v>
      </c>
      <c r="I42" s="43">
        <v>1</v>
      </c>
      <c r="J42" s="43"/>
      <c r="K42" s="43"/>
      <c r="L42" s="43"/>
      <c r="M42" s="43"/>
      <c r="N42" s="43"/>
      <c r="O42" s="43">
        <v>14</v>
      </c>
      <c r="P42" s="43">
        <v>4</v>
      </c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15+4+431</f>
        <v>450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FF8C-743C-423F-ABD1-52BACA5C051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2</v>
      </c>
      <c r="F8" s="14">
        <v>1</v>
      </c>
      <c r="G8" s="14"/>
      <c r="H8" s="14" t="s">
        <v>151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>
        <v>2</v>
      </c>
      <c r="X8" s="60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2</v>
      </c>
      <c r="F15" s="23">
        <v>1</v>
      </c>
      <c r="G15" s="23"/>
      <c r="H15" s="23" t="s">
        <v>150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2</v>
      </c>
      <c r="X15" s="62">
        <v>1</v>
      </c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>
        <v>0</v>
      </c>
      <c r="G16" s="28"/>
      <c r="H16" s="28" t="s">
        <v>149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10</v>
      </c>
      <c r="G24" s="14"/>
      <c r="H24" s="14">
        <v>94</v>
      </c>
      <c r="I24" s="14">
        <v>1</v>
      </c>
      <c r="J24" s="14"/>
      <c r="K24" s="14">
        <v>1</v>
      </c>
      <c r="L24" s="14">
        <v>8</v>
      </c>
      <c r="M24" s="14">
        <v>447</v>
      </c>
      <c r="N24" s="14"/>
      <c r="O24" s="14"/>
      <c r="P24" s="14" t="s">
        <v>144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4</v>
      </c>
      <c r="I31" s="23">
        <v>0</v>
      </c>
      <c r="J31" s="23"/>
      <c r="K31" s="23">
        <v>1</v>
      </c>
      <c r="L31" s="23">
        <v>8</v>
      </c>
      <c r="M31" s="23">
        <v>52</v>
      </c>
      <c r="N31" s="23"/>
      <c r="O31" s="23"/>
      <c r="P31" s="23" t="s">
        <v>144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90</v>
      </c>
      <c r="I32" s="28">
        <v>1</v>
      </c>
      <c r="J32" s="28"/>
      <c r="K32" s="28">
        <v>0</v>
      </c>
      <c r="L32" s="28">
        <v>0</v>
      </c>
      <c r="M32" s="28">
        <v>395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5</v>
      </c>
      <c r="D36" s="42">
        <v>2</v>
      </c>
      <c r="E36" s="43">
        <v>2</v>
      </c>
      <c r="F36" s="43">
        <v>303</v>
      </c>
      <c r="G36" s="43">
        <v>25</v>
      </c>
      <c r="H36" s="43">
        <v>7</v>
      </c>
      <c r="I36" s="43">
        <v>4</v>
      </c>
      <c r="J36" s="43"/>
      <c r="K36" s="43"/>
      <c r="L36" s="43"/>
      <c r="M36" s="43">
        <v>5</v>
      </c>
      <c r="N36" s="43">
        <v>4</v>
      </c>
      <c r="O36" s="43">
        <v>8</v>
      </c>
      <c r="P36" s="43">
        <v>8</v>
      </c>
      <c r="Q36" s="44">
        <v>20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5</v>
      </c>
      <c r="D42" s="42">
        <v>2</v>
      </c>
      <c r="E42" s="43">
        <v>2</v>
      </c>
      <c r="F42" s="43">
        <v>303</v>
      </c>
      <c r="G42" s="43">
        <v>25</v>
      </c>
      <c r="H42" s="43">
        <v>7</v>
      </c>
      <c r="I42" s="43">
        <v>4</v>
      </c>
      <c r="J42" s="43"/>
      <c r="K42" s="43"/>
      <c r="L42" s="43"/>
      <c r="M42" s="43">
        <v>5</v>
      </c>
      <c r="N42" s="43">
        <v>4</v>
      </c>
      <c r="O42" s="43">
        <v>8</v>
      </c>
      <c r="P42" s="43">
        <v>8</v>
      </c>
      <c r="Q42" s="44">
        <v>20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16+10+90+1+395</f>
        <v>512</v>
      </c>
      <c r="D44" s="93"/>
      <c r="E44" s="93"/>
    </row>
    <row r="45" spans="2:25" x14ac:dyDescent="0.25">
      <c r="B45" s="77" t="s">
        <v>69</v>
      </c>
      <c r="C45" s="93">
        <f>17</f>
        <v>17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9004-9FB5-41A2-84A5-6BA680C9175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4</v>
      </c>
      <c r="D8" s="14"/>
      <c r="E8" s="14">
        <v>1</v>
      </c>
      <c r="F8" s="14">
        <v>1</v>
      </c>
      <c r="G8" s="14"/>
      <c r="H8" s="14" t="s">
        <v>154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4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4</v>
      </c>
      <c r="D15" s="23"/>
      <c r="E15" s="23">
        <v>0</v>
      </c>
      <c r="F15" s="23">
        <v>0</v>
      </c>
      <c r="G15" s="23"/>
      <c r="H15" s="23" t="s">
        <v>153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2</v>
      </c>
      <c r="U15" s="23"/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1</v>
      </c>
      <c r="F16" s="27">
        <v>1</v>
      </c>
      <c r="G16" s="28"/>
      <c r="H16" s="28" t="s">
        <v>152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3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100</v>
      </c>
      <c r="I24" s="14"/>
      <c r="J24" s="14"/>
      <c r="K24" s="14">
        <v>2</v>
      </c>
      <c r="L24" s="14">
        <v>15</v>
      </c>
      <c r="M24" s="14">
        <v>454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70</v>
      </c>
      <c r="I31" s="23"/>
      <c r="J31" s="23"/>
      <c r="K31" s="23">
        <v>2</v>
      </c>
      <c r="L31" s="23">
        <v>0</v>
      </c>
      <c r="M31" s="23">
        <v>91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30</v>
      </c>
      <c r="I32" s="28"/>
      <c r="J32" s="28"/>
      <c r="K32" s="28">
        <v>0</v>
      </c>
      <c r="L32" s="28">
        <v>15</v>
      </c>
      <c r="M32" s="28">
        <v>363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>
        <v>1</v>
      </c>
      <c r="E36" s="43">
        <v>23</v>
      </c>
      <c r="F36" s="43">
        <v>446</v>
      </c>
      <c r="G36" s="43">
        <v>3</v>
      </c>
      <c r="H36" s="43">
        <v>3</v>
      </c>
      <c r="I36" s="43">
        <v>10</v>
      </c>
      <c r="J36" s="43">
        <v>1</v>
      </c>
      <c r="K36" s="43">
        <v>9</v>
      </c>
      <c r="L36" s="43">
        <v>1</v>
      </c>
      <c r="M36" s="43">
        <v>1</v>
      </c>
      <c r="N36" s="43">
        <v>21</v>
      </c>
      <c r="O36" s="43">
        <v>14</v>
      </c>
      <c r="P36" s="43">
        <v>1</v>
      </c>
      <c r="Q36" s="44">
        <v>4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>
        <v>1</v>
      </c>
      <c r="E42" s="43">
        <v>23</v>
      </c>
      <c r="F42" s="43">
        <v>446</v>
      </c>
      <c r="G42" s="43">
        <v>3</v>
      </c>
      <c r="H42" s="43">
        <v>3</v>
      </c>
      <c r="I42" s="43">
        <v>10</v>
      </c>
      <c r="J42" s="43">
        <v>1</v>
      </c>
      <c r="K42" s="43">
        <v>9</v>
      </c>
      <c r="L42" s="43">
        <v>1</v>
      </c>
      <c r="M42" s="43">
        <v>1</v>
      </c>
      <c r="N42" s="43">
        <v>21</v>
      </c>
      <c r="O42" s="43">
        <v>14</v>
      </c>
      <c r="P42" s="43">
        <v>1</v>
      </c>
      <c r="Q42" s="44">
        <v>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1+1+14+3+2+30+15+363</f>
        <v>429</v>
      </c>
      <c r="D44" s="93"/>
      <c r="E44" s="93"/>
    </row>
    <row r="45" spans="2:25" x14ac:dyDescent="0.25">
      <c r="B45" s="77" t="s">
        <v>69</v>
      </c>
      <c r="C45" s="93">
        <f>4</f>
        <v>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659A-B304-4EAA-BDC5-C605107A092E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CE7C-5E15-4964-B433-DFDBB50A7AA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8F72-F39A-4B3A-A7C9-5E725CC7E2B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99EB-1A65-4430-A7BF-7B0C525B31C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2357-A37B-416D-8421-55EDDFCAF81B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3615-C891-434B-926A-57B9413167E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1</v>
      </c>
      <c r="E8" s="14">
        <v>2</v>
      </c>
      <c r="F8" s="14"/>
      <c r="G8" s="14">
        <v>1</v>
      </c>
      <c r="H8" s="14" t="s">
        <v>158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>
        <v>4</v>
      </c>
      <c r="S8" s="14"/>
      <c r="T8" s="14">
        <v>3</v>
      </c>
      <c r="U8" s="14">
        <v>1</v>
      </c>
      <c r="V8" s="14"/>
      <c r="W8" s="14">
        <v>3</v>
      </c>
      <c r="X8" s="60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/>
      <c r="G15" s="23">
        <v>1</v>
      </c>
      <c r="H15" s="23" t="s">
        <v>159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>
        <v>4</v>
      </c>
      <c r="S15" s="23"/>
      <c r="T15" s="23">
        <v>2</v>
      </c>
      <c r="U15" s="23">
        <v>1</v>
      </c>
      <c r="V15" s="23"/>
      <c r="W15" s="23">
        <v>3</v>
      </c>
      <c r="X15" s="62">
        <v>0</v>
      </c>
      <c r="Y15" s="24"/>
    </row>
    <row r="16" spans="2:27" ht="18" customHeight="1" thickBot="1" x14ac:dyDescent="0.3">
      <c r="B16" s="25" t="s">
        <v>26</v>
      </c>
      <c r="C16" s="58">
        <v>1</v>
      </c>
      <c r="D16" s="59">
        <v>0</v>
      </c>
      <c r="E16" s="27">
        <v>2</v>
      </c>
      <c r="F16" s="27"/>
      <c r="G16" s="28">
        <v>0</v>
      </c>
      <c r="H16" s="28" t="s">
        <v>160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>
        <v>0</v>
      </c>
      <c r="S16" s="28"/>
      <c r="T16" s="28">
        <v>1</v>
      </c>
      <c r="U16" s="28">
        <v>0</v>
      </c>
      <c r="V16" s="28"/>
      <c r="W16" s="57">
        <v>0</v>
      </c>
      <c r="X16" s="63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4</v>
      </c>
      <c r="G24" s="14"/>
      <c r="H24" s="14">
        <v>41</v>
      </c>
      <c r="I24" s="14">
        <v>1</v>
      </c>
      <c r="J24" s="14"/>
      <c r="K24" s="14">
        <v>2</v>
      </c>
      <c r="L24" s="14">
        <v>4</v>
      </c>
      <c r="M24" s="14">
        <v>679</v>
      </c>
      <c r="N24" s="14"/>
      <c r="O24" s="14"/>
      <c r="P24" s="14">
        <v>15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1</v>
      </c>
      <c r="G31" s="23"/>
      <c r="H31" s="23">
        <v>5</v>
      </c>
      <c r="I31" s="23">
        <v>1</v>
      </c>
      <c r="J31" s="23"/>
      <c r="K31" s="23">
        <v>2</v>
      </c>
      <c r="L31" s="23">
        <v>0</v>
      </c>
      <c r="M31" s="23">
        <v>3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3</v>
      </c>
      <c r="G32" s="28"/>
      <c r="H32" s="28">
        <v>36</v>
      </c>
      <c r="I32" s="28">
        <v>0</v>
      </c>
      <c r="J32" s="28"/>
      <c r="K32" s="28">
        <v>0</v>
      </c>
      <c r="L32" s="28">
        <v>4</v>
      </c>
      <c r="M32" s="28">
        <v>676</v>
      </c>
      <c r="N32" s="28"/>
      <c r="O32" s="23"/>
      <c r="P32" s="28">
        <v>5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>
        <v>1</v>
      </c>
      <c r="D36" s="42"/>
      <c r="E36" s="43">
        <v>10</v>
      </c>
      <c r="F36" s="43">
        <v>887</v>
      </c>
      <c r="G36" s="43">
        <v>7</v>
      </c>
      <c r="H36" s="43">
        <v>5</v>
      </c>
      <c r="I36" s="43">
        <v>8</v>
      </c>
      <c r="J36" s="43">
        <v>1</v>
      </c>
      <c r="K36" s="43">
        <v>16</v>
      </c>
      <c r="L36" s="43">
        <v>5</v>
      </c>
      <c r="M36" s="43">
        <v>3</v>
      </c>
      <c r="N36" s="43">
        <v>3</v>
      </c>
      <c r="O36" s="43">
        <v>1</v>
      </c>
      <c r="P36" s="43">
        <v>16</v>
      </c>
      <c r="Q36" s="44">
        <v>23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>
        <v>10</v>
      </c>
      <c r="F42" s="43">
        <v>887</v>
      </c>
      <c r="G42" s="43">
        <v>7</v>
      </c>
      <c r="H42" s="43">
        <v>5</v>
      </c>
      <c r="I42" s="43">
        <v>8</v>
      </c>
      <c r="J42" s="43">
        <v>1</v>
      </c>
      <c r="K42" s="43">
        <v>16</v>
      </c>
      <c r="L42" s="43">
        <v>5</v>
      </c>
      <c r="M42" s="43">
        <v>3</v>
      </c>
      <c r="N42" s="43">
        <v>3</v>
      </c>
      <c r="O42" s="43">
        <v>1</v>
      </c>
      <c r="P42" s="43">
        <v>16</v>
      </c>
      <c r="Q42" s="44">
        <v>23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1+2+20+1+1+3+36+4+676+5</f>
        <v>749</v>
      </c>
      <c r="D44" s="93"/>
      <c r="E44" s="93"/>
    </row>
    <row r="45" spans="2:25" x14ac:dyDescent="0.25">
      <c r="B45" s="77" t="s">
        <v>69</v>
      </c>
      <c r="C45" s="93">
        <f>4</f>
        <v>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760F-FF75-42BF-93D0-5231B761952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3</v>
      </c>
      <c r="F8" s="14">
        <v>1</v>
      </c>
      <c r="G8" s="14"/>
      <c r="H8" s="14" t="s">
        <v>142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>
        <v>2</v>
      </c>
      <c r="X8" s="60">
        <v>1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1</v>
      </c>
      <c r="F15" s="23">
        <v>0</v>
      </c>
      <c r="G15" s="23"/>
      <c r="H15" s="23" t="s">
        <v>155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2</v>
      </c>
      <c r="X15" s="62">
        <v>0</v>
      </c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2</v>
      </c>
      <c r="F16" s="27">
        <v>1</v>
      </c>
      <c r="G16" s="28"/>
      <c r="H16" s="28" t="s">
        <v>104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44</v>
      </c>
      <c r="I24" s="14"/>
      <c r="J24" s="14"/>
      <c r="K24" s="14">
        <v>1</v>
      </c>
      <c r="L24" s="14">
        <v>12</v>
      </c>
      <c r="M24" s="14">
        <v>395</v>
      </c>
      <c r="N24" s="14"/>
      <c r="O24" s="14"/>
      <c r="P24" s="14" t="s">
        <v>156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11</v>
      </c>
      <c r="I31" s="23"/>
      <c r="J31" s="23"/>
      <c r="K31" s="23">
        <v>1</v>
      </c>
      <c r="L31" s="23">
        <v>0</v>
      </c>
      <c r="M31" s="23">
        <v>81</v>
      </c>
      <c r="N31" s="23"/>
      <c r="O31" s="23"/>
      <c r="P31" s="23" t="s">
        <v>157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33</v>
      </c>
      <c r="I32" s="28"/>
      <c r="J32" s="28"/>
      <c r="K32" s="28">
        <v>0</v>
      </c>
      <c r="L32" s="28">
        <v>12</v>
      </c>
      <c r="M32" s="28">
        <v>314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359</v>
      </c>
      <c r="G36" s="43">
        <v>19</v>
      </c>
      <c r="H36" s="43">
        <v>5</v>
      </c>
      <c r="I36" s="43">
        <v>11</v>
      </c>
      <c r="J36" s="43">
        <v>3</v>
      </c>
      <c r="K36" s="43">
        <v>8</v>
      </c>
      <c r="L36" s="43">
        <v>1</v>
      </c>
      <c r="M36" s="43">
        <v>1</v>
      </c>
      <c r="N36" s="43">
        <v>10</v>
      </c>
      <c r="O36" s="43">
        <v>8</v>
      </c>
      <c r="P36" s="43">
        <v>1</v>
      </c>
      <c r="Q36" s="44">
        <v>2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359</v>
      </c>
      <c r="G42" s="43">
        <v>19</v>
      </c>
      <c r="H42" s="43">
        <v>5</v>
      </c>
      <c r="I42" s="43">
        <v>11</v>
      </c>
      <c r="J42" s="43">
        <v>3</v>
      </c>
      <c r="K42" s="43">
        <v>8</v>
      </c>
      <c r="L42" s="43">
        <v>1</v>
      </c>
      <c r="M42" s="43">
        <v>1</v>
      </c>
      <c r="N42" s="43">
        <v>10</v>
      </c>
      <c r="O42" s="43">
        <v>8</v>
      </c>
      <c r="P42" s="43">
        <v>1</v>
      </c>
      <c r="Q42" s="44">
        <v>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2+1+8+1+33+12+314+2</f>
        <v>373</v>
      </c>
      <c r="D44" s="93"/>
      <c r="E44" s="93"/>
    </row>
    <row r="45" spans="2:25" x14ac:dyDescent="0.25">
      <c r="B45" s="77" t="s">
        <v>69</v>
      </c>
      <c r="C45" s="93">
        <f>7</f>
        <v>7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AC9D-FE9B-4899-87B0-E8D063E8FD2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4</v>
      </c>
      <c r="D8" s="14"/>
      <c r="E8" s="14">
        <v>2</v>
      </c>
      <c r="F8" s="14">
        <v>2</v>
      </c>
      <c r="G8" s="14"/>
      <c r="H8" s="14" t="s">
        <v>162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5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4</v>
      </c>
      <c r="D15" s="23"/>
      <c r="E15" s="23">
        <v>2</v>
      </c>
      <c r="F15" s="23">
        <v>2</v>
      </c>
      <c r="G15" s="23"/>
      <c r="H15" s="23" t="s">
        <v>161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2</v>
      </c>
      <c r="U15" s="23"/>
      <c r="V15" s="23"/>
      <c r="W15" s="23">
        <v>5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>
        <v>0</v>
      </c>
      <c r="F16" s="27">
        <v>0</v>
      </c>
      <c r="G16" s="28"/>
      <c r="H16" s="28" t="s">
        <v>107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70</v>
      </c>
      <c r="I24" s="14"/>
      <c r="J24" s="14"/>
      <c r="K24" s="14">
        <v>3</v>
      </c>
      <c r="L24" s="14">
        <v>20</v>
      </c>
      <c r="M24" s="14">
        <v>523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4</v>
      </c>
      <c r="G31" s="23"/>
      <c r="H31" s="23">
        <v>54</v>
      </c>
      <c r="I31" s="23"/>
      <c r="J31" s="23"/>
      <c r="K31" s="23">
        <v>3</v>
      </c>
      <c r="L31" s="23">
        <v>4</v>
      </c>
      <c r="M31" s="23">
        <v>207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16</v>
      </c>
      <c r="I32" s="28"/>
      <c r="J32" s="28"/>
      <c r="K32" s="28">
        <v>0</v>
      </c>
      <c r="L32" s="28">
        <v>16</v>
      </c>
      <c r="M32" s="28">
        <v>316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336</v>
      </c>
      <c r="G36" s="43">
        <v>8</v>
      </c>
      <c r="H36" s="43">
        <v>4</v>
      </c>
      <c r="I36" s="43">
        <v>16</v>
      </c>
      <c r="J36" s="43"/>
      <c r="K36" s="43">
        <v>1</v>
      </c>
      <c r="L36" s="43"/>
      <c r="M36" s="43"/>
      <c r="N36" s="43"/>
      <c r="O36" s="43">
        <v>9</v>
      </c>
      <c r="P36" s="43">
        <v>2</v>
      </c>
      <c r="Q36" s="44">
        <v>8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336</v>
      </c>
      <c r="G42" s="43">
        <v>8</v>
      </c>
      <c r="H42" s="43">
        <v>4</v>
      </c>
      <c r="I42" s="43">
        <v>16</v>
      </c>
      <c r="J42" s="43"/>
      <c r="K42" s="43">
        <v>1</v>
      </c>
      <c r="L42" s="43"/>
      <c r="M42" s="43"/>
      <c r="N42" s="43"/>
      <c r="O42" s="43">
        <v>9</v>
      </c>
      <c r="P42" s="43">
        <v>2</v>
      </c>
      <c r="Q42" s="44">
        <v>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10+16+16+316</f>
        <v>358</v>
      </c>
      <c r="D44" s="93"/>
      <c r="E44" s="93"/>
    </row>
    <row r="45" spans="2:25" x14ac:dyDescent="0.25">
      <c r="B45" s="77" t="s">
        <v>69</v>
      </c>
      <c r="C45" s="93">
        <f>12</f>
        <v>12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D4C6-136F-45DE-8A73-777863D10545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D812-5BFA-4BBF-BDCB-32D37F3B7AE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CC9A-7C01-425E-8EF0-15C27C72FFE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>
        <v>3</v>
      </c>
      <c r="F8" s="14">
        <v>1</v>
      </c>
      <c r="G8" s="14"/>
      <c r="H8" s="14" t="s">
        <v>172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>
        <v>3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0</v>
      </c>
      <c r="F15" s="23">
        <v>1</v>
      </c>
      <c r="G15" s="23"/>
      <c r="H15" s="23" t="s">
        <v>171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0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>
        <v>3</v>
      </c>
      <c r="F16" s="27">
        <v>0</v>
      </c>
      <c r="G16" s="28"/>
      <c r="H16" s="28" t="s">
        <v>170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3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50</v>
      </c>
      <c r="I24" s="14"/>
      <c r="J24" s="14"/>
      <c r="K24" s="14">
        <v>1</v>
      </c>
      <c r="L24" s="14">
        <v>11</v>
      </c>
      <c r="M24" s="14">
        <v>621</v>
      </c>
      <c r="N24" s="14"/>
      <c r="O24" s="14"/>
      <c r="P24" s="14" t="s">
        <v>173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50</v>
      </c>
      <c r="I31" s="23"/>
      <c r="J31" s="23"/>
      <c r="K31" s="23">
        <v>1</v>
      </c>
      <c r="L31" s="23">
        <v>6</v>
      </c>
      <c r="M31" s="23">
        <v>94</v>
      </c>
      <c r="N31" s="23"/>
      <c r="O31" s="23"/>
      <c r="P31" s="23" t="s">
        <v>157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0</v>
      </c>
      <c r="I32" s="28"/>
      <c r="J32" s="28"/>
      <c r="K32" s="28">
        <v>0</v>
      </c>
      <c r="L32" s="28">
        <v>5</v>
      </c>
      <c r="M32" s="28">
        <v>527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582</v>
      </c>
      <c r="G36" s="43">
        <v>5</v>
      </c>
      <c r="H36" s="43">
        <v>9</v>
      </c>
      <c r="I36" s="43"/>
      <c r="J36" s="43"/>
      <c r="K36" s="43"/>
      <c r="L36" s="43"/>
      <c r="M36" s="43">
        <v>1</v>
      </c>
      <c r="N36" s="43"/>
      <c r="O36" s="43">
        <v>2</v>
      </c>
      <c r="P36" s="43">
        <v>18</v>
      </c>
      <c r="Q36" s="44">
        <v>10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582</v>
      </c>
      <c r="G42" s="43">
        <v>5</v>
      </c>
      <c r="H42" s="43">
        <v>9</v>
      </c>
      <c r="I42" s="43"/>
      <c r="J42" s="43"/>
      <c r="K42" s="43"/>
      <c r="L42" s="43"/>
      <c r="M42" s="43">
        <v>1</v>
      </c>
      <c r="N42" s="43"/>
      <c r="O42" s="43">
        <v>2</v>
      </c>
      <c r="P42" s="43">
        <v>18</v>
      </c>
      <c r="Q42" s="44">
        <v>10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3+16+3+5+527</f>
        <v>554</v>
      </c>
      <c r="D44" s="93"/>
      <c r="E44" s="93"/>
    </row>
    <row r="45" spans="2:25" x14ac:dyDescent="0.25">
      <c r="B45" s="77" t="s">
        <v>69</v>
      </c>
      <c r="C45" s="93">
        <f>13</f>
        <v>13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F9AD-4104-4CA3-A65B-EF88E9266F6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120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4</v>
      </c>
      <c r="D8" s="14"/>
      <c r="E8" s="14"/>
      <c r="F8" s="14">
        <v>1</v>
      </c>
      <c r="G8" s="14"/>
      <c r="H8" s="14" t="s">
        <v>167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5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4</v>
      </c>
      <c r="D15" s="23"/>
      <c r="E15" s="23"/>
      <c r="F15" s="23">
        <v>1</v>
      </c>
      <c r="G15" s="23"/>
      <c r="H15" s="23" t="s">
        <v>168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2</v>
      </c>
      <c r="U15" s="23"/>
      <c r="V15" s="23"/>
      <c r="W15" s="23">
        <v>5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>
        <v>0</v>
      </c>
      <c r="G16" s="28"/>
      <c r="H16" s="28" t="s">
        <v>169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54</v>
      </c>
      <c r="I24" s="14"/>
      <c r="J24" s="14"/>
      <c r="K24" s="14">
        <v>3</v>
      </c>
      <c r="L24" s="14">
        <v>14</v>
      </c>
      <c r="M24" s="14">
        <v>530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4</v>
      </c>
      <c r="G31" s="23"/>
      <c r="H31" s="23">
        <f>54-23</f>
        <v>31</v>
      </c>
      <c r="I31" s="23"/>
      <c r="J31" s="23"/>
      <c r="K31" s="23">
        <v>3</v>
      </c>
      <c r="L31" s="23">
        <v>12</v>
      </c>
      <c r="M31" s="23">
        <v>10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23</v>
      </c>
      <c r="I32" s="28"/>
      <c r="J32" s="28"/>
      <c r="K32" s="28">
        <v>0</v>
      </c>
      <c r="L32" s="28">
        <v>2</v>
      </c>
      <c r="M32" s="28">
        <v>520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39"/>
      <c r="W35" s="39"/>
      <c r="X35" s="39"/>
      <c r="Y35" s="3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334</v>
      </c>
      <c r="G36" s="43">
        <v>8</v>
      </c>
      <c r="H36" s="43">
        <v>5</v>
      </c>
      <c r="I36" s="43">
        <v>7</v>
      </c>
      <c r="J36" s="43"/>
      <c r="K36" s="43">
        <v>2</v>
      </c>
      <c r="L36" s="43"/>
      <c r="M36" s="43"/>
      <c r="N36" s="43"/>
      <c r="O36" s="43"/>
      <c r="P36" s="43">
        <v>1</v>
      </c>
      <c r="Q36" s="44">
        <v>4</v>
      </c>
      <c r="R36" s="73"/>
      <c r="S36" s="45"/>
      <c r="T36" s="45"/>
      <c r="U36" s="39"/>
      <c r="V36" s="39"/>
      <c r="W36" s="39"/>
      <c r="X36" s="39"/>
      <c r="Y36" s="3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39"/>
      <c r="V37" s="39"/>
      <c r="W37" s="39"/>
      <c r="X37" s="39"/>
      <c r="Y37" s="3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39"/>
      <c r="V38" s="39"/>
      <c r="W38" s="39"/>
      <c r="X38" s="39"/>
      <c r="Y38" s="3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39"/>
      <c r="V39" s="39"/>
      <c r="W39" s="39"/>
      <c r="X39" s="39"/>
      <c r="Y39" s="3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39"/>
      <c r="V40" s="39"/>
      <c r="W40" s="39"/>
      <c r="X40" s="39"/>
      <c r="Y40" s="3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39"/>
      <c r="W41" s="39"/>
      <c r="X41" s="39"/>
      <c r="Y41" s="3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334</v>
      </c>
      <c r="G42" s="43">
        <v>8</v>
      </c>
      <c r="H42" s="43">
        <v>5</v>
      </c>
      <c r="I42" s="43">
        <v>7</v>
      </c>
      <c r="J42" s="43"/>
      <c r="K42" s="43">
        <v>2</v>
      </c>
      <c r="L42" s="43"/>
      <c r="M42" s="43"/>
      <c r="N42" s="43"/>
      <c r="O42" s="43"/>
      <c r="P42" s="43">
        <v>1</v>
      </c>
      <c r="Q42" s="44">
        <v>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39"/>
      <c r="V43" s="39"/>
      <c r="W43" s="39"/>
      <c r="X43" s="39"/>
      <c r="Y43" s="39"/>
    </row>
    <row r="44" spans="2:25" x14ac:dyDescent="0.25">
      <c r="B44" s="77" t="s">
        <v>68</v>
      </c>
      <c r="C44" s="93">
        <f>5+23+2+520</f>
        <v>550</v>
      </c>
      <c r="D44" s="93"/>
      <c r="E44" s="93"/>
    </row>
    <row r="45" spans="2:25" x14ac:dyDescent="0.25">
      <c r="B45" s="77" t="s">
        <v>69</v>
      </c>
      <c r="C45" s="93">
        <v>8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37FC-8D96-47A1-97E8-058E124FC532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FD3A-371D-4C46-B4B2-F269ED695C3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3</v>
      </c>
      <c r="E8" s="14">
        <v>2</v>
      </c>
      <c r="F8" s="14"/>
      <c r="G8" s="14">
        <v>1</v>
      </c>
      <c r="H8" s="14" t="s">
        <v>174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>
        <v>4</v>
      </c>
      <c r="S8" s="14"/>
      <c r="T8" s="14">
        <v>17</v>
      </c>
      <c r="U8" s="14">
        <v>2</v>
      </c>
      <c r="V8" s="14"/>
      <c r="W8" s="14">
        <v>13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0</v>
      </c>
      <c r="F15" s="23"/>
      <c r="G15" s="23">
        <v>0</v>
      </c>
      <c r="H15" s="23" t="s">
        <v>175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>
        <v>4</v>
      </c>
      <c r="S15" s="23"/>
      <c r="T15" s="23">
        <v>2</v>
      </c>
      <c r="U15" s="23">
        <v>1</v>
      </c>
      <c r="V15" s="23"/>
      <c r="W15" s="23">
        <v>3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>
        <v>3</v>
      </c>
      <c r="E16" s="27">
        <v>2</v>
      </c>
      <c r="F16" s="27"/>
      <c r="G16" s="28">
        <v>1</v>
      </c>
      <c r="H16" s="28" t="s">
        <v>176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>
        <v>0</v>
      </c>
      <c r="S16" s="28"/>
      <c r="T16" s="28">
        <v>15</v>
      </c>
      <c r="U16" s="28">
        <v>1</v>
      </c>
      <c r="V16" s="28"/>
      <c r="W16" s="57">
        <v>10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21</v>
      </c>
      <c r="G24" s="14"/>
      <c r="H24" s="14">
        <v>163</v>
      </c>
      <c r="I24" s="14">
        <v>1</v>
      </c>
      <c r="J24" s="14"/>
      <c r="K24" s="14">
        <v>2</v>
      </c>
      <c r="L24" s="14">
        <v>4</v>
      </c>
      <c r="M24" s="14">
        <v>872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1</v>
      </c>
      <c r="G31" s="23"/>
      <c r="H31" s="23">
        <v>45</v>
      </c>
      <c r="I31" s="23">
        <v>1</v>
      </c>
      <c r="J31" s="23"/>
      <c r="K31" s="23">
        <v>2</v>
      </c>
      <c r="L31" s="23">
        <v>1</v>
      </c>
      <c r="M31" s="23">
        <v>32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>
        <v>20</v>
      </c>
      <c r="G32" s="28"/>
      <c r="H32" s="28">
        <v>118</v>
      </c>
      <c r="I32" s="28">
        <v>0</v>
      </c>
      <c r="J32" s="28"/>
      <c r="K32" s="28">
        <v>0</v>
      </c>
      <c r="L32" s="28">
        <v>3</v>
      </c>
      <c r="M32" s="28">
        <v>840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19</v>
      </c>
      <c r="D42" s="42">
        <v>1</v>
      </c>
      <c r="E42" s="43">
        <v>12</v>
      </c>
      <c r="F42" s="43">
        <v>882</v>
      </c>
      <c r="G42" s="43">
        <v>7</v>
      </c>
      <c r="H42" s="43">
        <v>3</v>
      </c>
      <c r="I42" s="43">
        <v>20</v>
      </c>
      <c r="J42" s="43">
        <v>2</v>
      </c>
      <c r="K42" s="43">
        <v>17</v>
      </c>
      <c r="L42" s="43">
        <v>13</v>
      </c>
      <c r="M42" s="43"/>
      <c r="N42" s="43">
        <v>1</v>
      </c>
      <c r="O42" s="43">
        <v>10</v>
      </c>
      <c r="P42" s="43"/>
      <c r="Q42" s="44">
        <v>10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3+2+1+36+15+1+10+20+118+3+840</f>
        <v>1049</v>
      </c>
      <c r="D44" s="93"/>
      <c r="E44" s="93"/>
    </row>
    <row r="45" spans="2:25" x14ac:dyDescent="0.25">
      <c r="B45" s="77" t="s">
        <v>69</v>
      </c>
      <c r="C45" s="93">
        <f>6</f>
        <v>6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E77F-92A8-413B-B4F3-AEC2D1E7694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/>
      <c r="G8" s="14"/>
      <c r="H8" s="14" t="s">
        <v>179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/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/>
      <c r="F15" s="23"/>
      <c r="G15" s="23"/>
      <c r="H15" s="23" t="s">
        <v>178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/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177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/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54</v>
      </c>
      <c r="I24" s="14"/>
      <c r="J24" s="14"/>
      <c r="K24" s="14">
        <v>1</v>
      </c>
      <c r="L24" s="14">
        <v>6</v>
      </c>
      <c r="M24" s="14">
        <v>521</v>
      </c>
      <c r="N24" s="14"/>
      <c r="O24" s="14"/>
      <c r="P24" s="14" t="s">
        <v>157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24</v>
      </c>
      <c r="I31" s="23"/>
      <c r="J31" s="23"/>
      <c r="K31" s="23">
        <v>1</v>
      </c>
      <c r="L31" s="23">
        <v>5</v>
      </c>
      <c r="M31" s="23">
        <v>126</v>
      </c>
      <c r="N31" s="23"/>
      <c r="O31" s="23"/>
      <c r="P31" s="23" t="s">
        <v>157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30</v>
      </c>
      <c r="I32" s="28"/>
      <c r="J32" s="28"/>
      <c r="K32" s="28">
        <v>0</v>
      </c>
      <c r="L32" s="28">
        <v>1</v>
      </c>
      <c r="M32" s="28">
        <v>395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2</v>
      </c>
      <c r="D36" s="42"/>
      <c r="E36" s="43">
        <v>2</v>
      </c>
      <c r="F36" s="43">
        <v>501</v>
      </c>
      <c r="G36" s="43">
        <v>10</v>
      </c>
      <c r="H36" s="43">
        <v>5</v>
      </c>
      <c r="I36" s="43">
        <v>5</v>
      </c>
      <c r="J36" s="43">
        <v>1</v>
      </c>
      <c r="K36" s="43">
        <v>10</v>
      </c>
      <c r="L36" s="43">
        <v>1</v>
      </c>
      <c r="M36" s="43">
        <v>5</v>
      </c>
      <c r="N36" s="43">
        <v>2</v>
      </c>
      <c r="O36" s="43">
        <v>2</v>
      </c>
      <c r="P36" s="43">
        <v>18</v>
      </c>
      <c r="Q36" s="44">
        <v>20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2</v>
      </c>
      <c r="D42" s="42"/>
      <c r="E42" s="43">
        <v>2</v>
      </c>
      <c r="F42" s="43">
        <v>501</v>
      </c>
      <c r="G42" s="43">
        <v>10</v>
      </c>
      <c r="H42" s="43">
        <v>5</v>
      </c>
      <c r="I42" s="43">
        <v>5</v>
      </c>
      <c r="J42" s="43">
        <v>1</v>
      </c>
      <c r="K42" s="43">
        <v>10</v>
      </c>
      <c r="L42" s="43">
        <v>1</v>
      </c>
      <c r="M42" s="43">
        <v>5</v>
      </c>
      <c r="N42" s="43">
        <v>2</v>
      </c>
      <c r="O42" s="43">
        <v>2</v>
      </c>
      <c r="P42" s="43">
        <v>18</v>
      </c>
      <c r="Q42" s="44">
        <v>20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12+30+1+395</f>
        <v>438</v>
      </c>
      <c r="D44" s="93"/>
      <c r="E44" s="93"/>
    </row>
    <row r="45" spans="2:25" x14ac:dyDescent="0.25">
      <c r="B45" s="77" t="s">
        <v>69</v>
      </c>
      <c r="C45" s="93">
        <v>8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D783-2C4D-43AA-B738-D3CA3C16FC8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5</v>
      </c>
      <c r="D8" s="14">
        <v>2</v>
      </c>
      <c r="E8" s="14">
        <v>5</v>
      </c>
      <c r="F8" s="14">
        <v>2</v>
      </c>
      <c r="G8" s="14">
        <v>5</v>
      </c>
      <c r="H8" s="14" t="s">
        <v>180</v>
      </c>
      <c r="I8" s="14">
        <v>1</v>
      </c>
      <c r="J8" s="14"/>
      <c r="K8" s="14"/>
      <c r="L8" s="14"/>
      <c r="M8" s="14">
        <v>1</v>
      </c>
      <c r="N8" s="14"/>
      <c r="O8" s="14">
        <v>1</v>
      </c>
      <c r="P8" s="14">
        <v>1</v>
      </c>
      <c r="Q8" s="14">
        <v>1</v>
      </c>
      <c r="R8" s="14">
        <v>8</v>
      </c>
      <c r="S8" s="14">
        <v>1</v>
      </c>
      <c r="T8" s="14">
        <v>5</v>
      </c>
      <c r="U8" s="14">
        <v>2</v>
      </c>
      <c r="V8" s="14"/>
      <c r="W8" s="14">
        <v>31</v>
      </c>
      <c r="X8" s="60">
        <v>6</v>
      </c>
      <c r="Y8" s="15">
        <v>10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>
        <v>0</v>
      </c>
      <c r="F15" s="23">
        <v>0</v>
      </c>
      <c r="G15" s="23">
        <v>0</v>
      </c>
      <c r="H15" s="23" t="s">
        <v>180</v>
      </c>
      <c r="I15" s="23">
        <v>0</v>
      </c>
      <c r="J15" s="23"/>
      <c r="K15" s="23"/>
      <c r="L15" s="23"/>
      <c r="M15" s="23">
        <v>1</v>
      </c>
      <c r="N15" s="23"/>
      <c r="O15" s="23">
        <v>1</v>
      </c>
      <c r="P15" s="23">
        <v>1</v>
      </c>
      <c r="Q15" s="23">
        <v>0</v>
      </c>
      <c r="R15" s="23">
        <v>8</v>
      </c>
      <c r="S15" s="23">
        <v>0</v>
      </c>
      <c r="T15" s="23">
        <v>0</v>
      </c>
      <c r="U15" s="23">
        <v>0</v>
      </c>
      <c r="V15" s="23"/>
      <c r="W15" s="23">
        <v>1</v>
      </c>
      <c r="X15" s="62">
        <v>0</v>
      </c>
      <c r="Y15" s="24">
        <v>8</v>
      </c>
    </row>
    <row r="16" spans="2:27" ht="18" customHeight="1" thickBot="1" x14ac:dyDescent="0.3">
      <c r="B16" s="25" t="s">
        <v>26</v>
      </c>
      <c r="C16" s="58">
        <v>5</v>
      </c>
      <c r="D16" s="59">
        <v>2</v>
      </c>
      <c r="E16" s="27">
        <v>5</v>
      </c>
      <c r="F16" s="27">
        <v>2</v>
      </c>
      <c r="G16" s="28">
        <v>5</v>
      </c>
      <c r="H16" s="28">
        <v>0</v>
      </c>
      <c r="I16" s="28">
        <v>1</v>
      </c>
      <c r="J16" s="28"/>
      <c r="K16" s="57"/>
      <c r="L16" s="28"/>
      <c r="M16" s="28">
        <v>0</v>
      </c>
      <c r="N16" s="28"/>
      <c r="O16" s="28">
        <v>0</v>
      </c>
      <c r="P16" s="28">
        <v>0</v>
      </c>
      <c r="Q16" s="28">
        <v>1</v>
      </c>
      <c r="R16" s="28">
        <v>0</v>
      </c>
      <c r="S16" s="28">
        <v>1</v>
      </c>
      <c r="T16" s="28">
        <v>5</v>
      </c>
      <c r="U16" s="28">
        <v>2</v>
      </c>
      <c r="V16" s="28"/>
      <c r="W16" s="57">
        <v>30</v>
      </c>
      <c r="X16" s="63">
        <v>6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108</v>
      </c>
      <c r="I24" s="14">
        <v>2</v>
      </c>
      <c r="J24" s="14"/>
      <c r="K24" s="14">
        <v>20</v>
      </c>
      <c r="L24" s="14">
        <v>50</v>
      </c>
      <c r="M24" s="14">
        <v>442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4</v>
      </c>
      <c r="G31" s="23"/>
      <c r="H31" s="23">
        <v>3</v>
      </c>
      <c r="I31" s="23">
        <v>0</v>
      </c>
      <c r="J31" s="23"/>
      <c r="K31" s="23">
        <v>0</v>
      </c>
      <c r="L31" s="23">
        <v>0</v>
      </c>
      <c r="M31" s="23">
        <v>122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105</v>
      </c>
      <c r="I32" s="28">
        <v>2</v>
      </c>
      <c r="J32" s="28"/>
      <c r="K32" s="28">
        <v>20</v>
      </c>
      <c r="L32" s="28">
        <v>50</v>
      </c>
      <c r="M32" s="28">
        <v>320</v>
      </c>
      <c r="N32" s="28"/>
      <c r="O32" s="23"/>
      <c r="P32" s="28">
        <v>10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>
        <v>6</v>
      </c>
      <c r="E36" s="43">
        <v>14</v>
      </c>
      <c r="F36" s="43">
        <v>87</v>
      </c>
      <c r="G36" s="43">
        <v>312</v>
      </c>
      <c r="H36" s="43">
        <v>2</v>
      </c>
      <c r="I36" s="43">
        <v>8</v>
      </c>
      <c r="J36" s="43">
        <v>34</v>
      </c>
      <c r="K36" s="43">
        <v>11</v>
      </c>
      <c r="L36" s="43">
        <v>2</v>
      </c>
      <c r="M36" s="43">
        <v>42</v>
      </c>
      <c r="N36" s="43">
        <v>21</v>
      </c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>
        <v>6</v>
      </c>
      <c r="E42" s="43">
        <v>14</v>
      </c>
      <c r="F42" s="43">
        <v>87</v>
      </c>
      <c r="G42" s="43">
        <v>312</v>
      </c>
      <c r="H42" s="43">
        <v>2</v>
      </c>
      <c r="I42" s="43">
        <v>8</v>
      </c>
      <c r="J42" s="43">
        <v>34</v>
      </c>
      <c r="K42" s="43">
        <v>11</v>
      </c>
      <c r="L42" s="43">
        <v>2</v>
      </c>
      <c r="M42" s="43">
        <v>42</v>
      </c>
      <c r="N42" s="43">
        <v>21</v>
      </c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5+2+5+2+5+1+1+1+5+2+30+6+2+105+2+20+50+320+10</f>
        <v>574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861F-2AE0-46AB-8107-A744FF62BE86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5017-6B89-4BE0-9406-A3041C9B216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11</v>
      </c>
      <c r="D8" s="14">
        <v>5</v>
      </c>
      <c r="E8" s="14">
        <v>5</v>
      </c>
      <c r="F8" s="14"/>
      <c r="G8" s="14">
        <v>3</v>
      </c>
      <c r="H8" s="14" t="s">
        <v>175</v>
      </c>
      <c r="I8" s="14">
        <v>1</v>
      </c>
      <c r="J8" s="14"/>
      <c r="K8" s="14"/>
      <c r="L8" s="14"/>
      <c r="M8" s="14">
        <v>2</v>
      </c>
      <c r="N8" s="14">
        <v>1</v>
      </c>
      <c r="O8" s="14"/>
      <c r="P8" s="14">
        <v>2</v>
      </c>
      <c r="Q8" s="14"/>
      <c r="R8" s="14">
        <v>4</v>
      </c>
      <c r="S8" s="14"/>
      <c r="T8" s="14">
        <v>42</v>
      </c>
      <c r="U8" s="14">
        <v>6</v>
      </c>
      <c r="V8" s="14"/>
      <c r="W8" s="14">
        <v>28</v>
      </c>
      <c r="X8" s="60"/>
      <c r="Y8" s="15">
        <v>10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0</v>
      </c>
      <c r="F15" s="23"/>
      <c r="G15" s="23">
        <v>0</v>
      </c>
      <c r="H15" s="23" t="s">
        <v>183</v>
      </c>
      <c r="I15" s="23">
        <v>0</v>
      </c>
      <c r="J15" s="23"/>
      <c r="K15" s="23"/>
      <c r="L15" s="23"/>
      <c r="M15" s="23">
        <v>1</v>
      </c>
      <c r="N15" s="23">
        <v>0</v>
      </c>
      <c r="O15" s="23"/>
      <c r="P15" s="23">
        <v>1</v>
      </c>
      <c r="Q15" s="23"/>
      <c r="R15" s="23">
        <v>4</v>
      </c>
      <c r="S15" s="23"/>
      <c r="T15" s="23">
        <v>2</v>
      </c>
      <c r="U15" s="23">
        <v>1</v>
      </c>
      <c r="V15" s="23"/>
      <c r="W15" s="23">
        <v>3</v>
      </c>
      <c r="X15" s="62"/>
      <c r="Y15" s="24">
        <v>0</v>
      </c>
    </row>
    <row r="16" spans="2:27" ht="18" customHeight="1" thickBot="1" x14ac:dyDescent="0.3">
      <c r="B16" s="25" t="s">
        <v>26</v>
      </c>
      <c r="C16" s="58">
        <v>10</v>
      </c>
      <c r="D16" s="59">
        <v>5</v>
      </c>
      <c r="E16" s="27">
        <v>5</v>
      </c>
      <c r="F16" s="27"/>
      <c r="G16" s="28">
        <v>3</v>
      </c>
      <c r="H16" s="28" t="s">
        <v>184</v>
      </c>
      <c r="I16" s="28">
        <v>1</v>
      </c>
      <c r="J16" s="28"/>
      <c r="K16" s="57"/>
      <c r="L16" s="28"/>
      <c r="M16" s="28">
        <v>1</v>
      </c>
      <c r="N16" s="28">
        <v>1</v>
      </c>
      <c r="O16" s="28"/>
      <c r="P16" s="28">
        <v>1</v>
      </c>
      <c r="Q16" s="28"/>
      <c r="R16" s="28">
        <v>0</v>
      </c>
      <c r="S16" s="28"/>
      <c r="T16" s="28">
        <v>40</v>
      </c>
      <c r="U16" s="28">
        <v>5</v>
      </c>
      <c r="V16" s="28"/>
      <c r="W16" s="57">
        <v>25</v>
      </c>
      <c r="X16" s="63"/>
      <c r="Y16" s="29">
        <v>10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11</v>
      </c>
      <c r="G24" s="14"/>
      <c r="H24" s="14">
        <v>45</v>
      </c>
      <c r="I24" s="14">
        <v>1</v>
      </c>
      <c r="J24" s="14"/>
      <c r="K24" s="14">
        <v>12</v>
      </c>
      <c r="L24" s="14">
        <v>21</v>
      </c>
      <c r="M24" s="14">
        <v>356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37</v>
      </c>
      <c r="I31" s="23">
        <v>1</v>
      </c>
      <c r="J31" s="23"/>
      <c r="K31" s="23">
        <v>0</v>
      </c>
      <c r="L31" s="23">
        <v>0</v>
      </c>
      <c r="M31" s="23">
        <v>42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8</v>
      </c>
      <c r="I32" s="28">
        <v>0</v>
      </c>
      <c r="J32" s="28"/>
      <c r="K32" s="28">
        <v>12</v>
      </c>
      <c r="L32" s="28">
        <v>21</v>
      </c>
      <c r="M32" s="28">
        <v>314</v>
      </c>
      <c r="N32" s="28"/>
      <c r="O32" s="23"/>
      <c r="P32" s="28">
        <v>10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>
        <v>10</v>
      </c>
      <c r="E36" s="43"/>
      <c r="F36" s="43">
        <v>62</v>
      </c>
      <c r="G36" s="43">
        <v>322</v>
      </c>
      <c r="H36" s="43"/>
      <c r="I36" s="43">
        <v>1</v>
      </c>
      <c r="J36" s="43">
        <v>33</v>
      </c>
      <c r="K36" s="43">
        <v>4</v>
      </c>
      <c r="L36" s="43">
        <v>7</v>
      </c>
      <c r="M36" s="43">
        <v>98</v>
      </c>
      <c r="N36" s="43">
        <v>3</v>
      </c>
      <c r="O36" s="43">
        <v>1</v>
      </c>
      <c r="P36" s="43"/>
      <c r="Q36" s="44">
        <v>8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>
        <v>10</v>
      </c>
      <c r="E42" s="43"/>
      <c r="F42" s="43">
        <v>62</v>
      </c>
      <c r="G42" s="43">
        <v>322</v>
      </c>
      <c r="H42" s="43"/>
      <c r="I42" s="43">
        <v>1</v>
      </c>
      <c r="J42" s="43">
        <v>33</v>
      </c>
      <c r="K42" s="43">
        <v>4</v>
      </c>
      <c r="L42" s="43">
        <v>7</v>
      </c>
      <c r="M42" s="43">
        <v>98</v>
      </c>
      <c r="N42" s="43">
        <v>3</v>
      </c>
      <c r="O42" s="43">
        <v>1</v>
      </c>
      <c r="P42" s="43"/>
      <c r="Q42" s="44">
        <v>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10+5+5+3+1+1+1+1+1+40+5+25+10+10+8+12+21+314+10</f>
        <v>483</v>
      </c>
      <c r="D44" s="93"/>
      <c r="E44" s="93"/>
    </row>
    <row r="45" spans="2:25" x14ac:dyDescent="0.25">
      <c r="B45" s="77" t="s">
        <v>69</v>
      </c>
      <c r="C45" s="93">
        <f>13</f>
        <v>13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00D5-D45C-4B5F-A424-60E765BB8AB8}">
  <dimension ref="B1:AA45"/>
  <sheetViews>
    <sheetView showGridLines="0" topLeftCell="A29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/>
      <c r="G8" s="14"/>
      <c r="H8" s="14" t="s">
        <v>182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/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92</v>
      </c>
      <c r="D15" s="23"/>
      <c r="E15" s="23"/>
      <c r="F15" s="23"/>
      <c r="G15" s="23"/>
      <c r="H15" s="23" t="s">
        <v>181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0</v>
      </c>
      <c r="U15" s="23"/>
      <c r="V15" s="23"/>
      <c r="W15" s="23"/>
      <c r="X15" s="62"/>
      <c r="Y15" s="24">
        <v>2</v>
      </c>
    </row>
    <row r="16" spans="2:27" ht="18" customHeight="1" thickBot="1" x14ac:dyDescent="0.3">
      <c r="B16" s="25" t="s">
        <v>26</v>
      </c>
      <c r="C16" s="58">
        <v>1</v>
      </c>
      <c r="D16" s="59"/>
      <c r="E16" s="27"/>
      <c r="F16" s="27"/>
      <c r="G16" s="28"/>
      <c r="H16" s="28" t="s">
        <v>99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1</v>
      </c>
      <c r="U16" s="28"/>
      <c r="V16" s="28"/>
      <c r="W16" s="57"/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24</v>
      </c>
      <c r="I24" s="14"/>
      <c r="J24" s="14"/>
      <c r="K24" s="14">
        <v>1</v>
      </c>
      <c r="L24" s="14">
        <v>5</v>
      </c>
      <c r="M24" s="14">
        <v>450</v>
      </c>
      <c r="N24" s="14"/>
      <c r="O24" s="14"/>
      <c r="P24" s="14" t="s">
        <v>157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17</v>
      </c>
      <c r="I31" s="23"/>
      <c r="J31" s="23"/>
      <c r="K31" s="23">
        <v>0</v>
      </c>
      <c r="L31" s="23">
        <v>4</v>
      </c>
      <c r="M31" s="23">
        <v>62</v>
      </c>
      <c r="N31" s="23"/>
      <c r="O31" s="23"/>
      <c r="P31" s="23" t="s">
        <v>157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7</v>
      </c>
      <c r="I32" s="28"/>
      <c r="J32" s="28"/>
      <c r="K32" s="28">
        <v>1</v>
      </c>
      <c r="L32" s="28">
        <v>1</v>
      </c>
      <c r="M32" s="28">
        <v>388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1</v>
      </c>
      <c r="D36" s="42"/>
      <c r="E36" s="43">
        <v>2</v>
      </c>
      <c r="F36" s="43">
        <v>392</v>
      </c>
      <c r="G36" s="43">
        <v>3</v>
      </c>
      <c r="H36" s="43"/>
      <c r="I36" s="43">
        <v>1</v>
      </c>
      <c r="J36" s="43"/>
      <c r="K36" s="43">
        <v>5</v>
      </c>
      <c r="L36" s="43">
        <v>2</v>
      </c>
      <c r="M36" s="43">
        <v>1</v>
      </c>
      <c r="N36" s="43"/>
      <c r="O36" s="43">
        <v>4</v>
      </c>
      <c r="P36" s="43">
        <v>11</v>
      </c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>
        <v>2</v>
      </c>
      <c r="F42" s="43">
        <v>392</v>
      </c>
      <c r="G42" s="43">
        <v>3</v>
      </c>
      <c r="H42" s="43"/>
      <c r="I42" s="43">
        <v>1</v>
      </c>
      <c r="J42" s="43"/>
      <c r="K42" s="43">
        <v>5</v>
      </c>
      <c r="L42" s="43">
        <v>2</v>
      </c>
      <c r="M42" s="43">
        <v>1</v>
      </c>
      <c r="N42" s="43"/>
      <c r="O42" s="43">
        <v>4</v>
      </c>
      <c r="P42" s="43">
        <v>11</v>
      </c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1+14+1+1+7+1+1+388</f>
        <v>414</v>
      </c>
      <c r="D44" s="93"/>
      <c r="E44" s="93"/>
    </row>
    <row r="45" spans="2:25" x14ac:dyDescent="0.25">
      <c r="B45" s="77" t="s">
        <v>69</v>
      </c>
      <c r="C45" s="93">
        <f>5</f>
        <v>5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A2FD-00C6-4E93-B8EC-559194FB141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2</v>
      </c>
      <c r="E8" s="14"/>
      <c r="F8" s="14"/>
      <c r="G8" s="14"/>
      <c r="H8" s="14" t="s">
        <v>154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2</v>
      </c>
      <c r="U8" s="14"/>
      <c r="V8" s="14"/>
      <c r="W8" s="14">
        <v>4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2</v>
      </c>
      <c r="E15" s="23"/>
      <c r="F15" s="23"/>
      <c r="G15" s="23"/>
      <c r="H15" s="23" t="s">
        <v>185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2</v>
      </c>
      <c r="U15" s="23"/>
      <c r="V15" s="23"/>
      <c r="W15" s="23">
        <v>3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/>
      <c r="F16" s="27"/>
      <c r="G16" s="28"/>
      <c r="H16" s="28" t="s">
        <v>186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1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111</v>
      </c>
      <c r="I24" s="14"/>
      <c r="J24" s="14"/>
      <c r="K24" s="14">
        <v>2</v>
      </c>
      <c r="L24" s="14">
        <v>15</v>
      </c>
      <c r="M24" s="14">
        <v>574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38</v>
      </c>
      <c r="I31" s="23"/>
      <c r="J31" s="23"/>
      <c r="K31" s="23">
        <v>2</v>
      </c>
      <c r="L31" s="23">
        <v>14</v>
      </c>
      <c r="M31" s="23">
        <v>242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73</v>
      </c>
      <c r="I32" s="28"/>
      <c r="J32" s="28"/>
      <c r="K32" s="28">
        <v>0</v>
      </c>
      <c r="L32" s="28">
        <v>1</v>
      </c>
      <c r="M32" s="28">
        <v>332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379</v>
      </c>
      <c r="G36" s="43">
        <v>1</v>
      </c>
      <c r="H36" s="43">
        <v>4</v>
      </c>
      <c r="I36" s="43">
        <v>3</v>
      </c>
      <c r="J36" s="43"/>
      <c r="K36" s="43"/>
      <c r="L36" s="43"/>
      <c r="M36" s="43"/>
      <c r="N36" s="43"/>
      <c r="O36" s="43">
        <v>10</v>
      </c>
      <c r="P36" s="43"/>
      <c r="Q36" s="44">
        <v>52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379</v>
      </c>
      <c r="G42" s="43">
        <v>1</v>
      </c>
      <c r="H42" s="43">
        <v>4</v>
      </c>
      <c r="I42" s="43">
        <v>3</v>
      </c>
      <c r="J42" s="43"/>
      <c r="K42" s="43"/>
      <c r="L42" s="43"/>
      <c r="M42" s="43"/>
      <c r="N42" s="43"/>
      <c r="O42" s="43">
        <v>10</v>
      </c>
      <c r="P42" s="43"/>
      <c r="Q42" s="44">
        <v>52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12+1+73+1+332</f>
        <v>419</v>
      </c>
      <c r="D44" s="93"/>
      <c r="E44" s="93"/>
    </row>
    <row r="45" spans="2:25" x14ac:dyDescent="0.25">
      <c r="B45" s="77" t="s">
        <v>69</v>
      </c>
      <c r="C45" s="93">
        <f>4</f>
        <v>4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B6DF-AF49-4475-B8F3-B83B39536842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A422-A2A8-413D-BB38-8559734A465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 t="s">
        <v>189</v>
      </c>
      <c r="I8" s="14">
        <v>8</v>
      </c>
      <c r="J8" s="14"/>
      <c r="K8" s="14"/>
      <c r="L8" s="14"/>
      <c r="M8" s="14">
        <v>1</v>
      </c>
      <c r="N8" s="14" t="s">
        <v>130</v>
      </c>
      <c r="O8" s="14" t="s">
        <v>192</v>
      </c>
      <c r="P8" s="14">
        <v>1</v>
      </c>
      <c r="Q8" s="14" t="s">
        <v>130</v>
      </c>
      <c r="R8" s="14">
        <v>4</v>
      </c>
      <c r="S8" s="14"/>
      <c r="T8" s="14">
        <v>2</v>
      </c>
      <c r="U8" s="14">
        <v>1</v>
      </c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 t="s">
        <v>190</v>
      </c>
      <c r="I15" s="23">
        <v>0</v>
      </c>
      <c r="J15" s="23"/>
      <c r="K15" s="23"/>
      <c r="L15" s="23"/>
      <c r="M15" s="23">
        <v>1</v>
      </c>
      <c r="N15" s="23">
        <v>0</v>
      </c>
      <c r="O15" s="23">
        <v>0</v>
      </c>
      <c r="P15" s="23">
        <v>1</v>
      </c>
      <c r="Q15" s="23">
        <v>0</v>
      </c>
      <c r="R15" s="23">
        <v>4</v>
      </c>
      <c r="S15" s="23"/>
      <c r="T15" s="23">
        <v>2</v>
      </c>
      <c r="U15" s="23">
        <v>1</v>
      </c>
      <c r="V15" s="23"/>
      <c r="W15" s="23">
        <v>1</v>
      </c>
      <c r="X15" s="62"/>
      <c r="Y15" s="24"/>
    </row>
    <row r="16" spans="2:27" ht="18" customHeight="1" thickBot="1" x14ac:dyDescent="0.3">
      <c r="B16" s="25" t="s">
        <v>26</v>
      </c>
      <c r="C16" s="58">
        <v>1</v>
      </c>
      <c r="D16" s="59">
        <v>1</v>
      </c>
      <c r="E16" s="27"/>
      <c r="F16" s="27"/>
      <c r="G16" s="28"/>
      <c r="H16" s="28" t="s">
        <v>191</v>
      </c>
      <c r="I16" s="28">
        <v>8</v>
      </c>
      <c r="J16" s="28"/>
      <c r="K16" s="57"/>
      <c r="L16" s="28"/>
      <c r="M16" s="28">
        <v>0</v>
      </c>
      <c r="N16" s="28" t="s">
        <v>130</v>
      </c>
      <c r="O16" s="28" t="s">
        <v>192</v>
      </c>
      <c r="P16" s="28">
        <v>0</v>
      </c>
      <c r="Q16" s="28" t="s">
        <v>130</v>
      </c>
      <c r="R16" s="28">
        <v>0</v>
      </c>
      <c r="S16" s="28"/>
      <c r="T16" s="28">
        <v>0</v>
      </c>
      <c r="U16" s="28">
        <v>0</v>
      </c>
      <c r="V16" s="28"/>
      <c r="W16" s="57">
        <v>2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37</v>
      </c>
      <c r="I24" s="14">
        <v>1</v>
      </c>
      <c r="J24" s="14"/>
      <c r="K24" s="14">
        <v>65</v>
      </c>
      <c r="L24" s="14">
        <v>5</v>
      </c>
      <c r="M24" s="14">
        <v>458</v>
      </c>
      <c r="N24" s="14"/>
      <c r="O24" s="14"/>
      <c r="P24" s="14">
        <v>2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18</v>
      </c>
      <c r="I31" s="23">
        <v>1</v>
      </c>
      <c r="J31" s="23"/>
      <c r="K31" s="23">
        <v>0</v>
      </c>
      <c r="L31" s="23">
        <v>0</v>
      </c>
      <c r="M31" s="23">
        <v>1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19</v>
      </c>
      <c r="I32" s="28">
        <v>0</v>
      </c>
      <c r="J32" s="28"/>
      <c r="K32" s="28">
        <v>65</v>
      </c>
      <c r="L32" s="28">
        <v>5</v>
      </c>
      <c r="M32" s="28">
        <v>457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1</v>
      </c>
      <c r="D36" s="42"/>
      <c r="E36" s="43"/>
      <c r="F36" s="43">
        <v>569</v>
      </c>
      <c r="G36" s="43">
        <v>95</v>
      </c>
      <c r="H36" s="43"/>
      <c r="I36" s="43">
        <v>17</v>
      </c>
      <c r="J36" s="43">
        <v>1</v>
      </c>
      <c r="K36" s="43">
        <v>4</v>
      </c>
      <c r="L36" s="43">
        <v>70</v>
      </c>
      <c r="M36" s="43"/>
      <c r="N36" s="43">
        <v>6</v>
      </c>
      <c r="O36" s="43">
        <v>2</v>
      </c>
      <c r="P36" s="43">
        <v>10</v>
      </c>
      <c r="Q36" s="44">
        <v>14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/>
      <c r="F42" s="43">
        <v>569</v>
      </c>
      <c r="G42" s="43">
        <v>95</v>
      </c>
      <c r="H42" s="43"/>
      <c r="I42" s="43">
        <v>17</v>
      </c>
      <c r="J42" s="43">
        <v>1</v>
      </c>
      <c r="K42" s="43">
        <v>4</v>
      </c>
      <c r="L42" s="43">
        <v>70</v>
      </c>
      <c r="M42" s="43"/>
      <c r="N42" s="43">
        <v>6</v>
      </c>
      <c r="O42" s="43">
        <v>2</v>
      </c>
      <c r="P42" s="43">
        <v>10</v>
      </c>
      <c r="Q42" s="44">
        <v>14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5BA5-DA15-411E-814F-386FDC56410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/>
      <c r="G8" s="14"/>
      <c r="H8" s="14" t="s">
        <v>188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1</v>
      </c>
      <c r="U8" s="14"/>
      <c r="V8" s="14"/>
      <c r="W8" s="14">
        <v>1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/>
      <c r="F15" s="23"/>
      <c r="G15" s="23"/>
      <c r="H15" s="23" t="s">
        <v>187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1</v>
      </c>
      <c r="X15" s="62"/>
      <c r="Y15" s="24">
        <v>2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114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17</v>
      </c>
      <c r="I24" s="14"/>
      <c r="J24" s="14"/>
      <c r="K24" s="14">
        <v>1</v>
      </c>
      <c r="L24" s="14">
        <v>4</v>
      </c>
      <c r="M24" s="14">
        <v>419</v>
      </c>
      <c r="N24" s="14"/>
      <c r="O24" s="14"/>
      <c r="P24" s="14" t="s">
        <v>157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0</v>
      </c>
      <c r="L31" s="23">
        <v>0</v>
      </c>
      <c r="M31" s="23">
        <v>93</v>
      </c>
      <c r="N31" s="23"/>
      <c r="O31" s="23"/>
      <c r="P31" s="23" t="s">
        <v>157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17</v>
      </c>
      <c r="I32" s="28"/>
      <c r="J32" s="28"/>
      <c r="K32" s="28">
        <v>1</v>
      </c>
      <c r="L32" s="28">
        <v>4</v>
      </c>
      <c r="M32" s="28">
        <v>326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>
        <v>8</v>
      </c>
      <c r="F36" s="43">
        <v>335</v>
      </c>
      <c r="G36" s="43">
        <v>12</v>
      </c>
      <c r="H36" s="43">
        <v>3</v>
      </c>
      <c r="I36" s="43">
        <v>3</v>
      </c>
      <c r="J36" s="43">
        <v>4</v>
      </c>
      <c r="K36" s="43">
        <v>7</v>
      </c>
      <c r="L36" s="43">
        <v>2</v>
      </c>
      <c r="M36" s="43">
        <v>2</v>
      </c>
      <c r="N36" s="43">
        <v>16</v>
      </c>
      <c r="O36" s="43">
        <v>6</v>
      </c>
      <c r="P36" s="43">
        <v>6</v>
      </c>
      <c r="Q36" s="44">
        <v>14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>
        <v>8</v>
      </c>
      <c r="F42" s="43">
        <v>335</v>
      </c>
      <c r="G42" s="43">
        <v>12</v>
      </c>
      <c r="H42" s="43">
        <v>3</v>
      </c>
      <c r="I42" s="43">
        <v>3</v>
      </c>
      <c r="J42" s="43">
        <v>4</v>
      </c>
      <c r="K42" s="43">
        <v>7</v>
      </c>
      <c r="L42" s="43">
        <v>2</v>
      </c>
      <c r="M42" s="43">
        <v>2</v>
      </c>
      <c r="N42" s="43">
        <v>16</v>
      </c>
      <c r="O42" s="43">
        <v>6</v>
      </c>
      <c r="P42" s="43">
        <v>6</v>
      </c>
      <c r="Q42" s="44">
        <v>14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10+17+1+4+326</f>
        <v>358</v>
      </c>
      <c r="D44" s="93"/>
      <c r="E44" s="93"/>
    </row>
    <row r="45" spans="2:25" x14ac:dyDescent="0.25">
      <c r="B45" s="77" t="s">
        <v>69</v>
      </c>
      <c r="C45" s="93">
        <v>5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E946-F6B7-40B6-8205-746471DD6A1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2</v>
      </c>
      <c r="E8" s="14"/>
      <c r="F8" s="14"/>
      <c r="G8" s="14"/>
      <c r="H8" s="14" t="s">
        <v>193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>
        <v>10</v>
      </c>
      <c r="U8" s="14"/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2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>
        <v>0</v>
      </c>
      <c r="U15" s="23"/>
      <c r="V15" s="23"/>
      <c r="W15" s="23">
        <v>3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/>
      <c r="F16" s="27"/>
      <c r="G16" s="28"/>
      <c r="H16" s="28" t="s">
        <v>193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10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116</v>
      </c>
      <c r="I24" s="14"/>
      <c r="J24" s="14"/>
      <c r="K24" s="14">
        <v>2</v>
      </c>
      <c r="L24" s="14">
        <v>14</v>
      </c>
      <c r="M24" s="14">
        <v>566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4</v>
      </c>
      <c r="G31" s="23"/>
      <c r="H31" s="23">
        <v>4</v>
      </c>
      <c r="I31" s="23"/>
      <c r="J31" s="23"/>
      <c r="K31" s="23">
        <v>2</v>
      </c>
      <c r="L31" s="23">
        <v>7</v>
      </c>
      <c r="M31" s="23">
        <v>136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112</v>
      </c>
      <c r="I32" s="28"/>
      <c r="J32" s="28"/>
      <c r="K32" s="28">
        <v>0</v>
      </c>
      <c r="L32" s="28">
        <v>7</v>
      </c>
      <c r="M32" s="28">
        <v>430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742</v>
      </c>
      <c r="G36" s="43">
        <v>1</v>
      </c>
      <c r="H36" s="43">
        <v>3</v>
      </c>
      <c r="I36" s="43">
        <v>20</v>
      </c>
      <c r="J36" s="43"/>
      <c r="K36" s="43">
        <v>4</v>
      </c>
      <c r="L36" s="43">
        <v>10</v>
      </c>
      <c r="M36" s="43"/>
      <c r="N36" s="43"/>
      <c r="O36" s="43">
        <v>24</v>
      </c>
      <c r="P36" s="43">
        <v>9</v>
      </c>
      <c r="Q36" s="44">
        <v>13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742</v>
      </c>
      <c r="G42" s="43">
        <v>1</v>
      </c>
      <c r="H42" s="43">
        <v>3</v>
      </c>
      <c r="I42" s="43">
        <v>20</v>
      </c>
      <c r="J42" s="43"/>
      <c r="K42" s="43">
        <v>4</v>
      </c>
      <c r="L42" s="43">
        <v>10</v>
      </c>
      <c r="M42" s="43"/>
      <c r="N42" s="43"/>
      <c r="O42" s="43">
        <v>24</v>
      </c>
      <c r="P42" s="43">
        <v>9</v>
      </c>
      <c r="Q42" s="44">
        <v>13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20+10+112+7+430</f>
        <v>579</v>
      </c>
      <c r="D44" s="93"/>
      <c r="E44" s="93"/>
    </row>
    <row r="45" spans="2:25" x14ac:dyDescent="0.25">
      <c r="B45" s="77" t="s">
        <v>69</v>
      </c>
      <c r="C45" s="93">
        <f>10</f>
        <v>10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700C-90F4-498C-8AC5-865D4D0BA395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A3FE-F38A-46BC-852B-01AA69DE0C8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 t="s">
        <v>194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>
        <v>4</v>
      </c>
      <c r="S8" s="14"/>
      <c r="T8" s="14">
        <v>2</v>
      </c>
      <c r="U8" s="14">
        <v>1</v>
      </c>
      <c r="V8" s="14"/>
      <c r="W8" s="14">
        <v>1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 t="s">
        <v>103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>
        <v>4</v>
      </c>
      <c r="S15" s="23"/>
      <c r="T15" s="23">
        <v>1</v>
      </c>
      <c r="U15" s="23">
        <v>1</v>
      </c>
      <c r="V15" s="23"/>
      <c r="W15" s="23">
        <v>0</v>
      </c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 t="s">
        <v>195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>
        <v>0</v>
      </c>
      <c r="S16" s="28"/>
      <c r="T16" s="28">
        <v>1</v>
      </c>
      <c r="U16" s="28">
        <v>0</v>
      </c>
      <c r="V16" s="28"/>
      <c r="W16" s="57">
        <v>1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18</v>
      </c>
      <c r="I24" s="14">
        <v>1</v>
      </c>
      <c r="J24" s="14"/>
      <c r="K24" s="14"/>
      <c r="L24" s="14"/>
      <c r="M24" s="14">
        <v>434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8</v>
      </c>
      <c r="I31" s="23">
        <v>1</v>
      </c>
      <c r="J31" s="23"/>
      <c r="K31" s="23"/>
      <c r="L31" s="23"/>
      <c r="M31" s="23">
        <v>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10</v>
      </c>
      <c r="I32" s="28">
        <v>0</v>
      </c>
      <c r="J32" s="28"/>
      <c r="K32" s="28"/>
      <c r="L32" s="28"/>
      <c r="M32" s="28">
        <v>436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1</v>
      </c>
      <c r="D36" s="42"/>
      <c r="E36" s="43"/>
      <c r="F36" s="43">
        <v>466</v>
      </c>
      <c r="G36" s="43"/>
      <c r="H36" s="43"/>
      <c r="I36" s="43">
        <v>2</v>
      </c>
      <c r="J36" s="43"/>
      <c r="K36" s="43"/>
      <c r="L36" s="43">
        <v>1</v>
      </c>
      <c r="M36" s="43"/>
      <c r="N36" s="43"/>
      <c r="O36" s="43">
        <v>13</v>
      </c>
      <c r="P36" s="43"/>
      <c r="Q36" s="44">
        <v>5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/>
      <c r="F42" s="43">
        <v>466</v>
      </c>
      <c r="G42" s="43"/>
      <c r="H42" s="43"/>
      <c r="I42" s="43">
        <v>2</v>
      </c>
      <c r="J42" s="43"/>
      <c r="K42" s="43"/>
      <c r="L42" s="43">
        <v>1</v>
      </c>
      <c r="M42" s="43"/>
      <c r="N42" s="43"/>
      <c r="O42" s="43">
        <v>13</v>
      </c>
      <c r="P42" s="43"/>
      <c r="Q42" s="44">
        <v>5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7+1+1+10+436</f>
        <v>455</v>
      </c>
      <c r="D44" s="93"/>
      <c r="E44" s="93"/>
    </row>
    <row r="45" spans="2:25" x14ac:dyDescent="0.25">
      <c r="B45" s="77" t="s">
        <v>69</v>
      </c>
      <c r="C45" s="93">
        <f>12</f>
        <v>12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2FD7-3905-4EF8-B759-E9E225C2DC7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196</v>
      </c>
      <c r="D8" s="14"/>
      <c r="E8" s="14"/>
      <c r="F8" s="14"/>
      <c r="G8" s="14"/>
      <c r="H8" s="14" t="s">
        <v>198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143</v>
      </c>
      <c r="S8" s="14"/>
      <c r="T8" s="14">
        <v>2</v>
      </c>
      <c r="U8" s="14"/>
      <c r="V8" s="14"/>
      <c r="W8" s="14">
        <v>2</v>
      </c>
      <c r="X8" s="60"/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196</v>
      </c>
      <c r="D15" s="23"/>
      <c r="E15" s="23"/>
      <c r="F15" s="23"/>
      <c r="G15" s="23"/>
      <c r="H15" s="23" t="s">
        <v>197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143</v>
      </c>
      <c r="S15" s="23"/>
      <c r="T15" s="23">
        <v>1</v>
      </c>
      <c r="U15" s="23"/>
      <c r="V15" s="23"/>
      <c r="W15" s="23">
        <v>0</v>
      </c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>
        <v>12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1</v>
      </c>
      <c r="U16" s="28"/>
      <c r="V16" s="28"/>
      <c r="W16" s="57">
        <v>2</v>
      </c>
      <c r="X16" s="63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36</v>
      </c>
      <c r="I24" s="14"/>
      <c r="J24" s="14"/>
      <c r="K24" s="14">
        <v>1</v>
      </c>
      <c r="L24" s="14">
        <v>14</v>
      </c>
      <c r="M24" s="14">
        <v>458</v>
      </c>
      <c r="N24" s="14"/>
      <c r="O24" s="14"/>
      <c r="P24" s="14" t="s">
        <v>157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1</v>
      </c>
      <c r="L31" s="23">
        <v>5</v>
      </c>
      <c r="M31" s="23">
        <v>60</v>
      </c>
      <c r="N31" s="23"/>
      <c r="O31" s="23"/>
      <c r="P31" s="23" t="s">
        <v>199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36</v>
      </c>
      <c r="I32" s="28"/>
      <c r="J32" s="28"/>
      <c r="K32" s="28">
        <v>0</v>
      </c>
      <c r="L32" s="28">
        <v>9</v>
      </c>
      <c r="M32" s="28">
        <v>398</v>
      </c>
      <c r="N32" s="28"/>
      <c r="O32" s="23"/>
      <c r="P32" s="28">
        <v>5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>
        <v>1</v>
      </c>
      <c r="E36" s="43"/>
      <c r="F36" s="43">
        <v>380</v>
      </c>
      <c r="G36" s="43">
        <v>89</v>
      </c>
      <c r="H36" s="43">
        <v>5</v>
      </c>
      <c r="I36" s="43">
        <v>3</v>
      </c>
      <c r="J36" s="43">
        <v>1</v>
      </c>
      <c r="K36" s="43">
        <v>11</v>
      </c>
      <c r="L36" s="43">
        <v>4</v>
      </c>
      <c r="M36" s="43"/>
      <c r="N36" s="43">
        <v>4</v>
      </c>
      <c r="O36" s="43">
        <v>9</v>
      </c>
      <c r="P36" s="43">
        <v>4</v>
      </c>
      <c r="Q36" s="44">
        <v>21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>
        <v>1</v>
      </c>
      <c r="E42" s="43"/>
      <c r="F42" s="43">
        <v>380</v>
      </c>
      <c r="G42" s="43">
        <v>89</v>
      </c>
      <c r="H42" s="43">
        <v>5</v>
      </c>
      <c r="I42" s="43">
        <v>3</v>
      </c>
      <c r="J42" s="43">
        <v>1</v>
      </c>
      <c r="K42" s="43">
        <v>11</v>
      </c>
      <c r="L42" s="43">
        <v>4</v>
      </c>
      <c r="M42" s="43"/>
      <c r="N42" s="43">
        <v>4</v>
      </c>
      <c r="O42" s="43">
        <v>9</v>
      </c>
      <c r="P42" s="43">
        <v>4</v>
      </c>
      <c r="Q42" s="44">
        <v>21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12+1+2+1+36+9+398+5</f>
        <v>464</v>
      </c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8C76-5700-41B3-9922-7B4C6066083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2</v>
      </c>
      <c r="E8" s="14">
        <v>2</v>
      </c>
      <c r="F8" s="14"/>
      <c r="G8" s="14"/>
      <c r="H8" s="14">
        <v>21</v>
      </c>
      <c r="I8" s="14"/>
      <c r="J8" s="14"/>
      <c r="K8" s="14"/>
      <c r="L8" s="14"/>
      <c r="M8" s="14"/>
      <c r="N8" s="14"/>
      <c r="O8" s="14"/>
      <c r="P8" s="14"/>
      <c r="Q8" s="14"/>
      <c r="R8" s="14">
        <v>8</v>
      </c>
      <c r="S8" s="14"/>
      <c r="T8" s="14"/>
      <c r="U8" s="14"/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2</v>
      </c>
      <c r="E15" s="23">
        <v>2</v>
      </c>
      <c r="F15" s="23"/>
      <c r="G15" s="23"/>
      <c r="H15" s="23" t="s">
        <v>201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8</v>
      </c>
      <c r="S15" s="23"/>
      <c r="T15" s="23"/>
      <c r="U15" s="23"/>
      <c r="V15" s="23"/>
      <c r="W15" s="23">
        <v>0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>
        <v>0</v>
      </c>
      <c r="F16" s="27"/>
      <c r="G16" s="28"/>
      <c r="H16" s="28" t="s">
        <v>200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3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143</v>
      </c>
      <c r="I24" s="14"/>
      <c r="J24" s="14"/>
      <c r="K24" s="14">
        <v>2</v>
      </c>
      <c r="L24" s="14">
        <v>7</v>
      </c>
      <c r="M24" s="14">
        <v>459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4</v>
      </c>
      <c r="G31" s="23"/>
      <c r="H31" s="23">
        <v>118</v>
      </c>
      <c r="I31" s="23"/>
      <c r="J31" s="23"/>
      <c r="K31" s="23">
        <v>2</v>
      </c>
      <c r="L31" s="23">
        <v>0</v>
      </c>
      <c r="M31" s="23">
        <v>87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25</v>
      </c>
      <c r="I32" s="28"/>
      <c r="J32" s="28"/>
      <c r="K32" s="28">
        <v>0</v>
      </c>
      <c r="L32" s="28">
        <v>7</v>
      </c>
      <c r="M32" s="28">
        <v>327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418</v>
      </c>
      <c r="G36" s="43"/>
      <c r="H36" s="43"/>
      <c r="I36" s="43">
        <v>1</v>
      </c>
      <c r="J36" s="43">
        <v>1</v>
      </c>
      <c r="K36" s="43">
        <v>10</v>
      </c>
      <c r="L36" s="43">
        <v>1</v>
      </c>
      <c r="M36" s="43"/>
      <c r="N36" s="43">
        <v>11</v>
      </c>
      <c r="O36" s="43">
        <v>11</v>
      </c>
      <c r="P36" s="43">
        <v>7</v>
      </c>
      <c r="Q36" s="44">
        <v>10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418</v>
      </c>
      <c r="G42" s="43"/>
      <c r="H42" s="43"/>
      <c r="I42" s="43">
        <v>1</v>
      </c>
      <c r="J42" s="43">
        <v>1</v>
      </c>
      <c r="K42" s="43">
        <v>10</v>
      </c>
      <c r="L42" s="43">
        <v>1</v>
      </c>
      <c r="M42" s="43"/>
      <c r="N42" s="43">
        <v>11</v>
      </c>
      <c r="O42" s="43">
        <v>11</v>
      </c>
      <c r="P42" s="43">
        <v>7</v>
      </c>
      <c r="Q42" s="44">
        <v>10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12+3+25+7+327</f>
        <v>374</v>
      </c>
      <c r="D44" s="93"/>
      <c r="E44" s="93"/>
    </row>
    <row r="45" spans="2:25" x14ac:dyDescent="0.25">
      <c r="B45" s="77" t="s">
        <v>69</v>
      </c>
      <c r="C45" s="93">
        <v>11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FF4E-629D-4DB2-843A-2A1EE99BE8E0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8B5-92E6-43CD-A5EC-F7820FD8979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2</v>
      </c>
      <c r="F8" s="14"/>
      <c r="G8" s="14"/>
      <c r="H8" s="14" t="s">
        <v>205</v>
      </c>
      <c r="I8" s="14"/>
      <c r="J8" s="14"/>
      <c r="K8" s="14"/>
      <c r="L8" s="14"/>
      <c r="M8" s="14">
        <v>1</v>
      </c>
      <c r="N8" s="14"/>
      <c r="O8" s="14"/>
      <c r="P8" s="14">
        <v>1</v>
      </c>
      <c r="Q8" s="14"/>
      <c r="R8" s="14"/>
      <c r="S8" s="14"/>
      <c r="T8" s="14">
        <v>3</v>
      </c>
      <c r="U8" s="14">
        <v>1</v>
      </c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>
        <v>0</v>
      </c>
      <c r="F15" s="23"/>
      <c r="G15" s="23"/>
      <c r="H15" s="23" t="s">
        <v>206</v>
      </c>
      <c r="I15" s="23"/>
      <c r="J15" s="23"/>
      <c r="K15" s="23"/>
      <c r="L15" s="23"/>
      <c r="M15" s="23">
        <v>1</v>
      </c>
      <c r="N15" s="23"/>
      <c r="O15" s="23"/>
      <c r="P15" s="23">
        <v>1</v>
      </c>
      <c r="Q15" s="23"/>
      <c r="R15" s="23"/>
      <c r="S15" s="23"/>
      <c r="T15" s="23">
        <v>1</v>
      </c>
      <c r="U15" s="23">
        <v>0</v>
      </c>
      <c r="V15" s="23"/>
      <c r="W15" s="23">
        <v>0</v>
      </c>
      <c r="X15" s="62"/>
      <c r="Y15" s="24"/>
    </row>
    <row r="16" spans="2:27" ht="18" customHeight="1" thickBot="1" x14ac:dyDescent="0.3">
      <c r="B16" s="25" t="s">
        <v>26</v>
      </c>
      <c r="C16" s="58">
        <v>2</v>
      </c>
      <c r="D16" s="59"/>
      <c r="E16" s="27">
        <v>2</v>
      </c>
      <c r="F16" s="27"/>
      <c r="G16" s="28"/>
      <c r="H16" s="28" t="s">
        <v>207</v>
      </c>
      <c r="I16" s="28"/>
      <c r="J16" s="28"/>
      <c r="K16" s="57"/>
      <c r="L16" s="28"/>
      <c r="M16" s="28">
        <v>0</v>
      </c>
      <c r="N16" s="28"/>
      <c r="O16" s="28"/>
      <c r="P16" s="28">
        <v>0</v>
      </c>
      <c r="Q16" s="28"/>
      <c r="R16" s="28"/>
      <c r="S16" s="28"/>
      <c r="T16" s="28">
        <v>2</v>
      </c>
      <c r="U16" s="28">
        <v>1</v>
      </c>
      <c r="V16" s="28"/>
      <c r="W16" s="57">
        <v>3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80</v>
      </c>
      <c r="I24" s="14">
        <v>1</v>
      </c>
      <c r="J24" s="14"/>
      <c r="K24" s="14">
        <v>2</v>
      </c>
      <c r="L24" s="14">
        <v>10</v>
      </c>
      <c r="M24" s="14">
        <v>530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8</v>
      </c>
      <c r="I31" s="23">
        <v>0</v>
      </c>
      <c r="J31" s="23"/>
      <c r="K31" s="23">
        <v>0</v>
      </c>
      <c r="L31" s="23">
        <v>0</v>
      </c>
      <c r="M31" s="23">
        <v>50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</v>
      </c>
      <c r="G32" s="28"/>
      <c r="H32" s="28">
        <v>72</v>
      </c>
      <c r="I32" s="28">
        <v>1</v>
      </c>
      <c r="J32" s="28"/>
      <c r="K32" s="28">
        <v>2</v>
      </c>
      <c r="L32" s="28">
        <v>10</v>
      </c>
      <c r="M32" s="28">
        <v>480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2</v>
      </c>
      <c r="D36" s="42"/>
      <c r="E36" s="43">
        <v>43</v>
      </c>
      <c r="F36" s="43">
        <f>56+216+108+57</f>
        <v>437</v>
      </c>
      <c r="G36" s="43">
        <v>2</v>
      </c>
      <c r="H36" s="43">
        <v>5</v>
      </c>
      <c r="I36" s="43">
        <v>6</v>
      </c>
      <c r="J36" s="43">
        <v>1</v>
      </c>
      <c r="K36" s="43">
        <v>11</v>
      </c>
      <c r="L36" s="43">
        <v>4</v>
      </c>
      <c r="M36" s="43">
        <v>9</v>
      </c>
      <c r="N36" s="43">
        <v>23</v>
      </c>
      <c r="O36" s="43">
        <v>1</v>
      </c>
      <c r="P36" s="43"/>
      <c r="Q36" s="44">
        <v>72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2</v>
      </c>
      <c r="D42" s="42"/>
      <c r="E42" s="43">
        <v>43</v>
      </c>
      <c r="F42" s="43">
        <f>56+216+108+57</f>
        <v>437</v>
      </c>
      <c r="G42" s="43">
        <v>2</v>
      </c>
      <c r="H42" s="43">
        <v>5</v>
      </c>
      <c r="I42" s="43">
        <v>6</v>
      </c>
      <c r="J42" s="43">
        <v>1</v>
      </c>
      <c r="K42" s="43">
        <v>11</v>
      </c>
      <c r="L42" s="43">
        <v>4</v>
      </c>
      <c r="M42" s="43">
        <v>9</v>
      </c>
      <c r="N42" s="43">
        <v>23</v>
      </c>
      <c r="O42" s="43">
        <v>1</v>
      </c>
      <c r="P42" s="43"/>
      <c r="Q42" s="44">
        <v>72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2+2+1+2+1+3+3+72+1+2+10+480</f>
        <v>579</v>
      </c>
      <c r="D44" s="93"/>
      <c r="E44" s="93"/>
    </row>
    <row r="45" spans="2:25" x14ac:dyDescent="0.25">
      <c r="B45" s="77" t="s">
        <v>69</v>
      </c>
      <c r="C45" s="93">
        <v>2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A380-CDEB-4314-B95A-4DB3BD819CF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196</v>
      </c>
      <c r="D8" s="14"/>
      <c r="E8" s="14">
        <v>3</v>
      </c>
      <c r="F8" s="14"/>
      <c r="G8" s="14"/>
      <c r="H8" s="14" t="s">
        <v>208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211</v>
      </c>
      <c r="S8" s="14"/>
      <c r="T8" s="14">
        <v>1</v>
      </c>
      <c r="U8" s="14"/>
      <c r="V8" s="14"/>
      <c r="W8" s="14">
        <v>1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>
        <v>0</v>
      </c>
      <c r="F15" s="23"/>
      <c r="G15" s="23"/>
      <c r="H15" s="23" t="s">
        <v>209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211</v>
      </c>
      <c r="S15" s="23"/>
      <c r="T15" s="23">
        <v>1</v>
      </c>
      <c r="U15" s="23"/>
      <c r="V15" s="23"/>
      <c r="W15" s="23">
        <v>0</v>
      </c>
      <c r="X15" s="62"/>
      <c r="Y15" s="24"/>
    </row>
    <row r="16" spans="2:27" ht="18" customHeight="1" thickBot="1" x14ac:dyDescent="0.3">
      <c r="B16" s="25" t="s">
        <v>26</v>
      </c>
      <c r="C16" s="58">
        <v>1</v>
      </c>
      <c r="D16" s="59"/>
      <c r="E16" s="27">
        <v>3</v>
      </c>
      <c r="F16" s="27"/>
      <c r="G16" s="28"/>
      <c r="H16" s="28" t="s">
        <v>210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1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113</v>
      </c>
      <c r="I24" s="14"/>
      <c r="J24" s="14"/>
      <c r="K24" s="14">
        <v>1</v>
      </c>
      <c r="L24" s="14">
        <v>5</v>
      </c>
      <c r="M24" s="14">
        <v>449</v>
      </c>
      <c r="N24" s="14"/>
      <c r="O24" s="14"/>
      <c r="P24" s="14" t="s">
        <v>199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</v>
      </c>
      <c r="I31" s="23"/>
      <c r="J31" s="23"/>
      <c r="K31" s="23">
        <v>1</v>
      </c>
      <c r="L31" s="23">
        <v>4</v>
      </c>
      <c r="M31" s="23">
        <v>100</v>
      </c>
      <c r="N31" s="23"/>
      <c r="O31" s="23"/>
      <c r="P31" s="23" t="s">
        <v>199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110</v>
      </c>
      <c r="I32" s="28"/>
      <c r="J32" s="28"/>
      <c r="K32" s="28">
        <v>0</v>
      </c>
      <c r="L32" s="28">
        <v>1</v>
      </c>
      <c r="M32" s="28">
        <v>349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456</v>
      </c>
      <c r="G36" s="43"/>
      <c r="H36" s="43">
        <v>7</v>
      </c>
      <c r="I36" s="43">
        <v>4</v>
      </c>
      <c r="J36" s="43"/>
      <c r="K36" s="43"/>
      <c r="L36" s="43">
        <v>2</v>
      </c>
      <c r="M36" s="43"/>
      <c r="N36" s="43"/>
      <c r="O36" s="43">
        <v>6</v>
      </c>
      <c r="P36" s="43">
        <v>14</v>
      </c>
      <c r="Q36" s="44">
        <v>5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456</v>
      </c>
      <c r="G42" s="43"/>
      <c r="H42" s="43">
        <v>7</v>
      </c>
      <c r="I42" s="43">
        <v>4</v>
      </c>
      <c r="J42" s="43"/>
      <c r="K42" s="43"/>
      <c r="L42" s="43">
        <v>2</v>
      </c>
      <c r="M42" s="43"/>
      <c r="N42" s="43"/>
      <c r="O42" s="43">
        <v>6</v>
      </c>
      <c r="P42" s="43">
        <v>14</v>
      </c>
      <c r="Q42" s="44">
        <v>5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1+3+18+1+110+1+349</f>
        <v>483</v>
      </c>
      <c r="D44" s="93"/>
      <c r="E44" s="93"/>
    </row>
    <row r="45" spans="2:25" x14ac:dyDescent="0.25">
      <c r="B45" s="77" t="s">
        <v>69</v>
      </c>
      <c r="C45" s="93">
        <f>10</f>
        <v>10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A87D-45E0-43CD-87B8-41FE38E57872}">
  <dimension ref="B1:AA45"/>
  <sheetViews>
    <sheetView showGridLines="0" zoomScale="160" zoomScaleNormal="160" workbookViewId="0">
      <selection activeCell="H7" sqref="H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2</v>
      </c>
      <c r="E8" s="14">
        <v>2</v>
      </c>
      <c r="F8" s="14"/>
      <c r="G8" s="14"/>
      <c r="H8" s="14" t="s">
        <v>212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/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2</v>
      </c>
      <c r="E15" s="23">
        <v>1</v>
      </c>
      <c r="F15" s="23"/>
      <c r="G15" s="23"/>
      <c r="H15" s="23" t="s">
        <v>108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2</v>
      </c>
      <c r="U15" s="23"/>
      <c r="V15" s="23"/>
      <c r="W15" s="23"/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0</v>
      </c>
      <c r="E16" s="27">
        <v>1</v>
      </c>
      <c r="F16" s="27"/>
      <c r="G16" s="28"/>
      <c r="H16" s="28" t="s">
        <v>198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/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118</v>
      </c>
      <c r="I24" s="14"/>
      <c r="J24" s="14"/>
      <c r="K24" s="14">
        <v>2</v>
      </c>
      <c r="L24" s="14">
        <v>20</v>
      </c>
      <c r="M24" s="14">
        <v>454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90</v>
      </c>
      <c r="I31" s="23"/>
      <c r="J31" s="23"/>
      <c r="K31" s="23">
        <v>2</v>
      </c>
      <c r="L31" s="23">
        <v>11</v>
      </c>
      <c r="M31" s="23">
        <v>3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28</v>
      </c>
      <c r="I32" s="28"/>
      <c r="J32" s="28"/>
      <c r="K32" s="28">
        <v>0</v>
      </c>
      <c r="L32" s="28">
        <v>9</v>
      </c>
      <c r="M32" s="28">
        <v>451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79"/>
      <c r="W35" s="79"/>
      <c r="X35" s="79"/>
      <c r="Y35" s="79"/>
    </row>
    <row r="36" spans="2:25" ht="18" customHeight="1" thickBot="1" x14ac:dyDescent="0.3">
      <c r="B36" s="53" t="s">
        <v>52</v>
      </c>
      <c r="C36" s="47">
        <v>4</v>
      </c>
      <c r="D36" s="42"/>
      <c r="E36" s="43"/>
      <c r="F36" s="43">
        <v>531</v>
      </c>
      <c r="G36" s="43">
        <v>5</v>
      </c>
      <c r="H36" s="43"/>
      <c r="I36" s="43">
        <v>17</v>
      </c>
      <c r="J36" s="43"/>
      <c r="K36" s="43"/>
      <c r="L36" s="43">
        <v>3</v>
      </c>
      <c r="M36" s="43">
        <v>1</v>
      </c>
      <c r="N36" s="43"/>
      <c r="O36" s="43">
        <v>10</v>
      </c>
      <c r="P36" s="43"/>
      <c r="Q36" s="44">
        <v>17</v>
      </c>
      <c r="R36" s="73"/>
      <c r="S36" s="45"/>
      <c r="T36" s="45"/>
      <c r="U36" s="79"/>
      <c r="V36" s="79"/>
      <c r="W36" s="79"/>
      <c r="X36" s="79"/>
      <c r="Y36" s="79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79"/>
      <c r="V37" s="79"/>
      <c r="W37" s="79"/>
      <c r="X37" s="79"/>
      <c r="Y37" s="79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79"/>
      <c r="V38" s="79"/>
      <c r="W38" s="79"/>
      <c r="X38" s="79"/>
      <c r="Y38" s="79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79"/>
      <c r="V39" s="79"/>
      <c r="W39" s="79"/>
      <c r="X39" s="79"/>
      <c r="Y39" s="79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79"/>
      <c r="V40" s="79"/>
      <c r="W40" s="79"/>
      <c r="X40" s="79"/>
      <c r="Y40" s="79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79"/>
      <c r="W41" s="79"/>
      <c r="X41" s="79"/>
      <c r="Y41" s="79"/>
    </row>
    <row r="42" spans="2:25" s="5" customFormat="1" ht="18" customHeight="1" thickBot="1" x14ac:dyDescent="0.3">
      <c r="B42" s="46" t="s">
        <v>53</v>
      </c>
      <c r="C42" s="47">
        <v>4</v>
      </c>
      <c r="D42" s="42"/>
      <c r="E42" s="43"/>
      <c r="F42" s="43">
        <v>531</v>
      </c>
      <c r="G42" s="43">
        <v>5</v>
      </c>
      <c r="H42" s="43"/>
      <c r="I42" s="43">
        <v>17</v>
      </c>
      <c r="J42" s="43"/>
      <c r="K42" s="43"/>
      <c r="L42" s="43">
        <v>3</v>
      </c>
      <c r="M42" s="43">
        <v>1</v>
      </c>
      <c r="N42" s="43"/>
      <c r="O42" s="43">
        <v>10</v>
      </c>
      <c r="P42" s="43"/>
      <c r="Q42" s="44">
        <v>17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79"/>
      <c r="V43" s="79"/>
      <c r="W43" s="79"/>
      <c r="X43" s="79"/>
      <c r="Y43" s="79"/>
    </row>
    <row r="44" spans="2:25" x14ac:dyDescent="0.25">
      <c r="B44" s="77" t="s">
        <v>68</v>
      </c>
      <c r="C44" s="93">
        <f>1+13+1+28+9+451</f>
        <v>503</v>
      </c>
      <c r="D44" s="93"/>
      <c r="E44" s="93"/>
    </row>
    <row r="45" spans="2:25" x14ac:dyDescent="0.25">
      <c r="B45" s="77" t="s">
        <v>69</v>
      </c>
      <c r="C45" s="93">
        <f>1</f>
        <v>1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4281-DDBF-4DE2-BCCF-0D011BDA3342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F0F5-5F4B-4EFB-9AC2-42C1F8EEDAE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 t="s">
        <v>199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 t="s">
        <v>225</v>
      </c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20</v>
      </c>
      <c r="I24" s="14"/>
      <c r="J24" s="14"/>
      <c r="K24" s="14"/>
      <c r="L24" s="14">
        <v>5</v>
      </c>
      <c r="M24" s="14">
        <v>458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20</v>
      </c>
      <c r="I31" s="23"/>
      <c r="J31" s="23"/>
      <c r="K31" s="23"/>
      <c r="L31" s="23">
        <v>0</v>
      </c>
      <c r="M31" s="23">
        <v>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0</v>
      </c>
      <c r="I32" s="28"/>
      <c r="J32" s="28"/>
      <c r="K32" s="28"/>
      <c r="L32" s="28">
        <v>5</v>
      </c>
      <c r="M32" s="28">
        <v>458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447</v>
      </c>
      <c r="G36" s="43">
        <v>12</v>
      </c>
      <c r="H36" s="43"/>
      <c r="I36" s="43">
        <v>4</v>
      </c>
      <c r="J36" s="43">
        <v>2</v>
      </c>
      <c r="K36" s="43">
        <v>6</v>
      </c>
      <c r="L36" s="43"/>
      <c r="M36" s="43"/>
      <c r="N36" s="43">
        <v>8</v>
      </c>
      <c r="O36" s="43"/>
      <c r="P36" s="43">
        <v>16</v>
      </c>
      <c r="Q36" s="44">
        <v>22</v>
      </c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447</v>
      </c>
      <c r="G42" s="43">
        <v>12</v>
      </c>
      <c r="H42" s="43"/>
      <c r="I42" s="43">
        <v>4</v>
      </c>
      <c r="J42" s="43">
        <v>2</v>
      </c>
      <c r="K42" s="43">
        <v>6</v>
      </c>
      <c r="L42" s="43"/>
      <c r="M42" s="43"/>
      <c r="N42" s="43">
        <v>8</v>
      </c>
      <c r="O42" s="43"/>
      <c r="P42" s="43">
        <v>16</v>
      </c>
      <c r="Q42" s="44">
        <v>22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>
        <f>13+5+458</f>
        <v>476</v>
      </c>
      <c r="D44" s="93"/>
      <c r="E44" s="93"/>
    </row>
    <row r="45" spans="2:25" x14ac:dyDescent="0.25">
      <c r="B45" s="77" t="s">
        <v>69</v>
      </c>
      <c r="C45" s="93">
        <f>20</f>
        <v>20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C218-FCC0-49B0-A470-9CACC7F2027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/>
      <c r="G8" s="14"/>
      <c r="H8" s="14" t="s">
        <v>220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211</v>
      </c>
      <c r="S8" s="14"/>
      <c r="T8" s="14">
        <v>1</v>
      </c>
      <c r="U8" s="14"/>
      <c r="V8" s="14"/>
      <c r="W8" s="14"/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/>
      <c r="F15" s="23"/>
      <c r="G15" s="23"/>
      <c r="H15" s="23" t="s">
        <v>219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211</v>
      </c>
      <c r="S15" s="23"/>
      <c r="T15" s="23">
        <v>1</v>
      </c>
      <c r="U15" s="23"/>
      <c r="V15" s="23"/>
      <c r="W15" s="23"/>
      <c r="X15" s="62"/>
      <c r="Y15" s="24">
        <v>0</v>
      </c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218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/>
      <c r="X16" s="63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39</v>
      </c>
      <c r="I24" s="14"/>
      <c r="J24" s="14"/>
      <c r="K24" s="14">
        <v>1</v>
      </c>
      <c r="L24" s="14">
        <v>4</v>
      </c>
      <c r="M24" s="14">
        <v>424</v>
      </c>
      <c r="N24" s="14"/>
      <c r="O24" s="14"/>
      <c r="P24" s="14" t="s">
        <v>221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16</v>
      </c>
      <c r="I31" s="23"/>
      <c r="J31" s="23"/>
      <c r="K31" s="23">
        <v>1</v>
      </c>
      <c r="L31" s="23">
        <v>0</v>
      </c>
      <c r="M31" s="23">
        <v>74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23</v>
      </c>
      <c r="I32" s="28"/>
      <c r="J32" s="28"/>
      <c r="K32" s="28">
        <v>0</v>
      </c>
      <c r="L32" s="28">
        <v>4</v>
      </c>
      <c r="M32" s="28">
        <v>350</v>
      </c>
      <c r="N32" s="28"/>
      <c r="O32" s="23"/>
      <c r="P32" s="28">
        <v>2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>
        <v>415</v>
      </c>
      <c r="G36" s="43"/>
      <c r="H36" s="43"/>
      <c r="I36" s="43">
        <v>5</v>
      </c>
      <c r="J36" s="43"/>
      <c r="K36" s="43">
        <v>1</v>
      </c>
      <c r="L36" s="43"/>
      <c r="M36" s="43"/>
      <c r="N36" s="43"/>
      <c r="O36" s="43">
        <v>3</v>
      </c>
      <c r="P36" s="43">
        <v>10</v>
      </c>
      <c r="Q36" s="44">
        <v>1</v>
      </c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415</v>
      </c>
      <c r="G42" s="43"/>
      <c r="H42" s="43"/>
      <c r="I42" s="43">
        <v>5</v>
      </c>
      <c r="J42" s="43"/>
      <c r="K42" s="43">
        <v>1</v>
      </c>
      <c r="L42" s="43"/>
      <c r="M42" s="43"/>
      <c r="N42" s="43"/>
      <c r="O42" s="43">
        <v>3</v>
      </c>
      <c r="P42" s="43">
        <v>10</v>
      </c>
      <c r="Q42" s="44">
        <v>1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>
        <f>9+1+23+4+350+2</f>
        <v>389</v>
      </c>
      <c r="D44" s="93"/>
      <c r="E44" s="93"/>
    </row>
    <row r="45" spans="2:25" x14ac:dyDescent="0.25">
      <c r="B45" s="77" t="s">
        <v>69</v>
      </c>
      <c r="C45" s="93">
        <f>1</f>
        <v>1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EF45-9A10-4DB8-9FD6-4721B247649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>
        <v>2</v>
      </c>
      <c r="E8" s="14"/>
      <c r="F8" s="14"/>
      <c r="G8" s="14"/>
      <c r="H8" s="14" t="s">
        <v>222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/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2</v>
      </c>
      <c r="D15" s="23">
        <v>0</v>
      </c>
      <c r="E15" s="23"/>
      <c r="F15" s="23"/>
      <c r="G15" s="23"/>
      <c r="H15" s="23" t="s">
        <v>223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0</v>
      </c>
      <c r="U15" s="23"/>
      <c r="V15" s="23"/>
      <c r="W15" s="23"/>
      <c r="X15" s="62"/>
      <c r="Y15" s="24">
        <v>1</v>
      </c>
    </row>
    <row r="16" spans="2:27" ht="18" customHeight="1" thickBot="1" x14ac:dyDescent="0.3">
      <c r="B16" s="25" t="s">
        <v>26</v>
      </c>
      <c r="C16" s="58">
        <v>0</v>
      </c>
      <c r="D16" s="59">
        <v>2</v>
      </c>
      <c r="E16" s="27"/>
      <c r="F16" s="27"/>
      <c r="G16" s="28"/>
      <c r="H16" s="28" t="s">
        <v>224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2</v>
      </c>
      <c r="U16" s="28"/>
      <c r="V16" s="28"/>
      <c r="W16" s="57"/>
      <c r="X16" s="63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90</v>
      </c>
      <c r="I24" s="14"/>
      <c r="J24" s="14"/>
      <c r="K24" s="14">
        <v>2</v>
      </c>
      <c r="L24" s="14">
        <v>19</v>
      </c>
      <c r="M24" s="14">
        <v>543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75</v>
      </c>
      <c r="I31" s="23"/>
      <c r="J31" s="23"/>
      <c r="K31" s="23">
        <v>0</v>
      </c>
      <c r="L31" s="23">
        <v>14</v>
      </c>
      <c r="M31" s="23">
        <v>102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15</v>
      </c>
      <c r="I32" s="28"/>
      <c r="J32" s="28"/>
      <c r="K32" s="28">
        <v>2</v>
      </c>
      <c r="L32" s="28">
        <v>5</v>
      </c>
      <c r="M32" s="28">
        <v>441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>
        <v>1</v>
      </c>
      <c r="D36" s="42"/>
      <c r="E36" s="43"/>
      <c r="F36" s="43">
        <v>437</v>
      </c>
      <c r="G36" s="43"/>
      <c r="H36" s="43">
        <v>60</v>
      </c>
      <c r="I36" s="43">
        <v>12</v>
      </c>
      <c r="J36" s="43">
        <v>1</v>
      </c>
      <c r="K36" s="43">
        <v>7</v>
      </c>
      <c r="L36" s="43">
        <v>6</v>
      </c>
      <c r="M36" s="43"/>
      <c r="N36" s="43">
        <v>13</v>
      </c>
      <c r="O36" s="43">
        <v>2</v>
      </c>
      <c r="P36" s="43">
        <v>25</v>
      </c>
      <c r="Q36" s="44">
        <v>23</v>
      </c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>
        <v>1</v>
      </c>
      <c r="D42" s="42"/>
      <c r="E42" s="43"/>
      <c r="F42" s="43">
        <v>437</v>
      </c>
      <c r="G42" s="43"/>
      <c r="H42" s="43">
        <v>60</v>
      </c>
      <c r="I42" s="43">
        <v>12</v>
      </c>
      <c r="J42" s="43">
        <v>1</v>
      </c>
      <c r="K42" s="43">
        <v>7</v>
      </c>
      <c r="L42" s="43">
        <v>6</v>
      </c>
      <c r="M42" s="43"/>
      <c r="N42" s="43">
        <v>13</v>
      </c>
      <c r="O42" s="43">
        <v>2</v>
      </c>
      <c r="P42" s="43">
        <v>25</v>
      </c>
      <c r="Q42" s="44">
        <v>23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>
        <f>2+18+2+1+15+2+5+441</f>
        <v>486</v>
      </c>
      <c r="D44" s="93"/>
      <c r="E44" s="93"/>
    </row>
    <row r="45" spans="2:25" x14ac:dyDescent="0.25">
      <c r="B45" s="77" t="s">
        <v>69</v>
      </c>
      <c r="C45" s="93">
        <f>2</f>
        <v>2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18C8-A6C9-4E45-B065-65CEBFCE2A89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8E78-E901-4993-97D8-9A6B36BF988E}">
  <dimension ref="B1:AA45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77F0-91A9-4F9E-9D5E-21FAD1B9596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93</v>
      </c>
      <c r="D8" s="14"/>
      <c r="E8" s="14"/>
      <c r="F8" s="14"/>
      <c r="G8" s="14"/>
      <c r="H8" s="14" t="s">
        <v>90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211</v>
      </c>
      <c r="S8" s="14"/>
      <c r="T8" s="14">
        <v>1</v>
      </c>
      <c r="U8" s="14"/>
      <c r="V8" s="14"/>
      <c r="W8" s="14">
        <v>3</v>
      </c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 t="s">
        <v>93</v>
      </c>
      <c r="D15" s="23"/>
      <c r="E15" s="23"/>
      <c r="F15" s="23"/>
      <c r="G15" s="23"/>
      <c r="H15" s="23" t="s">
        <v>227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211</v>
      </c>
      <c r="S15" s="23"/>
      <c r="T15" s="23">
        <v>1</v>
      </c>
      <c r="U15" s="23"/>
      <c r="V15" s="23"/>
      <c r="W15" s="23">
        <v>3</v>
      </c>
      <c r="X15" s="62"/>
      <c r="Y15" s="24"/>
    </row>
    <row r="16" spans="2:27" ht="18" customHeight="1" thickBot="1" x14ac:dyDescent="0.3">
      <c r="B16" s="25" t="s">
        <v>26</v>
      </c>
      <c r="C16" s="58">
        <v>0</v>
      </c>
      <c r="D16" s="59"/>
      <c r="E16" s="27"/>
      <c r="F16" s="27"/>
      <c r="G16" s="28"/>
      <c r="H16" s="28" t="s">
        <v>226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7">
        <v>0</v>
      </c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20</v>
      </c>
      <c r="I24" s="14"/>
      <c r="J24" s="14"/>
      <c r="K24" s="14">
        <v>1</v>
      </c>
      <c r="L24" s="14">
        <v>6</v>
      </c>
      <c r="M24" s="14">
        <v>397</v>
      </c>
      <c r="N24" s="14"/>
      <c r="O24" s="14"/>
      <c r="P24" s="14" t="s">
        <v>96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20</v>
      </c>
      <c r="I31" s="23"/>
      <c r="J31" s="23"/>
      <c r="K31" s="23">
        <v>1</v>
      </c>
      <c r="L31" s="23">
        <v>3</v>
      </c>
      <c r="M31" s="23">
        <v>99</v>
      </c>
      <c r="N31" s="23"/>
      <c r="O31" s="23"/>
      <c r="P31" s="23" t="s">
        <v>96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0</v>
      </c>
      <c r="I32" s="28"/>
      <c r="J32" s="28"/>
      <c r="K32" s="28">
        <v>0</v>
      </c>
      <c r="L32" s="28">
        <v>3</v>
      </c>
      <c r="M32" s="28">
        <v>298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/>
      <c r="F36" s="43">
        <v>202</v>
      </c>
      <c r="G36" s="43">
        <v>26</v>
      </c>
      <c r="H36" s="43">
        <v>4</v>
      </c>
      <c r="I36" s="43">
        <v>25</v>
      </c>
      <c r="J36" s="43">
        <v>1</v>
      </c>
      <c r="K36" s="43">
        <v>13</v>
      </c>
      <c r="L36" s="43"/>
      <c r="M36" s="43"/>
      <c r="N36" s="43">
        <v>4</v>
      </c>
      <c r="O36" s="43">
        <v>1</v>
      </c>
      <c r="P36" s="43">
        <v>3</v>
      </c>
      <c r="Q36" s="44">
        <v>8</v>
      </c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>
        <v>202</v>
      </c>
      <c r="G42" s="43">
        <v>26</v>
      </c>
      <c r="H42" s="43">
        <v>4</v>
      </c>
      <c r="I42" s="43">
        <v>25</v>
      </c>
      <c r="J42" s="43">
        <v>1</v>
      </c>
      <c r="K42" s="43">
        <v>13</v>
      </c>
      <c r="L42" s="43"/>
      <c r="M42" s="43"/>
      <c r="N42" s="43">
        <v>4</v>
      </c>
      <c r="O42" s="43">
        <v>1</v>
      </c>
      <c r="P42" s="43">
        <v>3</v>
      </c>
      <c r="Q42" s="44">
        <v>8</v>
      </c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>
        <f>10+3+298</f>
        <v>311</v>
      </c>
      <c r="D44" s="93"/>
      <c r="E44" s="93"/>
    </row>
    <row r="45" spans="2:25" x14ac:dyDescent="0.25">
      <c r="B45" s="77" t="s">
        <v>69</v>
      </c>
      <c r="C45" s="93">
        <v>20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5A01A-61C7-4C82-81A8-415FD8E16F7C}">
  <dimension ref="B1:AA45"/>
  <sheetViews>
    <sheetView showGridLines="0" tabSelected="1" topLeftCell="B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203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 t="s">
        <v>228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/>
      <c r="U8" s="14"/>
      <c r="V8" s="14"/>
      <c r="W8" s="14">
        <v>5</v>
      </c>
      <c r="X8" s="60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/>
      <c r="U15" s="23"/>
      <c r="V15" s="23"/>
      <c r="W15" s="23">
        <v>3</v>
      </c>
      <c r="X15" s="62"/>
      <c r="Y15" s="24">
        <v>0</v>
      </c>
    </row>
    <row r="16" spans="2:27" ht="18" customHeight="1" thickBot="1" x14ac:dyDescent="0.3">
      <c r="B16" s="25" t="s">
        <v>26</v>
      </c>
      <c r="C16" s="58">
        <v>1</v>
      </c>
      <c r="D16" s="59"/>
      <c r="E16" s="27"/>
      <c r="F16" s="27"/>
      <c r="G16" s="28"/>
      <c r="H16" s="28" t="s">
        <v>228</v>
      </c>
      <c r="I16" s="28"/>
      <c r="J16" s="28"/>
      <c r="K16" s="57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7">
        <v>2</v>
      </c>
      <c r="X16" s="63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75</v>
      </c>
      <c r="I24" s="14"/>
      <c r="J24" s="14"/>
      <c r="K24" s="14"/>
      <c r="L24" s="14">
        <v>22</v>
      </c>
      <c r="M24" s="14">
        <v>544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/>
      <c r="L31" s="23">
        <v>20</v>
      </c>
      <c r="M31" s="23">
        <v>65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75</v>
      </c>
      <c r="I32" s="28"/>
      <c r="J32" s="28"/>
      <c r="K32" s="28"/>
      <c r="L32" s="28">
        <v>2</v>
      </c>
      <c r="M32" s="28">
        <v>479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0"/>
      <c r="W35" s="80"/>
      <c r="X35" s="80"/>
      <c r="Y35" s="80"/>
    </row>
    <row r="36" spans="2:25" ht="18" customHeight="1" thickBot="1" x14ac:dyDescent="0.3">
      <c r="B36" s="53" t="s">
        <v>52</v>
      </c>
      <c r="C36" s="47"/>
      <c r="D36" s="42"/>
      <c r="E36" s="43">
        <v>2</v>
      </c>
      <c r="F36" s="43">
        <v>498</v>
      </c>
      <c r="G36" s="43">
        <v>16</v>
      </c>
      <c r="H36" s="43"/>
      <c r="I36" s="43">
        <v>4</v>
      </c>
      <c r="J36" s="43"/>
      <c r="K36" s="43">
        <v>7</v>
      </c>
      <c r="L36" s="43">
        <v>4</v>
      </c>
      <c r="M36" s="43"/>
      <c r="N36" s="43">
        <v>2</v>
      </c>
      <c r="O36" s="43">
        <v>6</v>
      </c>
      <c r="P36" s="43">
        <v>11</v>
      </c>
      <c r="Q36" s="44"/>
      <c r="R36" s="73"/>
      <c r="S36" s="45"/>
      <c r="T36" s="45"/>
      <c r="U36" s="80"/>
      <c r="V36" s="80"/>
      <c r="W36" s="80"/>
      <c r="X36" s="80"/>
      <c r="Y36" s="80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0"/>
      <c r="V37" s="80"/>
      <c r="W37" s="80"/>
      <c r="X37" s="80"/>
      <c r="Y37" s="80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0"/>
      <c r="V38" s="80"/>
      <c r="W38" s="80"/>
      <c r="X38" s="80"/>
      <c r="Y38" s="80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0"/>
      <c r="V39" s="80"/>
      <c r="W39" s="80"/>
      <c r="X39" s="80"/>
      <c r="Y39" s="80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0"/>
      <c r="V40" s="80"/>
      <c r="W40" s="80"/>
      <c r="X40" s="80"/>
      <c r="Y40" s="80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0"/>
      <c r="W41" s="80"/>
      <c r="X41" s="80"/>
      <c r="Y41" s="80"/>
    </row>
    <row r="42" spans="2:25" s="5" customFormat="1" ht="18" customHeight="1" thickBot="1" x14ac:dyDescent="0.3">
      <c r="B42" s="46" t="s">
        <v>53</v>
      </c>
      <c r="C42" s="47"/>
      <c r="D42" s="42"/>
      <c r="E42" s="43">
        <v>2</v>
      </c>
      <c r="F42" s="43">
        <v>498</v>
      </c>
      <c r="G42" s="43">
        <v>16</v>
      </c>
      <c r="H42" s="43"/>
      <c r="I42" s="43">
        <v>4</v>
      </c>
      <c r="J42" s="43"/>
      <c r="K42" s="43">
        <v>7</v>
      </c>
      <c r="L42" s="43">
        <v>4</v>
      </c>
      <c r="M42" s="43"/>
      <c r="N42" s="43">
        <v>2</v>
      </c>
      <c r="O42" s="43">
        <v>6</v>
      </c>
      <c r="P42" s="43">
        <v>11</v>
      </c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0"/>
      <c r="V43" s="80"/>
      <c r="W43" s="80"/>
      <c r="X43" s="80"/>
      <c r="Y43" s="80"/>
    </row>
    <row r="44" spans="2:25" x14ac:dyDescent="0.25">
      <c r="B44" s="77" t="s">
        <v>68</v>
      </c>
      <c r="C44" s="93">
        <f>1+17+2+1+75+2+479</f>
        <v>577</v>
      </c>
      <c r="D44" s="93"/>
      <c r="E44" s="93"/>
    </row>
    <row r="45" spans="2:25" x14ac:dyDescent="0.25">
      <c r="B45" s="77" t="s">
        <v>69</v>
      </c>
      <c r="C45" s="93">
        <f>10</f>
        <v>10</v>
      </c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DD88-9956-47E3-966B-56C1C3606545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7FB-57CB-4872-AE3F-5F8AFB2F9F6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9D73-8610-4D09-A8CC-EB034ADE135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D968-AF76-46A8-92F8-352928A0ECE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4836-3DD1-40E8-9F8C-4E26415D679D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314D-E3FB-4BD0-8A82-5D70B1F856E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D7D0-AFBF-44F6-B674-87269D5E85F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735D-808E-452C-9381-67E3A8655DE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0EE3-90E9-44ED-A6CC-3F15C04E2A08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1665-AA35-41A6-AE7C-867CE5772CA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8A9D-C0AB-4881-B206-A02DCF265F9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918D-015E-4D26-B638-F3645651ED0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CD0C-5BD4-4601-BBBA-E496BD20C422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9369-393B-401A-94F3-CF241B9881B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90C9-4E5C-4F32-A032-E47DA7618A4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2362-7299-4782-93E0-75886F2EEE0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C4FF-1A8C-4109-AB19-651BD7AACE25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B994-03D0-4C77-9809-1B818464B66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7FF3-2253-4016-A98D-AD1A8333A94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A605-EDC6-41C0-8751-1073C18464D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217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60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1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1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1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1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1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1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2"/>
      <c r="Y15" s="24"/>
    </row>
    <row r="16" spans="2:27" ht="18" customHeight="1" thickBot="1" x14ac:dyDescent="0.3">
      <c r="B16" s="25" t="s">
        <v>26</v>
      </c>
      <c r="C16" s="58"/>
      <c r="D16" s="59"/>
      <c r="E16" s="27"/>
      <c r="F16" s="27"/>
      <c r="G16" s="28"/>
      <c r="H16" s="28"/>
      <c r="I16" s="28"/>
      <c r="J16" s="28"/>
      <c r="K16" s="5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7"/>
      <c r="X16" s="63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1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1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1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1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1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1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2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4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9"/>
      <c r="S33" s="69"/>
      <c r="T33" s="69"/>
      <c r="U33" s="69"/>
      <c r="V33" s="31"/>
      <c r="W33" s="31"/>
      <c r="X33" s="31"/>
      <c r="Y33" s="31"/>
    </row>
    <row r="34" spans="2:25" ht="18" customHeight="1" thickBot="1" x14ac:dyDescent="0.3">
      <c r="B34" s="87" t="s">
        <v>43</v>
      </c>
      <c r="C34" s="89" t="s">
        <v>21</v>
      </c>
      <c r="D34" s="89"/>
      <c r="E34" s="90"/>
      <c r="F34" s="91" t="s">
        <v>44</v>
      </c>
      <c r="G34" s="89"/>
      <c r="H34" s="90"/>
      <c r="I34" s="91" t="s">
        <v>45</v>
      </c>
      <c r="J34" s="89"/>
      <c r="K34" s="90"/>
      <c r="L34" s="91" t="s">
        <v>46</v>
      </c>
      <c r="M34" s="89"/>
      <c r="N34" s="90"/>
      <c r="O34" s="92" t="s">
        <v>47</v>
      </c>
      <c r="P34" s="92"/>
      <c r="Q34" s="92"/>
      <c r="R34" s="82" t="s">
        <v>48</v>
      </c>
      <c r="S34" s="83"/>
      <c r="T34" s="83"/>
      <c r="U34" s="84"/>
      <c r="V34" s="67"/>
      <c r="W34" s="3"/>
      <c r="X34" s="3"/>
      <c r="Y34" s="3"/>
    </row>
    <row r="35" spans="2:25" ht="18" customHeight="1" thickBot="1" x14ac:dyDescent="0.3">
      <c r="B35" s="88"/>
      <c r="C35" s="51" t="s">
        <v>49</v>
      </c>
      <c r="D35" s="48" t="s">
        <v>50</v>
      </c>
      <c r="E35" s="48" t="s">
        <v>51</v>
      </c>
      <c r="F35" s="56" t="s">
        <v>49</v>
      </c>
      <c r="G35" s="56" t="s">
        <v>50</v>
      </c>
      <c r="H35" s="56" t="s">
        <v>51</v>
      </c>
      <c r="I35" s="56" t="s">
        <v>49</v>
      </c>
      <c r="J35" s="56" t="s">
        <v>50</v>
      </c>
      <c r="K35" s="56" t="s">
        <v>51</v>
      </c>
      <c r="L35" s="56" t="s">
        <v>49</v>
      </c>
      <c r="M35" s="56" t="s">
        <v>50</v>
      </c>
      <c r="N35" s="56" t="s">
        <v>51</v>
      </c>
      <c r="O35" s="56" t="s">
        <v>49</v>
      </c>
      <c r="P35" s="56" t="s">
        <v>50</v>
      </c>
      <c r="Q35" s="68" t="s">
        <v>51</v>
      </c>
      <c r="R35" s="70"/>
      <c r="S35" s="71"/>
      <c r="T35" s="71"/>
      <c r="U35" s="72"/>
      <c r="V35" s="81"/>
      <c r="W35" s="81"/>
      <c r="X35" s="81"/>
      <c r="Y35" s="81"/>
    </row>
    <row r="36" spans="2:25" ht="18" customHeight="1" thickBot="1" x14ac:dyDescent="0.3">
      <c r="B36" s="53" t="s">
        <v>52</v>
      </c>
      <c r="C36" s="4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R36" s="73"/>
      <c r="S36" s="45"/>
      <c r="T36" s="45"/>
      <c r="U36" s="81"/>
      <c r="V36" s="81"/>
      <c r="W36" s="81"/>
      <c r="X36" s="81"/>
      <c r="Y36" s="81"/>
    </row>
    <row r="37" spans="2:25" s="5" customFormat="1" ht="18" customHeight="1" x14ac:dyDescent="0.25">
      <c r="B37" s="54"/>
      <c r="C37" s="50"/>
      <c r="D37" s="18"/>
      <c r="E37" s="1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65"/>
      <c r="R37" s="73"/>
      <c r="S37" s="45"/>
      <c r="T37" s="45"/>
      <c r="U37" s="81"/>
      <c r="V37" s="81"/>
      <c r="W37" s="81"/>
      <c r="X37" s="81"/>
      <c r="Y37" s="81"/>
    </row>
    <row r="38" spans="2:25" s="5" customFormat="1" ht="18" customHeight="1" x14ac:dyDescent="0.25">
      <c r="B38" s="54"/>
      <c r="C38" s="50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3"/>
      <c r="S38" s="45"/>
      <c r="T38" s="45"/>
      <c r="U38" s="81"/>
      <c r="V38" s="81"/>
      <c r="W38" s="81"/>
      <c r="X38" s="81"/>
      <c r="Y38" s="81"/>
    </row>
    <row r="39" spans="2:25" s="5" customFormat="1" ht="18" customHeight="1" x14ac:dyDescent="0.25">
      <c r="B39" s="54"/>
      <c r="C39" s="50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3"/>
      <c r="S39" s="45"/>
      <c r="T39" s="45"/>
      <c r="U39" s="81"/>
      <c r="V39" s="81"/>
      <c r="W39" s="81"/>
      <c r="X39" s="81"/>
      <c r="Y39" s="81"/>
    </row>
    <row r="40" spans="2:25" s="5" customFormat="1" ht="18" customHeight="1" x14ac:dyDescent="0.25">
      <c r="B40" s="54"/>
      <c r="C40" s="50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3"/>
      <c r="S40" s="45"/>
      <c r="T40" s="45"/>
      <c r="U40" s="81"/>
      <c r="V40" s="81"/>
      <c r="W40" s="81"/>
      <c r="X40" s="81"/>
      <c r="Y40" s="81"/>
    </row>
    <row r="41" spans="2:25" s="5" customFormat="1" ht="18" customHeight="1" thickBot="1" x14ac:dyDescent="0.3">
      <c r="B41" s="55"/>
      <c r="C41" s="52"/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66"/>
      <c r="R41" s="74"/>
      <c r="S41" s="75"/>
      <c r="T41" s="75"/>
      <c r="U41" s="76"/>
      <c r="V41" s="81"/>
      <c r="W41" s="81"/>
      <c r="X41" s="81"/>
      <c r="Y41" s="81"/>
    </row>
    <row r="42" spans="2:25" s="5" customFormat="1" ht="18" customHeight="1" thickBot="1" x14ac:dyDescent="0.3">
      <c r="B42" s="46" t="s">
        <v>53</v>
      </c>
      <c r="C42" s="4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/>
      <c r="R42" s="85" t="s">
        <v>54</v>
      </c>
      <c r="S42" s="86"/>
      <c r="T42" s="86"/>
      <c r="U42" s="86"/>
      <c r="V42" s="3"/>
      <c r="W42" s="3"/>
      <c r="X42" s="3"/>
      <c r="Y42" s="3"/>
    </row>
    <row r="43" spans="2:25" ht="18" customHeight="1" x14ac:dyDescent="0.25">
      <c r="B43" s="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81"/>
      <c r="V43" s="81"/>
      <c r="W43" s="81"/>
      <c r="X43" s="81"/>
      <c r="Y43" s="81"/>
    </row>
    <row r="44" spans="2:25" x14ac:dyDescent="0.25">
      <c r="B44" s="77" t="s">
        <v>68</v>
      </c>
      <c r="C44" s="93"/>
      <c r="D44" s="93"/>
      <c r="E44" s="93"/>
    </row>
    <row r="45" spans="2:25" x14ac:dyDescent="0.25">
      <c r="B45" s="77" t="s">
        <v>69</v>
      </c>
      <c r="C45" s="93"/>
      <c r="D45" s="93"/>
      <c r="E45" s="93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101</vt:i4>
      </vt:variant>
      <vt:variant>
        <vt:lpstr>Named Ranges</vt:lpstr>
      </vt:variant>
      <vt:variant>
        <vt:i4>100</vt:i4>
      </vt:variant>
    </vt:vector>
  </HeadingPairs>
  <TitlesOfParts>
    <vt:vector size="201" baseType="lpstr">
      <vt:lpstr>CSR | APRIL</vt:lpstr>
      <vt:lpstr>(2)</vt:lpstr>
      <vt:lpstr>03-02 R1</vt:lpstr>
      <vt:lpstr>03-02 R2</vt:lpstr>
      <vt:lpstr>03-02 R3</vt:lpstr>
      <vt:lpstr>(3)</vt:lpstr>
      <vt:lpstr>03-03 R1</vt:lpstr>
      <vt:lpstr>03-03 R2</vt:lpstr>
      <vt:lpstr>03-03 R3</vt:lpstr>
      <vt:lpstr>(4)</vt:lpstr>
      <vt:lpstr>03-04 R1</vt:lpstr>
      <vt:lpstr>03-04 R2</vt:lpstr>
      <vt:lpstr>03-04 R3</vt:lpstr>
      <vt:lpstr>(5)</vt:lpstr>
      <vt:lpstr>03-05 R1</vt:lpstr>
      <vt:lpstr>03-05 R2</vt:lpstr>
      <vt:lpstr>03-05 R3 NO TRIP</vt:lpstr>
      <vt:lpstr>(6)</vt:lpstr>
      <vt:lpstr>03-06 R1 NO TRIP</vt:lpstr>
      <vt:lpstr>03-06 R2 NO TRIP</vt:lpstr>
      <vt:lpstr>03-06 R3</vt:lpstr>
      <vt:lpstr>(7)</vt:lpstr>
      <vt:lpstr>03-07 R1</vt:lpstr>
      <vt:lpstr>03-07 R2</vt:lpstr>
      <vt:lpstr>03-07 R3</vt:lpstr>
      <vt:lpstr>(9)</vt:lpstr>
      <vt:lpstr>03-09 R1</vt:lpstr>
      <vt:lpstr>03-09 R2</vt:lpstr>
      <vt:lpstr>03-09 R3</vt:lpstr>
      <vt:lpstr>(10)</vt:lpstr>
      <vt:lpstr>03-10 R1</vt:lpstr>
      <vt:lpstr>03-10 R2</vt:lpstr>
      <vt:lpstr>03-10 R3</vt:lpstr>
      <vt:lpstr>(11)</vt:lpstr>
      <vt:lpstr>03-11 R1</vt:lpstr>
      <vt:lpstr>03-11 R2</vt:lpstr>
      <vt:lpstr>03-11 R3</vt:lpstr>
      <vt:lpstr>(12)</vt:lpstr>
      <vt:lpstr>03-12 R1</vt:lpstr>
      <vt:lpstr>03-12 R2</vt:lpstr>
      <vt:lpstr>03-12 R3</vt:lpstr>
      <vt:lpstr>(13)</vt:lpstr>
      <vt:lpstr>NO TRIP 03-13 R1</vt:lpstr>
      <vt:lpstr>NO TRIP 03-13 R2</vt:lpstr>
      <vt:lpstr>NO TRIP 03-13 R3</vt:lpstr>
      <vt:lpstr>(14)</vt:lpstr>
      <vt:lpstr>03-14 R1</vt:lpstr>
      <vt:lpstr>03-14 R2</vt:lpstr>
      <vt:lpstr>03-14 R3</vt:lpstr>
      <vt:lpstr>(16)</vt:lpstr>
      <vt:lpstr>03-16 R1 NO TRIP</vt:lpstr>
      <vt:lpstr>03-16 R2</vt:lpstr>
      <vt:lpstr>03-16 R3</vt:lpstr>
      <vt:lpstr>(17)</vt:lpstr>
      <vt:lpstr>03-17 R1</vt:lpstr>
      <vt:lpstr>03-17 R2</vt:lpstr>
      <vt:lpstr>03-17 R3</vt:lpstr>
      <vt:lpstr>(18)</vt:lpstr>
      <vt:lpstr>03-18 R1</vt:lpstr>
      <vt:lpstr>03-18 R2</vt:lpstr>
      <vt:lpstr>03-18 R3</vt:lpstr>
      <vt:lpstr>(19)</vt:lpstr>
      <vt:lpstr>03-19 R1</vt:lpstr>
      <vt:lpstr>03-19 R2</vt:lpstr>
      <vt:lpstr>03-19 R3</vt:lpstr>
      <vt:lpstr>(20)</vt:lpstr>
      <vt:lpstr>03-20 R1</vt:lpstr>
      <vt:lpstr>03-20 R2</vt:lpstr>
      <vt:lpstr>03-20 R3</vt:lpstr>
      <vt:lpstr>(23)</vt:lpstr>
      <vt:lpstr>03-23 R1</vt:lpstr>
      <vt:lpstr>03-23 R2</vt:lpstr>
      <vt:lpstr>03-23 R3</vt:lpstr>
      <vt:lpstr>(24)</vt:lpstr>
      <vt:lpstr>03-24 R1</vt:lpstr>
      <vt:lpstr>03-24 R2</vt:lpstr>
      <vt:lpstr>03-24 R3</vt:lpstr>
      <vt:lpstr>(25)</vt:lpstr>
      <vt:lpstr>03-25 R1 NO TRIP</vt:lpstr>
      <vt:lpstr>03-25 R2</vt:lpstr>
      <vt:lpstr>03-25 R3</vt:lpstr>
      <vt:lpstr>(26)</vt:lpstr>
      <vt:lpstr>03-26 R1</vt:lpstr>
      <vt:lpstr>03-26 R2</vt:lpstr>
      <vt:lpstr>03-26 R3</vt:lpstr>
      <vt:lpstr>(27)</vt:lpstr>
      <vt:lpstr>03-27 R1</vt:lpstr>
      <vt:lpstr>03-27 R2</vt:lpstr>
      <vt:lpstr>03-27 R3</vt:lpstr>
      <vt:lpstr>(28)</vt:lpstr>
      <vt:lpstr>03-28 R1</vt:lpstr>
      <vt:lpstr>03-28 R2</vt:lpstr>
      <vt:lpstr>03-28 R3</vt:lpstr>
      <vt:lpstr>(30)</vt:lpstr>
      <vt:lpstr>03-30 R1</vt:lpstr>
      <vt:lpstr>03-30 R2</vt:lpstr>
      <vt:lpstr>03-30 R3</vt:lpstr>
      <vt:lpstr>(31)</vt:lpstr>
      <vt:lpstr>03-31 R1</vt:lpstr>
      <vt:lpstr>03-31 R2</vt:lpstr>
      <vt:lpstr>03-31 R3</vt:lpstr>
      <vt:lpstr>'(10)'!Print_Area</vt:lpstr>
      <vt:lpstr>'(11)'!Print_Area</vt:lpstr>
      <vt:lpstr>'(12)'!Print_Area</vt:lpstr>
      <vt:lpstr>'(13)'!Print_Area</vt:lpstr>
      <vt:lpstr>'(14)'!Print_Area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'(23)'!Print_Area</vt:lpstr>
      <vt:lpstr>'(24)'!Print_Area</vt:lpstr>
      <vt:lpstr>'(25)'!Print_Area</vt:lpstr>
      <vt:lpstr>'(26)'!Print_Area</vt:lpstr>
      <vt:lpstr>'(27)'!Print_Area</vt:lpstr>
      <vt:lpstr>'(28)'!Print_Area</vt:lpstr>
      <vt:lpstr>'(3)'!Print_Area</vt:lpstr>
      <vt:lpstr>'(30)'!Print_Area</vt:lpstr>
      <vt:lpstr>'(31)'!Print_Area</vt:lpstr>
      <vt:lpstr>'(4)'!Print_Area</vt:lpstr>
      <vt:lpstr>'(5)'!Print_Area</vt:lpstr>
      <vt:lpstr>'(6)'!Print_Area</vt:lpstr>
      <vt:lpstr>'(7)'!Print_Area</vt:lpstr>
      <vt:lpstr>'(9)'!Print_Area</vt:lpstr>
      <vt:lpstr>'03-02 R1'!Print_Area</vt:lpstr>
      <vt:lpstr>'03-02 R2'!Print_Area</vt:lpstr>
      <vt:lpstr>'03-02 R3'!Print_Area</vt:lpstr>
      <vt:lpstr>'03-03 R1'!Print_Area</vt:lpstr>
      <vt:lpstr>'03-03 R2'!Print_Area</vt:lpstr>
      <vt:lpstr>'03-03 R3'!Print_Area</vt:lpstr>
      <vt:lpstr>'03-04 R1'!Print_Area</vt:lpstr>
      <vt:lpstr>'03-04 R2'!Print_Area</vt:lpstr>
      <vt:lpstr>'03-04 R3'!Print_Area</vt:lpstr>
      <vt:lpstr>'03-05 R1'!Print_Area</vt:lpstr>
      <vt:lpstr>'03-05 R2'!Print_Area</vt:lpstr>
      <vt:lpstr>'03-05 R3 NO TRIP'!Print_Area</vt:lpstr>
      <vt:lpstr>'03-06 R1 NO TRIP'!Print_Area</vt:lpstr>
      <vt:lpstr>'03-06 R2 NO TRIP'!Print_Area</vt:lpstr>
      <vt:lpstr>'03-06 R3'!Print_Area</vt:lpstr>
      <vt:lpstr>'03-07 R1'!Print_Area</vt:lpstr>
      <vt:lpstr>'03-07 R2'!Print_Area</vt:lpstr>
      <vt:lpstr>'03-07 R3'!Print_Area</vt:lpstr>
      <vt:lpstr>'03-09 R1'!Print_Area</vt:lpstr>
      <vt:lpstr>'03-09 R2'!Print_Area</vt:lpstr>
      <vt:lpstr>'03-09 R3'!Print_Area</vt:lpstr>
      <vt:lpstr>'03-10 R1'!Print_Area</vt:lpstr>
      <vt:lpstr>'03-10 R2'!Print_Area</vt:lpstr>
      <vt:lpstr>'03-10 R3'!Print_Area</vt:lpstr>
      <vt:lpstr>'03-11 R1'!Print_Area</vt:lpstr>
      <vt:lpstr>'03-11 R2'!Print_Area</vt:lpstr>
      <vt:lpstr>'03-11 R3'!Print_Area</vt:lpstr>
      <vt:lpstr>'03-12 R1'!Print_Area</vt:lpstr>
      <vt:lpstr>'03-12 R2'!Print_Area</vt:lpstr>
      <vt:lpstr>'03-12 R3'!Print_Area</vt:lpstr>
      <vt:lpstr>'03-14 R1'!Print_Area</vt:lpstr>
      <vt:lpstr>'03-14 R2'!Print_Area</vt:lpstr>
      <vt:lpstr>'03-14 R3'!Print_Area</vt:lpstr>
      <vt:lpstr>'03-16 R1 NO TRIP'!Print_Area</vt:lpstr>
      <vt:lpstr>'03-16 R2'!Print_Area</vt:lpstr>
      <vt:lpstr>'03-16 R3'!Print_Area</vt:lpstr>
      <vt:lpstr>'03-17 R1'!Print_Area</vt:lpstr>
      <vt:lpstr>'03-17 R2'!Print_Area</vt:lpstr>
      <vt:lpstr>'03-17 R3'!Print_Area</vt:lpstr>
      <vt:lpstr>'03-18 R1'!Print_Area</vt:lpstr>
      <vt:lpstr>'03-18 R2'!Print_Area</vt:lpstr>
      <vt:lpstr>'03-18 R3'!Print_Area</vt:lpstr>
      <vt:lpstr>'03-19 R1'!Print_Area</vt:lpstr>
      <vt:lpstr>'03-19 R2'!Print_Area</vt:lpstr>
      <vt:lpstr>'03-19 R3'!Print_Area</vt:lpstr>
      <vt:lpstr>'03-20 R1'!Print_Area</vt:lpstr>
      <vt:lpstr>'03-20 R2'!Print_Area</vt:lpstr>
      <vt:lpstr>'03-20 R3'!Print_Area</vt:lpstr>
      <vt:lpstr>'03-23 R1'!Print_Area</vt:lpstr>
      <vt:lpstr>'03-23 R2'!Print_Area</vt:lpstr>
      <vt:lpstr>'03-23 R3'!Print_Area</vt:lpstr>
      <vt:lpstr>'03-24 R1'!Print_Area</vt:lpstr>
      <vt:lpstr>'03-24 R2'!Print_Area</vt:lpstr>
      <vt:lpstr>'03-24 R3'!Print_Area</vt:lpstr>
      <vt:lpstr>'03-25 R1 NO TRIP'!Print_Area</vt:lpstr>
      <vt:lpstr>'03-25 R2'!Print_Area</vt:lpstr>
      <vt:lpstr>'03-25 R3'!Print_Area</vt:lpstr>
      <vt:lpstr>'03-26 R1'!Print_Area</vt:lpstr>
      <vt:lpstr>'03-26 R2'!Print_Area</vt:lpstr>
      <vt:lpstr>'03-26 R3'!Print_Area</vt:lpstr>
      <vt:lpstr>'03-27 R1'!Print_Area</vt:lpstr>
      <vt:lpstr>'03-27 R2'!Print_Area</vt:lpstr>
      <vt:lpstr>'03-27 R3'!Print_Area</vt:lpstr>
      <vt:lpstr>'03-28 R1'!Print_Area</vt:lpstr>
      <vt:lpstr>'03-28 R2'!Print_Area</vt:lpstr>
      <vt:lpstr>'03-28 R3'!Print_Area</vt:lpstr>
      <vt:lpstr>'03-30 R1'!Print_Area</vt:lpstr>
      <vt:lpstr>'03-30 R2'!Print_Area</vt:lpstr>
      <vt:lpstr>'03-30 R3'!Print_Area</vt:lpstr>
      <vt:lpstr>'03-31 R1'!Print_Area</vt:lpstr>
      <vt:lpstr>'03-31 R2'!Print_Area</vt:lpstr>
      <vt:lpstr>'03-31 R3'!Print_Area</vt:lpstr>
      <vt:lpstr>'NO TRIP 03-13 R1'!Print_Area</vt:lpstr>
      <vt:lpstr>'NO TRIP 03-13 R2'!Print_Area</vt:lpstr>
      <vt:lpstr>'NO TRIP 03-13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2026-03-18T02:57:06Z</cp:lastPrinted>
  <dcterms:created xsi:type="dcterms:W3CDTF">2024-09-01T22:48:10Z</dcterms:created>
  <dcterms:modified xsi:type="dcterms:W3CDTF">2026-03-26T00:20:06Z</dcterms:modified>
</cp:coreProperties>
</file>