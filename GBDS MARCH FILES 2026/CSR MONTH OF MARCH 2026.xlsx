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4fxw\GBDS\GBDS MARCH FILES 2026\"/>
    </mc:Choice>
  </mc:AlternateContent>
  <xr:revisionPtr revIDLastSave="0" documentId="13_ncr:1_{1614ED75-651B-4276-BD3B-A0580CD7BE80}" xr6:coauthVersionLast="47" xr6:coauthVersionMax="47" xr10:uidLastSave="{00000000-0000-0000-0000-000000000000}"/>
  <bookViews>
    <workbookView xWindow="-120" yWindow="-120" windowWidth="29040" windowHeight="15840" firstSheet="29" activeTab="40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  <sheet name="(10)" sheetId="1476" r:id="rId30"/>
    <sheet name="03-10 R1" sheetId="1477" r:id="rId31"/>
    <sheet name="03-10 R2" sheetId="1478" r:id="rId32"/>
    <sheet name="03-10 R3" sheetId="1479" r:id="rId33"/>
    <sheet name="(11)" sheetId="1480" r:id="rId34"/>
    <sheet name="03-11 R1" sheetId="1481" r:id="rId35"/>
    <sheet name="03-11 R2" sheetId="1482" r:id="rId36"/>
    <sheet name="03-11 R3" sheetId="1499" r:id="rId37"/>
    <sheet name="(12)" sheetId="1484" r:id="rId38"/>
    <sheet name="03-12 R1" sheetId="1485" r:id="rId39"/>
    <sheet name="03-12 R2" sheetId="1486" r:id="rId40"/>
    <sheet name="03-12 R3" sheetId="1483" r:id="rId41"/>
    <sheet name="(13)" sheetId="1487" r:id="rId42"/>
    <sheet name="03-13 R1" sheetId="1488" r:id="rId43"/>
    <sheet name="03-13 R2" sheetId="1489" r:id="rId44"/>
    <sheet name="03-13 R3" sheetId="1490" r:id="rId45"/>
    <sheet name="(14)" sheetId="1491" r:id="rId46"/>
    <sheet name="03-14 R1" sheetId="1492" r:id="rId47"/>
    <sheet name="03-14 R2" sheetId="1493" r:id="rId48"/>
    <sheet name="03-14 R3" sheetId="1494" r:id="rId49"/>
    <sheet name="(16)" sheetId="1495" r:id="rId50"/>
    <sheet name="03-16 R1" sheetId="1496" r:id="rId51"/>
    <sheet name="03-16 R2" sheetId="1497" r:id="rId52"/>
    <sheet name="03-16 R3" sheetId="1498" r:id="rId53"/>
  </sheets>
  <externalReferences>
    <externalReference r:id="rId54"/>
  </externalReferences>
  <definedNames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'(16)'!$A$1:$Z$44</definedName>
    <definedName name="_xlnm.Print_Area" localSheetId="1">'(2)'!$A$1:$Z$44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  <definedName name="_xlnm.Print_Area" localSheetId="30">'03-10 R1'!$A$1:$Z$43</definedName>
    <definedName name="_xlnm.Print_Area" localSheetId="31">'03-10 R2'!$A$1:$V$44</definedName>
    <definedName name="_xlnm.Print_Area" localSheetId="32">'03-10 R3'!$A$1:$V$44</definedName>
    <definedName name="_xlnm.Print_Area" localSheetId="34">'03-11 R1'!$A$1:$Z$43</definedName>
    <definedName name="_xlnm.Print_Area" localSheetId="35">'03-11 R2'!$A$1:$V$44</definedName>
    <definedName name="_xlnm.Print_Area" localSheetId="36">'03-11 R3'!$A$1:$V$44</definedName>
    <definedName name="_xlnm.Print_Area" localSheetId="38">'03-12 R1'!$A$1:$Z$43</definedName>
    <definedName name="_xlnm.Print_Area" localSheetId="39">'03-12 R2'!$A$1:$V$44</definedName>
    <definedName name="_xlnm.Print_Area" localSheetId="40">'03-12 R3'!$A$1:$V$44</definedName>
    <definedName name="_xlnm.Print_Area" localSheetId="42">'03-13 R1'!$A$1:$Z$43</definedName>
    <definedName name="_xlnm.Print_Area" localSheetId="43">'03-13 R2'!$A$1:$V$44</definedName>
    <definedName name="_xlnm.Print_Area" localSheetId="44">'03-13 R3'!$A$1:$V$44</definedName>
    <definedName name="_xlnm.Print_Area" localSheetId="46">'03-14 R1'!$A$1:$Z$43</definedName>
    <definedName name="_xlnm.Print_Area" localSheetId="47">'03-14 R2'!$A$1:$V$44</definedName>
    <definedName name="_xlnm.Print_Area" localSheetId="48">'03-14 R3'!$A$1:$V$44</definedName>
    <definedName name="_xlnm.Print_Area" localSheetId="50">'03-16 R1'!$A$1:$Z$43</definedName>
    <definedName name="_xlnm.Print_Area" localSheetId="51">'03-16 R2'!$A$1:$V$44</definedName>
    <definedName name="_xlnm.Print_Area" localSheetId="52">'03-16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5" i="1483" l="1"/>
  <c r="C44" i="1483"/>
  <c r="C45" i="1486"/>
  <c r="C44" i="1486"/>
  <c r="C44" i="1485"/>
  <c r="C45" i="1499"/>
  <c r="C44" i="1499"/>
  <c r="C45" i="1482"/>
  <c r="C44" i="1482"/>
  <c r="F21" i="1499"/>
  <c r="Y19" i="1499"/>
  <c r="W19" i="1499"/>
  <c r="V19" i="1499"/>
  <c r="U19" i="1499"/>
  <c r="T19" i="1499"/>
  <c r="P19" i="1499"/>
  <c r="O19" i="1499"/>
  <c r="N19" i="1499"/>
  <c r="M19" i="1499"/>
  <c r="L19" i="1499"/>
  <c r="K19" i="1499"/>
  <c r="J19" i="1499"/>
  <c r="I19" i="1499"/>
  <c r="H19" i="1499"/>
  <c r="G19" i="1499"/>
  <c r="F19" i="1499"/>
  <c r="E19" i="1499"/>
  <c r="D19" i="1499"/>
  <c r="C19" i="1499"/>
  <c r="Y18" i="1499"/>
  <c r="W18" i="1499"/>
  <c r="V18" i="1499"/>
  <c r="U18" i="1499"/>
  <c r="T18" i="1499"/>
  <c r="P18" i="1499"/>
  <c r="O18" i="1499"/>
  <c r="N18" i="1499"/>
  <c r="M18" i="1499"/>
  <c r="L18" i="1499"/>
  <c r="K18" i="1499"/>
  <c r="J18" i="1499"/>
  <c r="I18" i="1499"/>
  <c r="H18" i="1499"/>
  <c r="G18" i="1499"/>
  <c r="F18" i="1499"/>
  <c r="E18" i="1499"/>
  <c r="D18" i="1499"/>
  <c r="C18" i="1499"/>
  <c r="Y4" i="1499"/>
  <c r="W4" i="1499"/>
  <c r="V4" i="1499"/>
  <c r="U4" i="1499"/>
  <c r="T4" i="1499"/>
  <c r="P4" i="1499"/>
  <c r="O4" i="1499"/>
  <c r="N4" i="1499"/>
  <c r="M4" i="1499"/>
  <c r="L4" i="1499"/>
  <c r="K4" i="1499"/>
  <c r="J4" i="1499"/>
  <c r="I4" i="1499"/>
  <c r="H4" i="1499"/>
  <c r="G4" i="1499"/>
  <c r="F4" i="1499"/>
  <c r="E4" i="1499"/>
  <c r="D4" i="1499"/>
  <c r="C4" i="1499"/>
  <c r="Y3" i="1499"/>
  <c r="W3" i="1499"/>
  <c r="V3" i="1499"/>
  <c r="U3" i="1499"/>
  <c r="T3" i="1499"/>
  <c r="P3" i="1499"/>
  <c r="O3" i="1499"/>
  <c r="N3" i="1499"/>
  <c r="M3" i="1499"/>
  <c r="L3" i="1499"/>
  <c r="K3" i="1499"/>
  <c r="J3" i="1499"/>
  <c r="I3" i="1499"/>
  <c r="H3" i="1499"/>
  <c r="G3" i="1499"/>
  <c r="F3" i="1499"/>
  <c r="E3" i="1499"/>
  <c r="D3" i="1499"/>
  <c r="C3" i="1499"/>
  <c r="C45" i="1481"/>
  <c r="C44" i="1481"/>
  <c r="C45" i="1478"/>
  <c r="C44" i="1478"/>
  <c r="C45" i="1479"/>
  <c r="C44" i="1479"/>
  <c r="C44" i="1477"/>
  <c r="C44" i="1475" l="1"/>
  <c r="C45" i="1474"/>
  <c r="C44" i="1474"/>
  <c r="C45" i="1473"/>
  <c r="C44" i="1473"/>
  <c r="F21" i="1498"/>
  <c r="Y19" i="1498"/>
  <c r="W19" i="1498"/>
  <c r="V19" i="1498"/>
  <c r="U19" i="1498"/>
  <c r="T19" i="1498"/>
  <c r="P19" i="1498"/>
  <c r="O19" i="1498"/>
  <c r="N19" i="1498"/>
  <c r="M19" i="1498"/>
  <c r="L19" i="1498"/>
  <c r="K19" i="1498"/>
  <c r="J19" i="1498"/>
  <c r="I19" i="1498"/>
  <c r="H19" i="1498"/>
  <c r="G19" i="1498"/>
  <c r="F19" i="1498"/>
  <c r="E19" i="1498"/>
  <c r="D19" i="1498"/>
  <c r="C19" i="1498"/>
  <c r="Y18" i="1498"/>
  <c r="W18" i="1498"/>
  <c r="V18" i="1498"/>
  <c r="U18" i="1498"/>
  <c r="T18" i="1498"/>
  <c r="P18" i="1498"/>
  <c r="O18" i="1498"/>
  <c r="N18" i="1498"/>
  <c r="M18" i="1498"/>
  <c r="L18" i="1498"/>
  <c r="K18" i="1498"/>
  <c r="J18" i="1498"/>
  <c r="I18" i="1498"/>
  <c r="H18" i="1498"/>
  <c r="G18" i="1498"/>
  <c r="F18" i="1498"/>
  <c r="E18" i="1498"/>
  <c r="D18" i="1498"/>
  <c r="C18" i="1498"/>
  <c r="Y4" i="1498"/>
  <c r="W4" i="1498"/>
  <c r="V4" i="1498"/>
  <c r="U4" i="1498"/>
  <c r="T4" i="1498"/>
  <c r="P4" i="1498"/>
  <c r="O4" i="1498"/>
  <c r="N4" i="1498"/>
  <c r="M4" i="1498"/>
  <c r="L4" i="1498"/>
  <c r="K4" i="1498"/>
  <c r="J4" i="1498"/>
  <c r="I4" i="1498"/>
  <c r="H4" i="1498"/>
  <c r="G4" i="1498"/>
  <c r="F4" i="1498"/>
  <c r="E4" i="1498"/>
  <c r="D4" i="1498"/>
  <c r="C4" i="1498"/>
  <c r="Y3" i="1498"/>
  <c r="W3" i="1498"/>
  <c r="V3" i="1498"/>
  <c r="U3" i="1498"/>
  <c r="T3" i="1498"/>
  <c r="P3" i="1498"/>
  <c r="O3" i="1498"/>
  <c r="N3" i="1498"/>
  <c r="M3" i="1498"/>
  <c r="L3" i="1498"/>
  <c r="K3" i="1498"/>
  <c r="J3" i="1498"/>
  <c r="I3" i="1498"/>
  <c r="H3" i="1498"/>
  <c r="G3" i="1498"/>
  <c r="F3" i="1498"/>
  <c r="E3" i="1498"/>
  <c r="D3" i="1498"/>
  <c r="C3" i="1498"/>
  <c r="F21" i="1497"/>
  <c r="Y19" i="1497"/>
  <c r="W19" i="1497"/>
  <c r="V19" i="1497"/>
  <c r="U19" i="1497"/>
  <c r="T19" i="1497"/>
  <c r="P19" i="1497"/>
  <c r="O19" i="1497"/>
  <c r="N19" i="1497"/>
  <c r="M19" i="1497"/>
  <c r="L19" i="1497"/>
  <c r="K19" i="1497"/>
  <c r="J19" i="1497"/>
  <c r="I19" i="1497"/>
  <c r="H19" i="1497"/>
  <c r="G19" i="1497"/>
  <c r="F19" i="1497"/>
  <c r="E19" i="1497"/>
  <c r="D19" i="1497"/>
  <c r="C19" i="1497"/>
  <c r="Y18" i="1497"/>
  <c r="W18" i="1497"/>
  <c r="V18" i="1497"/>
  <c r="U18" i="1497"/>
  <c r="T18" i="1497"/>
  <c r="P18" i="1497"/>
  <c r="O18" i="1497"/>
  <c r="N18" i="1497"/>
  <c r="M18" i="1497"/>
  <c r="L18" i="1497"/>
  <c r="K18" i="1497"/>
  <c r="J18" i="1497"/>
  <c r="I18" i="1497"/>
  <c r="H18" i="1497"/>
  <c r="G18" i="1497"/>
  <c r="F18" i="1497"/>
  <c r="E18" i="1497"/>
  <c r="D18" i="1497"/>
  <c r="C18" i="1497"/>
  <c r="Y4" i="1497"/>
  <c r="W4" i="1497"/>
  <c r="V4" i="1497"/>
  <c r="U4" i="1497"/>
  <c r="T4" i="1497"/>
  <c r="P4" i="1497"/>
  <c r="O4" i="1497"/>
  <c r="N4" i="1497"/>
  <c r="M4" i="1497"/>
  <c r="L4" i="1497"/>
  <c r="K4" i="1497"/>
  <c r="J4" i="1497"/>
  <c r="I4" i="1497"/>
  <c r="H4" i="1497"/>
  <c r="G4" i="1497"/>
  <c r="F4" i="1497"/>
  <c r="E4" i="1497"/>
  <c r="D4" i="1497"/>
  <c r="C4" i="1497"/>
  <c r="Y3" i="1497"/>
  <c r="W3" i="1497"/>
  <c r="V3" i="1497"/>
  <c r="U3" i="1497"/>
  <c r="T3" i="1497"/>
  <c r="P3" i="1497"/>
  <c r="O3" i="1497"/>
  <c r="N3" i="1497"/>
  <c r="M3" i="1497"/>
  <c r="L3" i="1497"/>
  <c r="K3" i="1497"/>
  <c r="J3" i="1497"/>
  <c r="I3" i="1497"/>
  <c r="H3" i="1497"/>
  <c r="G3" i="1497"/>
  <c r="F3" i="1497"/>
  <c r="E3" i="1497"/>
  <c r="D3" i="1497"/>
  <c r="C3" i="1497"/>
  <c r="F21" i="1496"/>
  <c r="Y19" i="1496"/>
  <c r="W19" i="1496"/>
  <c r="V19" i="1496"/>
  <c r="U19" i="1496"/>
  <c r="T19" i="1496"/>
  <c r="P19" i="1496"/>
  <c r="O19" i="1496"/>
  <c r="N19" i="1496"/>
  <c r="M19" i="1496"/>
  <c r="L19" i="1496"/>
  <c r="K19" i="1496"/>
  <c r="J19" i="1496"/>
  <c r="I19" i="1496"/>
  <c r="H19" i="1496"/>
  <c r="G19" i="1496"/>
  <c r="F19" i="1496"/>
  <c r="E19" i="1496"/>
  <c r="D19" i="1496"/>
  <c r="C19" i="1496"/>
  <c r="Y18" i="1496"/>
  <c r="W18" i="1496"/>
  <c r="V18" i="1496"/>
  <c r="U18" i="1496"/>
  <c r="T18" i="1496"/>
  <c r="P18" i="1496"/>
  <c r="O18" i="1496"/>
  <c r="N18" i="1496"/>
  <c r="M18" i="1496"/>
  <c r="L18" i="1496"/>
  <c r="K18" i="1496"/>
  <c r="J18" i="1496"/>
  <c r="I18" i="1496"/>
  <c r="H18" i="1496"/>
  <c r="G18" i="1496"/>
  <c r="F18" i="1496"/>
  <c r="E18" i="1496"/>
  <c r="D18" i="1496"/>
  <c r="C18" i="1496"/>
  <c r="Y4" i="1496"/>
  <c r="W4" i="1496"/>
  <c r="V4" i="1496"/>
  <c r="U4" i="1496"/>
  <c r="T4" i="1496"/>
  <c r="P4" i="1496"/>
  <c r="O4" i="1496"/>
  <c r="N4" i="1496"/>
  <c r="M4" i="1496"/>
  <c r="L4" i="1496"/>
  <c r="K4" i="1496"/>
  <c r="J4" i="1496"/>
  <c r="I4" i="1496"/>
  <c r="H4" i="1496"/>
  <c r="G4" i="1496"/>
  <c r="F4" i="1496"/>
  <c r="E4" i="1496"/>
  <c r="D4" i="1496"/>
  <c r="C4" i="1496"/>
  <c r="Y3" i="1496"/>
  <c r="W3" i="1496"/>
  <c r="V3" i="1496"/>
  <c r="U3" i="1496"/>
  <c r="T3" i="1496"/>
  <c r="P3" i="1496"/>
  <c r="O3" i="1496"/>
  <c r="N3" i="1496"/>
  <c r="M3" i="1496"/>
  <c r="L3" i="1496"/>
  <c r="K3" i="1496"/>
  <c r="J3" i="1496"/>
  <c r="I3" i="1496"/>
  <c r="H3" i="1496"/>
  <c r="G3" i="1496"/>
  <c r="F3" i="1496"/>
  <c r="E3" i="1496"/>
  <c r="D3" i="1496"/>
  <c r="C3" i="1496"/>
  <c r="F21" i="1495"/>
  <c r="Y19" i="1495"/>
  <c r="W19" i="1495"/>
  <c r="V19" i="1495"/>
  <c r="U19" i="1495"/>
  <c r="T19" i="1495"/>
  <c r="P19" i="1495"/>
  <c r="O19" i="1495"/>
  <c r="N19" i="1495"/>
  <c r="M19" i="1495"/>
  <c r="L19" i="1495"/>
  <c r="K19" i="1495"/>
  <c r="J19" i="1495"/>
  <c r="I19" i="1495"/>
  <c r="H19" i="1495"/>
  <c r="G19" i="1495"/>
  <c r="F19" i="1495"/>
  <c r="E19" i="1495"/>
  <c r="D19" i="1495"/>
  <c r="C19" i="1495"/>
  <c r="Y18" i="1495"/>
  <c r="W18" i="1495"/>
  <c r="V18" i="1495"/>
  <c r="U18" i="1495"/>
  <c r="T18" i="1495"/>
  <c r="P18" i="1495"/>
  <c r="O18" i="1495"/>
  <c r="N18" i="1495"/>
  <c r="M18" i="1495"/>
  <c r="L18" i="1495"/>
  <c r="K18" i="1495"/>
  <c r="J18" i="1495"/>
  <c r="I18" i="1495"/>
  <c r="H18" i="1495"/>
  <c r="G18" i="1495"/>
  <c r="F18" i="1495"/>
  <c r="E18" i="1495"/>
  <c r="D18" i="1495"/>
  <c r="C18" i="1495"/>
  <c r="Y4" i="1495"/>
  <c r="W4" i="1495"/>
  <c r="V4" i="1495"/>
  <c r="U4" i="1495"/>
  <c r="T4" i="1495"/>
  <c r="P4" i="1495"/>
  <c r="O4" i="1495"/>
  <c r="N4" i="1495"/>
  <c r="M4" i="1495"/>
  <c r="L4" i="1495"/>
  <c r="K4" i="1495"/>
  <c r="J4" i="1495"/>
  <c r="I4" i="1495"/>
  <c r="H4" i="1495"/>
  <c r="G4" i="1495"/>
  <c r="F4" i="1495"/>
  <c r="E4" i="1495"/>
  <c r="D4" i="1495"/>
  <c r="C4" i="1495"/>
  <c r="Y3" i="1495"/>
  <c r="W3" i="1495"/>
  <c r="V3" i="1495"/>
  <c r="U3" i="1495"/>
  <c r="T3" i="1495"/>
  <c r="P3" i="1495"/>
  <c r="O3" i="1495"/>
  <c r="N3" i="1495"/>
  <c r="M3" i="1495"/>
  <c r="L3" i="1495"/>
  <c r="K3" i="1495"/>
  <c r="J3" i="1495"/>
  <c r="I3" i="1495"/>
  <c r="H3" i="1495"/>
  <c r="G3" i="1495"/>
  <c r="F3" i="1495"/>
  <c r="E3" i="1495"/>
  <c r="D3" i="1495"/>
  <c r="C3" i="1495"/>
  <c r="F21" i="1494"/>
  <c r="Y19" i="1494"/>
  <c r="W19" i="1494"/>
  <c r="V19" i="1494"/>
  <c r="U19" i="1494"/>
  <c r="T19" i="1494"/>
  <c r="P19" i="1494"/>
  <c r="O19" i="1494"/>
  <c r="N19" i="1494"/>
  <c r="M19" i="1494"/>
  <c r="L19" i="1494"/>
  <c r="K19" i="1494"/>
  <c r="J19" i="1494"/>
  <c r="I19" i="1494"/>
  <c r="H19" i="1494"/>
  <c r="G19" i="1494"/>
  <c r="F19" i="1494"/>
  <c r="E19" i="1494"/>
  <c r="D19" i="1494"/>
  <c r="C19" i="1494"/>
  <c r="Y18" i="1494"/>
  <c r="W18" i="1494"/>
  <c r="V18" i="1494"/>
  <c r="U18" i="1494"/>
  <c r="T18" i="1494"/>
  <c r="P18" i="1494"/>
  <c r="O18" i="1494"/>
  <c r="N18" i="1494"/>
  <c r="M18" i="1494"/>
  <c r="L18" i="1494"/>
  <c r="K18" i="1494"/>
  <c r="J18" i="1494"/>
  <c r="I18" i="1494"/>
  <c r="H18" i="1494"/>
  <c r="G18" i="1494"/>
  <c r="F18" i="1494"/>
  <c r="E18" i="1494"/>
  <c r="D18" i="1494"/>
  <c r="C18" i="1494"/>
  <c r="Y4" i="1494"/>
  <c r="W4" i="1494"/>
  <c r="V4" i="1494"/>
  <c r="U4" i="1494"/>
  <c r="T4" i="1494"/>
  <c r="P4" i="1494"/>
  <c r="O4" i="1494"/>
  <c r="N4" i="1494"/>
  <c r="M4" i="1494"/>
  <c r="L4" i="1494"/>
  <c r="K4" i="1494"/>
  <c r="J4" i="1494"/>
  <c r="I4" i="1494"/>
  <c r="H4" i="1494"/>
  <c r="G4" i="1494"/>
  <c r="F4" i="1494"/>
  <c r="E4" i="1494"/>
  <c r="D4" i="1494"/>
  <c r="C4" i="1494"/>
  <c r="Y3" i="1494"/>
  <c r="W3" i="1494"/>
  <c r="V3" i="1494"/>
  <c r="U3" i="1494"/>
  <c r="T3" i="1494"/>
  <c r="P3" i="1494"/>
  <c r="O3" i="1494"/>
  <c r="N3" i="1494"/>
  <c r="M3" i="1494"/>
  <c r="L3" i="1494"/>
  <c r="K3" i="1494"/>
  <c r="J3" i="1494"/>
  <c r="I3" i="1494"/>
  <c r="H3" i="1494"/>
  <c r="G3" i="1494"/>
  <c r="F3" i="1494"/>
  <c r="E3" i="1494"/>
  <c r="D3" i="1494"/>
  <c r="C3" i="1494"/>
  <c r="F21" i="1493"/>
  <c r="Y19" i="1493"/>
  <c r="W19" i="1493"/>
  <c r="V19" i="1493"/>
  <c r="U19" i="1493"/>
  <c r="T19" i="1493"/>
  <c r="P19" i="1493"/>
  <c r="O19" i="1493"/>
  <c r="N19" i="1493"/>
  <c r="M19" i="1493"/>
  <c r="L19" i="1493"/>
  <c r="K19" i="1493"/>
  <c r="J19" i="1493"/>
  <c r="I19" i="1493"/>
  <c r="H19" i="1493"/>
  <c r="G19" i="1493"/>
  <c r="F19" i="1493"/>
  <c r="E19" i="1493"/>
  <c r="D19" i="1493"/>
  <c r="C19" i="1493"/>
  <c r="Y18" i="1493"/>
  <c r="W18" i="1493"/>
  <c r="V18" i="1493"/>
  <c r="U18" i="1493"/>
  <c r="T18" i="1493"/>
  <c r="P18" i="1493"/>
  <c r="O18" i="1493"/>
  <c r="N18" i="1493"/>
  <c r="M18" i="1493"/>
  <c r="L18" i="1493"/>
  <c r="K18" i="1493"/>
  <c r="J18" i="1493"/>
  <c r="I18" i="1493"/>
  <c r="H18" i="1493"/>
  <c r="G18" i="1493"/>
  <c r="F18" i="1493"/>
  <c r="E18" i="1493"/>
  <c r="D18" i="1493"/>
  <c r="C18" i="1493"/>
  <c r="Y4" i="1493"/>
  <c r="W4" i="1493"/>
  <c r="V4" i="1493"/>
  <c r="U4" i="1493"/>
  <c r="T4" i="1493"/>
  <c r="P4" i="1493"/>
  <c r="O4" i="1493"/>
  <c r="N4" i="1493"/>
  <c r="M4" i="1493"/>
  <c r="L4" i="1493"/>
  <c r="K4" i="1493"/>
  <c r="J4" i="1493"/>
  <c r="I4" i="1493"/>
  <c r="H4" i="1493"/>
  <c r="G4" i="1493"/>
  <c r="F4" i="1493"/>
  <c r="E4" i="1493"/>
  <c r="D4" i="1493"/>
  <c r="C4" i="1493"/>
  <c r="Y3" i="1493"/>
  <c r="W3" i="1493"/>
  <c r="V3" i="1493"/>
  <c r="U3" i="1493"/>
  <c r="T3" i="1493"/>
  <c r="P3" i="1493"/>
  <c r="O3" i="1493"/>
  <c r="N3" i="1493"/>
  <c r="M3" i="1493"/>
  <c r="L3" i="1493"/>
  <c r="K3" i="1493"/>
  <c r="J3" i="1493"/>
  <c r="I3" i="1493"/>
  <c r="H3" i="1493"/>
  <c r="G3" i="1493"/>
  <c r="F3" i="1493"/>
  <c r="E3" i="1493"/>
  <c r="D3" i="1493"/>
  <c r="C3" i="1493"/>
  <c r="F21" i="1492"/>
  <c r="Y19" i="1492"/>
  <c r="W19" i="1492"/>
  <c r="V19" i="1492"/>
  <c r="U19" i="1492"/>
  <c r="T19" i="1492"/>
  <c r="P19" i="1492"/>
  <c r="O19" i="1492"/>
  <c r="N19" i="1492"/>
  <c r="M19" i="1492"/>
  <c r="L19" i="1492"/>
  <c r="K19" i="1492"/>
  <c r="J19" i="1492"/>
  <c r="I19" i="1492"/>
  <c r="H19" i="1492"/>
  <c r="G19" i="1492"/>
  <c r="F19" i="1492"/>
  <c r="E19" i="1492"/>
  <c r="D19" i="1492"/>
  <c r="C19" i="1492"/>
  <c r="Y18" i="1492"/>
  <c r="W18" i="1492"/>
  <c r="V18" i="1492"/>
  <c r="U18" i="1492"/>
  <c r="T18" i="1492"/>
  <c r="P18" i="1492"/>
  <c r="O18" i="1492"/>
  <c r="N18" i="1492"/>
  <c r="M18" i="1492"/>
  <c r="L18" i="1492"/>
  <c r="K18" i="1492"/>
  <c r="J18" i="1492"/>
  <c r="I18" i="1492"/>
  <c r="H18" i="1492"/>
  <c r="G18" i="1492"/>
  <c r="F18" i="1492"/>
  <c r="E18" i="1492"/>
  <c r="D18" i="1492"/>
  <c r="C18" i="1492"/>
  <c r="Y4" i="1492"/>
  <c r="W4" i="1492"/>
  <c r="V4" i="1492"/>
  <c r="U4" i="1492"/>
  <c r="T4" i="1492"/>
  <c r="P4" i="1492"/>
  <c r="O4" i="1492"/>
  <c r="N4" i="1492"/>
  <c r="M4" i="1492"/>
  <c r="L4" i="1492"/>
  <c r="K4" i="1492"/>
  <c r="J4" i="1492"/>
  <c r="I4" i="1492"/>
  <c r="H4" i="1492"/>
  <c r="G4" i="1492"/>
  <c r="F4" i="1492"/>
  <c r="E4" i="1492"/>
  <c r="D4" i="1492"/>
  <c r="C4" i="1492"/>
  <c r="Y3" i="1492"/>
  <c r="W3" i="1492"/>
  <c r="V3" i="1492"/>
  <c r="U3" i="1492"/>
  <c r="T3" i="1492"/>
  <c r="P3" i="1492"/>
  <c r="O3" i="1492"/>
  <c r="N3" i="1492"/>
  <c r="M3" i="1492"/>
  <c r="L3" i="1492"/>
  <c r="K3" i="1492"/>
  <c r="J3" i="1492"/>
  <c r="I3" i="1492"/>
  <c r="H3" i="1492"/>
  <c r="G3" i="1492"/>
  <c r="F3" i="1492"/>
  <c r="E3" i="1492"/>
  <c r="D3" i="1492"/>
  <c r="C3" i="1492"/>
  <c r="F21" i="1491"/>
  <c r="Y19" i="1491"/>
  <c r="W19" i="1491"/>
  <c r="V19" i="1491"/>
  <c r="U19" i="1491"/>
  <c r="T19" i="1491"/>
  <c r="P19" i="1491"/>
  <c r="O19" i="1491"/>
  <c r="N19" i="1491"/>
  <c r="M19" i="1491"/>
  <c r="L19" i="1491"/>
  <c r="K19" i="1491"/>
  <c r="J19" i="1491"/>
  <c r="I19" i="1491"/>
  <c r="H19" i="1491"/>
  <c r="G19" i="1491"/>
  <c r="F19" i="1491"/>
  <c r="E19" i="1491"/>
  <c r="D19" i="1491"/>
  <c r="C19" i="1491"/>
  <c r="Y18" i="1491"/>
  <c r="W18" i="1491"/>
  <c r="V18" i="1491"/>
  <c r="U18" i="1491"/>
  <c r="T18" i="1491"/>
  <c r="P18" i="1491"/>
  <c r="O18" i="1491"/>
  <c r="N18" i="1491"/>
  <c r="M18" i="1491"/>
  <c r="L18" i="1491"/>
  <c r="K18" i="1491"/>
  <c r="J18" i="1491"/>
  <c r="I18" i="1491"/>
  <c r="H18" i="1491"/>
  <c r="G18" i="1491"/>
  <c r="F18" i="1491"/>
  <c r="E18" i="1491"/>
  <c r="D18" i="1491"/>
  <c r="C18" i="1491"/>
  <c r="Y4" i="1491"/>
  <c r="W4" i="1491"/>
  <c r="V4" i="1491"/>
  <c r="U4" i="1491"/>
  <c r="T4" i="1491"/>
  <c r="P4" i="1491"/>
  <c r="O4" i="1491"/>
  <c r="N4" i="1491"/>
  <c r="M4" i="1491"/>
  <c r="L4" i="1491"/>
  <c r="K4" i="1491"/>
  <c r="J4" i="1491"/>
  <c r="I4" i="1491"/>
  <c r="H4" i="1491"/>
  <c r="G4" i="1491"/>
  <c r="F4" i="1491"/>
  <c r="E4" i="1491"/>
  <c r="D4" i="1491"/>
  <c r="C4" i="1491"/>
  <c r="Y3" i="1491"/>
  <c r="W3" i="1491"/>
  <c r="V3" i="1491"/>
  <c r="U3" i="1491"/>
  <c r="T3" i="1491"/>
  <c r="P3" i="1491"/>
  <c r="O3" i="1491"/>
  <c r="N3" i="1491"/>
  <c r="M3" i="1491"/>
  <c r="L3" i="1491"/>
  <c r="K3" i="1491"/>
  <c r="J3" i="1491"/>
  <c r="I3" i="1491"/>
  <c r="H3" i="1491"/>
  <c r="G3" i="1491"/>
  <c r="F3" i="1491"/>
  <c r="E3" i="1491"/>
  <c r="D3" i="1491"/>
  <c r="C3" i="1491"/>
  <c r="F21" i="1490"/>
  <c r="Y19" i="1490"/>
  <c r="W19" i="1490"/>
  <c r="V19" i="1490"/>
  <c r="U19" i="1490"/>
  <c r="T19" i="1490"/>
  <c r="P19" i="1490"/>
  <c r="O19" i="1490"/>
  <c r="N19" i="1490"/>
  <c r="M19" i="1490"/>
  <c r="L19" i="1490"/>
  <c r="K19" i="1490"/>
  <c r="J19" i="1490"/>
  <c r="I19" i="1490"/>
  <c r="H19" i="1490"/>
  <c r="G19" i="1490"/>
  <c r="F19" i="1490"/>
  <c r="E19" i="1490"/>
  <c r="D19" i="1490"/>
  <c r="C19" i="1490"/>
  <c r="Y18" i="1490"/>
  <c r="W18" i="1490"/>
  <c r="V18" i="1490"/>
  <c r="U18" i="1490"/>
  <c r="T18" i="1490"/>
  <c r="P18" i="1490"/>
  <c r="O18" i="1490"/>
  <c r="N18" i="1490"/>
  <c r="M18" i="1490"/>
  <c r="L18" i="1490"/>
  <c r="K18" i="1490"/>
  <c r="J18" i="1490"/>
  <c r="I18" i="1490"/>
  <c r="H18" i="1490"/>
  <c r="G18" i="1490"/>
  <c r="F18" i="1490"/>
  <c r="E18" i="1490"/>
  <c r="D18" i="1490"/>
  <c r="C18" i="1490"/>
  <c r="Y4" i="1490"/>
  <c r="W4" i="1490"/>
  <c r="V4" i="1490"/>
  <c r="U4" i="1490"/>
  <c r="T4" i="1490"/>
  <c r="P4" i="1490"/>
  <c r="O4" i="1490"/>
  <c r="N4" i="1490"/>
  <c r="M4" i="1490"/>
  <c r="L4" i="1490"/>
  <c r="K4" i="1490"/>
  <c r="J4" i="1490"/>
  <c r="I4" i="1490"/>
  <c r="H4" i="1490"/>
  <c r="G4" i="1490"/>
  <c r="F4" i="1490"/>
  <c r="E4" i="1490"/>
  <c r="D4" i="1490"/>
  <c r="C4" i="1490"/>
  <c r="Y3" i="1490"/>
  <c r="W3" i="1490"/>
  <c r="V3" i="1490"/>
  <c r="U3" i="1490"/>
  <c r="T3" i="1490"/>
  <c r="P3" i="1490"/>
  <c r="O3" i="1490"/>
  <c r="N3" i="1490"/>
  <c r="M3" i="1490"/>
  <c r="L3" i="1490"/>
  <c r="K3" i="1490"/>
  <c r="J3" i="1490"/>
  <c r="I3" i="1490"/>
  <c r="H3" i="1490"/>
  <c r="G3" i="1490"/>
  <c r="F3" i="1490"/>
  <c r="E3" i="1490"/>
  <c r="D3" i="1490"/>
  <c r="C3" i="1490"/>
  <c r="F21" i="1489"/>
  <c r="Y19" i="1489"/>
  <c r="W19" i="1489"/>
  <c r="V19" i="1489"/>
  <c r="U19" i="1489"/>
  <c r="T19" i="1489"/>
  <c r="P19" i="1489"/>
  <c r="O19" i="1489"/>
  <c r="N19" i="1489"/>
  <c r="M19" i="1489"/>
  <c r="L19" i="1489"/>
  <c r="K19" i="1489"/>
  <c r="J19" i="1489"/>
  <c r="I19" i="1489"/>
  <c r="H19" i="1489"/>
  <c r="G19" i="1489"/>
  <c r="F19" i="1489"/>
  <c r="E19" i="1489"/>
  <c r="D19" i="1489"/>
  <c r="C19" i="1489"/>
  <c r="Y18" i="1489"/>
  <c r="W18" i="1489"/>
  <c r="V18" i="1489"/>
  <c r="U18" i="1489"/>
  <c r="T18" i="1489"/>
  <c r="P18" i="1489"/>
  <c r="O18" i="1489"/>
  <c r="N18" i="1489"/>
  <c r="M18" i="1489"/>
  <c r="L18" i="1489"/>
  <c r="K18" i="1489"/>
  <c r="J18" i="1489"/>
  <c r="I18" i="1489"/>
  <c r="H18" i="1489"/>
  <c r="G18" i="1489"/>
  <c r="F18" i="1489"/>
  <c r="E18" i="1489"/>
  <c r="D18" i="1489"/>
  <c r="C18" i="1489"/>
  <c r="Y4" i="1489"/>
  <c r="W4" i="1489"/>
  <c r="V4" i="1489"/>
  <c r="U4" i="1489"/>
  <c r="T4" i="1489"/>
  <c r="P4" i="1489"/>
  <c r="O4" i="1489"/>
  <c r="N4" i="1489"/>
  <c r="M4" i="1489"/>
  <c r="L4" i="1489"/>
  <c r="K4" i="1489"/>
  <c r="J4" i="1489"/>
  <c r="I4" i="1489"/>
  <c r="H4" i="1489"/>
  <c r="G4" i="1489"/>
  <c r="F4" i="1489"/>
  <c r="E4" i="1489"/>
  <c r="D4" i="1489"/>
  <c r="C4" i="1489"/>
  <c r="Y3" i="1489"/>
  <c r="W3" i="1489"/>
  <c r="V3" i="1489"/>
  <c r="U3" i="1489"/>
  <c r="T3" i="1489"/>
  <c r="P3" i="1489"/>
  <c r="O3" i="1489"/>
  <c r="N3" i="1489"/>
  <c r="M3" i="1489"/>
  <c r="L3" i="1489"/>
  <c r="K3" i="1489"/>
  <c r="J3" i="1489"/>
  <c r="I3" i="1489"/>
  <c r="H3" i="1489"/>
  <c r="G3" i="1489"/>
  <c r="F3" i="1489"/>
  <c r="E3" i="1489"/>
  <c r="D3" i="1489"/>
  <c r="C3" i="1489"/>
  <c r="F21" i="1488"/>
  <c r="Y19" i="1488"/>
  <c r="W19" i="1488"/>
  <c r="V19" i="1488"/>
  <c r="U19" i="1488"/>
  <c r="T19" i="1488"/>
  <c r="P19" i="1488"/>
  <c r="O19" i="1488"/>
  <c r="N19" i="1488"/>
  <c r="M19" i="1488"/>
  <c r="L19" i="1488"/>
  <c r="K19" i="1488"/>
  <c r="J19" i="1488"/>
  <c r="I19" i="1488"/>
  <c r="H19" i="1488"/>
  <c r="G19" i="1488"/>
  <c r="F19" i="1488"/>
  <c r="E19" i="1488"/>
  <c r="D19" i="1488"/>
  <c r="C19" i="1488"/>
  <c r="Y18" i="1488"/>
  <c r="W18" i="1488"/>
  <c r="V18" i="1488"/>
  <c r="U18" i="1488"/>
  <c r="T18" i="1488"/>
  <c r="P18" i="1488"/>
  <c r="O18" i="1488"/>
  <c r="N18" i="1488"/>
  <c r="M18" i="1488"/>
  <c r="L18" i="1488"/>
  <c r="K18" i="1488"/>
  <c r="J18" i="1488"/>
  <c r="I18" i="1488"/>
  <c r="H18" i="1488"/>
  <c r="G18" i="1488"/>
  <c r="F18" i="1488"/>
  <c r="E18" i="1488"/>
  <c r="D18" i="1488"/>
  <c r="C18" i="1488"/>
  <c r="Y4" i="1488"/>
  <c r="W4" i="1488"/>
  <c r="V4" i="1488"/>
  <c r="U4" i="1488"/>
  <c r="T4" i="1488"/>
  <c r="P4" i="1488"/>
  <c r="O4" i="1488"/>
  <c r="N4" i="1488"/>
  <c r="M4" i="1488"/>
  <c r="L4" i="1488"/>
  <c r="K4" i="1488"/>
  <c r="J4" i="1488"/>
  <c r="I4" i="1488"/>
  <c r="H4" i="1488"/>
  <c r="G4" i="1488"/>
  <c r="F4" i="1488"/>
  <c r="E4" i="1488"/>
  <c r="D4" i="1488"/>
  <c r="C4" i="1488"/>
  <c r="Y3" i="1488"/>
  <c r="W3" i="1488"/>
  <c r="V3" i="1488"/>
  <c r="U3" i="1488"/>
  <c r="T3" i="1488"/>
  <c r="P3" i="1488"/>
  <c r="O3" i="1488"/>
  <c r="N3" i="1488"/>
  <c r="M3" i="1488"/>
  <c r="L3" i="1488"/>
  <c r="K3" i="1488"/>
  <c r="J3" i="1488"/>
  <c r="I3" i="1488"/>
  <c r="H3" i="1488"/>
  <c r="G3" i="1488"/>
  <c r="F3" i="1488"/>
  <c r="E3" i="1488"/>
  <c r="D3" i="1488"/>
  <c r="C3" i="1488"/>
  <c r="F21" i="1487"/>
  <c r="Y19" i="1487"/>
  <c r="W19" i="1487"/>
  <c r="V19" i="1487"/>
  <c r="U19" i="1487"/>
  <c r="T19" i="1487"/>
  <c r="P19" i="1487"/>
  <c r="O19" i="1487"/>
  <c r="N19" i="1487"/>
  <c r="M19" i="1487"/>
  <c r="L19" i="1487"/>
  <c r="K19" i="1487"/>
  <c r="J19" i="1487"/>
  <c r="I19" i="1487"/>
  <c r="H19" i="1487"/>
  <c r="G19" i="1487"/>
  <c r="F19" i="1487"/>
  <c r="E19" i="1487"/>
  <c r="D19" i="1487"/>
  <c r="C19" i="1487"/>
  <c r="Y18" i="1487"/>
  <c r="W18" i="1487"/>
  <c r="V18" i="1487"/>
  <c r="U18" i="1487"/>
  <c r="T18" i="1487"/>
  <c r="P18" i="1487"/>
  <c r="O18" i="1487"/>
  <c r="N18" i="1487"/>
  <c r="M18" i="1487"/>
  <c r="L18" i="1487"/>
  <c r="K18" i="1487"/>
  <c r="J18" i="1487"/>
  <c r="I18" i="1487"/>
  <c r="H18" i="1487"/>
  <c r="G18" i="1487"/>
  <c r="F18" i="1487"/>
  <c r="E18" i="1487"/>
  <c r="D18" i="1487"/>
  <c r="C18" i="1487"/>
  <c r="Y4" i="1487"/>
  <c r="W4" i="1487"/>
  <c r="V4" i="1487"/>
  <c r="U4" i="1487"/>
  <c r="T4" i="1487"/>
  <c r="P4" i="1487"/>
  <c r="O4" i="1487"/>
  <c r="N4" i="1487"/>
  <c r="M4" i="1487"/>
  <c r="L4" i="1487"/>
  <c r="K4" i="1487"/>
  <c r="J4" i="1487"/>
  <c r="I4" i="1487"/>
  <c r="H4" i="1487"/>
  <c r="G4" i="1487"/>
  <c r="F4" i="1487"/>
  <c r="E4" i="1487"/>
  <c r="D4" i="1487"/>
  <c r="C4" i="1487"/>
  <c r="Y3" i="1487"/>
  <c r="W3" i="1487"/>
  <c r="V3" i="1487"/>
  <c r="U3" i="1487"/>
  <c r="T3" i="1487"/>
  <c r="P3" i="1487"/>
  <c r="O3" i="1487"/>
  <c r="N3" i="1487"/>
  <c r="M3" i="1487"/>
  <c r="L3" i="1487"/>
  <c r="K3" i="1487"/>
  <c r="J3" i="1487"/>
  <c r="I3" i="1487"/>
  <c r="H3" i="1487"/>
  <c r="G3" i="1487"/>
  <c r="F3" i="1487"/>
  <c r="E3" i="1487"/>
  <c r="D3" i="1487"/>
  <c r="C3" i="1487"/>
  <c r="F21" i="1486"/>
  <c r="Y19" i="1486"/>
  <c r="W19" i="1486"/>
  <c r="V19" i="1486"/>
  <c r="U19" i="1486"/>
  <c r="T19" i="1486"/>
  <c r="P19" i="1486"/>
  <c r="O19" i="1486"/>
  <c r="N19" i="1486"/>
  <c r="M19" i="1486"/>
  <c r="L19" i="1486"/>
  <c r="K19" i="1486"/>
  <c r="J19" i="1486"/>
  <c r="I19" i="1486"/>
  <c r="H19" i="1486"/>
  <c r="G19" i="1486"/>
  <c r="F19" i="1486"/>
  <c r="E19" i="1486"/>
  <c r="D19" i="1486"/>
  <c r="C19" i="1486"/>
  <c r="Y18" i="1486"/>
  <c r="W18" i="1486"/>
  <c r="V18" i="1486"/>
  <c r="U18" i="1486"/>
  <c r="T18" i="1486"/>
  <c r="P18" i="1486"/>
  <c r="O18" i="1486"/>
  <c r="N18" i="1486"/>
  <c r="M18" i="1486"/>
  <c r="L18" i="1486"/>
  <c r="K18" i="1486"/>
  <c r="J18" i="1486"/>
  <c r="I18" i="1486"/>
  <c r="H18" i="1486"/>
  <c r="G18" i="1486"/>
  <c r="F18" i="1486"/>
  <c r="E18" i="1486"/>
  <c r="D18" i="1486"/>
  <c r="C18" i="1486"/>
  <c r="Y4" i="1486"/>
  <c r="W4" i="1486"/>
  <c r="V4" i="1486"/>
  <c r="U4" i="1486"/>
  <c r="T4" i="1486"/>
  <c r="P4" i="1486"/>
  <c r="O4" i="1486"/>
  <c r="N4" i="1486"/>
  <c r="M4" i="1486"/>
  <c r="L4" i="1486"/>
  <c r="K4" i="1486"/>
  <c r="J4" i="1486"/>
  <c r="I4" i="1486"/>
  <c r="H4" i="1486"/>
  <c r="G4" i="1486"/>
  <c r="F4" i="1486"/>
  <c r="E4" i="1486"/>
  <c r="D4" i="1486"/>
  <c r="C4" i="1486"/>
  <c r="Y3" i="1486"/>
  <c r="W3" i="1486"/>
  <c r="V3" i="1486"/>
  <c r="U3" i="1486"/>
  <c r="T3" i="1486"/>
  <c r="P3" i="1486"/>
  <c r="O3" i="1486"/>
  <c r="N3" i="1486"/>
  <c r="M3" i="1486"/>
  <c r="L3" i="1486"/>
  <c r="K3" i="1486"/>
  <c r="J3" i="1486"/>
  <c r="I3" i="1486"/>
  <c r="H3" i="1486"/>
  <c r="G3" i="1486"/>
  <c r="F3" i="1486"/>
  <c r="E3" i="1486"/>
  <c r="D3" i="1486"/>
  <c r="C3" i="1486"/>
  <c r="F21" i="1485"/>
  <c r="Y19" i="1485"/>
  <c r="W19" i="1485"/>
  <c r="V19" i="1485"/>
  <c r="U19" i="1485"/>
  <c r="T19" i="1485"/>
  <c r="P19" i="1485"/>
  <c r="O19" i="1485"/>
  <c r="N19" i="1485"/>
  <c r="M19" i="1485"/>
  <c r="L19" i="1485"/>
  <c r="K19" i="1485"/>
  <c r="J19" i="1485"/>
  <c r="I19" i="1485"/>
  <c r="H19" i="1485"/>
  <c r="G19" i="1485"/>
  <c r="F19" i="1485"/>
  <c r="E19" i="1485"/>
  <c r="D19" i="1485"/>
  <c r="C19" i="1485"/>
  <c r="Y18" i="1485"/>
  <c r="W18" i="1485"/>
  <c r="V18" i="1485"/>
  <c r="U18" i="1485"/>
  <c r="T18" i="1485"/>
  <c r="P18" i="1485"/>
  <c r="O18" i="1485"/>
  <c r="N18" i="1485"/>
  <c r="M18" i="1485"/>
  <c r="L18" i="1485"/>
  <c r="K18" i="1485"/>
  <c r="J18" i="1485"/>
  <c r="I18" i="1485"/>
  <c r="H18" i="1485"/>
  <c r="G18" i="1485"/>
  <c r="F18" i="1485"/>
  <c r="E18" i="1485"/>
  <c r="D18" i="1485"/>
  <c r="C18" i="1485"/>
  <c r="Y4" i="1485"/>
  <c r="W4" i="1485"/>
  <c r="V4" i="1485"/>
  <c r="U4" i="1485"/>
  <c r="T4" i="1485"/>
  <c r="P4" i="1485"/>
  <c r="O4" i="1485"/>
  <c r="N4" i="1485"/>
  <c r="M4" i="1485"/>
  <c r="L4" i="1485"/>
  <c r="K4" i="1485"/>
  <c r="J4" i="1485"/>
  <c r="I4" i="1485"/>
  <c r="H4" i="1485"/>
  <c r="G4" i="1485"/>
  <c r="F4" i="1485"/>
  <c r="E4" i="1485"/>
  <c r="D4" i="1485"/>
  <c r="C4" i="1485"/>
  <c r="Y3" i="1485"/>
  <c r="W3" i="1485"/>
  <c r="V3" i="1485"/>
  <c r="U3" i="1485"/>
  <c r="T3" i="1485"/>
  <c r="P3" i="1485"/>
  <c r="O3" i="1485"/>
  <c r="N3" i="1485"/>
  <c r="M3" i="1485"/>
  <c r="L3" i="1485"/>
  <c r="K3" i="1485"/>
  <c r="J3" i="1485"/>
  <c r="I3" i="1485"/>
  <c r="H3" i="1485"/>
  <c r="G3" i="1485"/>
  <c r="F3" i="1485"/>
  <c r="E3" i="1485"/>
  <c r="D3" i="1485"/>
  <c r="C3" i="1485"/>
  <c r="F21" i="1484"/>
  <c r="Y19" i="1484"/>
  <c r="W19" i="1484"/>
  <c r="V19" i="1484"/>
  <c r="U19" i="1484"/>
  <c r="T19" i="1484"/>
  <c r="P19" i="1484"/>
  <c r="O19" i="1484"/>
  <c r="N19" i="1484"/>
  <c r="M19" i="1484"/>
  <c r="L19" i="1484"/>
  <c r="K19" i="1484"/>
  <c r="J19" i="1484"/>
  <c r="I19" i="1484"/>
  <c r="H19" i="1484"/>
  <c r="G19" i="1484"/>
  <c r="F19" i="1484"/>
  <c r="E19" i="1484"/>
  <c r="D19" i="1484"/>
  <c r="C19" i="1484"/>
  <c r="Y18" i="1484"/>
  <c r="W18" i="1484"/>
  <c r="V18" i="1484"/>
  <c r="U18" i="1484"/>
  <c r="T18" i="1484"/>
  <c r="P18" i="1484"/>
  <c r="O18" i="1484"/>
  <c r="N18" i="1484"/>
  <c r="M18" i="1484"/>
  <c r="L18" i="1484"/>
  <c r="K18" i="1484"/>
  <c r="J18" i="1484"/>
  <c r="I18" i="1484"/>
  <c r="H18" i="1484"/>
  <c r="G18" i="1484"/>
  <c r="F18" i="1484"/>
  <c r="E18" i="1484"/>
  <c r="D18" i="1484"/>
  <c r="C18" i="1484"/>
  <c r="Y4" i="1484"/>
  <c r="W4" i="1484"/>
  <c r="V4" i="1484"/>
  <c r="U4" i="1484"/>
  <c r="T4" i="1484"/>
  <c r="P4" i="1484"/>
  <c r="O4" i="1484"/>
  <c r="N4" i="1484"/>
  <c r="M4" i="1484"/>
  <c r="L4" i="1484"/>
  <c r="K4" i="1484"/>
  <c r="J4" i="1484"/>
  <c r="I4" i="1484"/>
  <c r="H4" i="1484"/>
  <c r="G4" i="1484"/>
  <c r="F4" i="1484"/>
  <c r="E4" i="1484"/>
  <c r="D4" i="1484"/>
  <c r="C4" i="1484"/>
  <c r="Y3" i="1484"/>
  <c r="W3" i="1484"/>
  <c r="V3" i="1484"/>
  <c r="U3" i="1484"/>
  <c r="T3" i="1484"/>
  <c r="P3" i="1484"/>
  <c r="O3" i="1484"/>
  <c r="N3" i="1484"/>
  <c r="M3" i="1484"/>
  <c r="L3" i="1484"/>
  <c r="K3" i="1484"/>
  <c r="J3" i="1484"/>
  <c r="I3" i="1484"/>
  <c r="H3" i="1484"/>
  <c r="G3" i="1484"/>
  <c r="F3" i="1484"/>
  <c r="E3" i="1484"/>
  <c r="D3" i="1484"/>
  <c r="C3" i="1484"/>
  <c r="F21" i="1483"/>
  <c r="Y19" i="1483"/>
  <c r="W19" i="1483"/>
  <c r="V19" i="1483"/>
  <c r="U19" i="1483"/>
  <c r="T19" i="1483"/>
  <c r="P19" i="1483"/>
  <c r="O19" i="1483"/>
  <c r="N19" i="1483"/>
  <c r="M19" i="1483"/>
  <c r="L19" i="1483"/>
  <c r="K19" i="1483"/>
  <c r="J19" i="1483"/>
  <c r="I19" i="1483"/>
  <c r="H19" i="1483"/>
  <c r="G19" i="1483"/>
  <c r="F19" i="1483"/>
  <c r="E19" i="1483"/>
  <c r="D19" i="1483"/>
  <c r="C19" i="1483"/>
  <c r="Y18" i="1483"/>
  <c r="W18" i="1483"/>
  <c r="V18" i="1483"/>
  <c r="U18" i="1483"/>
  <c r="T18" i="1483"/>
  <c r="P18" i="1483"/>
  <c r="O18" i="1483"/>
  <c r="N18" i="1483"/>
  <c r="M18" i="1483"/>
  <c r="L18" i="1483"/>
  <c r="K18" i="1483"/>
  <c r="J18" i="1483"/>
  <c r="I18" i="1483"/>
  <c r="H18" i="1483"/>
  <c r="G18" i="1483"/>
  <c r="F18" i="1483"/>
  <c r="E18" i="1483"/>
  <c r="D18" i="1483"/>
  <c r="C18" i="1483"/>
  <c r="Y4" i="1483"/>
  <c r="W4" i="1483"/>
  <c r="V4" i="1483"/>
  <c r="U4" i="1483"/>
  <c r="T4" i="1483"/>
  <c r="P4" i="1483"/>
  <c r="O4" i="1483"/>
  <c r="N4" i="1483"/>
  <c r="M4" i="1483"/>
  <c r="L4" i="1483"/>
  <c r="K4" i="1483"/>
  <c r="J4" i="1483"/>
  <c r="I4" i="1483"/>
  <c r="H4" i="1483"/>
  <c r="G4" i="1483"/>
  <c r="F4" i="1483"/>
  <c r="E4" i="1483"/>
  <c r="D4" i="1483"/>
  <c r="C4" i="1483"/>
  <c r="Y3" i="1483"/>
  <c r="W3" i="1483"/>
  <c r="V3" i="1483"/>
  <c r="U3" i="1483"/>
  <c r="T3" i="1483"/>
  <c r="P3" i="1483"/>
  <c r="O3" i="1483"/>
  <c r="N3" i="1483"/>
  <c r="M3" i="1483"/>
  <c r="L3" i="1483"/>
  <c r="K3" i="1483"/>
  <c r="J3" i="1483"/>
  <c r="I3" i="1483"/>
  <c r="H3" i="1483"/>
  <c r="G3" i="1483"/>
  <c r="F3" i="1483"/>
  <c r="E3" i="1483"/>
  <c r="D3" i="1483"/>
  <c r="C3" i="1483"/>
  <c r="F21" i="1482"/>
  <c r="Y19" i="1482"/>
  <c r="W19" i="1482"/>
  <c r="V19" i="1482"/>
  <c r="U19" i="1482"/>
  <c r="T19" i="1482"/>
  <c r="P19" i="1482"/>
  <c r="O19" i="1482"/>
  <c r="N19" i="1482"/>
  <c r="M19" i="1482"/>
  <c r="L19" i="1482"/>
  <c r="K19" i="1482"/>
  <c r="J19" i="1482"/>
  <c r="I19" i="1482"/>
  <c r="H19" i="1482"/>
  <c r="G19" i="1482"/>
  <c r="F19" i="1482"/>
  <c r="E19" i="1482"/>
  <c r="D19" i="1482"/>
  <c r="C19" i="1482"/>
  <c r="Y18" i="1482"/>
  <c r="W18" i="1482"/>
  <c r="V18" i="1482"/>
  <c r="U18" i="1482"/>
  <c r="T18" i="1482"/>
  <c r="P18" i="1482"/>
  <c r="O18" i="1482"/>
  <c r="N18" i="1482"/>
  <c r="M18" i="1482"/>
  <c r="L18" i="1482"/>
  <c r="K18" i="1482"/>
  <c r="J18" i="1482"/>
  <c r="I18" i="1482"/>
  <c r="H18" i="1482"/>
  <c r="G18" i="1482"/>
  <c r="F18" i="1482"/>
  <c r="E18" i="1482"/>
  <c r="D18" i="1482"/>
  <c r="C18" i="1482"/>
  <c r="Y4" i="1482"/>
  <c r="W4" i="1482"/>
  <c r="V4" i="1482"/>
  <c r="U4" i="1482"/>
  <c r="T4" i="1482"/>
  <c r="P4" i="1482"/>
  <c r="O4" i="1482"/>
  <c r="N4" i="1482"/>
  <c r="M4" i="1482"/>
  <c r="L4" i="1482"/>
  <c r="K4" i="1482"/>
  <c r="J4" i="1482"/>
  <c r="I4" i="1482"/>
  <c r="H4" i="1482"/>
  <c r="G4" i="1482"/>
  <c r="F4" i="1482"/>
  <c r="E4" i="1482"/>
  <c r="D4" i="1482"/>
  <c r="C4" i="1482"/>
  <c r="Y3" i="1482"/>
  <c r="W3" i="1482"/>
  <c r="V3" i="1482"/>
  <c r="U3" i="1482"/>
  <c r="T3" i="1482"/>
  <c r="P3" i="1482"/>
  <c r="O3" i="1482"/>
  <c r="N3" i="1482"/>
  <c r="M3" i="1482"/>
  <c r="L3" i="1482"/>
  <c r="K3" i="1482"/>
  <c r="J3" i="1482"/>
  <c r="I3" i="1482"/>
  <c r="H3" i="1482"/>
  <c r="G3" i="1482"/>
  <c r="F3" i="1482"/>
  <c r="E3" i="1482"/>
  <c r="D3" i="1482"/>
  <c r="C3" i="1482"/>
  <c r="F21" i="1481"/>
  <c r="Y19" i="1481"/>
  <c r="W19" i="1481"/>
  <c r="V19" i="1481"/>
  <c r="U19" i="1481"/>
  <c r="T19" i="1481"/>
  <c r="P19" i="1481"/>
  <c r="O19" i="1481"/>
  <c r="N19" i="1481"/>
  <c r="M19" i="1481"/>
  <c r="L19" i="1481"/>
  <c r="K19" i="1481"/>
  <c r="J19" i="1481"/>
  <c r="I19" i="1481"/>
  <c r="H19" i="1481"/>
  <c r="G19" i="1481"/>
  <c r="F19" i="1481"/>
  <c r="E19" i="1481"/>
  <c r="D19" i="1481"/>
  <c r="C19" i="1481"/>
  <c r="Y18" i="1481"/>
  <c r="W18" i="1481"/>
  <c r="V18" i="1481"/>
  <c r="U18" i="1481"/>
  <c r="T18" i="1481"/>
  <c r="P18" i="1481"/>
  <c r="O18" i="1481"/>
  <c r="N18" i="1481"/>
  <c r="M18" i="1481"/>
  <c r="L18" i="1481"/>
  <c r="K18" i="1481"/>
  <c r="J18" i="1481"/>
  <c r="I18" i="1481"/>
  <c r="H18" i="1481"/>
  <c r="G18" i="1481"/>
  <c r="F18" i="1481"/>
  <c r="E18" i="1481"/>
  <c r="D18" i="1481"/>
  <c r="C18" i="1481"/>
  <c r="Y4" i="1481"/>
  <c r="W4" i="1481"/>
  <c r="V4" i="1481"/>
  <c r="U4" i="1481"/>
  <c r="T4" i="1481"/>
  <c r="P4" i="1481"/>
  <c r="O4" i="1481"/>
  <c r="N4" i="1481"/>
  <c r="M4" i="1481"/>
  <c r="L4" i="1481"/>
  <c r="K4" i="1481"/>
  <c r="J4" i="1481"/>
  <c r="I4" i="1481"/>
  <c r="H4" i="1481"/>
  <c r="G4" i="1481"/>
  <c r="F4" i="1481"/>
  <c r="E4" i="1481"/>
  <c r="D4" i="1481"/>
  <c r="C4" i="1481"/>
  <c r="Y3" i="1481"/>
  <c r="W3" i="1481"/>
  <c r="V3" i="1481"/>
  <c r="U3" i="1481"/>
  <c r="T3" i="1481"/>
  <c r="P3" i="1481"/>
  <c r="O3" i="1481"/>
  <c r="N3" i="1481"/>
  <c r="M3" i="1481"/>
  <c r="L3" i="1481"/>
  <c r="K3" i="1481"/>
  <c r="J3" i="1481"/>
  <c r="I3" i="1481"/>
  <c r="H3" i="1481"/>
  <c r="G3" i="1481"/>
  <c r="F3" i="1481"/>
  <c r="E3" i="1481"/>
  <c r="D3" i="1481"/>
  <c r="C3" i="1481"/>
  <c r="F21" i="1480"/>
  <c r="Y19" i="1480"/>
  <c r="W19" i="1480"/>
  <c r="V19" i="1480"/>
  <c r="U19" i="1480"/>
  <c r="T19" i="1480"/>
  <c r="P19" i="1480"/>
  <c r="O19" i="1480"/>
  <c r="N19" i="1480"/>
  <c r="M19" i="1480"/>
  <c r="L19" i="1480"/>
  <c r="K19" i="1480"/>
  <c r="J19" i="1480"/>
  <c r="I19" i="1480"/>
  <c r="H19" i="1480"/>
  <c r="G19" i="1480"/>
  <c r="F19" i="1480"/>
  <c r="E19" i="1480"/>
  <c r="D19" i="1480"/>
  <c r="C19" i="1480"/>
  <c r="Y18" i="1480"/>
  <c r="W18" i="1480"/>
  <c r="V18" i="1480"/>
  <c r="U18" i="1480"/>
  <c r="T18" i="1480"/>
  <c r="P18" i="1480"/>
  <c r="O18" i="1480"/>
  <c r="N18" i="1480"/>
  <c r="M18" i="1480"/>
  <c r="L18" i="1480"/>
  <c r="K18" i="1480"/>
  <c r="J18" i="1480"/>
  <c r="I18" i="1480"/>
  <c r="H18" i="1480"/>
  <c r="G18" i="1480"/>
  <c r="F18" i="1480"/>
  <c r="E18" i="1480"/>
  <c r="D18" i="1480"/>
  <c r="C18" i="1480"/>
  <c r="Y4" i="1480"/>
  <c r="W4" i="1480"/>
  <c r="V4" i="1480"/>
  <c r="U4" i="1480"/>
  <c r="T4" i="1480"/>
  <c r="P4" i="1480"/>
  <c r="O4" i="1480"/>
  <c r="N4" i="1480"/>
  <c r="M4" i="1480"/>
  <c r="L4" i="1480"/>
  <c r="K4" i="1480"/>
  <c r="J4" i="1480"/>
  <c r="I4" i="1480"/>
  <c r="H4" i="1480"/>
  <c r="G4" i="1480"/>
  <c r="F4" i="1480"/>
  <c r="E4" i="1480"/>
  <c r="D4" i="1480"/>
  <c r="C4" i="1480"/>
  <c r="Y3" i="1480"/>
  <c r="W3" i="1480"/>
  <c r="V3" i="1480"/>
  <c r="U3" i="1480"/>
  <c r="T3" i="1480"/>
  <c r="P3" i="1480"/>
  <c r="O3" i="1480"/>
  <c r="N3" i="1480"/>
  <c r="M3" i="1480"/>
  <c r="L3" i="1480"/>
  <c r="K3" i="1480"/>
  <c r="J3" i="1480"/>
  <c r="I3" i="1480"/>
  <c r="H3" i="1480"/>
  <c r="G3" i="1480"/>
  <c r="F3" i="1480"/>
  <c r="E3" i="1480"/>
  <c r="D3" i="1480"/>
  <c r="C3" i="1480"/>
  <c r="F21" i="1479"/>
  <c r="Y19" i="1479"/>
  <c r="W19" i="1479"/>
  <c r="V19" i="1479"/>
  <c r="U19" i="1479"/>
  <c r="T19" i="1479"/>
  <c r="P19" i="1479"/>
  <c r="O19" i="1479"/>
  <c r="N19" i="1479"/>
  <c r="M19" i="1479"/>
  <c r="L19" i="1479"/>
  <c r="K19" i="1479"/>
  <c r="J19" i="1479"/>
  <c r="I19" i="1479"/>
  <c r="H19" i="1479"/>
  <c r="G19" i="1479"/>
  <c r="F19" i="1479"/>
  <c r="E19" i="1479"/>
  <c r="D19" i="1479"/>
  <c r="C19" i="1479"/>
  <c r="Y18" i="1479"/>
  <c r="W18" i="1479"/>
  <c r="V18" i="1479"/>
  <c r="U18" i="1479"/>
  <c r="T18" i="1479"/>
  <c r="P18" i="1479"/>
  <c r="O18" i="1479"/>
  <c r="N18" i="1479"/>
  <c r="M18" i="1479"/>
  <c r="L18" i="1479"/>
  <c r="K18" i="1479"/>
  <c r="J18" i="1479"/>
  <c r="I18" i="1479"/>
  <c r="H18" i="1479"/>
  <c r="G18" i="1479"/>
  <c r="F18" i="1479"/>
  <c r="E18" i="1479"/>
  <c r="D18" i="1479"/>
  <c r="C18" i="1479"/>
  <c r="Y4" i="1479"/>
  <c r="W4" i="1479"/>
  <c r="V4" i="1479"/>
  <c r="U4" i="1479"/>
  <c r="T4" i="1479"/>
  <c r="P4" i="1479"/>
  <c r="O4" i="1479"/>
  <c r="N4" i="1479"/>
  <c r="M4" i="1479"/>
  <c r="L4" i="1479"/>
  <c r="K4" i="1479"/>
  <c r="J4" i="1479"/>
  <c r="I4" i="1479"/>
  <c r="H4" i="1479"/>
  <c r="G4" i="1479"/>
  <c r="F4" i="1479"/>
  <c r="E4" i="1479"/>
  <c r="D4" i="1479"/>
  <c r="C4" i="1479"/>
  <c r="Y3" i="1479"/>
  <c r="W3" i="1479"/>
  <c r="V3" i="1479"/>
  <c r="U3" i="1479"/>
  <c r="T3" i="1479"/>
  <c r="P3" i="1479"/>
  <c r="O3" i="1479"/>
  <c r="N3" i="1479"/>
  <c r="M3" i="1479"/>
  <c r="L3" i="1479"/>
  <c r="K3" i="1479"/>
  <c r="J3" i="1479"/>
  <c r="I3" i="1479"/>
  <c r="H3" i="1479"/>
  <c r="G3" i="1479"/>
  <c r="F3" i="1479"/>
  <c r="E3" i="1479"/>
  <c r="D3" i="1479"/>
  <c r="C3" i="1479"/>
  <c r="F21" i="1478"/>
  <c r="Y19" i="1478"/>
  <c r="W19" i="1478"/>
  <c r="V19" i="1478"/>
  <c r="U19" i="1478"/>
  <c r="T19" i="1478"/>
  <c r="P19" i="1478"/>
  <c r="O19" i="1478"/>
  <c r="N19" i="1478"/>
  <c r="M19" i="1478"/>
  <c r="L19" i="1478"/>
  <c r="K19" i="1478"/>
  <c r="J19" i="1478"/>
  <c r="I19" i="1478"/>
  <c r="H19" i="1478"/>
  <c r="G19" i="1478"/>
  <c r="F19" i="1478"/>
  <c r="E19" i="1478"/>
  <c r="D19" i="1478"/>
  <c r="C19" i="1478"/>
  <c r="Y18" i="1478"/>
  <c r="W18" i="1478"/>
  <c r="V18" i="1478"/>
  <c r="U18" i="1478"/>
  <c r="T18" i="1478"/>
  <c r="P18" i="1478"/>
  <c r="O18" i="1478"/>
  <c r="N18" i="1478"/>
  <c r="M18" i="1478"/>
  <c r="L18" i="1478"/>
  <c r="K18" i="1478"/>
  <c r="J18" i="1478"/>
  <c r="I18" i="1478"/>
  <c r="H18" i="1478"/>
  <c r="G18" i="1478"/>
  <c r="F18" i="1478"/>
  <c r="E18" i="1478"/>
  <c r="D18" i="1478"/>
  <c r="C18" i="1478"/>
  <c r="Y4" i="1478"/>
  <c r="W4" i="1478"/>
  <c r="V4" i="1478"/>
  <c r="U4" i="1478"/>
  <c r="T4" i="1478"/>
  <c r="P4" i="1478"/>
  <c r="O4" i="1478"/>
  <c r="N4" i="1478"/>
  <c r="M4" i="1478"/>
  <c r="L4" i="1478"/>
  <c r="K4" i="1478"/>
  <c r="J4" i="1478"/>
  <c r="I4" i="1478"/>
  <c r="H4" i="1478"/>
  <c r="G4" i="1478"/>
  <c r="F4" i="1478"/>
  <c r="E4" i="1478"/>
  <c r="D4" i="1478"/>
  <c r="C4" i="1478"/>
  <c r="Y3" i="1478"/>
  <c r="W3" i="1478"/>
  <c r="V3" i="1478"/>
  <c r="U3" i="1478"/>
  <c r="T3" i="1478"/>
  <c r="P3" i="1478"/>
  <c r="O3" i="1478"/>
  <c r="N3" i="1478"/>
  <c r="M3" i="1478"/>
  <c r="L3" i="1478"/>
  <c r="K3" i="1478"/>
  <c r="J3" i="1478"/>
  <c r="I3" i="1478"/>
  <c r="H3" i="1478"/>
  <c r="G3" i="1478"/>
  <c r="F3" i="1478"/>
  <c r="E3" i="1478"/>
  <c r="D3" i="1478"/>
  <c r="C3" i="1478"/>
  <c r="F21" i="1477"/>
  <c r="Y19" i="1477"/>
  <c r="W19" i="1477"/>
  <c r="V19" i="1477"/>
  <c r="U19" i="1477"/>
  <c r="T19" i="1477"/>
  <c r="P19" i="1477"/>
  <c r="O19" i="1477"/>
  <c r="N19" i="1477"/>
  <c r="M19" i="1477"/>
  <c r="L19" i="1477"/>
  <c r="K19" i="1477"/>
  <c r="J19" i="1477"/>
  <c r="I19" i="1477"/>
  <c r="H19" i="1477"/>
  <c r="G19" i="1477"/>
  <c r="F19" i="1477"/>
  <c r="E19" i="1477"/>
  <c r="D19" i="1477"/>
  <c r="C19" i="1477"/>
  <c r="Y18" i="1477"/>
  <c r="W18" i="1477"/>
  <c r="V18" i="1477"/>
  <c r="U18" i="1477"/>
  <c r="T18" i="1477"/>
  <c r="P18" i="1477"/>
  <c r="O18" i="1477"/>
  <c r="N18" i="1477"/>
  <c r="M18" i="1477"/>
  <c r="L18" i="1477"/>
  <c r="K18" i="1477"/>
  <c r="J18" i="1477"/>
  <c r="I18" i="1477"/>
  <c r="H18" i="1477"/>
  <c r="G18" i="1477"/>
  <c r="F18" i="1477"/>
  <c r="E18" i="1477"/>
  <c r="D18" i="1477"/>
  <c r="C18" i="1477"/>
  <c r="Y4" i="1477"/>
  <c r="W4" i="1477"/>
  <c r="V4" i="1477"/>
  <c r="U4" i="1477"/>
  <c r="T4" i="1477"/>
  <c r="P4" i="1477"/>
  <c r="O4" i="1477"/>
  <c r="N4" i="1477"/>
  <c r="M4" i="1477"/>
  <c r="L4" i="1477"/>
  <c r="K4" i="1477"/>
  <c r="J4" i="1477"/>
  <c r="I4" i="1477"/>
  <c r="H4" i="1477"/>
  <c r="G4" i="1477"/>
  <c r="F4" i="1477"/>
  <c r="E4" i="1477"/>
  <c r="D4" i="1477"/>
  <c r="C4" i="1477"/>
  <c r="Y3" i="1477"/>
  <c r="W3" i="1477"/>
  <c r="V3" i="1477"/>
  <c r="U3" i="1477"/>
  <c r="T3" i="1477"/>
  <c r="P3" i="1477"/>
  <c r="O3" i="1477"/>
  <c r="N3" i="1477"/>
  <c r="M3" i="1477"/>
  <c r="L3" i="1477"/>
  <c r="K3" i="1477"/>
  <c r="J3" i="1477"/>
  <c r="I3" i="1477"/>
  <c r="H3" i="1477"/>
  <c r="G3" i="1477"/>
  <c r="F3" i="1477"/>
  <c r="E3" i="1477"/>
  <c r="D3" i="1477"/>
  <c r="C3" i="1477"/>
  <c r="F21" i="1476"/>
  <c r="Y19" i="1476"/>
  <c r="W19" i="1476"/>
  <c r="V19" i="1476"/>
  <c r="U19" i="1476"/>
  <c r="T19" i="1476"/>
  <c r="P19" i="1476"/>
  <c r="O19" i="1476"/>
  <c r="N19" i="1476"/>
  <c r="M19" i="1476"/>
  <c r="L19" i="1476"/>
  <c r="K19" i="1476"/>
  <c r="J19" i="1476"/>
  <c r="I19" i="1476"/>
  <c r="H19" i="1476"/>
  <c r="G19" i="1476"/>
  <c r="F19" i="1476"/>
  <c r="E19" i="1476"/>
  <c r="D19" i="1476"/>
  <c r="C19" i="1476"/>
  <c r="Y18" i="1476"/>
  <c r="W18" i="1476"/>
  <c r="V18" i="1476"/>
  <c r="U18" i="1476"/>
  <c r="T18" i="1476"/>
  <c r="P18" i="1476"/>
  <c r="O18" i="1476"/>
  <c r="N18" i="1476"/>
  <c r="M18" i="1476"/>
  <c r="L18" i="1476"/>
  <c r="K18" i="1476"/>
  <c r="J18" i="1476"/>
  <c r="I18" i="1476"/>
  <c r="H18" i="1476"/>
  <c r="G18" i="1476"/>
  <c r="F18" i="1476"/>
  <c r="E18" i="1476"/>
  <c r="D18" i="1476"/>
  <c r="C18" i="1476"/>
  <c r="Y4" i="1476"/>
  <c r="W4" i="1476"/>
  <c r="V4" i="1476"/>
  <c r="U4" i="1476"/>
  <c r="T4" i="1476"/>
  <c r="P4" i="1476"/>
  <c r="O4" i="1476"/>
  <c r="N4" i="1476"/>
  <c r="M4" i="1476"/>
  <c r="L4" i="1476"/>
  <c r="K4" i="1476"/>
  <c r="J4" i="1476"/>
  <c r="I4" i="1476"/>
  <c r="H4" i="1476"/>
  <c r="G4" i="1476"/>
  <c r="F4" i="1476"/>
  <c r="E4" i="1476"/>
  <c r="D4" i="1476"/>
  <c r="C4" i="1476"/>
  <c r="Y3" i="1476"/>
  <c r="W3" i="1476"/>
  <c r="V3" i="1476"/>
  <c r="U3" i="1476"/>
  <c r="T3" i="1476"/>
  <c r="P3" i="1476"/>
  <c r="O3" i="1476"/>
  <c r="N3" i="1476"/>
  <c r="M3" i="1476"/>
  <c r="L3" i="1476"/>
  <c r="K3" i="1476"/>
  <c r="J3" i="1476"/>
  <c r="I3" i="1476"/>
  <c r="H3" i="1476"/>
  <c r="G3" i="1476"/>
  <c r="F3" i="1476"/>
  <c r="E3" i="1476"/>
  <c r="D3" i="1476"/>
  <c r="C3" i="1476"/>
  <c r="C44" i="1471" l="1"/>
  <c r="C44" i="1470"/>
  <c r="C44" i="1469"/>
  <c r="C45" i="1465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<sst xmlns="http://schemas.openxmlformats.org/spreadsheetml/2006/main" count="4706" uniqueCount="155">
  <si>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</si>
  <si>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</si>
  <si>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</si>
  <si>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</si>
  <si>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</si>
  <si>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</si>
  <si>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</si>
  <si>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</si>
  <si>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</si>
  <si>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</si>
  <si>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</si>
  <si>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</si>
  <si>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</si>
  <si>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</si>
  <si>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</si>
  <si>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</si>
  <si>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</si>
  <si>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</si>
  <si>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</si>
  <si>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</si>
  <si>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</si>
  <si>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</si>
  <si>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</si>
  <si>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</si>
  <si>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</si>
  <si>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</si>
  <si>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</si>
  <si>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</si>
  <si>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</si>
  <si>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</si>
  <si>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</si>
  <si>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</si>
  <si>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</si>
  <si>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</si>
  <si>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</si>
  <si>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</si>
  <si>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</si>
  <si>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</si>
  <si>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</si>
  <si>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</si>
  <si>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</si>
  <si>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</si>
  <si>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</si>
  <si>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</si>
  <si>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</si>
  <si>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</si>
  <si>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</si>
  <si>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</si>
  <si>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</si>
  <si>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</si>
  <si>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</si>
  <si>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</si>
  <si>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</si>
  <si>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</si>
  <si>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</si>
  <si>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</si>
  <si>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</si>
  <si>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</si>
  <si>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</si>
  <si>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</si>
  <si>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</si>
  <si>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</si>
  <si>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</si>
  <si>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</si>
  <si>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</si>
  <si>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</si>
  <si>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</si>
  <si>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</si>
  <si>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</si>
  <si>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</si>
  <si>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</si>
  <si>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</si>
  <si>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</si>
  <si>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</si>
  <si>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</si>
  <si>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</si>
  <si>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</si>
  <si>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</si>
  <si>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</si>
  <si>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</si>
  <si>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</si>
  <si>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</si>
  <si>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</si>
  <si>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</si>
  <si>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</si>
  <si>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</si>
  <si>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</si>
  <si>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</si>
  <si>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</si>
  <si>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</si>
  <si>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</si>
  <si>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</si>
  <si>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</si>
  <si>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</si>
  <si>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</si>
  <si>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</si>
  <si>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</si>
  <si>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</si>
  <si>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</si>
  <si>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</si>
  <si>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</si>
  <si>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</si>
  <si>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</si>
  <si>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</si>
  <si>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</si>
  <si>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</si>
  <si>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</si>
  <si>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</si>
  <si>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</si>
  <si>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</si>
  <si>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</si>
  <si>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</si>
  <si>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</si>
  <si>
    <t>5B</t>
  </si>
  <si>
    <t>10/5B</t>
  </si>
  <si>
    <t>DATE ___________03/10/2026___________</t>
  </si>
  <si>
    <t>DATE ___________03/11/2026___________</t>
  </si>
  <si>
    <t>DATE ___________03/12/2026___________</t>
  </si>
  <si>
    <t>DATE ___________03/13/2026___________</t>
  </si>
  <si>
    <t>DATE ___________03/14/2026___________</t>
  </si>
  <si>
    <t>DATE ___________03/16/2026___________</t>
  </si>
  <si>
    <t>26/5B</t>
  </si>
  <si>
    <t>5/21B</t>
  </si>
  <si>
    <t>20/8B</t>
  </si>
  <si>
    <t>20/5B</t>
  </si>
  <si>
    <t>3/19B</t>
  </si>
  <si>
    <t>5/6b</t>
  </si>
  <si>
    <t>6/13b</t>
  </si>
  <si>
    <t>11/19b</t>
  </si>
  <si>
    <t>14/20B</t>
  </si>
  <si>
    <t>4B</t>
  </si>
  <si>
    <t>11/6b</t>
  </si>
  <si>
    <t>2/15b</t>
  </si>
  <si>
    <t>13/21b</t>
  </si>
  <si>
    <t>5b</t>
  </si>
  <si>
    <t>9/19b</t>
  </si>
  <si>
    <t>9/4b</t>
  </si>
  <si>
    <t>20/13B</t>
  </si>
  <si>
    <t>4/16B</t>
  </si>
  <si>
    <t>15/21B</t>
  </si>
  <si>
    <t>10/7B</t>
  </si>
  <si>
    <t>2/8B</t>
  </si>
  <si>
    <t>12/15B</t>
  </si>
  <si>
    <t>9/19B</t>
  </si>
  <si>
    <t>8/4B</t>
  </si>
  <si>
    <t>9/4B</t>
  </si>
  <si>
    <t>10/14B</t>
  </si>
  <si>
    <t>22/4B</t>
  </si>
  <si>
    <t>19/16B</t>
  </si>
  <si>
    <t>16/17B</t>
  </si>
  <si>
    <t>15B</t>
  </si>
  <si>
    <t>17/8B</t>
  </si>
  <si>
    <t>14/4B</t>
  </si>
  <si>
    <t>6/10B</t>
  </si>
  <si>
    <t>20/14B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</si>
</sst>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.00_-;\-* #,##0.00_-;_-* &quot;-&quot;??_-;_-@_-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9" fillId="0" borderId="0"/>
  </cellStyleXfs>
  <cellXfs count="91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43" fontId="6" fillId="0" borderId="0" xfId="2" applyFont="1" applyFill="1" applyBorder="1" applyAlignment="1">
      <alignment horizontal="center" vertical="center"/>
    </xf>
    <xf numFmtId="43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164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43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28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>
        <f>1+1+1+6+2+2+18+1+12+308</f>
        <v>352</v>
      </c>
      <c r="D44" s="84"/>
      <c r="E44" s="84"/>
    </row>
    <row r="45" spans="2:25" x14ac:dyDescent="0.25">
      <c r="B45" s="77" t="s">
        <v>69</v>
      </c>
      <c r="C45" s="84">
        <f>5</f>
        <v>5</v>
      </c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28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>
        <f>2+9+1+10+40+1+351</f>
        <v>414</v>
      </c>
      <c r="D44" s="84"/>
      <c r="E44" s="84"/>
    </row>
    <row r="45" spans="2:25" x14ac:dyDescent="0.25">
      <c r="B45" s="77" t="s">
        <v>69</v>
      </c>
      <c r="C45" s="84">
        <f>3+12</f>
        <v>15</v>
      </c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>
        <f>12+2+1+57+9+266+1</f>
        <v>348</v>
      </c>
      <c r="D44" s="84"/>
      <c r="E44" s="84"/>
    </row>
    <row r="45" spans="2:25" x14ac:dyDescent="0.25">
      <c r="B45" s="77" t="s">
        <v>69</v>
      </c>
      <c r="C45" s="84">
        <f>8</f>
        <v>8</v>
      </c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>
        <f>1+1+31+7+382+3</f>
        <v>425</v>
      </c>
      <c r="D44" s="84"/>
      <c r="E44" s="84"/>
    </row>
    <row r="45" spans="2:25" x14ac:dyDescent="0.25">
      <c r="B45" s="77" t="s">
        <v>69</v>
      </c>
      <c r="C45" s="84">
        <v>9</v>
      </c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28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>
        <f>2+7+1+71+2+224</f>
        <v>307</v>
      </c>
      <c r="D44" s="84"/>
      <c r="E44" s="84"/>
    </row>
    <row r="45" spans="2:25" x14ac:dyDescent="0.25">
      <c r="B45" s="77" t="s">
        <v>69</v>
      </c>
      <c r="C45" s="84">
        <v>14</v>
      </c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>
        <f>1+1+15+3+36+1+20+291</f>
        <v>368</v>
      </c>
      <c r="D44" s="84"/>
      <c r="E44" s="84"/>
    </row>
    <row r="45" spans="2:25" x14ac:dyDescent="0.25">
      <c r="B45" s="77" t="s">
        <v>69</v>
      </c>
      <c r="C45" s="84"/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>
        <f>18+2+3+10+117+6+359+3</f>
        <v>518</v>
      </c>
      <c r="D44" s="84"/>
      <c r="E44" s="84"/>
    </row>
    <row r="45" spans="2:25" x14ac:dyDescent="0.25">
      <c r="B45" s="77" t="s">
        <v>69</v>
      </c>
      <c r="C45" s="84">
        <f>14</f>
        <v>14</v>
      </c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>
        <f>2+14+326</f>
        <v>342</v>
      </c>
      <c r="D44" s="84"/>
      <c r="E44" s="84"/>
    </row>
    <row r="45" spans="2:25" x14ac:dyDescent="0.25">
      <c r="B45" s="77" t="s">
        <v>69</v>
      </c>
      <c r="C45" s="84">
        <f>5</f>
        <v>5</v>
      </c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>
        <f>8+1+8+29+1+270</f>
        <v>317</v>
      </c>
      <c r="D44" s="84"/>
      <c r="E44" s="84"/>
    </row>
    <row r="45" spans="2:25" x14ac:dyDescent="0.25">
      <c r="B45" s="77" t="s">
        <v>69</v>
      </c>
      <c r="C45" s="84">
        <f>7</f>
        <v>7</v>
      </c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>
        <f>10+2+1+10+377</f>
        <v>400</v>
      </c>
      <c r="D44" s="84"/>
      <c r="E44" s="84"/>
    </row>
    <row r="45" spans="2:25" x14ac:dyDescent="0.25">
      <c r="B45" s="77" t="s">
        <v>69</v>
      </c>
      <c r="C45" s="84"/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28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>
        <f>17+13+7+4+2+11+3+24+6+1+246+4+1</f>
        <v>339</v>
      </c>
      <c r="D44" s="84"/>
      <c r="E44" s="84"/>
    </row>
    <row r="45" spans="2:25" x14ac:dyDescent="0.25">
      <c r="B45" s="77" t="s">
        <v>69</v>
      </c>
      <c r="C45" s="84"/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/>
      <c r="D44" s="84"/>
      <c r="E44" s="84"/>
    </row>
    <row r="45" spans="2:25" x14ac:dyDescent="0.25">
      <c r="B45" s="77" t="s">
        <v>69</v>
      </c>
      <c r="C45" s="84"/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/>
      <c r="D44" s="84"/>
      <c r="E44" s="84"/>
    </row>
    <row r="45" spans="2:25" x14ac:dyDescent="0.25">
      <c r="B45" s="77" t="s">
        <v>69</v>
      </c>
      <c r="C45" s="84"/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/>
      <c r="D44" s="84"/>
      <c r="E44" s="84"/>
    </row>
    <row r="45" spans="2:25" x14ac:dyDescent="0.25">
      <c r="B45" s="77" t="s">
        <v>69</v>
      </c>
      <c r="C45" s="84"/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>
        <f>13+111+10+355</f>
        <v>489</v>
      </c>
      <c r="D44" s="84"/>
      <c r="E44" s="84"/>
    </row>
    <row r="45" spans="2:25" x14ac:dyDescent="0.25">
      <c r="B45" s="77" t="s">
        <v>69</v>
      </c>
      <c r="C45" s="84">
        <f>13</f>
        <v>13</v>
      </c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6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>
        <v>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2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25</v>
      </c>
      <c r="I24" s="14"/>
      <c r="J24" s="14"/>
      <c r="K24" s="14">
        <v>50</v>
      </c>
      <c r="L24" s="14">
        <v>5</v>
      </c>
      <c r="M24" s="14">
        <v>320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8</v>
      </c>
      <c r="I31" s="23"/>
      <c r="J31" s="23"/>
      <c r="K31" s="23">
        <v>0</v>
      </c>
      <c r="L31" s="23">
        <v>5</v>
      </c>
      <c r="M31" s="23">
        <v>1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50</v>
      </c>
      <c r="L32" s="28">
        <v>0</v>
      </c>
      <c r="M32" s="28">
        <v>319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317</v>
      </c>
      <c r="G36" s="43">
        <v>1</v>
      </c>
      <c r="H36" s="43"/>
      <c r="I36" s="43">
        <v>62</v>
      </c>
      <c r="J36" s="43">
        <v>1</v>
      </c>
      <c r="K36" s="43">
        <v>9</v>
      </c>
      <c r="L36" s="43"/>
      <c r="M36" s="43"/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317</v>
      </c>
      <c r="G42" s="43">
        <v>1</v>
      </c>
      <c r="H42" s="43"/>
      <c r="I42" s="43">
        <v>62</v>
      </c>
      <c r="J42" s="43">
        <v>1</v>
      </c>
      <c r="K42" s="43">
        <v>9</v>
      </c>
      <c r="L42" s="43"/>
      <c r="M42" s="43"/>
      <c r="N42" s="43">
        <v>3</v>
      </c>
      <c r="O42" s="43">
        <v>1</v>
      </c>
      <c r="P42" s="43"/>
      <c r="Q42" s="44">
        <v>8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>
        <f>2+1+1+2+2+1+17+50+319+1</f>
        <v>396</v>
      </c>
      <c r="D44" s="84"/>
      <c r="E44" s="84"/>
    </row>
    <row r="45" spans="2:25" x14ac:dyDescent="0.25">
      <c r="B45" s="77" t="s">
        <v>69</v>
      </c>
      <c r="C45" s="84"/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</v>
      </c>
      <c r="F8" s="14">
        <v>1</v>
      </c>
      <c r="G8" s="14"/>
      <c r="H8" s="14" t="s">
        <v>114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113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0</v>
      </c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68</v>
      </c>
      <c r="I24" s="14"/>
      <c r="J24" s="14"/>
      <c r="K24" s="14">
        <v>1</v>
      </c>
      <c r="L24" s="14">
        <v>8</v>
      </c>
      <c r="M24" s="14">
        <v>481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4</v>
      </c>
      <c r="M31" s="23">
        <v>96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68</v>
      </c>
      <c r="I32" s="28"/>
      <c r="J32" s="28"/>
      <c r="K32" s="28">
        <v>0</v>
      </c>
      <c r="L32" s="28">
        <v>4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278</v>
      </c>
      <c r="G36" s="43">
        <v>18</v>
      </c>
      <c r="H36" s="43">
        <v>7</v>
      </c>
      <c r="I36" s="43">
        <v>4</v>
      </c>
      <c r="J36" s="43"/>
      <c r="K36" s="43">
        <v>12</v>
      </c>
      <c r="L36" s="43"/>
      <c r="M36" s="43">
        <v>2</v>
      </c>
      <c r="N36" s="43"/>
      <c r="O36" s="43">
        <v>3</v>
      </c>
      <c r="P36" s="43">
        <v>1</v>
      </c>
      <c r="Q36" s="44">
        <v>73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278</v>
      </c>
      <c r="G42" s="43">
        <v>18</v>
      </c>
      <c r="H42" s="43">
        <v>7</v>
      </c>
      <c r="I42" s="43">
        <v>4</v>
      </c>
      <c r="J42" s="43"/>
      <c r="K42" s="43">
        <v>12</v>
      </c>
      <c r="L42" s="43"/>
      <c r="M42" s="43">
        <v>2</v>
      </c>
      <c r="N42" s="43"/>
      <c r="O42" s="43">
        <v>3</v>
      </c>
      <c r="P42" s="43">
        <v>1</v>
      </c>
      <c r="Q42" s="44">
        <v>73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>
        <f>1+10+2+68+4+385</f>
        <v>470</v>
      </c>
      <c r="D44" s="84"/>
      <c r="E44" s="84"/>
    </row>
    <row r="45" spans="2:25" x14ac:dyDescent="0.25">
      <c r="B45" s="77" t="s">
        <v>69</v>
      </c>
      <c r="C45" s="84"/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15</v>
      </c>
      <c r="F8" s="14">
        <v>15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8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9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15</v>
      </c>
      <c r="F16" s="27">
        <v>15</v>
      </c>
      <c r="G16" s="28"/>
      <c r="H16" s="28">
        <v>19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140</v>
      </c>
      <c r="I24" s="14"/>
      <c r="J24" s="14"/>
      <c r="K24" s="14">
        <v>2</v>
      </c>
      <c r="L24" s="14">
        <v>15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81</v>
      </c>
      <c r="I31" s="23"/>
      <c r="J31" s="23"/>
      <c r="K31" s="23">
        <v>2</v>
      </c>
      <c r="L31" s="23">
        <v>3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12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510</v>
      </c>
      <c r="G36" s="43">
        <v>1</v>
      </c>
      <c r="H36" s="43">
        <v>5</v>
      </c>
      <c r="I36" s="43">
        <v>2</v>
      </c>
      <c r="J36" s="43"/>
      <c r="K36" s="43">
        <v>2</v>
      </c>
      <c r="L36" s="43">
        <v>2</v>
      </c>
      <c r="M36" s="43"/>
      <c r="N36" s="43">
        <v>2</v>
      </c>
      <c r="O36" s="43">
        <v>12</v>
      </c>
      <c r="P36" s="43">
        <v>18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510</v>
      </c>
      <c r="G42" s="43">
        <v>1</v>
      </c>
      <c r="H42" s="43">
        <v>5</v>
      </c>
      <c r="I42" s="43">
        <v>2</v>
      </c>
      <c r="J42" s="43"/>
      <c r="K42" s="43">
        <v>2</v>
      </c>
      <c r="L42" s="43">
        <v>2</v>
      </c>
      <c r="M42" s="43"/>
      <c r="N42" s="43">
        <v>2</v>
      </c>
      <c r="O42" s="43">
        <v>12</v>
      </c>
      <c r="P42" s="43">
        <v>18</v>
      </c>
      <c r="Q42" s="44">
        <v>19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>
        <f>15+15+19+1+2+2+59+12+432</f>
        <v>557</v>
      </c>
      <c r="D44" s="84"/>
      <c r="E44" s="84"/>
    </row>
    <row r="45" spans="2:25" x14ac:dyDescent="0.25">
      <c r="B45" s="77" t="s">
        <v>69</v>
      </c>
      <c r="C45" s="84"/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>
        <v>6</v>
      </c>
      <c r="S8" s="14"/>
      <c r="T8" s="14"/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/>
      <c r="G15" s="23"/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124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/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67</v>
      </c>
      <c r="I24" s="14"/>
      <c r="J24" s="14"/>
      <c r="K24" s="14">
        <v>2</v>
      </c>
      <c r="L24" s="14">
        <v>55</v>
      </c>
      <c r="M24" s="14">
        <v>560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92</v>
      </c>
      <c r="G32" s="28"/>
      <c r="H32" s="28">
        <v>67</v>
      </c>
      <c r="I32" s="28"/>
      <c r="J32" s="28"/>
      <c r="K32" s="28">
        <v>0</v>
      </c>
      <c r="L32" s="28">
        <v>55</v>
      </c>
      <c r="M32" s="28">
        <v>558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16</v>
      </c>
      <c r="F36" s="43">
        <v>462</v>
      </c>
      <c r="G36" s="43">
        <v>138</v>
      </c>
      <c r="H36" s="43">
        <v>1</v>
      </c>
      <c r="I36" s="43">
        <v>18</v>
      </c>
      <c r="J36" s="43">
        <v>30</v>
      </c>
      <c r="K36" s="43">
        <v>7</v>
      </c>
      <c r="L36" s="43">
        <v>2</v>
      </c>
      <c r="M36" s="43">
        <v>1</v>
      </c>
      <c r="N36" s="43"/>
      <c r="O36" s="43"/>
      <c r="P36" s="43"/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16</v>
      </c>
      <c r="F42" s="43">
        <v>462</v>
      </c>
      <c r="G42" s="43">
        <v>138</v>
      </c>
      <c r="H42" s="43">
        <v>1</v>
      </c>
      <c r="I42" s="43">
        <v>18</v>
      </c>
      <c r="J42" s="43">
        <v>30</v>
      </c>
      <c r="K42" s="43">
        <v>7</v>
      </c>
      <c r="L42" s="43">
        <v>2</v>
      </c>
      <c r="M42" s="43">
        <v>1</v>
      </c>
      <c r="N42" s="43"/>
      <c r="O42" s="43"/>
      <c r="P42" s="43"/>
      <c r="Q42" s="44">
        <v>19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>
        <f>1+20+2+1+1+67+55+558</f>
        <v>705</v>
      </c>
      <c r="D44" s="84"/>
      <c r="E44" s="84"/>
    </row>
    <row r="45" spans="2:25" x14ac:dyDescent="0.25">
      <c r="B45" s="77" t="s">
        <v>69</v>
      </c>
      <c r="C45" s="84">
        <f>5+12</f>
        <v>17</v>
      </c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>
        <v>1</v>
      </c>
      <c r="G8" s="14"/>
      <c r="H8" s="14" t="s">
        <v>121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123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1</v>
      </c>
      <c r="L24" s="14">
        <v>4</v>
      </c>
      <c r="M24" s="14">
        <v>594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3</v>
      </c>
      <c r="M31" s="23">
        <v>56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118</v>
      </c>
      <c r="I32" s="28"/>
      <c r="J32" s="28"/>
      <c r="K32" s="28">
        <v>0</v>
      </c>
      <c r="L32" s="28">
        <v>1</v>
      </c>
      <c r="M32" s="28">
        <v>538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670</v>
      </c>
      <c r="G36" s="43">
        <v>1</v>
      </c>
      <c r="H36" s="43">
        <v>4</v>
      </c>
      <c r="I36" s="43">
        <v>1</v>
      </c>
      <c r="J36" s="43">
        <v>2</v>
      </c>
      <c r="K36" s="43"/>
      <c r="L36" s="43"/>
      <c r="M36" s="43"/>
      <c r="N36" s="43"/>
      <c r="O36" s="43">
        <v>6</v>
      </c>
      <c r="P36" s="43">
        <v>14</v>
      </c>
      <c r="Q36" s="44">
        <v>21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670</v>
      </c>
      <c r="G42" s="43">
        <v>1</v>
      </c>
      <c r="H42" s="43">
        <v>4</v>
      </c>
      <c r="I42" s="43">
        <v>1</v>
      </c>
      <c r="J42" s="43">
        <v>2</v>
      </c>
      <c r="K42" s="43"/>
      <c r="L42" s="43"/>
      <c r="M42" s="43"/>
      <c r="N42" s="43"/>
      <c r="O42" s="43">
        <v>6</v>
      </c>
      <c r="P42" s="43">
        <v>14</v>
      </c>
      <c r="Q42" s="44">
        <v>21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>
        <f>20+118+1+538</f>
        <v>677</v>
      </c>
      <c r="D44" s="84"/>
      <c r="E44" s="84"/>
    </row>
    <row r="45" spans="2:25" x14ac:dyDescent="0.25">
      <c r="B45" s="77" t="s">
        <v>69</v>
      </c>
      <c r="C45" s="84">
        <f>8</f>
        <v>8</v>
      </c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>
        <v>9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81</v>
      </c>
      <c r="I24" s="14"/>
      <c r="J24" s="14"/>
      <c r="K24" s="14">
        <v>2</v>
      </c>
      <c r="L24" s="14">
        <v>15</v>
      </c>
      <c r="M24" s="14">
        <v>432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18</v>
      </c>
      <c r="I31" s="23"/>
      <c r="J31" s="23"/>
      <c r="K31" s="23">
        <v>1</v>
      </c>
      <c r="L31" s="23">
        <v>4</v>
      </c>
      <c r="M31" s="23">
        <v>63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63</v>
      </c>
      <c r="I32" s="28"/>
      <c r="J32" s="28"/>
      <c r="K32" s="28">
        <v>1</v>
      </c>
      <c r="L32" s="28">
        <v>11</v>
      </c>
      <c r="M32" s="28">
        <v>369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221</v>
      </c>
      <c r="G36" s="43"/>
      <c r="H36" s="43"/>
      <c r="I36" s="43">
        <v>6</v>
      </c>
      <c r="J36" s="43">
        <v>1</v>
      </c>
      <c r="K36" s="43">
        <v>7</v>
      </c>
      <c r="L36" s="43">
        <v>1</v>
      </c>
      <c r="M36" s="43"/>
      <c r="N36" s="43"/>
      <c r="O36" s="43">
        <v>4</v>
      </c>
      <c r="P36" s="43">
        <v>1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221</v>
      </c>
      <c r="G42" s="43"/>
      <c r="H42" s="43"/>
      <c r="I42" s="43">
        <v>6</v>
      </c>
      <c r="J42" s="43">
        <v>1</v>
      </c>
      <c r="K42" s="43">
        <v>7</v>
      </c>
      <c r="L42" s="43">
        <v>1</v>
      </c>
      <c r="M42" s="43"/>
      <c r="N42" s="43"/>
      <c r="O42" s="43">
        <v>4</v>
      </c>
      <c r="P42" s="43">
        <v>1</v>
      </c>
      <c r="Q42" s="44">
        <v>9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>
        <f>15+1+2+63+1+11+369</f>
        <v>462</v>
      </c>
      <c r="D44" s="84"/>
      <c r="E44" s="84"/>
    </row>
    <row r="45" spans="2:25" x14ac:dyDescent="0.25">
      <c r="B45" s="77" t="s">
        <v>69</v>
      </c>
      <c r="C45" s="84"/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EC4AA-31C1-4389-B72D-6A40861A261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135A9-BB90-4F0D-AE87-8A25C13201C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>
        <v>4</v>
      </c>
      <c r="S8" s="14"/>
      <c r="T8" s="14">
        <v>2</v>
      </c>
      <c r="U8" s="14"/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>
        <v>2</v>
      </c>
      <c r="U15" s="23"/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20</v>
      </c>
      <c r="I24" s="14"/>
      <c r="J24" s="14"/>
      <c r="K24" s="14">
        <v>2</v>
      </c>
      <c r="L24" s="14">
        <v>5</v>
      </c>
      <c r="M24" s="14">
        <v>326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2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3</v>
      </c>
      <c r="M32" s="28">
        <v>324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</v>
      </c>
      <c r="G36" s="43">
        <v>1</v>
      </c>
      <c r="H36" s="43">
        <v>3</v>
      </c>
      <c r="I36" s="43">
        <v>3</v>
      </c>
      <c r="J36" s="43"/>
      <c r="K36" s="43">
        <v>5</v>
      </c>
      <c r="L36" s="43"/>
      <c r="M36" s="43"/>
      <c r="N36" s="43"/>
      <c r="O36" s="43">
        <v>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</v>
      </c>
      <c r="G42" s="43">
        <v>1</v>
      </c>
      <c r="H42" s="43">
        <v>3</v>
      </c>
      <c r="I42" s="43">
        <v>3</v>
      </c>
      <c r="J42" s="43"/>
      <c r="K42" s="43">
        <v>5</v>
      </c>
      <c r="L42" s="43"/>
      <c r="M42" s="43"/>
      <c r="N42" s="43"/>
      <c r="O42" s="43">
        <v>4</v>
      </c>
      <c r="P42" s="43">
        <v>1</v>
      </c>
      <c r="Q42" s="44">
        <v>4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>
        <f>1+1+5+1+20+3+324</f>
        <v>355</v>
      </c>
      <c r="D44" s="84"/>
      <c r="E44" s="84"/>
    </row>
    <row r="45" spans="2:25" x14ac:dyDescent="0.25">
      <c r="B45" s="77" t="s">
        <v>69</v>
      </c>
      <c r="C45" s="84">
        <v>6</v>
      </c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5167-238B-4B67-8EEB-9AF2E722A2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1</v>
      </c>
      <c r="F8" s="14">
        <v>1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1</v>
      </c>
      <c r="F15" s="23">
        <v>1</v>
      </c>
      <c r="G15" s="23"/>
      <c r="H15" s="23" t="s">
        <v>132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135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131</v>
      </c>
      <c r="I16" s="28"/>
      <c r="J16" s="28"/>
      <c r="K16" s="57"/>
      <c r="L16" s="28"/>
      <c r="M16" s="28"/>
      <c r="N16" s="28"/>
      <c r="O16" s="28"/>
      <c r="P16" s="28"/>
      <c r="Q16" s="28"/>
      <c r="R16" s="28" t="s">
        <v>134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10</v>
      </c>
      <c r="M24" s="14">
        <v>380</v>
      </c>
      <c r="N24" s="14"/>
      <c r="O24" s="14"/>
      <c r="P24" s="14" t="s">
        <v>136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4</v>
      </c>
      <c r="M31" s="23">
        <v>69</v>
      </c>
      <c r="N31" s="23"/>
      <c r="O31" s="23"/>
      <c r="P31" s="23" t="s">
        <v>136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29</v>
      </c>
      <c r="I32" s="28"/>
      <c r="J32" s="28"/>
      <c r="K32" s="28">
        <v>0</v>
      </c>
      <c r="L32" s="28">
        <v>6</v>
      </c>
      <c r="M32" s="28">
        <v>311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449</v>
      </c>
      <c r="G36" s="43">
        <v>10</v>
      </c>
      <c r="H36" s="43">
        <v>5</v>
      </c>
      <c r="I36" s="43">
        <v>9</v>
      </c>
      <c r="J36" s="43">
        <v>2</v>
      </c>
      <c r="K36" s="43">
        <v>10</v>
      </c>
      <c r="L36" s="43"/>
      <c r="M36" s="43"/>
      <c r="N36" s="43">
        <v>1</v>
      </c>
      <c r="O36" s="43">
        <v>9</v>
      </c>
      <c r="P36" s="43">
        <v>1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449</v>
      </c>
      <c r="G42" s="43">
        <v>10</v>
      </c>
      <c r="H42" s="43">
        <v>5</v>
      </c>
      <c r="I42" s="43">
        <v>9</v>
      </c>
      <c r="J42" s="43">
        <v>2</v>
      </c>
      <c r="K42" s="43">
        <v>10</v>
      </c>
      <c r="L42" s="43"/>
      <c r="M42" s="43"/>
      <c r="N42" s="43">
        <v>1</v>
      </c>
      <c r="O42" s="43">
        <v>9</v>
      </c>
      <c r="P42" s="43">
        <v>1</v>
      </c>
      <c r="Q42" s="44">
        <v>22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>
        <f>11+29+6+311</f>
        <v>357</v>
      </c>
      <c r="D44" s="84"/>
      <c r="E44" s="84"/>
    </row>
    <row r="45" spans="2:25" x14ac:dyDescent="0.25">
      <c r="B45" s="77" t="s">
        <v>69</v>
      </c>
      <c r="C45" s="84">
        <f>6+5</f>
        <v>11</v>
      </c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DFD6-7B05-4856-BB2B-0D4EF75516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2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>
        <v>2</v>
      </c>
      <c r="E16" s="27"/>
      <c r="F16" s="27"/>
      <c r="G16" s="28"/>
      <c r="H16" s="28" t="s">
        <v>129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126</v>
      </c>
      <c r="I24" s="14"/>
      <c r="J24" s="14"/>
      <c r="K24" s="14">
        <v>1</v>
      </c>
      <c r="L24" s="14">
        <v>12</v>
      </c>
      <c r="M24" s="14">
        <v>337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105</v>
      </c>
      <c r="I31" s="23"/>
      <c r="J31" s="23"/>
      <c r="K31" s="23">
        <v>0</v>
      </c>
      <c r="L31" s="23">
        <v>7</v>
      </c>
      <c r="M31" s="23">
        <v>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1</v>
      </c>
      <c r="L32" s="28">
        <v>5</v>
      </c>
      <c r="M32" s="28">
        <v>329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354</v>
      </c>
      <c r="G36" s="43"/>
      <c r="H36" s="43">
        <v>8</v>
      </c>
      <c r="I36" s="43">
        <v>12</v>
      </c>
      <c r="J36" s="43">
        <v>1</v>
      </c>
      <c r="K36" s="43">
        <v>3</v>
      </c>
      <c r="L36" s="43">
        <v>6</v>
      </c>
      <c r="M36" s="43"/>
      <c r="N36" s="43">
        <v>45</v>
      </c>
      <c r="O36" s="43">
        <v>9</v>
      </c>
      <c r="P36" s="43">
        <v>8</v>
      </c>
      <c r="Q36" s="44">
        <v>16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354</v>
      </c>
      <c r="G42" s="43"/>
      <c r="H42" s="43">
        <v>8</v>
      </c>
      <c r="I42" s="43">
        <v>12</v>
      </c>
      <c r="J42" s="43">
        <v>1</v>
      </c>
      <c r="K42" s="43">
        <v>3</v>
      </c>
      <c r="L42" s="43">
        <v>6</v>
      </c>
      <c r="M42" s="43"/>
      <c r="N42" s="43">
        <v>45</v>
      </c>
      <c r="O42" s="43">
        <v>9</v>
      </c>
      <c r="P42" s="43">
        <v>8</v>
      </c>
      <c r="Q42" s="44">
        <v>16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>
        <f>1+2+14+2+2+21+1+5+329</f>
        <v>377</v>
      </c>
      <c r="D44" s="84"/>
      <c r="E44" s="84"/>
    </row>
    <row r="45" spans="2:25" x14ac:dyDescent="0.25">
      <c r="B45" s="77" t="s">
        <v>69</v>
      </c>
      <c r="C45" s="84">
        <f>20</f>
        <v>20</v>
      </c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78F3-3C57-4B59-BACF-94DD23AD8BC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74EDC-4FBB-4BB6-AD20-7EA84CC354F7}">
  <dimension ref="B1:AA45"/>
  <sheetViews>
    <sheetView showGridLines="0" topLeftCell="A26" zoomScale="160" zoomScaleNormal="160" workbookViewId="0">
      <selection activeCell="M17" sqref="M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>
        <v>1</v>
      </c>
      <c r="H8" s="14" t="s">
        <v>137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0</v>
      </c>
      <c r="F16" s="27">
        <v>1</v>
      </c>
      <c r="G16" s="28">
        <v>0</v>
      </c>
      <c r="H16" s="28" t="s">
        <v>139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/>
      <c r="I24" s="14">
        <v>1</v>
      </c>
      <c r="J24" s="14"/>
      <c r="K24" s="14">
        <v>2</v>
      </c>
      <c r="L24" s="14">
        <v>2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/>
      <c r="I31" s="23">
        <v>1</v>
      </c>
      <c r="J31" s="23"/>
      <c r="K31" s="23">
        <v>2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/>
      <c r="I32" s="28">
        <v>0</v>
      </c>
      <c r="J32" s="28"/>
      <c r="K32" s="28">
        <v>0</v>
      </c>
      <c r="L32" s="28">
        <v>2</v>
      </c>
      <c r="M32" s="28">
        <v>411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23</v>
      </c>
      <c r="F36" s="43">
        <v>468</v>
      </c>
      <c r="G36" s="43">
        <v>4</v>
      </c>
      <c r="H36" s="43">
        <v>7</v>
      </c>
      <c r="I36" s="43">
        <v>14</v>
      </c>
      <c r="J36" s="43"/>
      <c r="K36" s="43">
        <v>2</v>
      </c>
      <c r="L36" s="43">
        <v>2</v>
      </c>
      <c r="M36" s="43">
        <v>1</v>
      </c>
      <c r="N36" s="43">
        <v>16</v>
      </c>
      <c r="O36" s="43">
        <v>4</v>
      </c>
      <c r="P36" s="43">
        <v>1</v>
      </c>
      <c r="Q36" s="44">
        <v>34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23</v>
      </c>
      <c r="F42" s="43">
        <v>468</v>
      </c>
      <c r="G42" s="43">
        <v>4</v>
      </c>
      <c r="H42" s="43">
        <v>7</v>
      </c>
      <c r="I42" s="43">
        <v>14</v>
      </c>
      <c r="J42" s="43"/>
      <c r="K42" s="43">
        <v>2</v>
      </c>
      <c r="L42" s="43">
        <v>2</v>
      </c>
      <c r="M42" s="43">
        <v>1</v>
      </c>
      <c r="N42" s="43">
        <v>16</v>
      </c>
      <c r="O42" s="43">
        <v>4</v>
      </c>
      <c r="P42" s="43">
        <v>1</v>
      </c>
      <c r="Q42" s="44">
        <v>34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>
        <f>1+1+15+2+411</f>
        <v>430</v>
      </c>
      <c r="D44" s="84"/>
      <c r="E44" s="84"/>
    </row>
    <row r="45" spans="2:25" x14ac:dyDescent="0.25">
      <c r="B45" s="77" t="s">
        <v>69</v>
      </c>
      <c r="C45" s="84">
        <f>21</f>
        <v>21</v>
      </c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B2958-2E0B-4895-A9B1-ECECEA07FB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8</v>
      </c>
      <c r="M24" s="14">
        <v>393</v>
      </c>
      <c r="N24" s="14"/>
      <c r="O24" s="14"/>
      <c r="P24" s="14" t="s">
        <v>145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30</v>
      </c>
      <c r="I31" s="23"/>
      <c r="J31" s="23"/>
      <c r="K31" s="23">
        <v>1</v>
      </c>
      <c r="L31" s="23">
        <v>8</v>
      </c>
      <c r="M31" s="23">
        <v>45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348</v>
      </c>
      <c r="G36" s="43">
        <v>65</v>
      </c>
      <c r="H36" s="43"/>
      <c r="I36" s="43"/>
      <c r="J36" s="43"/>
      <c r="K36" s="43"/>
      <c r="L36" s="43"/>
      <c r="M36" s="43"/>
      <c r="N36" s="43"/>
      <c r="O36" s="43"/>
      <c r="P36" s="43">
        <v>16</v>
      </c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348</v>
      </c>
      <c r="G42" s="43">
        <v>65</v>
      </c>
      <c r="H42" s="43"/>
      <c r="I42" s="43"/>
      <c r="J42" s="43"/>
      <c r="K42" s="43"/>
      <c r="L42" s="43"/>
      <c r="M42" s="43"/>
      <c r="N42" s="43"/>
      <c r="O42" s="43"/>
      <c r="P42" s="43">
        <v>16</v>
      </c>
      <c r="Q42" s="44">
        <v>3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>
        <f>10+348</f>
        <v>358</v>
      </c>
      <c r="D44" s="84"/>
      <c r="E44" s="84"/>
    </row>
    <row r="45" spans="2:25" x14ac:dyDescent="0.25">
      <c r="B45" s="77" t="s">
        <v>69</v>
      </c>
      <c r="C45" s="84">
        <f>7</f>
        <v>7</v>
      </c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64D-E068-48F0-9D82-1D19DF1E17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1</v>
      </c>
      <c r="X8" s="60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146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0</v>
      </c>
      <c r="X15" s="62">
        <v>0</v>
      </c>
      <c r="Y15" s="24">
        <v>0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78" t="s">
        <v>90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105</v>
      </c>
      <c r="I24" s="14"/>
      <c r="J24" s="14"/>
      <c r="K24" s="14">
        <v>2</v>
      </c>
      <c r="L24" s="14">
        <v>15</v>
      </c>
      <c r="M24" s="14">
        <v>440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100</v>
      </c>
      <c r="I31" s="23"/>
      <c r="J31" s="23"/>
      <c r="K31" s="23">
        <v>0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5</v>
      </c>
      <c r="I32" s="28"/>
      <c r="J32" s="28"/>
      <c r="K32" s="28">
        <v>2</v>
      </c>
      <c r="L32" s="28">
        <v>15</v>
      </c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502</v>
      </c>
      <c r="G36" s="43">
        <v>1</v>
      </c>
      <c r="H36" s="43">
        <v>1</v>
      </c>
      <c r="I36" s="43">
        <v>17</v>
      </c>
      <c r="J36" s="43">
        <v>1</v>
      </c>
      <c r="K36" s="43">
        <v>6</v>
      </c>
      <c r="L36" s="43">
        <v>11</v>
      </c>
      <c r="M36" s="43"/>
      <c r="N36" s="43">
        <v>31</v>
      </c>
      <c r="O36" s="43">
        <v>9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502</v>
      </c>
      <c r="G42" s="43">
        <v>1</v>
      </c>
      <c r="H42" s="43">
        <v>1</v>
      </c>
      <c r="I42" s="43">
        <v>17</v>
      </c>
      <c r="J42" s="43">
        <v>1</v>
      </c>
      <c r="K42" s="43">
        <v>6</v>
      </c>
      <c r="L42" s="43">
        <v>11</v>
      </c>
      <c r="M42" s="43"/>
      <c r="N42" s="43">
        <v>31</v>
      </c>
      <c r="O42" s="43">
        <v>9</v>
      </c>
      <c r="P42" s="43">
        <v>3</v>
      </c>
      <c r="Q42" s="44">
        <v>19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>
        <f>1+1+11+1+2+2+4+5+2+15+418</f>
        <v>462</v>
      </c>
      <c r="D44" s="84"/>
      <c r="E44" s="84"/>
    </row>
    <row r="45" spans="2:25" x14ac:dyDescent="0.25">
      <c r="B45" s="77" t="s">
        <v>69</v>
      </c>
      <c r="C45" s="84">
        <f>14</f>
        <v>14</v>
      </c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F406F-5DD9-41AA-BB2D-2C7F57038E3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CB74-31BD-4994-B9D6-8A3081A285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>
        <v>1</v>
      </c>
      <c r="H8" s="14" t="s">
        <v>148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/>
      <c r="G16" s="28">
        <v>0</v>
      </c>
      <c r="H16" s="28">
        <v>15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45</v>
      </c>
      <c r="I24" s="14">
        <v>1</v>
      </c>
      <c r="J24" s="14"/>
      <c r="K24" s="14">
        <v>2</v>
      </c>
      <c r="L24" s="14"/>
      <c r="M24" s="14">
        <v>453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41</v>
      </c>
      <c r="I31" s="23">
        <v>1</v>
      </c>
      <c r="J31" s="23"/>
      <c r="K31" s="23">
        <v>2</v>
      </c>
      <c r="L31" s="23"/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4</v>
      </c>
      <c r="I32" s="28">
        <v>0</v>
      </c>
      <c r="J32" s="28"/>
      <c r="K32" s="28">
        <v>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688</v>
      </c>
      <c r="G36" s="43">
        <v>7</v>
      </c>
      <c r="H36" s="43">
        <v>1</v>
      </c>
      <c r="I36" s="43">
        <v>1</v>
      </c>
      <c r="J36" s="43"/>
      <c r="K36" s="43"/>
      <c r="L36" s="43"/>
      <c r="M36" s="43"/>
      <c r="N36" s="43"/>
      <c r="O36" s="43">
        <v>14</v>
      </c>
      <c r="P36" s="43">
        <v>4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688</v>
      </c>
      <c r="G42" s="43">
        <v>7</v>
      </c>
      <c r="H42" s="43">
        <v>1</v>
      </c>
      <c r="I42" s="43">
        <v>1</v>
      </c>
      <c r="J42" s="43"/>
      <c r="K42" s="43"/>
      <c r="L42" s="43"/>
      <c r="M42" s="43"/>
      <c r="N42" s="43"/>
      <c r="O42" s="43">
        <v>14</v>
      </c>
      <c r="P42" s="43">
        <v>4</v>
      </c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>
        <f>15+4+431</f>
        <v>450</v>
      </c>
      <c r="D44" s="84"/>
      <c r="E44" s="84"/>
    </row>
    <row r="45" spans="2:25" x14ac:dyDescent="0.25">
      <c r="B45" s="77" t="s">
        <v>69</v>
      </c>
      <c r="C45" s="84"/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4FF8C-743C-423F-ABD1-52BACA5C0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151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94</v>
      </c>
      <c r="I24" s="14">
        <v>1</v>
      </c>
      <c r="J24" s="14"/>
      <c r="K24" s="14">
        <v>1</v>
      </c>
      <c r="L24" s="14">
        <v>8</v>
      </c>
      <c r="M24" s="14">
        <v>447</v>
      </c>
      <c r="N24" s="14"/>
      <c r="O24" s="14"/>
      <c r="P24" s="14" t="s">
        <v>144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</v>
      </c>
      <c r="I31" s="23">
        <v>0</v>
      </c>
      <c r="J31" s="23"/>
      <c r="K31" s="23">
        <v>1</v>
      </c>
      <c r="L31" s="23">
        <v>8</v>
      </c>
      <c r="M31" s="23">
        <v>52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90</v>
      </c>
      <c r="I32" s="28">
        <v>1</v>
      </c>
      <c r="J32" s="28"/>
      <c r="K32" s="28">
        <v>0</v>
      </c>
      <c r="L32" s="28">
        <v>0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5</v>
      </c>
      <c r="D36" s="42">
        <v>2</v>
      </c>
      <c r="E36" s="43">
        <v>2</v>
      </c>
      <c r="F36" s="43">
        <v>303</v>
      </c>
      <c r="G36" s="43">
        <v>25</v>
      </c>
      <c r="H36" s="43">
        <v>7</v>
      </c>
      <c r="I36" s="43">
        <v>4</v>
      </c>
      <c r="J36" s="43"/>
      <c r="K36" s="43"/>
      <c r="L36" s="43"/>
      <c r="M36" s="43">
        <v>5</v>
      </c>
      <c r="N36" s="43">
        <v>4</v>
      </c>
      <c r="O36" s="43">
        <v>8</v>
      </c>
      <c r="P36" s="43">
        <v>8</v>
      </c>
      <c r="Q36" s="44">
        <v>20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5</v>
      </c>
      <c r="D42" s="42">
        <v>2</v>
      </c>
      <c r="E42" s="43">
        <v>2</v>
      </c>
      <c r="F42" s="43">
        <v>303</v>
      </c>
      <c r="G42" s="43">
        <v>25</v>
      </c>
      <c r="H42" s="43">
        <v>7</v>
      </c>
      <c r="I42" s="43">
        <v>4</v>
      </c>
      <c r="J42" s="43"/>
      <c r="K42" s="43"/>
      <c r="L42" s="43"/>
      <c r="M42" s="43">
        <v>5</v>
      </c>
      <c r="N42" s="43">
        <v>4</v>
      </c>
      <c r="O42" s="43">
        <v>8</v>
      </c>
      <c r="P42" s="43">
        <v>8</v>
      </c>
      <c r="Q42" s="44">
        <v>20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>
        <f>16+10+90+1+395</f>
        <v>512</v>
      </c>
      <c r="D44" s="84"/>
      <c r="E44" s="84"/>
    </row>
    <row r="45" spans="2:25" x14ac:dyDescent="0.25">
      <c r="B45" s="77" t="s">
        <v>69</v>
      </c>
      <c r="C45" s="84">
        <f>17</f>
        <v>17</v>
      </c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004-9FB5-41A2-84A5-6BA680C91753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152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100</v>
      </c>
      <c r="I24" s="14"/>
      <c r="J24" s="14"/>
      <c r="K24" s="14">
        <v>2</v>
      </c>
      <c r="L24" s="14">
        <v>15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70</v>
      </c>
      <c r="I31" s="23"/>
      <c r="J31" s="23"/>
      <c r="K31" s="23">
        <v>2</v>
      </c>
      <c r="L31" s="23">
        <v>0</v>
      </c>
      <c r="M31" s="23">
        <v>91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30</v>
      </c>
      <c r="I32" s="28"/>
      <c r="J32" s="28"/>
      <c r="K32" s="28">
        <v>0</v>
      </c>
      <c r="L32" s="28">
        <v>15</v>
      </c>
      <c r="M32" s="28">
        <v>363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23</v>
      </c>
      <c r="F36" s="43">
        <v>446</v>
      </c>
      <c r="G36" s="43">
        <v>3</v>
      </c>
      <c r="H36" s="43">
        <v>3</v>
      </c>
      <c r="I36" s="43">
        <v>10</v>
      </c>
      <c r="J36" s="43">
        <v>1</v>
      </c>
      <c r="K36" s="43">
        <v>9</v>
      </c>
      <c r="L36" s="43">
        <v>1</v>
      </c>
      <c r="M36" s="43">
        <v>1</v>
      </c>
      <c r="N36" s="43">
        <v>21</v>
      </c>
      <c r="O36" s="43">
        <v>14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23</v>
      </c>
      <c r="F42" s="43">
        <v>446</v>
      </c>
      <c r="G42" s="43">
        <v>3</v>
      </c>
      <c r="H42" s="43">
        <v>3</v>
      </c>
      <c r="I42" s="43">
        <v>10</v>
      </c>
      <c r="J42" s="43">
        <v>1</v>
      </c>
      <c r="K42" s="43">
        <v>9</v>
      </c>
      <c r="L42" s="43">
        <v>1</v>
      </c>
      <c r="M42" s="43">
        <v>1</v>
      </c>
      <c r="N42" s="43">
        <v>21</v>
      </c>
      <c r="O42" s="43">
        <v>14</v>
      </c>
      <c r="P42" s="43">
        <v>1</v>
      </c>
      <c r="Q42" s="44">
        <v>4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>
        <f>1+1+14+3+2+30+15+363</f>
        <v>429</v>
      </c>
      <c r="D44" s="84"/>
      <c r="E44" s="84"/>
    </row>
    <row r="45" spans="2:25" x14ac:dyDescent="0.25">
      <c r="B45" s="77" t="s">
        <v>69</v>
      </c>
      <c r="C45" s="84">
        <f>4</f>
        <v>4</v>
      </c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4659A-B304-4EAA-BDC5-C605107A092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3CE7C-5E15-4964-B433-DFDBB50A7AA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/>
      <c r="D44" s="84"/>
      <c r="E44" s="84"/>
    </row>
    <row r="45" spans="2:25" x14ac:dyDescent="0.25">
      <c r="B45" s="77" t="s">
        <v>69</v>
      </c>
      <c r="C45" s="84"/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28F72-F39A-4B3A-A7C9-5E725CC7E2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/>
      <c r="D44" s="84"/>
      <c r="E44" s="84"/>
    </row>
    <row r="45" spans="2:25" x14ac:dyDescent="0.25">
      <c r="B45" s="77" t="s">
        <v>69</v>
      </c>
      <c r="C45" s="84"/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299EB-1A65-4430-A7BF-7B0C525B31C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/>
      <c r="D44" s="84"/>
      <c r="E44" s="84"/>
    </row>
    <row r="45" spans="2:25" x14ac:dyDescent="0.25">
      <c r="B45" s="77" t="s">
        <v>69</v>
      </c>
      <c r="C45" s="84"/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D2357-A37B-416D-8421-55EDDFCAF81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43615-C891-434B-926A-57B9413167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/>
      <c r="D44" s="84"/>
      <c r="E44" s="84"/>
    </row>
    <row r="45" spans="2:25" x14ac:dyDescent="0.25">
      <c r="B45" s="77" t="s">
        <v>69</v>
      </c>
      <c r="C45" s="84"/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760F-FF75-42BF-93D0-5231B76195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/>
      <c r="D44" s="84"/>
      <c r="E44" s="84"/>
    </row>
    <row r="45" spans="2:25" x14ac:dyDescent="0.25">
      <c r="B45" s="77" t="s">
        <v>69</v>
      </c>
      <c r="C45" s="84"/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AC9D-FE9B-4899-87B0-E8D063E8FD2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/>
      <c r="D44" s="84"/>
      <c r="E44" s="84"/>
    </row>
    <row r="45" spans="2:25" x14ac:dyDescent="0.25">
      <c r="B45" s="77" t="s">
        <v>69</v>
      </c>
      <c r="C45" s="84"/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D4C6-136F-45DE-8A73-777863D10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D812-5BFA-4BBF-BDCB-32D37F3B7A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/>
      <c r="D44" s="84"/>
      <c r="E44" s="84"/>
    </row>
    <row r="45" spans="2:25" x14ac:dyDescent="0.25">
      <c r="B45" s="77" t="s">
        <v>69</v>
      </c>
      <c r="C45" s="84"/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5CC9A-7C01-425E-8EF0-15C27C72FFE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/>
      <c r="D44" s="84"/>
      <c r="E44" s="84"/>
    </row>
    <row r="45" spans="2:25" x14ac:dyDescent="0.25">
      <c r="B45" s="77" t="s">
        <v>69</v>
      </c>
      <c r="C45" s="84"/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EF9AD-4104-4CA3-A65B-EF88E9266F6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4"/>
      <c r="D44" s="84"/>
      <c r="E44" s="84"/>
    </row>
    <row r="45" spans="2:25" x14ac:dyDescent="0.25">
      <c r="B45" s="77" t="s">
        <v>69</v>
      </c>
      <c r="C45" s="84"/>
      <c r="D45" s="84"/>
      <c r="E45" s="8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(10)</vt:lpstr>
      <vt:lpstr>03-10 R1</vt:lpstr>
      <vt:lpstr>03-10 R2</vt:lpstr>
      <vt:lpstr>03-10 R3</vt:lpstr>
      <vt:lpstr>(11)</vt:lpstr>
      <vt:lpstr>03-11 R1</vt:lpstr>
      <vt:lpstr>03-11 R2</vt:lpstr>
      <vt:lpstr>03-11 R3</vt:lpstr>
      <vt:lpstr>(12)</vt:lpstr>
      <vt:lpstr>03-12 R1</vt:lpstr>
      <vt:lpstr>03-12 R2</vt:lpstr>
      <vt:lpstr>03-12 R3</vt:lpstr>
      <vt:lpstr>(13)</vt:lpstr>
      <vt:lpstr>03-13 R1</vt:lpstr>
      <vt:lpstr>03-13 R2</vt:lpstr>
      <vt:lpstr>03-13 R3</vt:lpstr>
      <vt:lpstr>(14)</vt:lpstr>
      <vt:lpstr>03-14 R1</vt:lpstr>
      <vt:lpstr>03-14 R2</vt:lpstr>
      <vt:lpstr>03-14 R3</vt:lpstr>
      <vt:lpstr>(16)</vt:lpstr>
      <vt:lpstr>03-16 R1</vt:lpstr>
      <vt:lpstr>03-16 R2</vt:lpstr>
      <vt:lpstr>03-16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  <vt:lpstr>'03-10 R1'!Print_Area</vt:lpstr>
      <vt:lpstr>'03-10 R2'!Print_Area</vt:lpstr>
      <vt:lpstr>'03-10 R3'!Print_Area</vt:lpstr>
      <vt:lpstr>'03-11 R1'!Print_Area</vt:lpstr>
      <vt:lpstr>'03-11 R2'!Print_Area</vt:lpstr>
      <vt:lpstr>'03-11 R3'!Print_Area</vt:lpstr>
      <vt:lpstr>'03-12 R1'!Print_Area</vt:lpstr>
      <vt:lpstr>'03-12 R2'!Print_Area</vt:lpstr>
      <vt:lpstr>'03-12 R3'!Print_Area</vt:lpstr>
      <vt:lpstr>'03-13 R1'!Print_Area</vt:lpstr>
      <vt:lpstr>'03-13 R2'!Print_Area</vt:lpstr>
      <vt:lpstr>'03-13 R3'!Print_Area</vt:lpstr>
      <vt:lpstr>'03-14 R1'!Print_Area</vt:lpstr>
      <vt:lpstr>'03-14 R2'!Print_Area</vt:lpstr>
      <vt:lpstr>'03-14 R3'!Print_Area</vt:lpstr>
      <vt:lpstr>'03-16 R1'!Print_Area</vt:lpstr>
      <vt:lpstr>'03-16 R2'!Print_Area</vt:lpstr>
      <vt:lpstr>'03-16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Hu4fxw</cp:lastModifiedBy>
  <cp:lastPrinted>2026-02-19T02:10:22Z</cp:lastPrinted>
  <dcterms:created xsi:type="dcterms:W3CDTF">2024-09-01T22:48:10Z</dcterms:created>
  <dcterms:modified xsi:type="dcterms:W3CDTF">2026-03-12T14:47:01Z</dcterms:modified>
</cp:coreProperties>
</file>