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66EC7434-0F41-4323-BFBF-CF9EF90AED36}" xr6:coauthVersionLast="45" xr6:coauthVersionMax="47" xr10:uidLastSave="{00000000-0000-0000-0000-000000000000}"/>
  <bookViews>
    <workbookView xWindow="-120" yWindow="-120" windowWidth="29040" windowHeight="15840" firstSheet="15" activeTab="24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 NO TRIP" sheetId="1463" r:id="rId17"/>
    <sheet name="(6)" sheetId="1464" r:id="rId18"/>
    <sheet name="03-06 R1 NO TRIP" sheetId="1467" r:id="rId19"/>
    <sheet name="03-06 R2 NO TRIP" sheetId="1466" r:id="rId20"/>
    <sheet name="03-06 R3" sheetId="1465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</sheets>
  <externalReferences>
    <externalReference r:id="rId30"/>
  </externalReferences>
  <definedNames>
    <definedName name="_xlnm.Print_Area" localSheetId="1">'(2)'!$A$1:$Z$44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 NO TRIP'!$A$1:$V$44</definedName>
    <definedName name="_xlnm.Print_Area" localSheetId="18">'03-06 R1 NO TRIP'!$A$1:$V$44</definedName>
    <definedName name="_xlnm.Print_Area" localSheetId="19">'03-06 R2 NO TRIP'!$A$1:$V$44</definedName>
    <definedName name="_xlnm.Print_Area" localSheetId="20">'03-06 R3'!$A$1:$Z$43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4" i="1471" l="1"/>
  <c r="C44" i="1470"/>
  <c r="C44" i="1469"/>
  <c r="C45" i="1465"/>
  <c r="C44" i="1465"/>
  <c r="C44" i="1462" l="1"/>
  <c r="C44" i="1461"/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<sst xmlns="http://schemas.openxmlformats.org/spreadsheetml/2006/main" count="2534" uniqueCount="115">
  <si>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</si>
  <si>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</si>
  <si>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</si>
  <si>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</si>
  <si>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</si>
  <si>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</si>
  <si>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</si>
  <si>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</si>
  <si>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</si>
  <si>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</si>
  <si>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</si>
  <si>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</si>
  <si>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</si>
  <si>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</si>
  <si>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</si>
  <si>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</si>
  <si>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</si>
  <si>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</si>
  <si>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</si>
  <si>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</si>
  <si>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</si>
  <si>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</si>
  <si>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</si>
  <si>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</si>
  <si>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</si>
  <si>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</si>
  <si>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</si>
  <si>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</si>
  <si>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</si>
  <si>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</si>
  <si>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</si>
  <si>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</si>
  <si>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</si>
  <si>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</si>
  <si>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</si>
  <si>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</si>
  <si>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</si>
  <si>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</si>
  <si>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</si>
  <si>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</si>
  <si>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</si>
  <si>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</si>
  <si>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</si>
  <si>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</si>
  <si>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</si>
  <si>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</si>
  <si>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</si>
  <si>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</si>
  <si>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</si>
  <si>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</si>
  <si>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</si>
  <si>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</si>
  <si>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</si>
  <si>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</si>
  <si>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</si>
  <si>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</si>
  <si>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</si>
  <si>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</si>
  <si>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</si>
  <si>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</si>
  <si>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</si>
  <si>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</si>
  <si>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</si>
  <si>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</si>
  <si>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</si>
  <si>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</si>
  <si>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</si>
  <si>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</si>
  <si>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</si>
  <si>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</si>
  <si>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</si>
  <si>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</si>
  <si>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</si>
  <si>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</si>
  <si>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</si>
  <si>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</si>
  <si>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</si>
  <si>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</si>
  <si>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</si>
  <si>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</si>
  <si>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</si>
  <si>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</si>
  <si>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</si>
  <si>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</si>
  <si>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</si>
  <si>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</si>
  <si>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</si>
  <si>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</si>
  <si>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</si>
  <si>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</si>
  <si>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</si>
  <si>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</si>
  <si>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</si>
  <si>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</si>
  <si>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</si>
  <si>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</si>
  <si>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</si>
  <si>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</si>
  <si>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</si>
  <si>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</si>
  <si>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</si>
  <si>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</si>
  <si>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</si>
  <si>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</si>
  <si>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</si>
  <si>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</si>
  <si>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</si>
  <si>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</si>
  <si>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</si>
  <si>
    <t>4/5B</t>
  </si>
  <si>
    <t>11/5B</t>
  </si>
  <si>
    <t>22/13b</t>
  </si>
  <si>
    <t>13/13b</t>
  </si>
  <si>
    <t>5B</t>
  </si>
  <si>
    <t>10/5B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</si>
</sst>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0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28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1+1+1+6+2+2+18+1+12+308</f>
        <v>352</v>
      </c>
      <c r="D44" s="89"/>
      <c r="E44" s="89"/>
    </row>
    <row r="45" spans="2:25" x14ac:dyDescent="0.25">
      <c r="B45" s="77" t="s">
        <v>69</v>
      </c>
      <c r="C45" s="89">
        <f>5</f>
        <v>5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28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2+9+1+10+40+1+351</f>
        <v>414</v>
      </c>
      <c r="D44" s="89"/>
      <c r="E44" s="89"/>
    </row>
    <row r="45" spans="2:25" x14ac:dyDescent="0.25">
      <c r="B45" s="77" t="s">
        <v>69</v>
      </c>
      <c r="C45" s="89">
        <f>3+12</f>
        <v>15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12+2+1+57+9+266+1</f>
        <v>348</v>
      </c>
      <c r="D44" s="89"/>
      <c r="E44" s="89"/>
    </row>
    <row r="45" spans="2:25" x14ac:dyDescent="0.25">
      <c r="B45" s="77" t="s">
        <v>69</v>
      </c>
      <c r="C45" s="89">
        <f>8</f>
        <v>8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1+1+31+7+382+3</f>
        <v>425</v>
      </c>
      <c r="D44" s="89"/>
      <c r="E44" s="89"/>
    </row>
    <row r="45" spans="2:25" x14ac:dyDescent="0.25">
      <c r="B45" s="77" t="s">
        <v>69</v>
      </c>
      <c r="C45" s="89">
        <v>9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28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2+7+1+71+2+224</f>
        <v>307</v>
      </c>
      <c r="D44" s="89"/>
      <c r="E44" s="89"/>
    </row>
    <row r="45" spans="2:25" x14ac:dyDescent="0.25">
      <c r="B45" s="77" t="s">
        <v>69</v>
      </c>
      <c r="C45" s="89">
        <v>14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1+1+15+3+36+1+20+291</f>
        <v>368</v>
      </c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18+2+3+10+117+6+359+3</f>
        <v>518</v>
      </c>
      <c r="D44" s="89"/>
      <c r="E44" s="89"/>
    </row>
    <row r="45" spans="2:25" x14ac:dyDescent="0.25">
      <c r="B45" s="77" t="s">
        <v>69</v>
      </c>
      <c r="C45" s="89">
        <f>14</f>
        <v>14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2+14+326</f>
        <v>342</v>
      </c>
      <c r="D44" s="89"/>
      <c r="E44" s="89"/>
    </row>
    <row r="45" spans="2:25" x14ac:dyDescent="0.25">
      <c r="B45" s="77" t="s">
        <v>69</v>
      </c>
      <c r="C45" s="89">
        <f>5</f>
        <v>5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8+1+8+29+1+270</f>
        <v>317</v>
      </c>
      <c r="D44" s="89"/>
      <c r="E44" s="89"/>
    </row>
    <row r="45" spans="2:25" x14ac:dyDescent="0.25">
      <c r="B45" s="77" t="s">
        <v>69</v>
      </c>
      <c r="C45" s="89">
        <f>7</f>
        <v>7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1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108</v>
      </c>
      <c r="G24" s="14"/>
      <c r="H24" s="14">
        <v>10</v>
      </c>
      <c r="I24" s="14"/>
      <c r="J24" s="14"/>
      <c r="K24" s="14"/>
      <c r="L24" s="14">
        <v>2</v>
      </c>
      <c r="M24" s="14">
        <v>433</v>
      </c>
      <c r="N24" s="14"/>
      <c r="O24" s="14"/>
      <c r="P24" s="14">
        <v>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56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493</v>
      </c>
      <c r="G36" s="43">
        <v>2</v>
      </c>
      <c r="H36" s="43">
        <v>5</v>
      </c>
      <c r="I36" s="43"/>
      <c r="J36" s="43"/>
      <c r="K36" s="43"/>
      <c r="L36" s="43"/>
      <c r="M36" s="43">
        <v>1</v>
      </c>
      <c r="N36" s="43">
        <v>6</v>
      </c>
      <c r="O36" s="43">
        <v>5</v>
      </c>
      <c r="P36" s="43">
        <v>10</v>
      </c>
      <c r="Q36" s="44">
        <v>18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493</v>
      </c>
      <c r="G42" s="43">
        <v>2</v>
      </c>
      <c r="H42" s="43">
        <v>5</v>
      </c>
      <c r="I42" s="43"/>
      <c r="J42" s="43"/>
      <c r="K42" s="43"/>
      <c r="L42" s="43"/>
      <c r="M42" s="43">
        <v>1</v>
      </c>
      <c r="N42" s="43">
        <v>6</v>
      </c>
      <c r="O42" s="43">
        <v>5</v>
      </c>
      <c r="P42" s="43">
        <v>10</v>
      </c>
      <c r="Q42" s="44">
        <v>18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10+2+1+10+377</f>
        <v>400</v>
      </c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18</v>
      </c>
      <c r="F8" s="14">
        <v>14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>
        <v>4</v>
      </c>
      <c r="V8" s="14"/>
      <c r="W8" s="14">
        <v>4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1</v>
      </c>
      <c r="G15" s="23"/>
      <c r="H15" s="23" t="s">
        <v>109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>
        <v>0</v>
      </c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17</v>
      </c>
      <c r="F16" s="27">
        <v>13</v>
      </c>
      <c r="G16" s="28"/>
      <c r="H16" s="28">
        <v>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4</v>
      </c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11</v>
      </c>
      <c r="D24" s="14"/>
      <c r="E24" s="14">
        <v>3</v>
      </c>
      <c r="F24" s="14"/>
      <c r="G24" s="14"/>
      <c r="H24" s="14">
        <v>41</v>
      </c>
      <c r="I24" s="14">
        <v>6</v>
      </c>
      <c r="J24" s="14"/>
      <c r="K24" s="14">
        <v>1</v>
      </c>
      <c r="L24" s="14">
        <v>7</v>
      </c>
      <c r="M24" s="14">
        <v>331</v>
      </c>
      <c r="N24" s="14"/>
      <c r="O24" s="14">
        <v>4</v>
      </c>
      <c r="P24" s="14" t="s">
        <v>96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0</v>
      </c>
      <c r="F31" s="23"/>
      <c r="G31" s="23"/>
      <c r="H31" s="23">
        <v>17</v>
      </c>
      <c r="I31" s="23">
        <v>0</v>
      </c>
      <c r="J31" s="23"/>
      <c r="K31" s="23">
        <v>1</v>
      </c>
      <c r="L31" s="23">
        <v>6</v>
      </c>
      <c r="M31" s="23">
        <v>85</v>
      </c>
      <c r="N31" s="23"/>
      <c r="O31" s="23">
        <v>0</v>
      </c>
      <c r="P31" s="23" t="s">
        <v>96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11</v>
      </c>
      <c r="D32" s="27"/>
      <c r="E32" s="27">
        <v>3</v>
      </c>
      <c r="F32" s="27"/>
      <c r="G32" s="28"/>
      <c r="H32" s="28">
        <v>24</v>
      </c>
      <c r="I32" s="28">
        <v>6</v>
      </c>
      <c r="J32" s="28"/>
      <c r="K32" s="28">
        <v>0</v>
      </c>
      <c r="L32" s="28">
        <v>1</v>
      </c>
      <c r="M32" s="28">
        <v>246</v>
      </c>
      <c r="N32" s="28"/>
      <c r="O32" s="23">
        <v>4</v>
      </c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304</v>
      </c>
      <c r="G36" s="43">
        <v>1</v>
      </c>
      <c r="H36" s="43">
        <v>5</v>
      </c>
      <c r="I36" s="43">
        <v>3</v>
      </c>
      <c r="J36" s="43"/>
      <c r="K36" s="43">
        <v>2</v>
      </c>
      <c r="L36" s="43"/>
      <c r="M36" s="43"/>
      <c r="N36" s="43"/>
      <c r="O36" s="43">
        <v>4</v>
      </c>
      <c r="P36" s="43">
        <v>10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304</v>
      </c>
      <c r="G42" s="43">
        <v>1</v>
      </c>
      <c r="H42" s="43">
        <v>5</v>
      </c>
      <c r="I42" s="43">
        <v>3</v>
      </c>
      <c r="J42" s="43"/>
      <c r="K42" s="43">
        <v>2</v>
      </c>
      <c r="L42" s="43"/>
      <c r="M42" s="43"/>
      <c r="N42" s="43"/>
      <c r="O42" s="43">
        <v>4</v>
      </c>
      <c r="P42" s="43">
        <v>10</v>
      </c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17+13+7+4+2+11+3+24+6+1+246+4+1</f>
        <v>339</v>
      </c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111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4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143</v>
      </c>
      <c r="I24" s="14"/>
      <c r="J24" s="14"/>
      <c r="K24" s="14">
        <v>2</v>
      </c>
      <c r="L24" s="14">
        <v>15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5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>
        <v>0</v>
      </c>
      <c r="L32" s="28">
        <v>10</v>
      </c>
      <c r="M32" s="28">
        <v>355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481</v>
      </c>
      <c r="G36" s="43">
        <v>1</v>
      </c>
      <c r="H36" s="43"/>
      <c r="I36" s="43">
        <v>7</v>
      </c>
      <c r="J36" s="43"/>
      <c r="K36" s="43">
        <v>2</v>
      </c>
      <c r="L36" s="43"/>
      <c r="M36" s="43"/>
      <c r="N36" s="43"/>
      <c r="O36" s="43">
        <v>4</v>
      </c>
      <c r="P36" s="43">
        <v>4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481</v>
      </c>
      <c r="G42" s="43">
        <v>1</v>
      </c>
      <c r="H42" s="43"/>
      <c r="I42" s="43">
        <v>7</v>
      </c>
      <c r="J42" s="43"/>
      <c r="K42" s="43">
        <v>2</v>
      </c>
      <c r="L42" s="43"/>
      <c r="M42" s="43"/>
      <c r="N42" s="43"/>
      <c r="O42" s="43">
        <v>4</v>
      </c>
      <c r="P42" s="43">
        <v>4</v>
      </c>
      <c r="Q42" s="44">
        <v>9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13+111+10+355</f>
        <v>489</v>
      </c>
      <c r="D44" s="89"/>
      <c r="E44" s="89"/>
    </row>
    <row r="45" spans="2:25" x14ac:dyDescent="0.25">
      <c r="B45" s="77" t="s">
        <v>69</v>
      </c>
      <c r="C45" s="89">
        <f>13</f>
        <v>13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6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>
        <v>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2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25</v>
      </c>
      <c r="I24" s="14"/>
      <c r="J24" s="14"/>
      <c r="K24" s="14">
        <v>50</v>
      </c>
      <c r="L24" s="14">
        <v>5</v>
      </c>
      <c r="M24" s="14">
        <v>320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8</v>
      </c>
      <c r="I31" s="23"/>
      <c r="J31" s="23"/>
      <c r="K31" s="23">
        <v>0</v>
      </c>
      <c r="L31" s="23">
        <v>5</v>
      </c>
      <c r="M31" s="23">
        <v>1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50</v>
      </c>
      <c r="L32" s="28">
        <v>0</v>
      </c>
      <c r="M32" s="28">
        <v>319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317</v>
      </c>
      <c r="G36" s="43">
        <v>1</v>
      </c>
      <c r="H36" s="43"/>
      <c r="I36" s="43">
        <v>62</v>
      </c>
      <c r="J36" s="43">
        <v>1</v>
      </c>
      <c r="K36" s="43">
        <v>9</v>
      </c>
      <c r="L36" s="43"/>
      <c r="M36" s="43"/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317</v>
      </c>
      <c r="G42" s="43">
        <v>1</v>
      </c>
      <c r="H42" s="43"/>
      <c r="I42" s="43">
        <v>62</v>
      </c>
      <c r="J42" s="43">
        <v>1</v>
      </c>
      <c r="K42" s="43">
        <v>9</v>
      </c>
      <c r="L42" s="43"/>
      <c r="M42" s="43"/>
      <c r="N42" s="43">
        <v>3</v>
      </c>
      <c r="O42" s="43">
        <v>1</v>
      </c>
      <c r="P42" s="43"/>
      <c r="Q42" s="44">
        <v>8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2+1+1+2+2+1+17+50+319+1</f>
        <v>396</v>
      </c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</v>
      </c>
      <c r="F8" s="14">
        <v>1</v>
      </c>
      <c r="G8" s="14"/>
      <c r="H8" s="14" t="s">
        <v>114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113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0</v>
      </c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68</v>
      </c>
      <c r="I24" s="14"/>
      <c r="J24" s="14"/>
      <c r="K24" s="14">
        <v>1</v>
      </c>
      <c r="L24" s="14">
        <v>8</v>
      </c>
      <c r="M24" s="14">
        <v>481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4</v>
      </c>
      <c r="M31" s="23">
        <v>96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68</v>
      </c>
      <c r="I32" s="28"/>
      <c r="J32" s="28"/>
      <c r="K32" s="28">
        <v>0</v>
      </c>
      <c r="L32" s="28">
        <v>4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278</v>
      </c>
      <c r="G36" s="43">
        <v>18</v>
      </c>
      <c r="H36" s="43">
        <v>7</v>
      </c>
      <c r="I36" s="43">
        <v>4</v>
      </c>
      <c r="J36" s="43"/>
      <c r="K36" s="43">
        <v>12</v>
      </c>
      <c r="L36" s="43"/>
      <c r="M36" s="43">
        <v>2</v>
      </c>
      <c r="N36" s="43"/>
      <c r="O36" s="43">
        <v>3</v>
      </c>
      <c r="P36" s="43">
        <v>1</v>
      </c>
      <c r="Q36" s="44">
        <v>73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278</v>
      </c>
      <c r="G42" s="43">
        <v>18</v>
      </c>
      <c r="H42" s="43">
        <v>7</v>
      </c>
      <c r="I42" s="43">
        <v>4</v>
      </c>
      <c r="J42" s="43"/>
      <c r="K42" s="43">
        <v>12</v>
      </c>
      <c r="L42" s="43"/>
      <c r="M42" s="43">
        <v>2</v>
      </c>
      <c r="N42" s="43"/>
      <c r="O42" s="43">
        <v>3</v>
      </c>
      <c r="P42" s="43">
        <v>1</v>
      </c>
      <c r="Q42" s="44">
        <v>73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1+10+2+68+4+385</f>
        <v>470</v>
      </c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15</v>
      </c>
      <c r="F8" s="14">
        <v>15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8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9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15</v>
      </c>
      <c r="F16" s="27">
        <v>15</v>
      </c>
      <c r="G16" s="28"/>
      <c r="H16" s="28">
        <v>19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2</v>
      </c>
      <c r="G24" s="14"/>
      <c r="H24" s="14">
        <v>140</v>
      </c>
      <c r="I24" s="14"/>
      <c r="J24" s="14"/>
      <c r="K24" s="14">
        <v>2</v>
      </c>
      <c r="L24" s="14">
        <v>15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81</v>
      </c>
      <c r="I31" s="23"/>
      <c r="J31" s="23"/>
      <c r="K31" s="23">
        <v>2</v>
      </c>
      <c r="L31" s="23">
        <v>3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12</v>
      </c>
      <c r="M32" s="28">
        <v>432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510</v>
      </c>
      <c r="G36" s="43">
        <v>1</v>
      </c>
      <c r="H36" s="43">
        <v>5</v>
      </c>
      <c r="I36" s="43">
        <v>2</v>
      </c>
      <c r="J36" s="43"/>
      <c r="K36" s="43">
        <v>2</v>
      </c>
      <c r="L36" s="43">
        <v>2</v>
      </c>
      <c r="M36" s="43"/>
      <c r="N36" s="43">
        <v>2</v>
      </c>
      <c r="O36" s="43">
        <v>12</v>
      </c>
      <c r="P36" s="43">
        <v>18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510</v>
      </c>
      <c r="G42" s="43">
        <v>1</v>
      </c>
      <c r="H42" s="43">
        <v>5</v>
      </c>
      <c r="I42" s="43">
        <v>2</v>
      </c>
      <c r="J42" s="43"/>
      <c r="K42" s="43">
        <v>2</v>
      </c>
      <c r="L42" s="43">
        <v>2</v>
      </c>
      <c r="M42" s="43"/>
      <c r="N42" s="43">
        <v>2</v>
      </c>
      <c r="O42" s="43">
        <v>12</v>
      </c>
      <c r="P42" s="43">
        <v>18</v>
      </c>
      <c r="Q42" s="44">
        <v>19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15+15+19+1+2+2+59+12+432</f>
        <v>557</v>
      </c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 NO TRIP</vt:lpstr>
      <vt:lpstr>(6)</vt:lpstr>
      <vt:lpstr>03-06 R1 NO TRIP</vt:lpstr>
      <vt:lpstr>03-06 R2 NO TRIP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 NO TRIP'!Print_Area</vt:lpstr>
      <vt:lpstr>'03-06 R1 NO TRIP'!Print_Area</vt:lpstr>
      <vt:lpstr>'03-06 R2 NO TRIP'!Print_Area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2026-02-19T02:10:22Z</cp:lastPrinted>
  <dcterms:created xsi:type="dcterms:W3CDTF">2024-09-01T22:48:10Z</dcterms:created>
  <dcterms:modified xsi:type="dcterms:W3CDTF">2026-03-09T01:00:46Z</dcterms:modified>
</cp:coreProperties>
</file>