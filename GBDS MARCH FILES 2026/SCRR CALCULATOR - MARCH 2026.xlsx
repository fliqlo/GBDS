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9632213-3430-4D7F-896C-A283BD8EB1E8}" xr6:coauthVersionLast="45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" sheetId="1853" r:id="rId17"/>
    <sheet name="(6)" sheetId="1854" r:id="rId18"/>
    <sheet name="06,03 R1" sheetId="1855" r:id="rId19"/>
    <sheet name="06,03 R2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R3'!$A$1:$J$60</definedName>
    <definedName name="_xlnm.Print_Area" localSheetId="18">'06,03 R1'!$A$1:$J$60</definedName>
    <definedName name="_xlnm.Print_Area" localSheetId="19">'06,03 R2'!$A$1:$J$60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G49" i="1857" s="1"/>
  <c r="D34" i="1857"/>
  <c r="D54" i="1857" s="1"/>
  <c r="H14" i="1857" s="1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G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D54" i="1855" s="1"/>
  <c r="H14" i="1855" s="1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D29" i="1855" s="1"/>
  <c r="H13" i="1855" s="1"/>
  <c r="H15" i="1855" s="1"/>
  <c r="H29" i="1855" s="1"/>
  <c r="G51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G49" i="1852" s="1"/>
  <c r="D34" i="1852"/>
  <c r="D54" i="1852" s="1"/>
  <c r="H14" i="1852" s="1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L23" i="1852"/>
  <c r="D23" i="1852" s="1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G49" i="1851" s="1"/>
  <c r="D35" i="1851"/>
  <c r="R34" i="1851"/>
  <c r="H34" i="1851"/>
  <c r="D34" i="1851"/>
  <c r="D54" i="1851" s="1"/>
  <c r="H14" i="1851" s="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D54" i="1849" s="1"/>
  <c r="H14" i="1849" s="1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G49" i="1849" s="1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29" i="1848" s="1"/>
  <c r="H13" i="1848" s="1"/>
  <c r="H15" i="1848" s="1"/>
  <c r="H29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D54" i="1848" s="1"/>
  <c r="H14" i="1848" s="1"/>
  <c r="R35" i="1848"/>
  <c r="L19" i="1848" s="1"/>
  <c r="D19" i="1848" s="1"/>
  <c r="H35" i="1848"/>
  <c r="D35" i="1848"/>
  <c r="R34" i="1848"/>
  <c r="H34" i="1848"/>
  <c r="G49" i="1848" s="1"/>
  <c r="G51" i="1848" s="1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G49" i="1847" s="1"/>
  <c r="D35" i="1847"/>
  <c r="D54" i="1847" s="1"/>
  <c r="H14" i="1847" s="1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D54" i="1845"/>
  <c r="H14" i="1845" s="1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G49" i="1845" s="1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D54" i="1844" s="1"/>
  <c r="H14" i="1844" s="1"/>
  <c r="R35" i="1844"/>
  <c r="L19" i="1844" s="1"/>
  <c r="D19" i="1844" s="1"/>
  <c r="H35" i="1844"/>
  <c r="D35" i="1844"/>
  <c r="R34" i="1844"/>
  <c r="H34" i="1844"/>
  <c r="G49" i="1844" s="1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G49" i="1843" s="1"/>
  <c r="D34" i="1843"/>
  <c r="D54" i="1843" s="1"/>
  <c r="H14" i="1843" s="1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51" i="1865" l="1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H15" i="1857" s="1"/>
  <c r="H29" i="1857" s="1"/>
  <c r="G51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H15" i="1852" s="1"/>
  <c r="H29" i="1852" s="1"/>
  <c r="G51" i="1852" s="1"/>
  <c r="D29" i="1851"/>
  <c r="H13" i="1851" s="1"/>
  <c r="H15" i="1851" s="1"/>
  <c r="H29" i="1851" s="1"/>
  <c r="G51" i="1851" s="1"/>
  <c r="D29" i="1850"/>
  <c r="H13" i="1850" s="1"/>
  <c r="H15" i="1850" s="1"/>
  <c r="H29" i="1850" s="1"/>
  <c r="G51" i="1850" s="1"/>
  <c r="D29" i="1849"/>
  <c r="H13" i="1849" s="1"/>
  <c r="H15" i="1849" s="1"/>
  <c r="H29" i="1849" s="1"/>
  <c r="G51" i="1849"/>
  <c r="D29" i="1847"/>
  <c r="H13" i="1847" s="1"/>
  <c r="H15" i="1847" s="1"/>
  <c r="H29" i="1847" s="1"/>
  <c r="G51" i="1847" s="1"/>
  <c r="D29" i="1846"/>
  <c r="H13" i="1846" s="1"/>
  <c r="H15" i="1846" s="1"/>
  <c r="H29" i="1846" s="1"/>
  <c r="G51" i="1846" s="1"/>
  <c r="D29" i="1845"/>
  <c r="H13" i="1845" s="1"/>
  <c r="H15" i="1845" s="1"/>
  <c r="H29" i="1845" s="1"/>
  <c r="G51" i="1845" s="1"/>
  <c r="D29" i="1844"/>
  <c r="H13" i="1844" s="1"/>
  <c r="H15" i="1844" s="1"/>
  <c r="H29" i="1844" s="1"/>
  <c r="G51" i="1844" s="1"/>
  <c r="D29" i="1843"/>
  <c r="H13" i="1843" s="1"/>
  <c r="H15" i="1843" s="1"/>
  <c r="H29" i="1843" s="1"/>
  <c r="G51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G49" i="1821" l="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<sst xmlns="http://schemas.openxmlformats.org/spreadsheetml/2006/main" count="3763" uniqueCount="158">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</sst>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7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308</v>
      </c>
      <c r="D6" s="13">
        <f t="shared" ref="D6:D28" si="1">C6*L6</f>
        <v>234388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>
        <v>1</v>
      </c>
      <c r="D8" s="13">
        <f t="shared" si="1"/>
        <v>1093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v>18</v>
      </c>
      <c r="D9" s="13">
        <f t="shared" si="1"/>
        <v>13194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>
        <v>2</v>
      </c>
      <c r="D10" s="13">
        <f t="shared" si="1"/>
        <v>2064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>
        <v>6</v>
      </c>
      <c r="D13" s="48">
        <f t="shared" si="1"/>
        <v>1842</v>
      </c>
      <c r="F13" s="135" t="s">
        <v>36</v>
      </c>
      <c r="G13" s="136"/>
      <c r="H13" s="137">
        <f>D29</f>
        <v>265882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>
        <v>5</v>
      </c>
      <c r="D14" s="31">
        <f t="shared" si="1"/>
        <v>55</v>
      </c>
      <c r="F14" s="140" t="s">
        <v>39</v>
      </c>
      <c r="G14" s="141"/>
      <c r="H14" s="142">
        <f>D54</f>
        <v>30599.25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>
        <v>1</v>
      </c>
      <c r="D15" s="31">
        <f t="shared" si="1"/>
        <v>620</v>
      </c>
      <c r="F15" s="145" t="s">
        <v>40</v>
      </c>
      <c r="G15" s="136"/>
      <c r="H15" s="146">
        <f>H13-H14</f>
        <v>235282.75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87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158" t="s">
        <v>55</v>
      </c>
      <c r="G29" s="159"/>
      <c r="H29" s="162">
        <f>H15-H16-H17-H18-H19-H20-H22-H23-H24+H26+H27+H28</f>
        <v>233926.75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0">
        <f t="shared" ref="H34:H39" si="2">F34*G34</f>
        <v>64000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0">
        <f t="shared" si="2"/>
        <v>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0">
        <f t="shared" si="2"/>
        <v>1100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30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4">
        <v>150017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74">
        <v>7564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11</v>
      </c>
      <c r="D46" s="12">
        <f>C46*1.5</f>
        <v>16.5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233911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</v>
      </c>
      <c r="D50" s="12">
        <f>C50*1.5</f>
        <v>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-15.75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351</v>
      </c>
      <c r="D6" s="13">
        <f t="shared" ref="D6:D28" si="1">C6*L6</f>
        <v>267111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40</v>
      </c>
      <c r="D9" s="13">
        <f t="shared" si="1"/>
        <v>29320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9</v>
      </c>
      <c r="D13" s="48">
        <f t="shared" si="1"/>
        <v>2763</v>
      </c>
      <c r="F13" s="135" t="s">
        <v>36</v>
      </c>
      <c r="G13" s="136"/>
      <c r="H13" s="137">
        <f>D29</f>
        <v>313708.5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3</v>
      </c>
      <c r="D14" s="31">
        <f t="shared" si="1"/>
        <v>33</v>
      </c>
      <c r="F14" s="140" t="s">
        <v>39</v>
      </c>
      <c r="G14" s="141"/>
      <c r="H14" s="142">
        <f>D54</f>
        <v>55225.5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258483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150</v>
      </c>
      <c r="C24" s="10">
        <v>12</v>
      </c>
      <c r="D24" s="48">
        <f t="shared" si="1"/>
        <v>474</v>
      </c>
      <c r="F24" s="38"/>
      <c r="G24" s="37"/>
      <c r="H24" s="173"/>
      <c r="I24" s="174"/>
      <c r="J24" s="17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7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158" t="s">
        <v>55</v>
      </c>
      <c r="G29" s="159"/>
      <c r="H29" s="162">
        <f>H15-H16-H17-H18-H19-H20-H22-H23-H24+H26+H27</f>
        <v>257103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0">
        <f>F34*G34</f>
        <v>101000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0">
        <f t="shared" ref="H35:H39" si="2">F35*G35</f>
        <v>11000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136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4">
        <v>144193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36</v>
      </c>
      <c r="D46" s="12">
        <f>C46*1.5</f>
        <v>54</v>
      </c>
      <c r="F46" s="37"/>
      <c r="G46" s="89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22</v>
      </c>
      <c r="D49" s="12">
        <f>C49*42</f>
        <v>924</v>
      </c>
      <c r="F49" s="215" t="s">
        <v>86</v>
      </c>
      <c r="G49" s="162">
        <f>H34+H35+H36+H37+H38+H39+H40+H41+G42+H44+H45+H46</f>
        <v>256479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5</v>
      </c>
      <c r="D50" s="12">
        <f>C50*1.5</f>
        <v>7.5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153</v>
      </c>
      <c r="G51" s="229">
        <f>G49-H29</f>
        <v>-624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266</v>
      </c>
      <c r="D6" s="13">
        <f t="shared" ref="D6:D28" si="1">C6*L6</f>
        <v>202426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57</v>
      </c>
      <c r="D9" s="13">
        <f t="shared" si="1"/>
        <v>41781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259606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36129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223477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7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158" t="s">
        <v>55</v>
      </c>
      <c r="G29" s="159"/>
      <c r="H29" s="162">
        <f>H15-H16-H17-H18-H19-H20-H22-H23-H24+H26+H27</f>
        <v>222737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0">
        <f>F34*G34</f>
        <v>41000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0">
        <f>F35*G35</f>
        <v>3500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0">
        <v>88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4">
        <v>75280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4">
        <v>101194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9">
        <v>1582</v>
      </c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222844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107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</vt:lpstr>
      <vt:lpstr>(6)</vt:lpstr>
      <vt:lpstr>06,03 R1</vt:lpstr>
      <vt:lpstr>06,03 R2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R3'!Print_Area</vt:lpstr>
      <vt:lpstr>'06,03 R1'!Print_Area</vt:lpstr>
      <vt:lpstr>'06,03 R2'!Print_Area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2026-03-03T00:02:24Z</cp:lastPrinted>
  <dcterms:created xsi:type="dcterms:W3CDTF">2024-09-01T23:36:50Z</dcterms:created>
  <dcterms:modified xsi:type="dcterms:W3CDTF">2026-03-03T00:03:58Z</dcterms:modified>
</cp:coreProperties>
</file>