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2A8CD90-F91E-4A56-9F20-D59E5600A8C9}" xr6:coauthVersionLast="45" xr6:coauthVersionMax="47" xr10:uidLastSave="{00000000-0000-0000-0000-000000000000}"/>
  <bookViews>
    <workbookView xWindow="-120" yWindow="-120" windowWidth="29040" windowHeight="15840" firstSheet="33" activeTab="36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873" l="1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73" l="1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<sst xmlns="http://schemas.openxmlformats.org/spreadsheetml/2006/main" count="7024" uniqueCount="189">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</sst>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308</v>
      </c>
      <c r="D6" s="13">
        <f t="shared" ref="D6:D28" si="1">C6*L6</f>
        <v>234388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18</v>
      </c>
      <c r="D9" s="13">
        <f t="shared" si="1"/>
        <v>13194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6</v>
      </c>
      <c r="D13" s="48">
        <f t="shared" si="1"/>
        <v>1842</v>
      </c>
      <c r="F13" s="130" t="s">
        <v>36</v>
      </c>
      <c r="G13" s="131"/>
      <c r="H13" s="132">
        <f>D29</f>
        <v>265882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30599.25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235282.75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153" t="s">
        <v>55</v>
      </c>
      <c r="G29" s="154"/>
      <c r="H29" s="157">
        <f>H15-H16-H17-H18-H19-H20-H22-H23-H24+H26+H27+H28</f>
        <v>233926.75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85">
        <f t="shared" ref="H34:H39" si="2">F34*G34</f>
        <v>64000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85">
        <f t="shared" si="2"/>
        <v>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85">
        <f t="shared" si="2"/>
        <v>1100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30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69">
        <v>150017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69">
        <v>7564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11</v>
      </c>
      <c r="D46" s="12">
        <f>C46*1.5</f>
        <v>16.5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233911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</v>
      </c>
      <c r="D50" s="12">
        <f>C50*1.5</f>
        <v>4.5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-15.75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351</v>
      </c>
      <c r="D6" s="13">
        <f t="shared" ref="D6:D28" si="1">C6*L6</f>
        <v>267111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40</v>
      </c>
      <c r="D9" s="13">
        <f t="shared" si="1"/>
        <v>29320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9</v>
      </c>
      <c r="D13" s="48">
        <f t="shared" si="1"/>
        <v>2763</v>
      </c>
      <c r="F13" s="130" t="s">
        <v>36</v>
      </c>
      <c r="G13" s="131"/>
      <c r="H13" s="132">
        <f>D29</f>
        <v>313708.5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3</v>
      </c>
      <c r="D14" s="31">
        <f t="shared" si="1"/>
        <v>33</v>
      </c>
      <c r="F14" s="135" t="s">
        <v>39</v>
      </c>
      <c r="G14" s="136"/>
      <c r="H14" s="137">
        <f>D54</f>
        <v>55225.5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258483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150</v>
      </c>
      <c r="C24" s="10">
        <v>12</v>
      </c>
      <c r="D24" s="48">
        <f t="shared" si="1"/>
        <v>474</v>
      </c>
      <c r="F24" s="38"/>
      <c r="G24" s="37"/>
      <c r="H24" s="168"/>
      <c r="I24" s="169"/>
      <c r="J24" s="16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153" t="s">
        <v>55</v>
      </c>
      <c r="G29" s="154"/>
      <c r="H29" s="157">
        <f>H15-H16-H17-H18-H19-H20-H22-H23-H24+H26+H27</f>
        <v>257103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85">
        <f>F34*G34</f>
        <v>101000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85">
        <f t="shared" ref="H35:H39" si="2">F35*G35</f>
        <v>11000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136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69">
        <v>144193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36</v>
      </c>
      <c r="D46" s="12">
        <f>C46*1.5</f>
        <v>54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22</v>
      </c>
      <c r="D49" s="12">
        <f>C49*42</f>
        <v>924</v>
      </c>
      <c r="F49" s="210" t="s">
        <v>86</v>
      </c>
      <c r="G49" s="157">
        <f>H34+H35+H36+H37+H38+H39+H40+H41+G42+H44+H45+H46</f>
        <v>256479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5</v>
      </c>
      <c r="D50" s="12">
        <f>C50*1.5</f>
        <v>7.5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153</v>
      </c>
      <c r="G51" s="224">
        <f>G49-H29</f>
        <v>-624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266</v>
      </c>
      <c r="D6" s="13">
        <f t="shared" ref="D6:D28" si="1">C6*L6</f>
        <v>202426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9</v>
      </c>
      <c r="D7" s="13">
        <f t="shared" si="1"/>
        <v>7029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57</v>
      </c>
      <c r="D9" s="13">
        <f t="shared" si="1"/>
        <v>41781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12</v>
      </c>
      <c r="D13" s="48">
        <f t="shared" si="1"/>
        <v>3684</v>
      </c>
      <c r="F13" s="130" t="s">
        <v>36</v>
      </c>
      <c r="G13" s="131"/>
      <c r="H13" s="132">
        <f>D29</f>
        <v>259606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36129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223477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153" t="s">
        <v>55</v>
      </c>
      <c r="G29" s="154"/>
      <c r="H29" s="157">
        <f>H15-H16-H17-H18-H19-H20-H22-H23-H24+H26+H27</f>
        <v>222737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5">
        <f>F34*G34</f>
        <v>41000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5">
        <f>F35*G35</f>
        <v>3500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5">
        <v>88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69">
        <v>75280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69">
        <v>101194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4">
        <v>1582</v>
      </c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222844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107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382</v>
      </c>
      <c r="D6" s="13">
        <f t="shared" ref="D6:D28" si="1">C6*L6</f>
        <v>290702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7</v>
      </c>
      <c r="D7" s="13">
        <f t="shared" si="1"/>
        <v>5467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31</v>
      </c>
      <c r="D9" s="13">
        <f t="shared" si="1"/>
        <v>22723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322724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9</v>
      </c>
      <c r="D14" s="31">
        <f t="shared" si="1"/>
        <v>99</v>
      </c>
      <c r="F14" s="135" t="s">
        <v>39</v>
      </c>
      <c r="G14" s="136"/>
      <c r="H14" s="137">
        <f>D54</f>
        <v>44362.5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278361.5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153" t="s">
        <v>55</v>
      </c>
      <c r="G29" s="154"/>
      <c r="H29" s="157">
        <f>H15-H16-H17-H18-H19-H20-H22-H23-H24+H26+H27+H28</f>
        <v>278361.5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85">
        <f t="shared" ref="H34:H39" si="2">F34*G34</f>
        <v>212000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5">
        <f t="shared" si="2"/>
        <v>18000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85">
        <f t="shared" si="2"/>
        <v>2700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5">
        <f t="shared" si="2"/>
        <v>1150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69">
        <v>10000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69">
        <v>35000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279290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928.5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224</v>
      </c>
      <c r="D6" s="13">
        <f t="shared" ref="D6:D28" si="1">C6*L6</f>
        <v>170464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71</v>
      </c>
      <c r="D9" s="13">
        <f t="shared" si="1"/>
        <v>52043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228774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35040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193734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7">
        <v>265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153" t="s">
        <v>55</v>
      </c>
      <c r="G29" s="154"/>
      <c r="H29" s="157">
        <f>H15-H16-H17-H18-H19-H20-H22-H23-H24+H26+H27</f>
        <v>192737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85">
        <f>F34*G34</f>
        <v>140000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5">
        <f t="shared" ref="H35:H39" si="2">F35*G35</f>
        <v>46500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>F36*G36</f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85">
        <f t="shared" si="2"/>
        <v>1350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45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</v>
      </c>
      <c r="D46" s="12">
        <f>C46*1.5</f>
        <v>1.5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192595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-142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291</v>
      </c>
      <c r="D6" s="13">
        <f t="shared" ref="D6:D28" si="1">C6*L6</f>
        <v>221451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20</v>
      </c>
      <c r="D7" s="13">
        <f t="shared" si="1"/>
        <v>15620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36</v>
      </c>
      <c r="D9" s="13">
        <f t="shared" si="1"/>
        <v>26388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273403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40279.5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233123.5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153" t="s">
        <v>55</v>
      </c>
      <c r="G29" s="154"/>
      <c r="H29" s="157">
        <f>H15-H16-H17-H18-H19-H20-H22-H23-H24+H26+H27</f>
        <v>232205.5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85">
        <f>F34*G34</f>
        <v>75000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85">
        <f>F35*G35</f>
        <v>48500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85">
        <f t="shared" si="2"/>
        <v>6000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85">
        <f t="shared" si="2"/>
        <v>2150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74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69">
        <v>100483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64</v>
      </c>
      <c r="D46" s="12">
        <f>C46*1.5</f>
        <v>96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232207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22</v>
      </c>
      <c r="D50" s="12">
        <f>C50*1.5</f>
        <v>33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359</v>
      </c>
      <c r="D6" s="13">
        <f t="shared" ref="D6:D28" si="1">C6*L6</f>
        <v>273199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117</v>
      </c>
      <c r="D9" s="13">
        <f t="shared" si="1"/>
        <v>85761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18</v>
      </c>
      <c r="D13" s="48">
        <f t="shared" si="1"/>
        <v>5526</v>
      </c>
      <c r="F13" s="130" t="s">
        <v>36</v>
      </c>
      <c r="G13" s="131"/>
      <c r="H13" s="132">
        <f>D29</f>
        <v>387395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43563.75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343831.25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7">
        <v>100339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69">
        <v>98532</v>
      </c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153" t="s">
        <v>55</v>
      </c>
      <c r="G29" s="154"/>
      <c r="H29" s="157">
        <f>H15-H16-H17-H18-H19-H20-H22-H23-H24+H26+H27+H28</f>
        <v>340020.25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85">
        <f t="shared" ref="H34:H39" si="2">F34*G34</f>
        <v>10000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10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69">
        <v>230441.5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69">
        <v>98532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7</v>
      </c>
      <c r="D49" s="12">
        <f>C49*42</f>
        <v>294</v>
      </c>
      <c r="F49" s="210" t="s">
        <v>86</v>
      </c>
      <c r="G49" s="157">
        <f>H34+H35+H36+H37+H38+H39+H40+H41+G42+H44+H45+H46</f>
        <v>339183.5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17</v>
      </c>
      <c r="D50" s="12">
        <f>C50*1.5</f>
        <v>25.5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-836.75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326</v>
      </c>
      <c r="D6" s="13">
        <f t="shared" ref="D6:D28" si="1">C6*L6</f>
        <v>248086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253739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36819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216920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153" t="s">
        <v>55</v>
      </c>
      <c r="G29" s="154"/>
      <c r="H29" s="157">
        <f>H15-H16-H17-H18-H19-H20-H22-H23-H24+H26+H27</f>
        <v>214926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85">
        <f>F34*G34</f>
        <v>214000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85">
        <f t="shared" si="2"/>
        <v>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32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214882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-44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270</v>
      </c>
      <c r="D6" s="13">
        <f t="shared" ref="D6:D28" si="1">C6*L6</f>
        <v>205470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8</v>
      </c>
      <c r="D13" s="48">
        <f t="shared" si="1"/>
        <v>2456</v>
      </c>
      <c r="F13" s="130" t="s">
        <v>36</v>
      </c>
      <c r="G13" s="131"/>
      <c r="H13" s="132">
        <f>D29</f>
        <v>236285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33749.25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202535.75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153" t="s">
        <v>55</v>
      </c>
      <c r="G29" s="154"/>
      <c r="H29" s="157">
        <f>H15-H16-H17-H18-H19-H20-H22-H23-H24+H26+H27</f>
        <v>201327.75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85">
        <f>F34*G34</f>
        <v>94000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85">
        <f>F35*G35</f>
        <v>54000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85">
        <f t="shared" si="2"/>
        <v>12400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5">
        <v>94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69">
        <v>40666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201260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6</v>
      </c>
      <c r="D50" s="12">
        <f>C50*1.5</f>
        <v>9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-67.75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377</v>
      </c>
      <c r="D6" s="13">
        <f t="shared" ref="D6:D28" si="1">C6*L6</f>
        <v>286897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10</v>
      </c>
      <c r="D9" s="13">
        <f t="shared" si="1"/>
        <v>7330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1</v>
      </c>
      <c r="D11" s="13">
        <f t="shared" si="1"/>
        <v>1170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301631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55843.5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245787.5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90" t="s">
        <v>167</v>
      </c>
      <c r="C22" s="10">
        <v>2</v>
      </c>
      <c r="D22" s="48">
        <f t="shared" si="1"/>
        <v>3164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153" t="s">
        <v>55</v>
      </c>
      <c r="G29" s="154"/>
      <c r="H29" s="157">
        <f>H15-H16-H17-H18-H19-H20-H22-H23-H24+H26+H27+H28</f>
        <v>243837.5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85">
        <f t="shared" ref="H34:H39" si="2">F34*G34</f>
        <v>34000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85">
        <f t="shared" si="2"/>
        <v>209500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26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</v>
      </c>
      <c r="D46" s="12">
        <f>C46*1.5</f>
        <v>9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243746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18</v>
      </c>
      <c r="D50" s="12">
        <f>C50*1.5</f>
        <v>27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-91.5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246</v>
      </c>
      <c r="D6" s="13">
        <f t="shared" ref="D6:D28" si="1">C6*L6</f>
        <v>187206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24</v>
      </c>
      <c r="D9" s="13">
        <f t="shared" si="1"/>
        <v>17592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264640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34920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229720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>
        <v>4</v>
      </c>
      <c r="D23" s="48">
        <f t="shared" si="1"/>
        <v>6668</v>
      </c>
      <c r="F23" s="25"/>
      <c r="G23" s="37"/>
      <c r="H23" s="168"/>
      <c r="I23" s="169"/>
      <c r="J23" s="16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168</v>
      </c>
      <c r="C27" s="10">
        <v>1</v>
      </c>
      <c r="D27" s="44">
        <f t="shared" si="1"/>
        <v>1582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153" t="s">
        <v>55</v>
      </c>
      <c r="G29" s="154"/>
      <c r="H29" s="157">
        <f>H15-H16-H17-H18-H19-H20-H22-H23-H24+H26+H27</f>
        <v>228538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85">
        <f>F34*G34</f>
        <v>44000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85">
        <f t="shared" si="2"/>
        <v>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69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9">
        <v>179826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224985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-3553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355</v>
      </c>
      <c r="D6" s="13">
        <f t="shared" ref="D6:D28" si="1">C6*L6</f>
        <v>270155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10</v>
      </c>
      <c r="D7" s="13">
        <f t="shared" si="1"/>
        <v>7810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111</v>
      </c>
      <c r="D9" s="13">
        <f t="shared" si="1"/>
        <v>81363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13</v>
      </c>
      <c r="D13" s="48">
        <f t="shared" si="1"/>
        <v>3991</v>
      </c>
      <c r="F13" s="130" t="s">
        <v>36</v>
      </c>
      <c r="G13" s="131"/>
      <c r="H13" s="132">
        <f>D29</f>
        <v>363462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13</v>
      </c>
      <c r="D14" s="31">
        <f t="shared" si="1"/>
        <v>143</v>
      </c>
      <c r="F14" s="135" t="s">
        <v>39</v>
      </c>
      <c r="G14" s="136"/>
      <c r="H14" s="137">
        <f>D54</f>
        <v>54750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308712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153" t="s">
        <v>55</v>
      </c>
      <c r="G29" s="154"/>
      <c r="H29" s="157">
        <f>H15-H16-H17-H18-H19-H20-H22-H23-H24+H26+H27</f>
        <v>306190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85">
        <f>F34*G34</f>
        <v>63000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85">
        <f t="shared" si="2"/>
        <v>300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3162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69">
        <v>225117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307129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9</v>
      </c>
      <c r="D50" s="12">
        <f>C50*1.5</f>
        <v>13.5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939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319</v>
      </c>
      <c r="D6" s="13">
        <f t="shared" ref="D6:D28" si="1">C6*L6</f>
        <v>242759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50</v>
      </c>
      <c r="D8" s="13">
        <f t="shared" si="1"/>
        <v>54650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17</v>
      </c>
      <c r="D9" s="13">
        <f t="shared" si="1"/>
        <v>12461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</v>
      </c>
      <c r="D13" s="48">
        <f t="shared" si="1"/>
        <v>307</v>
      </c>
      <c r="F13" s="130" t="s">
        <v>36</v>
      </c>
      <c r="G13" s="131"/>
      <c r="H13" s="132">
        <f>D29</f>
        <v>319434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42474.75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276959.25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7">
        <v>51622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153" t="s">
        <v>55</v>
      </c>
      <c r="G29" s="154"/>
      <c r="H29" s="157">
        <f>H15-H16-H17-H18-H19-H20-H22-H23-H24+H26+H27+H28</f>
        <v>225337.25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85">
        <f t="shared" ref="H34:H39" si="2">F34*G34</f>
        <v>82000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5">
        <v>106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69">
        <v>141334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</v>
      </c>
      <c r="D46" s="12">
        <f>C46*1.5</f>
        <v>4.5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223690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-1647.25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385</v>
      </c>
      <c r="D6" s="13">
        <f t="shared" ref="D6:D28" si="1">C6*L6</f>
        <v>292985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4</v>
      </c>
      <c r="D7" s="13">
        <f t="shared" si="1"/>
        <v>3124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68</v>
      </c>
      <c r="D9" s="13">
        <f t="shared" si="1"/>
        <v>49844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351657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33426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318231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153" t="s">
        <v>55</v>
      </c>
      <c r="G29" s="154"/>
      <c r="H29" s="157">
        <f>H15-H16-H17-H18-H19-H20-H22-H23-H24+H26+H27</f>
        <v>317031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85">
        <f>F34*G34</f>
        <v>131000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85">
        <f t="shared" ref="H35:H39" si="2">F35*G35</f>
        <v>40000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18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69">
        <v>145531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317019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73</v>
      </c>
      <c r="D50" s="12">
        <f>C50*1.5</f>
        <v>109.5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432</v>
      </c>
      <c r="D6" s="13">
        <f t="shared" ref="D6:D28" si="1">C6*L6</f>
        <v>328752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59</v>
      </c>
      <c r="D9" s="13">
        <f t="shared" si="1"/>
        <v>43247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19</v>
      </c>
      <c r="D13" s="48">
        <f t="shared" si="1"/>
        <v>5833</v>
      </c>
      <c r="F13" s="130" t="s">
        <v>36</v>
      </c>
      <c r="G13" s="131"/>
      <c r="H13" s="132">
        <f>D29</f>
        <v>412474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58906.5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353567.5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153" t="s">
        <v>55</v>
      </c>
      <c r="G29" s="154"/>
      <c r="H29" s="157">
        <f>H15-H16-H17-H18-H19-H20-H22-H23-H24+H26+H27</f>
        <v>350831.5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5">
        <f>F34*G34</f>
        <v>100000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85">
        <f t="shared" si="2"/>
        <v>4100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24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69">
        <v>70468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69">
        <v>162086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18</v>
      </c>
      <c r="D49" s="12">
        <f>C49*42</f>
        <v>756</v>
      </c>
      <c r="F49" s="210" t="s">
        <v>86</v>
      </c>
      <c r="G49" s="157">
        <f>H34+H35+H36+H37+H38+H39+H40+H41+G42+H44+H45+H46</f>
        <v>352178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1346.5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558</v>
      </c>
      <c r="D6" s="13">
        <f t="shared" ref="D6:D28" si="1">C6*L6</f>
        <v>424638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55</v>
      </c>
      <c r="D7" s="13">
        <f t="shared" si="1"/>
        <v>42955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67</v>
      </c>
      <c r="D9" s="13">
        <f t="shared" si="1"/>
        <v>49111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529181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67908.75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461272.25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179</v>
      </c>
      <c r="C24" s="10">
        <v>12</v>
      </c>
      <c r="D24" s="48">
        <f t="shared" si="1"/>
        <v>474</v>
      </c>
      <c r="F24" s="77"/>
      <c r="G24" s="79"/>
      <c r="H24" s="220"/>
      <c r="I24" s="221"/>
      <c r="J24" s="22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69">
        <v>51622</v>
      </c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153" t="s">
        <v>55</v>
      </c>
      <c r="G29" s="154"/>
      <c r="H29" s="157">
        <f>H15-H16-H17-H18-H19-H20-H22-H23-H24+H26+H27+H28</f>
        <v>509690.25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85">
        <f t="shared" ref="H34:H39" si="2">F34*G34</f>
        <v>129000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5">
        <f t="shared" si="2"/>
        <v>19500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85">
        <f t="shared" si="2"/>
        <v>500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69">
        <v>359981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509031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-659.25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538</v>
      </c>
      <c r="D6" s="13">
        <f t="shared" ref="D6:D28" si="1">C6*L6</f>
        <v>409418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118</v>
      </c>
      <c r="D9" s="13">
        <f t="shared" si="1"/>
        <v>86494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502921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75838.5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427082.5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153" t="s">
        <v>55</v>
      </c>
      <c r="G29" s="154"/>
      <c r="H29" s="157">
        <f>H15-H16-H17-H18-H19-H20-H22-H23-H24+H26+H27</f>
        <v>423710.5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85">
        <f>F34*G34</f>
        <v>340000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5">
        <f t="shared" ref="H35:H39" si="2">F35*G35</f>
        <v>12500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100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69">
        <v>70473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14</v>
      </c>
      <c r="D49" s="12">
        <f>C49*42</f>
        <v>588</v>
      </c>
      <c r="F49" s="210" t="s">
        <v>86</v>
      </c>
      <c r="G49" s="157">
        <f>H34+H35+H36+H37+H38+H39+H40+H41+G42+H44+H45+H46</f>
        <v>423513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21</v>
      </c>
      <c r="D50" s="12">
        <f>C50*1.5</f>
        <v>31.5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-197.5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369</v>
      </c>
      <c r="D6" s="13">
        <f t="shared" ref="D6:D28" si="1">C6*L6</f>
        <v>280809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11</v>
      </c>
      <c r="D7" s="13">
        <f t="shared" si="1"/>
        <v>8591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63</v>
      </c>
      <c r="D9" s="13">
        <f t="shared" si="1"/>
        <v>46179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344843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25784.25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319058.75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1</v>
      </c>
      <c r="D27" s="44">
        <f t="shared" si="1"/>
        <v>1582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153" t="s">
        <v>55</v>
      </c>
      <c r="G29" s="154"/>
      <c r="H29" s="157">
        <f>H15-H16-H17-H18-H19-H20-H22-H23-H24+H26+H27</f>
        <v>318758.75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85">
        <f>F34*G34</f>
        <v>114000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85">
        <f>F35*G35</f>
        <v>33000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85">
        <f t="shared" si="2"/>
        <v>1700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85">
        <f t="shared" si="2"/>
        <v>1550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43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69">
        <v>168245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318538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9</v>
      </c>
      <c r="D50" s="12">
        <f>C50*1.5</f>
        <v>13.5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-220.75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324</v>
      </c>
      <c r="D6" s="13">
        <f t="shared" ref="D6:D28" si="1">C6*L6</f>
        <v>246564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3</v>
      </c>
      <c r="D7" s="13">
        <f t="shared" si="1"/>
        <v>2343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20</v>
      </c>
      <c r="D9" s="13">
        <f t="shared" si="1"/>
        <v>14660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5</v>
      </c>
      <c r="D13" s="48">
        <f t="shared" si="1"/>
        <v>1535</v>
      </c>
      <c r="F13" s="130" t="s">
        <v>36</v>
      </c>
      <c r="G13" s="131"/>
      <c r="H13" s="132">
        <f>D29</f>
        <v>267570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39540.75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228029.25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4">
        <v>50</v>
      </c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267570</v>
      </c>
      <c r="F29" s="153" t="s">
        <v>55</v>
      </c>
      <c r="G29" s="154"/>
      <c r="H29" s="157">
        <f>H15-H16-H17-H18-H19-H20-H22-H23-H24+H26+H27+H28</f>
        <v>227979.25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85">
        <f t="shared" ref="H34:H39" si="2">F34*G34</f>
        <v>195000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5">
        <f t="shared" si="2"/>
        <v>27000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85">
        <f t="shared" si="2"/>
        <v>800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85">
        <f t="shared" si="2"/>
        <v>4200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85">
        <f t="shared" si="2"/>
        <v>1200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5">
        <v>217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228457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4</v>
      </c>
      <c r="D50" s="12">
        <f>C50*1.5</f>
        <v>6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32" t="s">
        <v>184</v>
      </c>
      <c r="G51" s="234">
        <f>G49-H29</f>
        <v>477.75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311</v>
      </c>
      <c r="D6" s="13">
        <f t="shared" ref="D6:D28" si="1">C6*L6</f>
        <v>236671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266386.58333333331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52669.5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213717.08333333331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</f>
        <v>648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6"/>
      <c r="I27" s="177"/>
      <c r="J27" s="178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266386.58333333331</v>
      </c>
      <c r="F29" s="153" t="s">
        <v>55</v>
      </c>
      <c r="G29" s="154"/>
      <c r="H29" s="157">
        <f>H15-H16-H17-H18-H19-H20-H22-H23-H24+H26+H27</f>
        <v>213069.08333333331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85">
        <f>F34*G34</f>
        <v>127000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5">
        <f t="shared" ref="H35:H39" si="2">F35*G35</f>
        <v>25500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85">
        <f t="shared" si="2"/>
        <v>3700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85">
        <f t="shared" si="2"/>
        <v>250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5">
        <v>80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69">
        <v>56579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</v>
      </c>
      <c r="D46" s="12">
        <f>C46*1.5</f>
        <v>1.5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213109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22</v>
      </c>
      <c r="D50" s="12">
        <f>C50*1.5</f>
        <v>33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39.916666666686069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329</v>
      </c>
      <c r="D6" s="13">
        <f t="shared" ref="D6:D28" si="1">C6*L6</f>
        <v>250369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</v>
      </c>
      <c r="D7" s="13">
        <f t="shared" si="1"/>
        <v>3905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21</v>
      </c>
      <c r="D9" s="13">
        <f t="shared" si="1"/>
        <v>15393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281186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20</v>
      </c>
      <c r="D14" s="31">
        <f t="shared" si="1"/>
        <v>220</v>
      </c>
      <c r="F14" s="135" t="s">
        <v>39</v>
      </c>
      <c r="G14" s="136"/>
      <c r="H14" s="137">
        <f>D54</f>
        <v>42842.25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238343.75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108*6+80*6</f>
        <v>1128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281186</v>
      </c>
      <c r="F29" s="153" t="s">
        <v>55</v>
      </c>
      <c r="G29" s="154"/>
      <c r="H29" s="157">
        <f>H15-H16-H17-H18-H19-H20-H22-H23-H24+H26+H27</f>
        <v>237215.75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85">
        <f>F34*G34</f>
        <v>88000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5">
        <f>F35*G35</f>
        <v>16000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5">
        <f t="shared" ref="H36:H39" si="2">F36*G36</f>
        <v>600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85">
        <f t="shared" si="2"/>
        <v>6600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85">
        <f t="shared" si="2"/>
        <v>700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85">
        <f t="shared" si="2"/>
        <v>80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3</v>
      </c>
      <c r="D42" s="12">
        <f>C42*2.25</f>
        <v>6.75</v>
      </c>
      <c r="F42" s="39" t="s">
        <v>79</v>
      </c>
      <c r="G42" s="185">
        <v>911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69">
        <v>71968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69">
        <v>52207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45</v>
      </c>
      <c r="D46" s="12">
        <f>C46*1.5</f>
        <v>67.5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8</v>
      </c>
      <c r="D49" s="12">
        <f>C49*42</f>
        <v>336</v>
      </c>
      <c r="F49" s="210" t="s">
        <v>86</v>
      </c>
      <c r="G49" s="157">
        <f>H34+H35+H36+H37+H38+H39+H40+H41+G42+H44+H45+H46</f>
        <v>237066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16</v>
      </c>
      <c r="D50" s="12">
        <f>C50*1.5</f>
        <v>24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-149.75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411</v>
      </c>
      <c r="D6" s="13">
        <f t="shared" ref="D6:D28" si="1">C6*L6</f>
        <v>312771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320439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21</v>
      </c>
      <c r="D14" s="31">
        <f t="shared" si="1"/>
        <v>231</v>
      </c>
      <c r="F14" s="135" t="s">
        <v>39</v>
      </c>
      <c r="G14" s="136"/>
      <c r="H14" s="137">
        <f>D54</f>
        <v>55105.5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265333.5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1938</f>
        <v>1938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320439</v>
      </c>
      <c r="F29" s="153" t="s">
        <v>55</v>
      </c>
      <c r="G29" s="154"/>
      <c r="H29" s="157">
        <f>H15-H16-H17-H18-H19-H20-H22-H23-H24+H26+H27+H28</f>
        <v>263395.5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85">
        <f t="shared" ref="H34:H39" si="2">F34*G34</f>
        <v>55000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85">
        <f t="shared" si="2"/>
        <v>5000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13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69">
        <v>203085.5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16</v>
      </c>
      <c r="D46" s="12">
        <f>C46*1.5</f>
        <v>24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263098.5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34</v>
      </c>
      <c r="D50" s="12">
        <f>C50*1.5</f>
        <v>51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-297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348</v>
      </c>
      <c r="D6" s="13">
        <f t="shared" ref="D6:D28" si="1">C6*L6</f>
        <v>264828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268786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44764.5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224021.5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1296+480</f>
        <v>1776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268786</v>
      </c>
      <c r="F29" s="153" t="s">
        <v>55</v>
      </c>
      <c r="G29" s="154"/>
      <c r="H29" s="157">
        <f>H15-H16-H17-H18-H19-H20-H22-H23-H24+H26+H27</f>
        <v>222195.5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85">
        <f>F34*G34</f>
        <v>142000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85">
        <f t="shared" ref="H35:H39" si="2">F35*G35</f>
        <v>45500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85">
        <f t="shared" si="2"/>
        <v>30000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85">
        <f t="shared" si="2"/>
        <v>3450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72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16</v>
      </c>
      <c r="D49" s="12">
        <f>C49*42</f>
        <v>672</v>
      </c>
      <c r="F49" s="210" t="s">
        <v>86</v>
      </c>
      <c r="G49" s="157">
        <f>H34+H35+H36+H37+H38+H39+H40+H41+G42+H44+H45+H46</f>
        <v>221022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</v>
      </c>
      <c r="D50" s="12">
        <f>C50*1.5</f>
        <v>4.5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-1173.5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418</v>
      </c>
      <c r="D6" s="13">
        <f t="shared" ref="D6:D28" si="1">C6*L6</f>
        <v>318098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15</v>
      </c>
      <c r="D7" s="13">
        <f t="shared" si="1"/>
        <v>11715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2</v>
      </c>
      <c r="D8" s="13">
        <f t="shared" si="1"/>
        <v>2186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</v>
      </c>
      <c r="D9" s="13">
        <f t="shared" si="1"/>
        <v>3665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4</v>
      </c>
      <c r="D10" s="13">
        <f t="shared" si="1"/>
        <v>4128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f>1+2+2</f>
        <v>5</v>
      </c>
      <c r="D12" s="48">
        <f t="shared" si="1"/>
        <v>4960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349583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60138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289445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678+1350+360</f>
        <v>2388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349583</v>
      </c>
      <c r="F29" s="153" t="s">
        <v>55</v>
      </c>
      <c r="G29" s="154"/>
      <c r="H29" s="157">
        <f>H15-H16-H17-H18-H19-H20-H22-H23-H24+H26+H27</f>
        <v>287007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85">
        <f>F34*G34</f>
        <v>116000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85">
        <f>F35*G35</f>
        <v>10500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85">
        <f t="shared" si="2"/>
        <v>5900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5">
        <f t="shared" si="2"/>
        <v>1150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6</v>
      </c>
      <c r="D42" s="12">
        <f>C42*2.25</f>
        <v>13.5</v>
      </c>
      <c r="F42" s="39" t="s">
        <v>79</v>
      </c>
      <c r="G42" s="185">
        <v>160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69">
        <v>153409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31</v>
      </c>
      <c r="D46" s="12">
        <f>C46*1.5</f>
        <v>46.5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287119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112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2026-03-11T23:30:33Z</cp:lastPrinted>
  <dcterms:created xsi:type="dcterms:W3CDTF">2024-09-01T23:36:50Z</dcterms:created>
  <dcterms:modified xsi:type="dcterms:W3CDTF">2026-03-11T23:37:12Z</dcterms:modified>
</cp:coreProperties>
</file>