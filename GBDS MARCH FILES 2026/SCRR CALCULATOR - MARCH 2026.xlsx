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DC3AF4D-EB6E-4A99-BBFE-13C84D494C4D}" xr6:coauthVersionLast="45" xr6:coauthVersionMax="47" xr10:uidLastSave="{00000000-0000-0000-0000-000000000000}"/>
  <bookViews>
    <workbookView xWindow="-120" yWindow="-120" windowWidth="29040" windowHeight="15840" firstSheet="95" activeTab="102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 NO TRIP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 DAY OFF" sheetId="1931" r:id="rId95"/>
    <sheet name="28,03 R2 DAY OFF" sheetId="1932" r:id="rId96"/>
    <sheet name="28,03 R3 DAY OFF" sheetId="1933" r:id="rId97"/>
    <sheet name="(30)" sheetId="1934" r:id="rId98"/>
    <sheet name="30,03 R1" sheetId="1935" r:id="rId99"/>
    <sheet name="30,03 R2 NO TRIP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 NO TRIP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 NO TRIP'!$A$1:$J$60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 DAY OFF'!$A$1:$J$60</definedName>
    <definedName name="_xlnm.Print_Area" localSheetId="95">'28,03 R2 DAY OFF'!$A$1:$J$60</definedName>
    <definedName name="_xlnm.Print_Area" localSheetId="96">'28,03 R3 DAY OFF'!$A$1:$J$60</definedName>
    <definedName name="_xlnm.Print_Area" localSheetId="98">'30,03 R1'!$A$1:$J$60</definedName>
    <definedName name="_xlnm.Print_Area" localSheetId="99">'30,03 R2 NO TRIP'!$A$1:$J$60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 NO TRIP'!$A$1:$J$60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40" l="1"/>
  <c r="H16" i="1939"/>
  <c r="H16" i="1937" l="1"/>
  <c r="H16" i="1935"/>
  <c r="H16" i="1929" l="1"/>
  <c r="H16" i="1928" l="1"/>
  <c r="L26" i="1924" l="1"/>
  <c r="H16" i="1924" l="1"/>
  <c r="L24" i="1924" l="1"/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D34" i="1940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D34" i="1937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G49" i="1929" s="1"/>
  <c r="D34" i="1929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D35" i="1928"/>
  <c r="R34" i="1928"/>
  <c r="L12" i="1928" s="1"/>
  <c r="D12" i="1928" s="1"/>
  <c r="H34" i="1928"/>
  <c r="D34" i="1928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D26" i="1924"/>
  <c r="R25" i="1924"/>
  <c r="L25" i="1924"/>
  <c r="D25" i="1924"/>
  <c r="R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D36" i="1923"/>
  <c r="R35" i="1923"/>
  <c r="H35" i="1923"/>
  <c r="D35" i="1923"/>
  <c r="R34" i="1923"/>
  <c r="H34" i="1923"/>
  <c r="D34" i="1923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G49" i="1940" l="1"/>
  <c r="D54" i="1940"/>
  <c r="H14" i="1940" s="1"/>
  <c r="D54" i="1939"/>
  <c r="H14" i="1939" s="1"/>
  <c r="G49" i="1937"/>
  <c r="D54" i="1937"/>
  <c r="H14" i="1937" s="1"/>
  <c r="D29" i="1937"/>
  <c r="H13" i="1937" s="1"/>
  <c r="D54" i="1935"/>
  <c r="H14" i="1935" s="1"/>
  <c r="G49" i="1935"/>
  <c r="D54" i="1929"/>
  <c r="H14" i="1929" s="1"/>
  <c r="D29" i="1929"/>
  <c r="H13" i="1929" s="1"/>
  <c r="H15" i="1929" s="1"/>
  <c r="H29" i="1929" s="1"/>
  <c r="G51" i="1929" s="1"/>
  <c r="D54" i="1927"/>
  <c r="H14" i="1927" s="1"/>
  <c r="G49" i="1927"/>
  <c r="G49" i="1928"/>
  <c r="D54" i="1928"/>
  <c r="H14" i="1928" s="1"/>
  <c r="G49" i="1924"/>
  <c r="G49" i="1923"/>
  <c r="D54" i="1924"/>
  <c r="H14" i="1924" s="1"/>
  <c r="D54" i="1923"/>
  <c r="H14" i="1923" s="1"/>
  <c r="D29" i="1941"/>
  <c r="H13" i="1941" s="1"/>
  <c r="H15" i="1941" s="1"/>
  <c r="H29" i="1941" s="1"/>
  <c r="G51" i="1941" s="1"/>
  <c r="D29" i="1940"/>
  <c r="H13" i="1940" s="1"/>
  <c r="D29" i="1939"/>
  <c r="H13" i="1939" s="1"/>
  <c r="D29" i="1938"/>
  <c r="H13" i="1938" s="1"/>
  <c r="H15" i="1938" s="1"/>
  <c r="H29" i="1938" s="1"/>
  <c r="G51" i="1938" s="1"/>
  <c r="G51" i="1936"/>
  <c r="D29" i="1936"/>
  <c r="H13" i="1936" s="1"/>
  <c r="H15" i="1936" s="1"/>
  <c r="H29" i="1936" s="1"/>
  <c r="D29" i="1935"/>
  <c r="H13" i="1935" s="1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D29" i="1928"/>
  <c r="H13" i="1928" s="1"/>
  <c r="D29" i="1927"/>
  <c r="H13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D29" i="1924"/>
  <c r="H13" i="1924" s="1"/>
  <c r="D29" i="1923"/>
  <c r="H13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40" l="1"/>
  <c r="H29" i="1940" s="1"/>
  <c r="G51" i="1940" s="1"/>
  <c r="H15" i="1939"/>
  <c r="H29" i="1939" s="1"/>
  <c r="G51" i="1939" s="1"/>
  <c r="H15" i="1937"/>
  <c r="H29" i="1937" s="1"/>
  <c r="G51" i="1937" s="1"/>
  <c r="H15" i="1935"/>
  <c r="H29" i="1935" s="1"/>
  <c r="G51" i="1935" s="1"/>
  <c r="H15" i="1927"/>
  <c r="H29" i="1927" s="1"/>
  <c r="G51" i="1927" s="1"/>
  <c r="H15" i="1928"/>
  <c r="H29" i="1928" s="1"/>
  <c r="G51" i="1928" s="1"/>
  <c r="H15" i="1924"/>
  <c r="H29" i="1924" s="1"/>
  <c r="G51" i="1924" s="1"/>
  <c r="H15" i="1923"/>
  <c r="H29" i="1923" s="1"/>
  <c r="G51" i="1923" s="1"/>
  <c r="G49" i="1920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<sst xmlns="http://schemas.openxmlformats.org/spreadsheetml/2006/main" count="14094" uniqueCount="242">
  <si>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</si>
  <si>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</si>
  <si>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</si>
  <si>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</si>
  <si>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</si>
  <si>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</si>
  <si>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</si>
  <si>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</si>
  <si>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</si>
  <si>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</si>
  <si>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</si>
  <si>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</si>
  <si>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</si>
  <si>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</si>
  <si>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</si>
  <si>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</si>
  <si>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</si>
  <si>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</si>
  <si>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</si>
  <si>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</si>
  <si>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</si>
  <si>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</si>
  <si>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</si>
  <si>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</si>
  <si>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</si>
  <si>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</si>
  <si>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</si>
  <si>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</si>
  <si>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</si>
  <si>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</si>
  <si>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</si>
  <si>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</si>
  <si>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</si>
  <si>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</si>
  <si>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</si>
  <si>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</si>
  <si>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</si>
  <si>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</si>
  <si>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</si>
  <si>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</si>
  <si>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</si>
  <si>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</si>
  <si>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</si>
  <si>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</si>
  <si>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</si>
  <si>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</si>
  <si>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</si>
  <si>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</si>
  <si>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</si>
  <si>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</si>
  <si>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</si>
  <si>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</si>
  <si>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</si>
  <si>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</si>
  <si>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</si>
  <si>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</si>
  <si>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</si>
  <si>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</si>
  <si>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</si>
  <si>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</si>
  <si>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</si>
  <si>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</si>
  <si>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</si>
  <si>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</si>
  <si>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</si>
  <si>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</si>
  <si>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</si>
  <si>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</si>
  <si>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</si>
  <si>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</si>
  <si>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</si>
  <si>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</si>
  <si>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</si>
  <si>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</si>
  <si>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</si>
  <si>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</si>
  <si>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</si>
  <si>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</si>
  <si>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</si>
  <si>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</si>
  <si>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</si>
  <si>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</si>
  <si>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</si>
  <si>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</si>
  <si>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</si>
  <si>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</si>
  <si>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</si>
  <si>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</si>
  <si>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</si>
  <si>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</si>
  <si>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</si>
  <si>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</si>
  <si>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</si>
  <si>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</si>
  <si>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</si>
  <si>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</si>
  <si>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</si>
  <si>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</si>
  <si>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</si>
  <si>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</si>
  <si>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</si>
  <si>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</si>
  <si>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</si>
  <si>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</si>
  <si>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</si>
  <si>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</si>
  <si>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</si>
  <si>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</si>
  <si>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</si>
  <si>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</si>
  <si>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</si>
  <si>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</si>
  <si>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</si>
  <si>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</si>
  <si>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</si>
  <si>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</si>
  <si>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</si>
  <si>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</si>
  <si>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</si>
  <si>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</si>
  <si>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</si>
  <si>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</si>
  <si>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</si>
  <si>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</si>
  <si>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</si>
  <si>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</si>
  <si>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</si>
  <si>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</si>
  <si>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</si>
  <si>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</si>
  <si>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</si>
  <si>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</si>
  <si>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</si>
  <si>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</si>
  <si>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</si>
  <si>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</si>
  <si>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</si>
  <si>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</si>
  <si>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</si>
  <si>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</si>
  <si>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</si>
  <si>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</si>
  <si>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</si>
  <si>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</si>
  <si>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</si>
  <si>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</si>
  <si>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</si>
  <si>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</si>
  <si>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</si>
  <si>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</si>
  <si>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</si>
  <si>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</si>
  <si>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</si>
  <si>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</si>
  <si>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</si>
  <si>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</si>
  <si>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</si>
  <si>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</si>
  <si>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</si>
  <si>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</si>
  <si>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</si>
  <si>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</si>
  <si>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</si>
  <si>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</si>
  <si>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</si>
  <si>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</si>
  <si>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</si>
  <si>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</si>
  <si>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</si>
  <si>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</si>
  <si>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</si>
  <si>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</si>
  <si>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</si>
  <si>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</si>
  <si>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</si>
  <si>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</si>
  <si>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</si>
  <si>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</si>
  <si>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</si>
  <si>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</si>
  <si>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</si>
  <si>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</si>
  <si>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</si>
  <si>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</si>
  <si>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</si>
  <si>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</si>
  <si>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</si>
  <si>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</si>
  <si>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</si>
  <si>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</si>
  <si>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</si>
  <si>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</si>
  <si>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</si>
  <si>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</si>
  <si>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</si>
  <si>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</si>
  <si>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</si>
  <si>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</si>
  <si>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</si>
  <si>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</si>
  <si>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</si>
  <si>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</si>
  <si>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</si>
  <si>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</si>
  <si>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</si>
  <si>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</si>
  <si>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</si>
  <si>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</si>
  <si>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</si>
  <si>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</si>
  <si>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</si>
  <si>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</si>
  <si>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</si>
  <si>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</si>
  <si>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</si>
  <si>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</si>
  <si>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</si>
  <si>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</si>
  <si>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</si>
  <si>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</si>
  <si>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</si>
  <si>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</si>
  <si>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</si>
  <si>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</si>
  <si>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</si>
  <si>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</si>
  <si>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</si>
  <si>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</si>
  <si>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</si>
  <si>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</si>
  <si>
    <t>SMLB BOTT.</t>
  </si>
  <si>
    <t>148991</t>
  </si>
  <si>
    <t>143500</t>
  </si>
  <si>
    <t>132743</t>
  </si>
  <si>
    <t>2120012943</t>
  </si>
  <si>
    <t>52577</t>
  </si>
  <si>
    <t>2000008033</t>
  </si>
  <si>
    <t>2000003021</t>
  </si>
  <si>
    <t>43020</t>
  </si>
  <si>
    <t>147771</t>
  </si>
  <si>
    <t>149009</t>
  </si>
  <si>
    <t>149781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</si>
</sst>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308</v>
      </c>
      <c r="D6" s="13">
        <f t="shared" ref="D6:D28" si="1">C6*L6</f>
        <v>234388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265882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30599.25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235282.75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13" t="s">
        <v>55</v>
      </c>
      <c r="G29" s="175"/>
      <c r="H29" s="135">
        <f>H15-H16-H17-H18-H19-H20-H22-H23-H24+H26+H27+H28</f>
        <v>233926.75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57">
        <f t="shared" ref="H34:H39" si="2">F34*G34</f>
        <v>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57">
        <f t="shared" si="2"/>
        <v>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52">
        <v>150017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52">
        <v>7564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233911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-15.75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351</v>
      </c>
      <c r="D6" s="13">
        <f t="shared" ref="D6:D28" si="1">C6*L6</f>
        <v>267111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313708.5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3</v>
      </c>
      <c r="D14" s="31">
        <f t="shared" si="1"/>
        <v>33</v>
      </c>
      <c r="F14" s="199" t="s">
        <v>39</v>
      </c>
      <c r="G14" s="200"/>
      <c r="H14" s="201">
        <f>D54</f>
        <v>55225.5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258483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150</v>
      </c>
      <c r="C24" s="10">
        <v>12</v>
      </c>
      <c r="D24" s="48">
        <f t="shared" si="1"/>
        <v>474</v>
      </c>
      <c r="F24" s="38"/>
      <c r="G24" s="37"/>
      <c r="H24" s="183"/>
      <c r="I24" s="152"/>
      <c r="J24" s="15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13" t="s">
        <v>55</v>
      </c>
      <c r="G29" s="175"/>
      <c r="H29" s="135">
        <f>H15-H16-H17-H18-H19-H20-H22-H23-H24+H26+H27</f>
        <v>257103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57">
        <f>F34*G34</f>
        <v>101000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7">
        <f t="shared" ref="H35:H39" si="2">F35*G35</f>
        <v>11000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52">
        <v>144193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36</v>
      </c>
      <c r="D46" s="12">
        <f>C46*1.5</f>
        <v>54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22</v>
      </c>
      <c r="D49" s="12">
        <f>C49*42</f>
        <v>924</v>
      </c>
      <c r="F49" s="133" t="s">
        <v>86</v>
      </c>
      <c r="G49" s="135">
        <f>H34+H35+H36+H37+H38+H39+H40+H41+G42+H44+H45+H46</f>
        <v>256479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153</v>
      </c>
      <c r="G51" s="242">
        <f>G49-H29</f>
        <v>-624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266</v>
      </c>
      <c r="D6" s="13">
        <f t="shared" ref="D6:D28" si="1">C6*L6</f>
        <v>202426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57</v>
      </c>
      <c r="D9" s="13">
        <f t="shared" si="1"/>
        <v>41781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259606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36129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223477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13" t="s">
        <v>55</v>
      </c>
      <c r="G29" s="175"/>
      <c r="H29" s="135">
        <f>H15-H16-H17-H18-H19-H20-H22-H23-H24+H26+H27</f>
        <v>222737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7">
        <f>F34*G34</f>
        <v>41000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7">
        <f>F35*G35</f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52">
        <v>75280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52">
        <v>101194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53">
        <v>1582</v>
      </c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222844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107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382</v>
      </c>
      <c r="D6" s="13">
        <f t="shared" ref="D6:D28" si="1">C6*L6</f>
        <v>290702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31</v>
      </c>
      <c r="D9" s="13">
        <f t="shared" si="1"/>
        <v>22723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322724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99" t="s">
        <v>39</v>
      </c>
      <c r="G14" s="200"/>
      <c r="H14" s="201">
        <f>D54</f>
        <v>44362.5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278361.5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13" t="s">
        <v>55</v>
      </c>
      <c r="G29" s="175"/>
      <c r="H29" s="135">
        <f>H15-H16-H17-H18-H19-H20-H22-H23-H24+H26+H27+H28</f>
        <v>278361.5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57">
        <f t="shared" ref="H34:H39" si="2">F34*G34</f>
        <v>212000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 t="shared" si="2"/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52">
        <v>10000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52">
        <v>35000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279290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928.5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224</v>
      </c>
      <c r="D6" s="13">
        <f t="shared" ref="D6:D28" si="1">C6*L6</f>
        <v>170464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71</v>
      </c>
      <c r="D9" s="13">
        <f t="shared" si="1"/>
        <v>52043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228774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35040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193734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2">
        <v>265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13" t="s">
        <v>55</v>
      </c>
      <c r="G29" s="175"/>
      <c r="H29" s="135">
        <f>H15-H16-H17-H18-H19-H20-H22-H23-H24+H26+H27</f>
        <v>192737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57">
        <f>F34*G34</f>
        <v>140000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57">
        <f t="shared" ref="H35:H39" si="2">F35*G35</f>
        <v>46500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45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192595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291</v>
      </c>
      <c r="D6" s="13">
        <f t="shared" ref="D6:D28" si="1">C6*L6</f>
        <v>221451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273403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40279.5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233123.5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13" t="s">
        <v>55</v>
      </c>
      <c r="G29" s="175"/>
      <c r="H29" s="135">
        <f>H15-H16-H17-H18-H19-H20-H22-H23-H24+H26+H27</f>
        <v>232205.5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57">
        <f>F34*G34</f>
        <v>75000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7">
        <f>F35*G35</f>
        <v>48500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57">
        <f t="shared" si="2"/>
        <v>6000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57">
        <f t="shared" si="2"/>
        <v>2150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74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52">
        <v>100483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64</v>
      </c>
      <c r="D46" s="12">
        <f>C46*1.5</f>
        <v>96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232207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359</v>
      </c>
      <c r="D6" s="13">
        <f t="shared" ref="D6:D28" si="1">C6*L6</f>
        <v>273199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117</v>
      </c>
      <c r="D9" s="13">
        <f t="shared" si="1"/>
        <v>85761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387395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43563.75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343831.25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2">
        <v>100339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52">
        <v>98532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13" t="s">
        <v>55</v>
      </c>
      <c r="G29" s="175"/>
      <c r="H29" s="135">
        <f>H15-H16-H17-H18-H19-H20-H22-H23-H24+H26+H27+H28</f>
        <v>340020.25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57">
        <f t="shared" ref="H34:H39" si="2">F34*G34</f>
        <v>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52">
        <v>230441.5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52">
        <v>98532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339183.5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-836.75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253739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36819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216920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13" t="s">
        <v>55</v>
      </c>
      <c r="G29" s="175"/>
      <c r="H29" s="135">
        <f>H15-H16-H17-H18-H19-H20-H22-H23-H24+H26+H27</f>
        <v>214926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57">
        <f>F34*G34</f>
        <v>214000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214882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-44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270</v>
      </c>
      <c r="D6" s="13">
        <f t="shared" ref="D6:D28" si="1">C6*L6</f>
        <v>205470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236285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33749.25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202535.75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13" t="s">
        <v>55</v>
      </c>
      <c r="G29" s="175"/>
      <c r="H29" s="135">
        <f>H15-H16-H17-H18-H19-H20-H22-H23-H24+H26+H27</f>
        <v>201327.75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57">
        <f>F34*G34</f>
        <v>94000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57">
        <f>F35*G35</f>
        <v>54000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57">
        <f t="shared" si="2"/>
        <v>12400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>
        <v>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52">
        <v>40666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201260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-67.75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377</v>
      </c>
      <c r="D6" s="13">
        <f t="shared" ref="D6:D28" si="1">C6*L6</f>
        <v>286897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301631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55843.5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245787.5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0" t="s">
        <v>167</v>
      </c>
      <c r="C22" s="10">
        <v>2</v>
      </c>
      <c r="D22" s="48">
        <f t="shared" si="1"/>
        <v>3164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13" t="s">
        <v>55</v>
      </c>
      <c r="G29" s="175"/>
      <c r="H29" s="135">
        <f>H15-H16-H17-H18-H19-H20-H22-H23-H24+H26+H27+H28</f>
        <v>243837.5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57">
        <f t="shared" ref="H34:H39" si="2">F34*G34</f>
        <v>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57">
        <f t="shared" si="2"/>
        <v>209500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243746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18</v>
      </c>
      <c r="D50" s="12">
        <f>C50*1.5</f>
        <v>27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-91.5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246</v>
      </c>
      <c r="D6" s="13">
        <f t="shared" ref="D6:D28" si="1">C6*L6</f>
        <v>187206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17592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264640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34920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229720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>
        <v>4</v>
      </c>
      <c r="D23" s="48">
        <f t="shared" si="1"/>
        <v>6668</v>
      </c>
      <c r="F23" s="25"/>
      <c r="G23" s="37"/>
      <c r="H23" s="183"/>
      <c r="I23" s="152"/>
      <c r="J23" s="1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168</v>
      </c>
      <c r="C27" s="10">
        <v>1</v>
      </c>
      <c r="D27" s="44">
        <f t="shared" si="1"/>
        <v>1582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13" t="s">
        <v>55</v>
      </c>
      <c r="G29" s="175"/>
      <c r="H29" s="135">
        <f>H15-H16-H17-H18-H19-H20-H22-H23-H24+H26+H27</f>
        <v>228538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69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2">
        <v>179826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224985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-3553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355</v>
      </c>
      <c r="D6" s="13">
        <f t="shared" ref="D6:D28" si="1">C6*L6</f>
        <v>270155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111</v>
      </c>
      <c r="D9" s="13">
        <f t="shared" si="1"/>
        <v>81363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363462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54750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308712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13" t="s">
        <v>55</v>
      </c>
      <c r="G29" s="175"/>
      <c r="H29" s="135">
        <f>H15-H16-H17-H18-H19-H20-H22-H23-H24+H26+H27</f>
        <v>306190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57">
        <f>F34*G34</f>
        <v>63000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57">
        <f t="shared" si="2"/>
        <v>300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3162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52">
        <v>225117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307129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939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319</v>
      </c>
      <c r="D6" s="13">
        <f t="shared" ref="D6:D28" si="1">C6*L6</f>
        <v>242759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50</v>
      </c>
      <c r="D8" s="13">
        <f t="shared" si="1"/>
        <v>54650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319434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42474.75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276959.25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2">
        <v>51622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13" t="s">
        <v>55</v>
      </c>
      <c r="G29" s="175"/>
      <c r="H29" s="135">
        <f>H15-H16-H17-H18-H19-H20-H22-H23-H24+H26+H27+H28</f>
        <v>225337.25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57">
        <f t="shared" ref="H34:H39" si="2">F34*G34</f>
        <v>82000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106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52">
        <v>141334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223690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-1647.25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385</v>
      </c>
      <c r="D6" s="13">
        <f t="shared" ref="D6:D28" si="1">C6*L6</f>
        <v>292985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68</v>
      </c>
      <c r="D9" s="13">
        <f t="shared" si="1"/>
        <v>49844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351657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33426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318231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13" t="s">
        <v>55</v>
      </c>
      <c r="G29" s="175"/>
      <c r="H29" s="135">
        <f>H15-H16-H17-H18-H19-H20-H22-H23-H24+H26+H27</f>
        <v>317031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57">
        <f>F34*G34</f>
        <v>131000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52">
        <v>145531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317019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73</v>
      </c>
      <c r="D50" s="12">
        <f>C50*1.5</f>
        <v>109.5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432</v>
      </c>
      <c r="D6" s="13">
        <f t="shared" ref="D6:D28" si="1">C6*L6</f>
        <v>328752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43247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19</v>
      </c>
      <c r="D13" s="48">
        <f t="shared" si="1"/>
        <v>5833</v>
      </c>
      <c r="F13" s="241" t="s">
        <v>36</v>
      </c>
      <c r="G13" s="205"/>
      <c r="H13" s="196">
        <f>D29</f>
        <v>412474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58906.5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353567.5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13" t="s">
        <v>55</v>
      </c>
      <c r="G29" s="175"/>
      <c r="H29" s="135">
        <f>H15-H16-H17-H18-H19-H20-H22-H23-H24+H26+H27</f>
        <v>350831.5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57">
        <f>F34*G34</f>
        <v>100000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57">
        <f t="shared" si="2"/>
        <v>4100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24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52">
        <v>70468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52">
        <v>162086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352178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1346.5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558</v>
      </c>
      <c r="D6" s="13">
        <f t="shared" ref="D6:D28" si="1">C6*L6</f>
        <v>424638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55</v>
      </c>
      <c r="D7" s="13">
        <f t="shared" si="1"/>
        <v>42955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67</v>
      </c>
      <c r="D9" s="13">
        <f t="shared" si="1"/>
        <v>49111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529181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67908.75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461272.25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179</v>
      </c>
      <c r="C24" s="10">
        <v>12</v>
      </c>
      <c r="D24" s="48">
        <f t="shared" si="1"/>
        <v>474</v>
      </c>
      <c r="F24" s="77"/>
      <c r="G24" s="79"/>
      <c r="H24" s="248"/>
      <c r="I24" s="249"/>
      <c r="J24" s="24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52">
        <v>51622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13" t="s">
        <v>55</v>
      </c>
      <c r="G29" s="175"/>
      <c r="H29" s="135">
        <f>H15-H16-H17-H18-H19-H20-H22-H23-H24+H26+H27+H28</f>
        <v>509690.25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57">
        <f t="shared" ref="H34:H39" si="2">F34*G34</f>
        <v>129000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 t="shared" si="2"/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52">
        <v>359981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509031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-659.25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538</v>
      </c>
      <c r="D6" s="13">
        <f t="shared" ref="D6:D28" si="1">C6*L6</f>
        <v>409418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502921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75838.5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427082.5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13" t="s">
        <v>55</v>
      </c>
      <c r="G29" s="175"/>
      <c r="H29" s="135">
        <f>H15-H16-H17-H18-H19-H20-H22-H23-H24+H26+H27</f>
        <v>423710.5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57">
        <f>F34*G34</f>
        <v>340000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52">
        <v>70473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423513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-197.5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369</v>
      </c>
      <c r="D6" s="13">
        <f t="shared" ref="D6:D28" si="1">C6*L6</f>
        <v>280809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63</v>
      </c>
      <c r="D9" s="13">
        <f t="shared" si="1"/>
        <v>46179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344843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25784.25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319058.75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1</v>
      </c>
      <c r="D27" s="44">
        <f t="shared" si="1"/>
        <v>1582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13" t="s">
        <v>55</v>
      </c>
      <c r="G29" s="175"/>
      <c r="H29" s="135">
        <f>H15-H16-H17-H18-H19-H20-H22-H23-H24+H26+H27</f>
        <v>318758.75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57">
        <f>F34*G34</f>
        <v>114000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57">
        <f>F35*G35</f>
        <v>33000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57">
        <f t="shared" si="2"/>
        <v>1550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43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52">
        <v>168245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318538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-220.75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324</v>
      </c>
      <c r="D6" s="13">
        <f t="shared" ref="D6:D28" si="1">C6*L6</f>
        <v>246564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20</v>
      </c>
      <c r="D9" s="13">
        <f t="shared" si="1"/>
        <v>14660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267570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39540.75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228029.25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13" t="s">
        <v>55</v>
      </c>
      <c r="G29" s="175"/>
      <c r="H29" s="135">
        <f>H15-H16-H17-H18-H19-H20-H22-H23-H24+H26+H27+H28</f>
        <v>227979.25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7">
        <f t="shared" ref="H34:H39" si="2">F34*G34</f>
        <v>195000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57">
        <f t="shared" si="2"/>
        <v>27000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si="2"/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57">
        <f t="shared" si="2"/>
        <v>4200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57">
        <f t="shared" si="2"/>
        <v>1200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217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228457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311</v>
      </c>
      <c r="D6" s="13">
        <f t="shared" ref="D6:D28" si="1">C6*L6</f>
        <v>236671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266386.58333333331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52669.5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213717.08333333331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0"/>
      <c r="I27" s="191"/>
      <c r="J27" s="192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13" t="s">
        <v>55</v>
      </c>
      <c r="G29" s="175"/>
      <c r="H29" s="135">
        <f>H15-H16-H17-H18-H19-H20-H22-H23-H24+H26+H27</f>
        <v>213069.08333333331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57">
        <f>F34*G34</f>
        <v>127000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7">
        <f t="shared" ref="H35:H39" si="2">F35*G35</f>
        <v>25500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57">
        <f t="shared" si="2"/>
        <v>3700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52">
        <v>56579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213109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39.916666666686069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250369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281186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42842.25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238343.75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13" t="s">
        <v>55</v>
      </c>
      <c r="G29" s="175"/>
      <c r="H29" s="135">
        <f>H15-H16-H17-H18-H19-H20-H22-H23-H24+H26+H27</f>
        <v>237215.75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57">
        <f>F34*G34</f>
        <v>88000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>F35*G35</f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7">
        <f t="shared" ref="H36:H39" si="2">F36*G36</f>
        <v>600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57">
        <f t="shared" si="2"/>
        <v>700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57">
        <f t="shared" si="2"/>
        <v>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>
        <v>911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52">
        <v>71968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52">
        <v>52207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45</v>
      </c>
      <c r="D46" s="12">
        <f>C46*1.5</f>
        <v>67.5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237066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-149.75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411</v>
      </c>
      <c r="D6" s="13">
        <f t="shared" ref="D6:D28" si="1">C6*L6</f>
        <v>312771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320439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55105.5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265333.5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13" t="s">
        <v>55</v>
      </c>
      <c r="G29" s="175"/>
      <c r="H29" s="135">
        <f>H15-H16-H17-H18-H19-H20-H22-H23-H24+H26+H27+H28</f>
        <v>263395.5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57">
        <f t="shared" ref="H34:H39" si="2">F34*G34</f>
        <v>55000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52">
        <v>203085.5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263098.5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34</v>
      </c>
      <c r="D50" s="12">
        <f>C50*1.5</f>
        <v>51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-297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348</v>
      </c>
      <c r="D6" s="13">
        <f t="shared" ref="D6:D28" si="1">C6*L6</f>
        <v>264828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268786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44764.5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224021.5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13" t="s">
        <v>55</v>
      </c>
      <c r="G29" s="175"/>
      <c r="H29" s="135">
        <f>H15-H16-H17-H18-H19-H20-H22-H23-H24+H26+H27</f>
        <v>222195.5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7">
        <f>F34*G34</f>
        <v>142000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57">
        <f t="shared" ref="H35:H39" si="2">F35*G35</f>
        <v>45500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57">
        <f t="shared" si="2"/>
        <v>30000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57">
        <f t="shared" si="2"/>
        <v>3450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72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221022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-1173.5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418</v>
      </c>
      <c r="D6" s="13">
        <f t="shared" ref="D6:D28" si="1">C6*L6</f>
        <v>318098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</v>
      </c>
      <c r="D9" s="13">
        <f t="shared" si="1"/>
        <v>3665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4</v>
      </c>
      <c r="D10" s="13">
        <f t="shared" si="1"/>
        <v>4128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1+2+2</f>
        <v>5</v>
      </c>
      <c r="D12" s="48">
        <f t="shared" si="1"/>
        <v>4960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349583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60138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289445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13" t="s">
        <v>55</v>
      </c>
      <c r="G29" s="175"/>
      <c r="H29" s="135">
        <f>H15-H16-H17-H18-H19-H20-H22-H23-H24+H26+H27</f>
        <v>287007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57">
        <f t="shared" si="2"/>
        <v>5900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160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52">
        <v>153409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31</v>
      </c>
      <c r="D46" s="12">
        <f>C46*1.5</f>
        <v>46.5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287119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112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431</v>
      </c>
      <c r="D6" s="13">
        <f t="shared" ref="D6:D28" si="1">C6*L6</f>
        <v>327991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</v>
      </c>
      <c r="D9" s="13">
        <f t="shared" si="1"/>
        <v>2932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335528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78331.5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257196.5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13" t="s">
        <v>55</v>
      </c>
      <c r="G29" s="175"/>
      <c r="H29" s="135">
        <f>H15-H16-H17-H18-H19-H20-H22-H23-H24+H26+H27+H28</f>
        <v>254928.5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7">
        <f t="shared" ref="H34:H39" si="2">F34*G34</f>
        <v>191000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57">
        <f t="shared" si="2"/>
        <v>34500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52">
        <v>24050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5200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254750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-178.5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90</v>
      </c>
      <c r="D9" s="13">
        <f t="shared" si="1"/>
        <v>65970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383159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38395.5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344763.5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13" t="s">
        <v>55</v>
      </c>
      <c r="G29" s="175"/>
      <c r="H29" s="135">
        <f>H15-H16-H17-H18-H19-H20-H22-H23-H24+H26+H27</f>
        <v>342603.5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52">
        <v>253213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343184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580.5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363</v>
      </c>
      <c r="D6" s="13">
        <f t="shared" ref="D6:D28" si="1">C6*L6</f>
        <v>276243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320630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52599.75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268030.25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13" t="s">
        <v>55</v>
      </c>
      <c r="G29" s="175"/>
      <c r="H29" s="135">
        <f>H15-H16-H17-H18-H19-H20-H22-H23-H24+H26+H27</f>
        <v>266140.25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57">
        <f>F34*G34</f>
        <v>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57">
        <f t="shared" si="2"/>
        <v>4900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52">
        <v>65078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52">
        <v>103706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265703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-437.25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676</v>
      </c>
      <c r="D6" s="13">
        <f t="shared" ref="D6:D28" si="1">C6*L6</f>
        <v>514436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561365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101851.5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459513.5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2">
        <v>102166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52">
        <v>100339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13" t="s">
        <v>55</v>
      </c>
      <c r="G29" s="175"/>
      <c r="H29" s="135">
        <f>H15-H16-H17-H18-H19-H20-H22-H23-H24+H26+H27+H28</f>
        <v>455638.5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57">
        <f t="shared" ref="H34:H39" si="2">F34*G34</f>
        <v>281000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57">
        <f t="shared" si="2"/>
        <v>45000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57">
        <f t="shared" si="2"/>
        <v>60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16</v>
      </c>
      <c r="D42" s="12">
        <f>C42*2.25</f>
        <v>36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52">
        <v>90000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52">
        <v>38720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455730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279612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43846.5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235765.5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13" t="s">
        <v>55</v>
      </c>
      <c r="G29" s="175"/>
      <c r="H29" s="135">
        <f>H15-H16-H17-H18-H19-H20-H22-H23-H24+H26+H27</f>
        <v>235765.5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57">
        <f>F34*G34</f>
        <v>152000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57">
        <f t="shared" si="2"/>
        <v>20300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57">
        <f t="shared" si="2"/>
        <v>2100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14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235914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148.5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316</v>
      </c>
      <c r="D6" s="13">
        <f t="shared" ref="D6:D28" si="1">C6*L6</f>
        <v>240476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12496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267902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40562.25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227339.75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13" t="s">
        <v>55</v>
      </c>
      <c r="G29" s="175"/>
      <c r="H29" s="135">
        <f>H15-H16-H17-H18-H19-H20-H22-H23-H24+H26+H27</f>
        <v>226073.75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57">
        <f>F35*G35</f>
        <v>20000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78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52">
        <v>32658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52">
        <v>70531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226267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193.25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527</v>
      </c>
      <c r="D6" s="13">
        <f t="shared" ref="D6:D28" si="1">C6*L6</f>
        <v>401047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451583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66073.5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385509.5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13" t="s">
        <v>55</v>
      </c>
      <c r="G29" s="175"/>
      <c r="H29" s="135">
        <f>H15-H16-H17-H18-H19-H20-H22-H23-H24+H26+H27</f>
        <v>382527.5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57">
        <f>F34*G34</f>
        <v>334000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57">
        <f t="shared" si="2"/>
        <v>2600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382369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520</v>
      </c>
      <c r="D6" s="13">
        <f t="shared" ref="D6:D28" si="1">C6*L6</f>
        <v>395720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415764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38598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377166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13" t="s">
        <v>55</v>
      </c>
      <c r="G29" s="175"/>
      <c r="H29" s="135">
        <f>H15-H16-H17-H18-H19-H20-H22-H23-H24+H26+H27</f>
        <v>375454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57">
        <f>F34*G34</f>
        <v>62000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52">
        <v>139824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52">
        <v>173521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376145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691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840</v>
      </c>
      <c r="D6" s="13">
        <f t="shared" ref="D6:D28" si="1">C6*L6</f>
        <v>639240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15</v>
      </c>
      <c r="D11" s="13">
        <f t="shared" si="1"/>
        <v>17550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10</v>
      </c>
      <c r="D12" s="48">
        <f t="shared" si="1"/>
        <v>9920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36</v>
      </c>
      <c r="D13" s="48">
        <f t="shared" si="1"/>
        <v>11052</v>
      </c>
      <c r="F13" s="241" t="s">
        <v>36</v>
      </c>
      <c r="G13" s="205"/>
      <c r="H13" s="196">
        <f>D29</f>
        <v>793392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105668.25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687723.75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13" t="s">
        <v>55</v>
      </c>
      <c r="G29" s="175"/>
      <c r="H29" s="135">
        <f>H15-H16-H17-H18-H19-H20-H22-H23-H24+H26+H27+H28</f>
        <v>682257.75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57">
        <f t="shared" ref="H34:H39" si="2">F34*G34</f>
        <v>59000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52">
        <v>473393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52">
        <v>148170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681383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-874.75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327138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58863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268275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13" t="s">
        <v>55</v>
      </c>
      <c r="G29" s="175"/>
      <c r="H29" s="135">
        <f>H15-H16-H17-H18-H19-H20-H22-H23-H24+H26+H27</f>
        <v>265779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57">
        <f>F34*G34</f>
        <v>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820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52">
        <v>113992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52">
        <v>145035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264237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97">
        <v>320</v>
      </c>
      <c r="D6" s="13">
        <f t="shared" ref="D6:D28" si="1">C6*L6</f>
        <v>243520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97">
        <v>50</v>
      </c>
      <c r="D7" s="13">
        <f t="shared" si="1"/>
        <v>39050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97">
        <v>20</v>
      </c>
      <c r="D8" s="13">
        <f t="shared" si="1"/>
        <v>21860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97">
        <v>105</v>
      </c>
      <c r="D9" s="13">
        <f t="shared" si="1"/>
        <v>76965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97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97">
        <v>5</v>
      </c>
      <c r="D11" s="13">
        <f t="shared" si="1"/>
        <v>5850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97">
        <f>30+6+2</f>
        <v>38</v>
      </c>
      <c r="D12" s="48">
        <f t="shared" si="1"/>
        <v>37696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97"/>
      <c r="D13" s="48">
        <f t="shared" si="1"/>
        <v>0</v>
      </c>
      <c r="F13" s="241" t="s">
        <v>36</v>
      </c>
      <c r="G13" s="205"/>
      <c r="H13" s="196">
        <f>D29</f>
        <v>454572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97"/>
      <c r="D14" s="31">
        <f t="shared" si="1"/>
        <v>0</v>
      </c>
      <c r="F14" s="199" t="s">
        <v>39</v>
      </c>
      <c r="G14" s="200"/>
      <c r="H14" s="201">
        <f>D54</f>
        <v>43967.25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97">
        <v>5</v>
      </c>
      <c r="D15" s="31">
        <f t="shared" si="1"/>
        <v>3100</v>
      </c>
      <c r="F15" s="204" t="s">
        <v>40</v>
      </c>
      <c r="G15" s="205"/>
      <c r="H15" s="206">
        <f>H13-H14</f>
        <v>410604.75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97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97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97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97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93</v>
      </c>
      <c r="C27" s="97">
        <v>1</v>
      </c>
      <c r="D27" s="44">
        <f t="shared" si="1"/>
        <v>1702</v>
      </c>
      <c r="F27" s="25"/>
      <c r="G27" s="80"/>
      <c r="H27" s="190"/>
      <c r="I27" s="191"/>
      <c r="J27" s="192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97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13" t="s">
        <v>55</v>
      </c>
      <c r="G29" s="175"/>
      <c r="H29" s="135">
        <f>H15-H16-H17-H18-H19-H20-H22-H23-H24+H26+H27</f>
        <v>410604.75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7">
        <f>F34*G34</f>
        <v>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57">
        <f>F35*G35</f>
        <v>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31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52">
        <v>394931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42</v>
      </c>
      <c r="D45" s="12">
        <f>C45*84</f>
        <v>3528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410362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205</v>
      </c>
      <c r="G51" s="242">
        <f>G49-H29</f>
        <v>-242.75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21</v>
      </c>
      <c r="D7" s="13">
        <f t="shared" si="1"/>
        <v>16401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12</v>
      </c>
      <c r="D8" s="13">
        <f t="shared" si="1"/>
        <v>13116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5864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40</v>
      </c>
      <c r="D11" s="13">
        <f t="shared" si="1"/>
        <v>46800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25+10</f>
        <v>35</v>
      </c>
      <c r="D12" s="48">
        <f t="shared" si="1"/>
        <v>34720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401678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46828.5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208</v>
      </c>
      <c r="C15" s="10">
        <f>10+5</f>
        <v>15</v>
      </c>
      <c r="D15" s="31">
        <f t="shared" si="1"/>
        <v>9300</v>
      </c>
      <c r="F15" s="204" t="s">
        <v>40</v>
      </c>
      <c r="G15" s="205"/>
      <c r="H15" s="206">
        <f>H13-H14</f>
        <v>354849.5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>
        <v>1</v>
      </c>
      <c r="D22" s="48">
        <f t="shared" si="1"/>
        <v>1582</v>
      </c>
      <c r="F22" s="77"/>
      <c r="G22" s="73"/>
      <c r="H22" s="182"/>
      <c r="I22" s="182"/>
      <c r="J22" s="182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13" t="s">
        <v>55</v>
      </c>
      <c r="G29" s="175"/>
      <c r="H29" s="135">
        <f>H15-H16-H17-H18-H19-H20-H22-H23-H24+H26+H27+H28</f>
        <v>354849.5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57">
        <f t="shared" ref="H34:H39" si="2">F34*G34</f>
        <v>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52">
        <v>351689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98</v>
      </c>
      <c r="D45" s="12">
        <f>C45*84</f>
        <v>8232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354289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-560.5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388</v>
      </c>
      <c r="D6" s="13">
        <f t="shared" ref="D6:D28" si="1">C6*L6</f>
        <v>295268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5131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309448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45107.25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264340.75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13" t="s">
        <v>55</v>
      </c>
      <c r="G29" s="175"/>
      <c r="H29" s="135">
        <f>H15-H16-H17-H18-H19-H20-H22-H23-H24+H26+H27</f>
        <v>262396.75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57">
        <f>F34*G34</f>
        <v>150000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57">
        <f t="shared" ref="H35:H39" si="2">F35*G35</f>
        <v>111500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262118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-278.75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332</v>
      </c>
      <c r="D6" s="13">
        <f t="shared" ref="D6:D28" si="1">C6*L6</f>
        <v>252652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73</v>
      </c>
      <c r="D9" s="13">
        <f t="shared" si="1"/>
        <v>53509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311662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43362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268300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13" t="s">
        <v>55</v>
      </c>
      <c r="G29" s="175"/>
      <c r="H29" s="135">
        <f>H15-H16-H17-H18-H19-H20-H22-H23-H24+H26+H27</f>
        <v>267024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57">
        <f>F34*G34</f>
        <v>164000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7">
        <f>F35*G35</f>
        <v>29000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157">
        <f t="shared" si="2"/>
        <v>5700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1063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52">
        <v>65622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267285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52</v>
      </c>
      <c r="D50" s="12">
        <f>C50*1.5</f>
        <v>78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261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457</v>
      </c>
      <c r="D6" s="13">
        <f t="shared" ref="D6:D28" si="1">C6*L6</f>
        <v>347777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65</v>
      </c>
      <c r="D8" s="13">
        <f t="shared" si="1"/>
        <v>71045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449433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82245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f>1</f>
        <v>1</v>
      </c>
      <c r="D15" s="31">
        <f t="shared" si="1"/>
        <v>620</v>
      </c>
      <c r="F15" s="204" t="s">
        <v>40</v>
      </c>
      <c r="G15" s="205"/>
      <c r="H15" s="206">
        <f>H13-H14</f>
        <v>367188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2">
        <v>67313</v>
      </c>
      <c r="I22" s="182"/>
      <c r="J22" s="182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13" t="s">
        <v>55</v>
      </c>
      <c r="G29" s="175"/>
      <c r="H29" s="135">
        <f>H15-H16-H17-H18-H19-H20-H22-H23-H24+H26+H27+H28</f>
        <v>297881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157">
        <f t="shared" ref="H34:H39" si="2">F34*G34</f>
        <v>168000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7">
        <f t="shared" si="2"/>
        <v>39000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154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52">
        <v>75000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52">
        <v>11700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52">
        <v>3944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297798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267889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40076.25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227812.75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13" t="s">
        <v>55</v>
      </c>
      <c r="G29" s="175"/>
      <c r="H29" s="135">
        <f>H15-H16-H17-H18-H19-H20-H22-H23-H24+H26+H27</f>
        <v>227188.75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157">
        <f>F34*G34</f>
        <v>187000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61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227211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22.25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430</v>
      </c>
      <c r="D6" s="13">
        <f t="shared" ref="D6:D28" si="1">C6*L6</f>
        <v>327230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82096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10</v>
      </c>
      <c r="D11" s="13">
        <f t="shared" si="1"/>
        <v>11700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432743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88158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344585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13" t="s">
        <v>55</v>
      </c>
      <c r="G29" s="175"/>
      <c r="H29" s="135">
        <f>H15-H16-H17-H18-H19-H20-H22-H23-H24+H26+H27</f>
        <v>341357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157">
        <f>F34*G34</f>
        <v>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157">
        <f t="shared" si="2"/>
        <v>1800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79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52">
        <v>48987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52">
        <v>233269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340935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-422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436</v>
      </c>
      <c r="D6" s="13">
        <f t="shared" ref="D6:D28" si="1">C6*L6</f>
        <v>331796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343569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53209.5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290359.5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2">
        <v>141854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13" t="s">
        <v>55</v>
      </c>
      <c r="G29" s="175"/>
      <c r="H29" s="135">
        <f>H15-H16-H17-H18-H19-H20-H22-H23-H24+H26+H27+H28</f>
        <v>148455.5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157">
        <f t="shared" ref="H34:H39" si="2">F34*G34</f>
        <v>126000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si="2"/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157">
        <f t="shared" si="2"/>
        <v>2900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148418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-37.5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398</v>
      </c>
      <c r="D6" s="13">
        <f t="shared" ref="D6:D28" si="1">C6*L6</f>
        <v>302878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348180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51591.75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296588.25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2">
        <v>94558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87">
        <v>102166</v>
      </c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13" t="s">
        <v>55</v>
      </c>
      <c r="G29" s="175"/>
      <c r="H29" s="135">
        <f>H15-H16-H17-H18-H19-H20-H22-H23-H24+H26+H27</f>
        <v>303548.25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57">
        <f>F34*G34</f>
        <v>106000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157">
        <f t="shared" ref="H35:H39" si="2">F35*G35</f>
        <v>22000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157">
        <f t="shared" si="2"/>
        <v>3300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52">
        <v>70347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102166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303901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352.75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25</v>
      </c>
      <c r="D9" s="13">
        <f t="shared" si="1"/>
        <v>18325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313665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47919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265746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13" t="s">
        <v>55</v>
      </c>
      <c r="G29" s="175"/>
      <c r="H29" s="135">
        <f>H15-H16-H17-H18-H19-H20-H22-H23-H24+H26+H27</f>
        <v>263644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157">
        <f t="shared" si="2"/>
        <v>2300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2294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52">
        <v>112255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263549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52">
        <v>67313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50">
        <v>141854</v>
      </c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209167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157">
        <f t="shared" ref="H34:H39" si="2">F34*G34</f>
        <v>67000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52">
        <v>141854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209167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480</v>
      </c>
      <c r="D6" s="13">
        <f t="shared" ref="D6:D28" si="1">C6*L6</f>
        <v>365280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52776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441683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51233.25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390449.75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13" t="s">
        <v>55</v>
      </c>
      <c r="G29" s="175"/>
      <c r="H29" s="135">
        <f>H15-H16-H17-H18-H19-H20-H22-H23-H24+H26+H27+H28</f>
        <v>390449.75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157">
        <f t="shared" ref="H34:H39" si="2">F34*G34</f>
        <v>90000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 t="shared" si="2"/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157">
        <f t="shared" si="2"/>
        <v>500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52">
        <v>266891.5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52">
        <v>13879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23</v>
      </c>
      <c r="D46" s="12">
        <f>C46*1.5</f>
        <v>34.5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389970.5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72</v>
      </c>
      <c r="D50" s="12">
        <f>C50*1.5</f>
        <v>108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-479.25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349</v>
      </c>
      <c r="D6" s="13">
        <f t="shared" ref="D6:D28" si="1">C6*L6</f>
        <v>265589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110</v>
      </c>
      <c r="D9" s="13">
        <f t="shared" si="1"/>
        <v>80630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356198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52395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303803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13" t="s">
        <v>55</v>
      </c>
      <c r="G29" s="175"/>
      <c r="H29" s="135">
        <f>H15-H16-H17-H18-H19-H20-H22-H23-H24+H26+H27</f>
        <v>301205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157">
        <f>F34*G34</f>
        <v>210000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157">
        <f t="shared" si="2"/>
        <v>20100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157">
        <f t="shared" si="2"/>
        <v>9850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301450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245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451</v>
      </c>
      <c r="D6" s="13">
        <f t="shared" ref="D6:D28" si="1">C6*L6</f>
        <v>343211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28</v>
      </c>
      <c r="D9" s="13">
        <f t="shared" si="1"/>
        <v>20524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376448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62977.5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313470.5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13" t="s">
        <v>55</v>
      </c>
      <c r="G29" s="175"/>
      <c r="H29" s="135">
        <f>H15-H16-H17-H18-H19-H20-H22-H23-H24+H26+H27</f>
        <v>311166.5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157">
        <f>F34*G34</f>
        <v>137000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157">
        <f>F35*G35</f>
        <v>31500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7">
        <f t="shared" ref="H36:H39" si="2">F36*G36</f>
        <v>1400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157">
        <f t="shared" si="2"/>
        <v>9800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52">
        <v>131211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311087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-79.5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356654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51967.5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304686.5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13" t="s">
        <v>55</v>
      </c>
      <c r="G29" s="175"/>
      <c r="H29" s="135">
        <f>H15-H16-H17-H18-H19-H20-H22-H23-H24+H26+H27+H28</f>
        <v>302094.5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157">
        <f t="shared" ref="H34:H39" si="2">F34*G34</f>
        <v>254000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157">
        <f t="shared" si="2"/>
        <v>37000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59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84"/>
      <c r="H44" s="152">
        <v>10400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302259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164.5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350</v>
      </c>
      <c r="D6" s="13">
        <f t="shared" ref="D6:D28" si="1">C6*L6</f>
        <v>266350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291721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47277.75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244443.25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13" t="s">
        <v>55</v>
      </c>
      <c r="G29" s="175"/>
      <c r="H29" s="135">
        <f>H15-H16-H17-H18-H19-H20-H22-H23-H24+H26+H27</f>
        <v>242379.25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57">
        <f>F34*G34</f>
        <v>85000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57">
        <f t="shared" ref="H35:H39" si="2">F35*G35</f>
        <v>27500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110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52">
        <v>125594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242004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-375.25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441</v>
      </c>
      <c r="D6" s="13">
        <f t="shared" ref="D6:D28" si="1">C6*L6</f>
        <v>335601</v>
      </c>
      <c r="F6" s="220" t="s">
        <v>16</v>
      </c>
      <c r="G6" s="222" t="s">
        <v>226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10995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362847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52308.75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310538.25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13" t="s">
        <v>55</v>
      </c>
      <c r="G29" s="175"/>
      <c r="H29" s="135">
        <f>H15-H16-H17-H18-H19-H20-H22-H23-H24+H26+H27</f>
        <v>310538.25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157">
        <f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157">
        <f t="shared" si="2"/>
        <v>16600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58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52">
        <v>213577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25</v>
      </c>
      <c r="D49" s="12">
        <f>C49*42</f>
        <v>1050</v>
      </c>
      <c r="F49" s="133" t="s">
        <v>86</v>
      </c>
      <c r="G49" s="135">
        <f>H34+H35+H36+H37+H38+H39+H40+H41+G42+H44+H45+H46</f>
        <v>310435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-103.25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232411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27734.25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204676.75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13" t="s">
        <v>55</v>
      </c>
      <c r="G29" s="175"/>
      <c r="H29" s="135">
        <f>H15-H16-H17-H18-H19-H20-H22-H23-H24+H26+H27</f>
        <v>203380.75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57">
        <f>F34*G34</f>
        <v>146000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57">
        <f t="shared" ref="H35:H39" si="2">F35*G35</f>
        <v>56000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57">
        <f>F36*G36</f>
        <v>1000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203040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-340.75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479</v>
      </c>
      <c r="D6" s="13">
        <f t="shared" ref="D6:D28" si="1">C6*L6</f>
        <v>364519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75</v>
      </c>
      <c r="D9" s="13">
        <f t="shared" si="1"/>
        <v>54975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17</v>
      </c>
      <c r="D13" s="48">
        <f t="shared" si="1"/>
        <v>5219</v>
      </c>
      <c r="F13" s="241" t="s">
        <v>36</v>
      </c>
      <c r="G13" s="205"/>
      <c r="H13" s="196">
        <f>D29</f>
        <v>429981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58497.75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371483.25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13" t="s">
        <v>55</v>
      </c>
      <c r="G29" s="175"/>
      <c r="H29" s="135">
        <f>H15-H16-H17-H18-H19-H20-H22-H23-H24+H26+H27</f>
        <v>369753.25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157">
        <f>F34*G34</f>
        <v>28000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>F35*G35</f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157">
        <f t="shared" si="2"/>
        <v>400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52">
        <v>175030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52">
        <v>147971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369850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96.75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508</v>
      </c>
      <c r="D6" s="13">
        <f t="shared" ref="D6:D28" si="1">C6*L6</f>
        <v>386588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40</v>
      </c>
      <c r="D7" s="13">
        <f t="shared" si="1"/>
        <v>31240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11</v>
      </c>
      <c r="D10" s="13">
        <f t="shared" si="1"/>
        <v>11352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441829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69174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372655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2886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441829</v>
      </c>
      <c r="F29" s="113" t="s">
        <v>55</v>
      </c>
      <c r="G29" s="175"/>
      <c r="H29" s="135">
        <f>H15-H16-H17-H18-H19-H20-H22-H23-H24+H26+H27+H28</f>
        <v>369769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47</v>
      </c>
      <c r="H34" s="157">
        <f t="shared" ref="H34:H39" si="2"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</v>
      </c>
      <c r="H35" s="157">
        <f t="shared" si="2"/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585</v>
      </c>
      <c r="D37" s="12">
        <f>C37*111</f>
        <v>64935</v>
      </c>
      <c r="F37" s="12">
        <v>100</v>
      </c>
      <c r="G37" s="39">
        <v>14</v>
      </c>
      <c r="H37" s="157">
        <f t="shared" si="2"/>
        <v>1400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145</v>
      </c>
      <c r="G44" s="62" t="s">
        <v>231</v>
      </c>
      <c r="H44" s="152">
        <v>317894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369822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53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69174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307</v>
      </c>
      <c r="D6" s="13">
        <f t="shared" ref="D6:D28" si="1">C6*L6</f>
        <v>233627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255036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34270.5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220765.5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230</v>
      </c>
      <c r="C24" s="10">
        <v>12</v>
      </c>
      <c r="D24" s="48">
        <f t="shared" si="1"/>
        <v>543</v>
      </c>
      <c r="F24" s="38"/>
      <c r="G24" s="37"/>
      <c r="H24" s="183"/>
      <c r="I24" s="152"/>
      <c r="J24" s="152"/>
      <c r="L24" s="47">
        <f>1050/24+1.5</f>
        <v>45.25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454</v>
      </c>
      <c r="F26" s="64"/>
      <c r="G26" s="10"/>
      <c r="H26" s="187"/>
      <c r="I26" s="188"/>
      <c r="J26" s="18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255036</v>
      </c>
      <c r="F29" s="113" t="s">
        <v>55</v>
      </c>
      <c r="G29" s="175"/>
      <c r="H29" s="135">
        <f>H15-H16-H17-H18-H19-H20-H22-H23-H24+H26+H27</f>
        <v>219469.5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68</v>
      </c>
      <c r="H34" s="157">
        <f>F34*G34</f>
        <v>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7">
        <f t="shared" ref="H35:H39" si="2">F35*G35</f>
        <v>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232</v>
      </c>
      <c r="H44" s="152">
        <v>142516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218787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-682.5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34270.5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275</v>
      </c>
      <c r="D6" s="13">
        <f t="shared" ref="D6:D28" si="1">C6*L6</f>
        <v>209275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25</v>
      </c>
      <c r="D9" s="13">
        <f t="shared" si="1"/>
        <v>18325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236341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29687.25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206653.75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236341</v>
      </c>
      <c r="F29" s="113" t="s">
        <v>55</v>
      </c>
      <c r="G29" s="175"/>
      <c r="H29" s="135">
        <f>H15-H16-H17-H18-H19-H20-H22-H23-H24+H26+H27+H28</f>
        <v>206603.75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114</v>
      </c>
      <c r="H34" s="157">
        <f t="shared" ref="H34:H39" si="2">F34*G34</f>
        <v>114000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7">
        <f t="shared" si="2"/>
        <v>52500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33</v>
      </c>
      <c r="H37" s="157">
        <f t="shared" si="2"/>
        <v>3300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57">
        <f t="shared" si="2"/>
        <v>800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31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105" t="s">
        <v>234</v>
      </c>
      <c r="H44" s="152">
        <v>34082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18</v>
      </c>
      <c r="D46" s="12">
        <f>C46*1.5</f>
        <v>27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205113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-1490.75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29687.25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437</v>
      </c>
      <c r="D6" s="13">
        <f t="shared" ref="D6:D28" si="1">C6*L6</f>
        <v>332557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45</v>
      </c>
      <c r="D9" s="13">
        <f t="shared" si="1"/>
        <v>32985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377865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3</v>
      </c>
      <c r="D14" s="31">
        <f t="shared" si="1"/>
        <v>33</v>
      </c>
      <c r="F14" s="199" t="s">
        <v>39</v>
      </c>
      <c r="G14" s="200"/>
      <c r="H14" s="201">
        <f>D54</f>
        <v>50940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326925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330*6</f>
        <v>1980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377865</v>
      </c>
      <c r="F29" s="113" t="s">
        <v>55</v>
      </c>
      <c r="G29" s="175"/>
      <c r="H29" s="135">
        <f>H15-H16-H17-H18-H19-H20-H22-H23-H24+H26+H27</f>
        <v>324945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94</v>
      </c>
      <c r="H34" s="157">
        <f>F34*G34</f>
        <v>94000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57">
        <f t="shared" ref="H35:H39" si="2">F35*G35</f>
        <v>13000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129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233</v>
      </c>
      <c r="H44" s="152">
        <v>216820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324869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-76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50940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513</v>
      </c>
      <c r="D6" s="13">
        <f t="shared" ref="D6:D28" si="1">C6*L6</f>
        <v>390393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17</v>
      </c>
      <c r="D7" s="13">
        <f t="shared" si="1"/>
        <v>13277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100</v>
      </c>
      <c r="D9" s="13">
        <f t="shared" si="1"/>
        <v>73300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488484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69103.5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419380.5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948+648+972</f>
        <v>2568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488484</v>
      </c>
      <c r="F29" s="113" t="s">
        <v>55</v>
      </c>
      <c r="G29" s="175"/>
      <c r="H29" s="135">
        <f>H15-H16-H17-H18-H19-H20-H22-H23-H24+H26+H27</f>
        <v>416762.5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118</v>
      </c>
      <c r="H34" s="157">
        <f>F34*G34</f>
        <v>118000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7">
        <f>F35*G35</f>
        <v>15000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10</v>
      </c>
      <c r="H37" s="157">
        <f t="shared" si="2"/>
        <v>1000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29</v>
      </c>
      <c r="D40" s="12">
        <f>C40*111</f>
        <v>3219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82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235</v>
      </c>
      <c r="H44" s="152">
        <v>103832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236</v>
      </c>
      <c r="H45" s="152">
        <v>73204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5</v>
      </c>
      <c r="D46" s="12">
        <f>C46*1.5</f>
        <v>7.5</v>
      </c>
      <c r="F46" s="37" t="s">
        <v>146</v>
      </c>
      <c r="G46" s="99" t="s">
        <v>237</v>
      </c>
      <c r="H46" s="152">
        <v>105702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416870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107.5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69103.5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886</v>
      </c>
      <c r="D6" s="13">
        <f t="shared" ref="D6:D28" si="1">C6*L6</f>
        <v>674246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27</v>
      </c>
      <c r="D7" s="13">
        <f t="shared" si="1"/>
        <v>21087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</v>
      </c>
      <c r="D9" s="13">
        <f t="shared" si="1"/>
        <v>3665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33</v>
      </c>
      <c r="D13" s="48">
        <f t="shared" si="1"/>
        <v>10131</v>
      </c>
      <c r="F13" s="241" t="s">
        <v>36</v>
      </c>
      <c r="G13" s="205"/>
      <c r="H13" s="196">
        <f>D29</f>
        <v>712160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106063.5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606096.5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452*6+216*6+199*6</f>
        <v>5202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712160</v>
      </c>
      <c r="F29" s="113" t="s">
        <v>55</v>
      </c>
      <c r="G29" s="175"/>
      <c r="H29" s="135">
        <f>H15-H16-H17-H18-H19-H20-H22-H23-H24+H26+H27+H28</f>
        <v>600894.5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567</v>
      </c>
      <c r="H34" s="157">
        <f t="shared" ref="H34:H39" si="2">F34*G34</f>
        <v>567000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57">
        <f t="shared" si="2"/>
        <v>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928</v>
      </c>
      <c r="D37" s="12">
        <f>C37*111</f>
        <v>103008</v>
      </c>
      <c r="F37" s="12">
        <v>100</v>
      </c>
      <c r="G37" s="39">
        <v>223</v>
      </c>
      <c r="H37" s="157">
        <f t="shared" si="2"/>
        <v>22300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205</v>
      </c>
      <c r="H38" s="157">
        <f t="shared" si="2"/>
        <v>10250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21</v>
      </c>
      <c r="D49" s="12">
        <f>C49*42</f>
        <v>882</v>
      </c>
      <c r="F49" s="133" t="s">
        <v>86</v>
      </c>
      <c r="G49" s="135">
        <f>H34+H35+H36+H37+H38+H39+H40+H41+G42+H44+H45+H46</f>
        <v>602571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32</v>
      </c>
      <c r="D50" s="12">
        <f>C50*1.5</f>
        <v>48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1676.5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106063.5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374</v>
      </c>
      <c r="D6" s="13">
        <f t="shared" ref="D6:D28" si="1">C6*L6</f>
        <v>284614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13</v>
      </c>
      <c r="D7" s="13">
        <f t="shared" si="1"/>
        <v>10153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82096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384352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56528.25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327823.75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870+300+1146</f>
        <v>2316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384352</v>
      </c>
      <c r="F29" s="113" t="s">
        <v>55</v>
      </c>
      <c r="G29" s="175"/>
      <c r="H29" s="135">
        <f>H15-H16-H17-H18-H19-H20-H22-H23-H24+H26+H27</f>
        <v>325507.75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178</v>
      </c>
      <c r="H34" s="157">
        <f>F34*G34</f>
        <v>178000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157">
        <f>F35*G35</f>
        <v>23500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469</v>
      </c>
      <c r="D37" s="12">
        <f>C37*111</f>
        <v>52059</v>
      </c>
      <c r="F37" s="12">
        <v>100</v>
      </c>
      <c r="G37" s="39">
        <v>7</v>
      </c>
      <c r="H37" s="157">
        <f t="shared" si="2"/>
        <v>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27</v>
      </c>
      <c r="D38" s="12">
        <f>C38*84</f>
        <v>2268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238</v>
      </c>
      <c r="H44" s="152">
        <v>123356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325656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148.25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56528.25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756</v>
      </c>
      <c r="D6" s="13">
        <f t="shared" ref="D6:D28" si="1">C6*L6</f>
        <v>575316</v>
      </c>
      <c r="F6" s="220" t="s">
        <v>16</v>
      </c>
      <c r="G6" s="222" t="s">
        <v>226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60</v>
      </c>
      <c r="D7" s="13">
        <f t="shared" si="1"/>
        <v>46860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</v>
      </c>
      <c r="D8" s="13">
        <f t="shared" si="1"/>
        <v>5465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108</v>
      </c>
      <c r="D9" s="13">
        <f t="shared" si="1"/>
        <v>79164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35</v>
      </c>
      <c r="D13" s="48">
        <f t="shared" si="1"/>
        <v>10745</v>
      </c>
      <c r="F13" s="241" t="s">
        <v>36</v>
      </c>
      <c r="G13" s="205"/>
      <c r="H13" s="196">
        <f>D29</f>
        <v>724297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82914.75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3</v>
      </c>
      <c r="D15" s="31">
        <f t="shared" si="1"/>
        <v>1860</v>
      </c>
      <c r="F15" s="204" t="s">
        <v>40</v>
      </c>
      <c r="G15" s="205"/>
      <c r="H15" s="206">
        <f>H13-H14</f>
        <v>641382.25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2124+3480+2364</f>
        <v>7968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168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724297</v>
      </c>
      <c r="F29" s="113" t="s">
        <v>55</v>
      </c>
      <c r="G29" s="175"/>
      <c r="H29" s="135">
        <f>H15-H16-H17-H18-H19-H20-H22-H23-H24+H26+H27+H28</f>
        <v>633414.25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707</v>
      </c>
      <c r="D37" s="12">
        <f>C37*111</f>
        <v>78477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9</v>
      </c>
      <c r="D44" s="12">
        <f>C44*120</f>
        <v>1080</v>
      </c>
      <c r="F44" s="37" t="s">
        <v>145</v>
      </c>
      <c r="G44" s="62" t="s">
        <v>239</v>
      </c>
      <c r="H44" s="152">
        <v>230253.5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 t="s">
        <v>145</v>
      </c>
      <c r="G45" s="62" t="s">
        <v>240</v>
      </c>
      <c r="H45" s="152">
        <v>400817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34</v>
      </c>
      <c r="D46" s="12">
        <f>C46*1.5</f>
        <v>51</v>
      </c>
      <c r="F46" s="37" t="s">
        <v>155</v>
      </c>
      <c r="G46" s="62"/>
      <c r="H46" s="152">
        <v>2757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633827.5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413.25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82914.75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374</v>
      </c>
      <c r="D6" s="13">
        <f t="shared" ref="D6:D28" si="1">C6*L6</f>
        <v>284614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32</v>
      </c>
      <c r="D9" s="13">
        <f t="shared" si="1"/>
        <v>23456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315369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43116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272253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200*6</f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315369</v>
      </c>
      <c r="F29" s="113" t="s">
        <v>55</v>
      </c>
      <c r="G29" s="175"/>
      <c r="H29" s="135">
        <f>H15-H16-H17-H18-H19-H20-H22-H23-H24+H26+H27</f>
        <v>271053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</v>
      </c>
      <c r="H35" s="157">
        <f t="shared" ref="H35:H39" si="2">F35*G35</f>
        <v>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28</v>
      </c>
      <c r="H37" s="157">
        <f t="shared" si="2"/>
        <v>2800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29</v>
      </c>
      <c r="H38" s="157">
        <f t="shared" si="2"/>
        <v>1450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241</v>
      </c>
      <c r="H44" s="152">
        <v>129848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31382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271074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43116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 NO TRIP</vt:lpstr>
      <vt:lpstr>(27)</vt:lpstr>
      <vt:lpstr>27,03 R1</vt:lpstr>
      <vt:lpstr>27,03 R2</vt:lpstr>
      <vt:lpstr>27,03 R3</vt:lpstr>
      <vt:lpstr>(28)</vt:lpstr>
      <vt:lpstr>28,03 R1 DAY OFF</vt:lpstr>
      <vt:lpstr>28,03 R2 DAY OFF</vt:lpstr>
      <vt:lpstr>28,03 R3 DAY OFF</vt:lpstr>
      <vt:lpstr>(30)</vt:lpstr>
      <vt:lpstr>30,03 R1</vt:lpstr>
      <vt:lpstr>30,03 R2 NO TRIP</vt:lpstr>
      <vt:lpstr>30,03 R3</vt:lpstr>
      <vt:lpstr>(31)</vt:lpstr>
      <vt:lpstr>31,03 R1</vt:lpstr>
      <vt:lpstr>31,03 R2</vt:lpstr>
      <vt:lpstr>31,03 R3 NO TRIP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 NO TRIP'!Print_Area</vt:lpstr>
      <vt:lpstr>'27,03 R1'!Print_Area</vt:lpstr>
      <vt:lpstr>'27,03 R2'!Print_Area</vt:lpstr>
      <vt:lpstr>'27,03 R3'!Print_Area</vt:lpstr>
      <vt:lpstr>'28,03 R1 DAY OFF'!Print_Area</vt:lpstr>
      <vt:lpstr>'28,03 R2 DAY OFF'!Print_Area</vt:lpstr>
      <vt:lpstr>'28,03 R3 DAY OFF'!Print_Area</vt:lpstr>
      <vt:lpstr>'30,03 R1'!Print_Area</vt:lpstr>
      <vt:lpstr>'30,03 R2 NO TRIP'!Print_Area</vt:lpstr>
      <vt:lpstr>'30,03 R3'!Print_Area</vt:lpstr>
      <vt:lpstr>'31,03 R1'!Print_Area</vt:lpstr>
      <vt:lpstr>'31,03 R2'!Print_Area</vt:lpstr>
      <vt:lpstr>'31,03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2026-04-01T00:07:21Z</cp:lastPrinted>
  <dcterms:created xsi:type="dcterms:W3CDTF">2024-09-01T23:36:50Z</dcterms:created>
  <dcterms:modified xsi:type="dcterms:W3CDTF">2026-04-01T00:08:41Z</dcterms:modified>
</cp:coreProperties>
</file>