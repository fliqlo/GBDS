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014AC037-5103-44C9-8DA4-F14C3A32603E}" xr6:coauthVersionLast="45" xr6:coauthVersionMax="47" xr10:uidLastSave="{00000000-0000-0000-0000-000000000000}"/>
  <bookViews>
    <workbookView xWindow="-120" yWindow="-120" windowWidth="29040" windowHeight="15840" firstSheet="23" activeTab="26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" sheetId="1879" r:id="rId43"/>
    <sheet name="13,03 R2" sheetId="1880" r:id="rId44"/>
    <sheet name="13,03 R3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" sheetId="1887" r:id="rId51"/>
    <sheet name="16,03 R2" sheetId="1888" r:id="rId52"/>
    <sheet name="16,03 R3" sheetId="1889" r:id="rId53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R1'!$A$1:$J$60</definedName>
    <definedName name="_xlnm.Print_Area" localSheetId="43">'13,03 R2'!$A$1:$J$60</definedName>
    <definedName name="_xlnm.Print_Area" localSheetId="44">'13,03 R3'!$A$1:$J$60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R1'!$A$1:$J$60</definedName>
    <definedName name="_xlnm.Print_Area" localSheetId="51">'16,03 R2'!$A$1:$J$60</definedName>
    <definedName name="_xlnm.Print_Area" localSheetId="52">'16,03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" i="1864" l="1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G49" i="1889" s="1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/>
  <c r="R21" i="1888"/>
  <c r="L17" i="1888" s="1"/>
  <c r="D17" i="1888" s="1"/>
  <c r="D21" i="1888"/>
  <c r="R20" i="1888"/>
  <c r="L20" i="1888"/>
  <c r="D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L10" i="1886"/>
  <c r="D10" i="1886" s="1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G49" i="1885" s="1"/>
  <c r="D34" i="1885"/>
  <c r="R33" i="1885"/>
  <c r="L23" i="1885" s="1"/>
  <c r="D23" i="1885" s="1"/>
  <c r="R32" i="1885"/>
  <c r="R31" i="1885"/>
  <c r="R30" i="1885"/>
  <c r="R29" i="1885"/>
  <c r="R28" i="1885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L16" i="1885"/>
  <c r="D16" i="1885" s="1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/>
  <c r="R25" i="1884"/>
  <c r="L25" i="1884"/>
  <c r="D25" i="1884" s="1"/>
  <c r="R24" i="1884"/>
  <c r="L24" i="1884"/>
  <c r="D24" i="1884" s="1"/>
  <c r="R23" i="1884"/>
  <c r="L23" i="1884"/>
  <c r="D23" i="1884" s="1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L7" i="1884"/>
  <c r="D7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R31" i="1883"/>
  <c r="R30" i="1883"/>
  <c r="R29" i="1883"/>
  <c r="R28" i="1883"/>
  <c r="L16" i="1883" s="1"/>
  <c r="D16" i="1883" s="1"/>
  <c r="L28" i="1883"/>
  <c r="D28" i="1883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L11" i="1883"/>
  <c r="D11" i="1883" s="1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10" i="1882"/>
  <c r="D10" i="1882" s="1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H35" i="1881"/>
  <c r="D35" i="1881"/>
  <c r="R34" i="1881"/>
  <c r="L12" i="1881" s="1"/>
  <c r="D12" i="1881" s="1"/>
  <c r="H34" i="1881"/>
  <c r="G49" i="1881" s="1"/>
  <c r="D34" i="1881"/>
  <c r="D54" i="1881" s="1"/>
  <c r="H14" i="1881" s="1"/>
  <c r="R33" i="1881"/>
  <c r="L23" i="1881" s="1"/>
  <c r="D23" i="1881" s="1"/>
  <c r="R32" i="188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L19" i="1881"/>
  <c r="D19" i="1881" s="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L11" i="1881"/>
  <c r="D11" i="1881" s="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D54" i="1880" s="1"/>
  <c r="H14" i="1880" s="1"/>
  <c r="R34" i="1880"/>
  <c r="H34" i="1880"/>
  <c r="D34" i="1880"/>
  <c r="R33" i="1880"/>
  <c r="L23" i="1880" s="1"/>
  <c r="D23" i="1880" s="1"/>
  <c r="R32" i="1880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/>
  <c r="R24" i="1880"/>
  <c r="L24" i="1880"/>
  <c r="D24" i="1880" s="1"/>
  <c r="R23" i="1880"/>
  <c r="R22" i="1880"/>
  <c r="L22" i="1880"/>
  <c r="D22" i="1880" s="1"/>
  <c r="R21" i="1880"/>
  <c r="D21" i="1880"/>
  <c r="R20" i="1880"/>
  <c r="L20" i="1880"/>
  <c r="D20" i="1880"/>
  <c r="R19" i="1880"/>
  <c r="R18" i="1880"/>
  <c r="D18" i="1880"/>
  <c r="R17" i="1880"/>
  <c r="L17" i="1880"/>
  <c r="D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L11" i="1880"/>
  <c r="D11" i="1880" s="1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D54" i="1879" s="1"/>
  <c r="H14" i="1879" s="1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/>
  <c r="R16" i="1879"/>
  <c r="R15" i="1879"/>
  <c r="D15" i="1879"/>
  <c r="R14" i="1879"/>
  <c r="D14" i="1879"/>
  <c r="R13" i="1879"/>
  <c r="D13" i="1879"/>
  <c r="R12" i="1879"/>
  <c r="R11" i="1879"/>
  <c r="L7" i="1879"/>
  <c r="D7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H38" i="1877"/>
  <c r="D38" i="1877"/>
  <c r="R37" i="1877"/>
  <c r="H37" i="1877"/>
  <c r="D37" i="1877"/>
  <c r="R36" i="1877"/>
  <c r="L10" i="1877" s="1"/>
  <c r="D10" i="1877" s="1"/>
  <c r="H36" i="1877"/>
  <c r="G49" i="1877" s="1"/>
  <c r="D36" i="1877"/>
  <c r="R35" i="1877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/>
  <c r="R19" i="1877"/>
  <c r="L19" i="1877"/>
  <c r="D19" i="1877" s="1"/>
  <c r="R18" i="1877"/>
  <c r="D18" i="1877"/>
  <c r="R17" i="1877"/>
  <c r="D17" i="1877"/>
  <c r="R16" i="1877"/>
  <c r="L16" i="1877"/>
  <c r="D16" i="1877"/>
  <c r="R15" i="1877"/>
  <c r="D15" i="1877"/>
  <c r="R14" i="1877"/>
  <c r="D14" i="1877"/>
  <c r="R13" i="1877"/>
  <c r="D13" i="1877"/>
  <c r="R12" i="1877"/>
  <c r="R11" i="1877"/>
  <c r="L9" i="1877"/>
  <c r="D9" i="1877" s="1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L20" i="1876"/>
  <c r="D20" i="1876" s="1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D44" i="1875"/>
  <c r="R42" i="1875"/>
  <c r="L6" i="1875" s="1"/>
  <c r="D6" i="1875" s="1"/>
  <c r="D42" i="1875"/>
  <c r="R41" i="1875"/>
  <c r="D41" i="1875"/>
  <c r="R40" i="1875"/>
  <c r="L8" i="1875" s="1"/>
  <c r="D8" i="1875" s="1"/>
  <c r="D40" i="1875"/>
  <c r="R39" i="1875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L28" i="1875"/>
  <c r="D28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L20" i="1875"/>
  <c r="D20" i="1875" s="1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L7" i="1875"/>
  <c r="D7" i="1875" s="1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/>
  <c r="R19" i="1874"/>
  <c r="L19" i="1874"/>
  <c r="D19" i="1874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D41" i="1872"/>
  <c r="R40" i="1872"/>
  <c r="L8" i="1872" s="1"/>
  <c r="D8" i="1872" s="1"/>
  <c r="D40" i="1872"/>
  <c r="R39" i="1872"/>
  <c r="H39" i="1872"/>
  <c r="D39" i="1872"/>
  <c r="R38" i="1872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/>
  <c r="R25" i="1872"/>
  <c r="L25" i="1872"/>
  <c r="D25" i="1872" s="1"/>
  <c r="R24" i="1872"/>
  <c r="L24" i="1872"/>
  <c r="D24" i="1872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L19" i="1872"/>
  <c r="D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L9" i="1872"/>
  <c r="D9" i="1872" s="1"/>
  <c r="L7" i="1872"/>
  <c r="D7" i="1872" s="1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L20" i="1871"/>
  <c r="D20" i="1871" s="1"/>
  <c r="R19" i="1871"/>
  <c r="D19" i="1871"/>
  <c r="R18" i="1871"/>
  <c r="D18" i="1871"/>
  <c r="R17" i="1871"/>
  <c r="L17" i="1871"/>
  <c r="D17" i="187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L8" i="1870"/>
  <c r="D8" i="1870" s="1"/>
  <c r="R6" i="1870"/>
  <c r="R5" i="1870"/>
  <c r="R4" i="1870"/>
  <c r="R52" i="1869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H36" i="1869"/>
  <c r="D36" i="1869"/>
  <c r="R35" i="1869"/>
  <c r="H35" i="1869"/>
  <c r="D35" i="1869"/>
  <c r="R34" i="1869"/>
  <c r="L12" i="1869" s="1"/>
  <c r="D12" i="1869" s="1"/>
  <c r="H34" i="1869"/>
  <c r="D34" i="1869"/>
  <c r="D54" i="1869" s="1"/>
  <c r="H14" i="1869" s="1"/>
  <c r="R33" i="1869"/>
  <c r="L23" i="1869" s="1"/>
  <c r="D23" i="1869" s="1"/>
  <c r="R32" i="1869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L22" i="1869"/>
  <c r="D22" i="1869"/>
  <c r="R21" i="1869"/>
  <c r="D21" i="1869"/>
  <c r="R20" i="1869"/>
  <c r="L20" i="1869"/>
  <c r="D20" i="1869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11" i="1869"/>
  <c r="D11" i="1869"/>
  <c r="L10" i="1869"/>
  <c r="D10" i="1869" s="1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G49" i="1868" s="1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L9" i="1868"/>
  <c r="D9" i="1868"/>
  <c r="R6" i="1868"/>
  <c r="L6" i="1868"/>
  <c r="D6" i="1868" s="1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D54" i="1867" s="1"/>
  <c r="H14" i="1867" s="1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/>
  <c r="R24" i="1867"/>
  <c r="L24" i="1867"/>
  <c r="D24" i="1867" s="1"/>
  <c r="R23" i="1867"/>
  <c r="D23" i="1867"/>
  <c r="R22" i="1867"/>
  <c r="D22" i="1867"/>
  <c r="R21" i="1867"/>
  <c r="D21" i="1867"/>
  <c r="R20" i="1867"/>
  <c r="L20" i="1867"/>
  <c r="D20" i="1867"/>
  <c r="R19" i="1867"/>
  <c r="D19" i="1867"/>
  <c r="R18" i="1867"/>
  <c r="D18" i="1867"/>
  <c r="R17" i="1867"/>
  <c r="L17" i="1867"/>
  <c r="D17" i="1867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D40" i="1866"/>
  <c r="R39" i="1866"/>
  <c r="D39" i="1866"/>
  <c r="R38" i="1866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L12" i="1866"/>
  <c r="D12" i="1866" s="1"/>
  <c r="R11" i="1866"/>
  <c r="L9" i="1866"/>
  <c r="D9" i="1866"/>
  <c r="L8" i="1866"/>
  <c r="D8" i="1866" s="1"/>
  <c r="R6" i="1866"/>
  <c r="R5" i="1866"/>
  <c r="R4" i="1866"/>
  <c r="D29" i="1881" l="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51" i="1869" s="1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H15" i="1869" s="1"/>
  <c r="H29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G51" i="1873" s="1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H15" i="1889" s="1"/>
  <c r="H29" i="1889" s="1"/>
  <c r="G51" i="1889" s="1"/>
  <c r="D29" i="1888"/>
  <c r="H13" i="1888" s="1"/>
  <c r="H15" i="1888" s="1"/>
  <c r="H29" i="1888" s="1"/>
  <c r="G51" i="1888" s="1"/>
  <c r="D29" i="1886"/>
  <c r="H13" i="1886" s="1"/>
  <c r="D29" i="1885"/>
  <c r="H13" i="1885" s="1"/>
  <c r="H15" i="1885" s="1"/>
  <c r="H29" i="1885" s="1"/>
  <c r="G51" i="1885" s="1"/>
  <c r="D29" i="1884"/>
  <c r="H13" i="1884" s="1"/>
  <c r="H15" i="1884" s="1"/>
  <c r="H29" i="1884" s="1"/>
  <c r="G51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H15" i="1879" s="1"/>
  <c r="H29" i="1879" s="1"/>
  <c r="G51" i="1879" s="1"/>
  <c r="D29" i="1878"/>
  <c r="H13" i="1878" s="1"/>
  <c r="H15" i="1878" s="1"/>
  <c r="H29" i="1878" s="1"/>
  <c r="G51" i="1878" s="1"/>
  <c r="D29" i="1877"/>
  <c r="H13" i="1877" s="1"/>
  <c r="D29" i="1876"/>
  <c r="H13" i="1876" s="1"/>
  <c r="H15" i="1876" s="1"/>
  <c r="H29" i="1876" s="1"/>
  <c r="G51" i="1876" s="1"/>
  <c r="D29" i="1875"/>
  <c r="H13" i="1875" s="1"/>
  <c r="D29" i="1874"/>
  <c r="H13" i="1874" s="1"/>
  <c r="D29" i="1873"/>
  <c r="H13" i="1873" s="1"/>
  <c r="H15" i="1873" s="1"/>
  <c r="H29" i="1873" s="1"/>
  <c r="D29" i="1872"/>
  <c r="H13" i="1872" s="1"/>
  <c r="D29" i="1871"/>
  <c r="H13" i="1871" s="1"/>
  <c r="H15" i="1871" s="1"/>
  <c r="H29" i="1871" s="1"/>
  <c r="G51" i="1871"/>
  <c r="D29" i="1870"/>
  <c r="H13" i="1870" s="1"/>
  <c r="H15" i="1870" s="1"/>
  <c r="H29" i="1870" s="1"/>
  <c r="G51" i="1870" s="1"/>
  <c r="D29" i="1868"/>
  <c r="H13" i="1868" s="1"/>
  <c r="H15" i="1868" s="1"/>
  <c r="H29" i="1868" s="1"/>
  <c r="G51" i="1868" s="1"/>
  <c r="D29" i="1867"/>
  <c r="H13" i="1867" s="1"/>
  <c r="H15" i="1867" s="1"/>
  <c r="H29" i="1867" s="1"/>
  <c r="H16" i="1861"/>
  <c r="C21" i="1859"/>
  <c r="H15" i="1872" l="1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G51" i="1867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H34" i="1861"/>
  <c r="D34" i="1861"/>
  <c r="R33" i="1861"/>
  <c r="L23" i="1861" s="1"/>
  <c r="D23" i="1861" s="1"/>
  <c r="R32" i="1861"/>
  <c r="R31" i="1861"/>
  <c r="R30" i="1861"/>
  <c r="R29" i="1861"/>
  <c r="R28" i="1861"/>
  <c r="L16" i="1861" s="1"/>
  <c r="D16" i="1861" s="1"/>
  <c r="R27" i="1861"/>
  <c r="D27" i="1861"/>
  <c r="R26" i="1861"/>
  <c r="L26" i="1861"/>
  <c r="D26" i="186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L12" i="1861"/>
  <c r="D12" i="1861" s="1"/>
  <c r="R11" i="1861"/>
  <c r="L11" i="1861"/>
  <c r="D11" i="1861" s="1"/>
  <c r="L9" i="1861"/>
  <c r="D9" i="1861" s="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L12" i="1859"/>
  <c r="D12" i="1859" s="1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D38" i="1858"/>
  <c r="R37" i="1858"/>
  <c r="D37" i="1858"/>
  <c r="R36" i="1858"/>
  <c r="L10" i="1858" s="1"/>
  <c r="D10" i="1858" s="1"/>
  <c r="D36" i="1858"/>
  <c r="R35" i="1858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L19" i="1858"/>
  <c r="D19" i="1858" s="1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L9" i="1858"/>
  <c r="D9" i="1858" s="1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L8" i="1856"/>
  <c r="D8" i="1856" s="1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L11" i="1855"/>
  <c r="D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L22" i="1853"/>
  <c r="D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L7" i="1853"/>
  <c r="D7" i="1853" s="1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L9" i="1850"/>
  <c r="D9" i="1850" s="1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L11" i="1849"/>
  <c r="D11" i="1849" s="1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L20" i="1847"/>
  <c r="D20" i="1847" s="1"/>
  <c r="R19" i="1847"/>
  <c r="D19" i="1847"/>
  <c r="R18" i="1847"/>
  <c r="D18" i="1847"/>
  <c r="R17" i="1847"/>
  <c r="L17" i="1847"/>
  <c r="D17" i="1847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H15" i="1853" s="1"/>
  <c r="H29" i="1853" s="1"/>
  <c r="G51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H15" i="1846" s="1"/>
  <c r="H29" i="1846" s="1"/>
  <c r="G51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L11" i="1820"/>
  <c r="D11" i="1820"/>
  <c r="L8" i="1820"/>
  <c r="D8" i="1820" s="1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L20" i="1819"/>
  <c r="D20" i="1819" s="1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0" l="1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<sst xmlns="http://schemas.openxmlformats.org/spreadsheetml/2006/main" count="7014" uniqueCount="183">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</sst>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49" fontId="0" fillId="0" borderId="16" xfId="0" applyNumberFormat="1" applyFont="1" applyBorder="1" applyAlignment="1">
      <alignment horizontal="right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B2E6C1-A672-4577-8A57-457D31568C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9" t="s">
        <v>7</v>
      </c>
      <c r="B4" s="140"/>
      <c r="C4" s="140"/>
      <c r="D4" s="141"/>
      <c r="F4" s="189" t="s">
        <v>8</v>
      </c>
      <c r="G4" s="191"/>
      <c r="H4" s="193" t="s">
        <v>9</v>
      </c>
      <c r="I4" s="195"/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99" t="s">
        <v>16</v>
      </c>
      <c r="G6" s="201"/>
      <c r="H6" s="202"/>
      <c r="I6" s="202"/>
      <c r="J6" s="20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207" t="s">
        <v>21</v>
      </c>
      <c r="G8" s="208"/>
      <c r="H8" s="209"/>
      <c r="I8" s="209"/>
      <c r="J8" s="21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99" t="s">
        <v>26</v>
      </c>
      <c r="G10" s="214"/>
      <c r="H10" s="215"/>
      <c r="I10" s="215"/>
      <c r="J10" s="216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57"/>
      <c r="I19" s="157"/>
      <c r="J19" s="1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6"/>
      <c r="G28" s="61"/>
      <c r="H28" s="172"/>
      <c r="I28" s="173"/>
      <c r="J28" s="17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/>
      <c r="I34" s="137"/>
      <c r="J34" s="13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/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/>
      <c r="I36" s="137"/>
      <c r="J36" s="13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/>
      <c r="I37" s="137"/>
      <c r="J37" s="13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/>
      <c r="I38" s="137"/>
      <c r="J38" s="13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/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P43" s="4"/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P44" s="4"/>
      <c r="Q44" s="4"/>
      <c r="R44" s="5"/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P50" s="4"/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1</v>
      </c>
      <c r="H4" s="193" t="s">
        <v>9</v>
      </c>
      <c r="I4" s="195">
        <v>46083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308</v>
      </c>
      <c r="D6" s="13">
        <f t="shared" ref="D6:D28" si="1">C6*L6</f>
        <v>234388</v>
      </c>
      <c r="F6" s="199" t="s">
        <v>16</v>
      </c>
      <c r="G6" s="201" t="s">
        <v>111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12</v>
      </c>
      <c r="D7" s="13">
        <f t="shared" si="1"/>
        <v>9372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1</v>
      </c>
      <c r="D8" s="13">
        <f t="shared" si="1"/>
        <v>1093</v>
      </c>
      <c r="F8" s="207" t="s">
        <v>21</v>
      </c>
      <c r="G8" s="208" t="s">
        <v>144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18</v>
      </c>
      <c r="D9" s="13">
        <f t="shared" si="1"/>
        <v>13194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</v>
      </c>
      <c r="D10" s="13">
        <f t="shared" si="1"/>
        <v>2064</v>
      </c>
      <c r="F10" s="199" t="s">
        <v>26</v>
      </c>
      <c r="G10" s="214" t="s">
        <v>139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1984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6</v>
      </c>
      <c r="D13" s="48">
        <f t="shared" si="1"/>
        <v>1842</v>
      </c>
      <c r="F13" s="220" t="s">
        <v>36</v>
      </c>
      <c r="G13" s="184"/>
      <c r="H13" s="175">
        <f>D29</f>
        <v>265882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5</v>
      </c>
      <c r="D14" s="31">
        <f t="shared" si="1"/>
        <v>55</v>
      </c>
      <c r="F14" s="178" t="s">
        <v>39</v>
      </c>
      <c r="G14" s="179"/>
      <c r="H14" s="180">
        <f>D54</f>
        <v>30599.25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>
        <v>1</v>
      </c>
      <c r="D15" s="31">
        <f t="shared" si="1"/>
        <v>620</v>
      </c>
      <c r="F15" s="183" t="s">
        <v>40</v>
      </c>
      <c r="G15" s="184"/>
      <c r="H15" s="185">
        <f>H13-H14</f>
        <v>235282.75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216*6+10*6</f>
        <v>1356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10"/>
      <c r="D26" s="48">
        <f t="shared" si="1"/>
        <v>0</v>
      </c>
      <c r="F26" s="75"/>
      <c r="G26" s="65"/>
      <c r="H26" s="131"/>
      <c r="I26" s="131"/>
      <c r="J26" s="13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265882</v>
      </c>
      <c r="F29" s="92" t="s">
        <v>55</v>
      </c>
      <c r="G29" s="154"/>
      <c r="H29" s="114">
        <f>H15-H16-H17-H18-H19-H20-H22-H23-H24+H26+H27+H28</f>
        <v>233926.75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36">
        <f t="shared" ref="H34:H39" si="2">F34*G34</f>
        <v>64000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36">
        <f t="shared" si="2"/>
        <v>6500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36">
        <f t="shared" si="2"/>
        <v>400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36">
        <f t="shared" si="2"/>
        <v>4300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36">
        <f t="shared" si="2"/>
        <v>1100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7</v>
      </c>
      <c r="D42" s="12">
        <f>C42*2.25</f>
        <v>15.75</v>
      </c>
      <c r="F42" s="39" t="s">
        <v>79</v>
      </c>
      <c r="G42" s="136">
        <v>30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31">
        <v>150017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31">
        <v>7564</v>
      </c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>
        <v>11</v>
      </c>
      <c r="D46" s="12">
        <f>C46*1.5</f>
        <v>16.5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233911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3</v>
      </c>
      <c r="D50" s="12">
        <f>C50*1.5</f>
        <v>4.5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128</v>
      </c>
      <c r="G51" s="221">
        <f>G49-H29</f>
        <v>-15.75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2</v>
      </c>
      <c r="H4" s="193" t="s">
        <v>9</v>
      </c>
      <c r="I4" s="195">
        <v>46083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351</v>
      </c>
      <c r="D6" s="13">
        <f t="shared" ref="D6:D28" si="1">C6*L6</f>
        <v>267111</v>
      </c>
      <c r="F6" s="199" t="s">
        <v>16</v>
      </c>
      <c r="G6" s="201" t="s">
        <v>126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</v>
      </c>
      <c r="D7" s="13">
        <f t="shared" si="1"/>
        <v>781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113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40</v>
      </c>
      <c r="D9" s="13">
        <f t="shared" si="1"/>
        <v>29320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10</v>
      </c>
      <c r="D10" s="13">
        <f t="shared" si="1"/>
        <v>10320</v>
      </c>
      <c r="F10" s="199" t="s">
        <v>26</v>
      </c>
      <c r="G10" s="214" t="s">
        <v>114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9</v>
      </c>
      <c r="D13" s="48">
        <f t="shared" si="1"/>
        <v>2763</v>
      </c>
      <c r="F13" s="220" t="s">
        <v>36</v>
      </c>
      <c r="G13" s="184"/>
      <c r="H13" s="175">
        <f>D29</f>
        <v>313708.5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3</v>
      </c>
      <c r="D14" s="31">
        <f t="shared" si="1"/>
        <v>33</v>
      </c>
      <c r="F14" s="178" t="s">
        <v>39</v>
      </c>
      <c r="G14" s="179"/>
      <c r="H14" s="180">
        <f>D54</f>
        <v>55225.5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258483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230*6</f>
        <v>1380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150</v>
      </c>
      <c r="C24" s="10">
        <v>12</v>
      </c>
      <c r="D24" s="48">
        <f t="shared" si="1"/>
        <v>474</v>
      </c>
      <c r="F24" s="38"/>
      <c r="G24" s="37"/>
      <c r="H24" s="162"/>
      <c r="I24" s="131"/>
      <c r="J24" s="131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313708.5</v>
      </c>
      <c r="F29" s="92" t="s">
        <v>55</v>
      </c>
      <c r="G29" s="154"/>
      <c r="H29" s="114">
        <f>H15-H16-H17-H18-H19-H20-H22-H23-H24+H26+H27</f>
        <v>257103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36">
        <f>F34*G34</f>
        <v>101000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36">
        <f t="shared" ref="H35:H39" si="2">F35*G35</f>
        <v>11000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36">
        <f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36">
        <f t="shared" si="2"/>
        <v>100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36">
        <f t="shared" si="2"/>
        <v>50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2</v>
      </c>
      <c r="D42" s="12">
        <f>C42*2.25</f>
        <v>4.5</v>
      </c>
      <c r="F42" s="39" t="s">
        <v>79</v>
      </c>
      <c r="G42" s="136">
        <v>136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31">
        <v>144193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>
        <v>1</v>
      </c>
      <c r="D45" s="12">
        <f>C45*84</f>
        <v>84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>
        <v>36</v>
      </c>
      <c r="D46" s="12">
        <f>C46*1.5</f>
        <v>54</v>
      </c>
      <c r="F46" s="37"/>
      <c r="G46" s="88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22</v>
      </c>
      <c r="D49" s="12">
        <f>C49*42</f>
        <v>924</v>
      </c>
      <c r="F49" s="112" t="s">
        <v>86</v>
      </c>
      <c r="G49" s="114">
        <f>H34+H35+H36+H37+H38+H39+H40+H41+G42+H44+H45+H46</f>
        <v>256479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5</v>
      </c>
      <c r="D50" s="12">
        <f>C50*1.5</f>
        <v>7.5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153</v>
      </c>
      <c r="G51" s="221">
        <f>G49-H29</f>
        <v>-624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3</v>
      </c>
      <c r="H4" s="193" t="s">
        <v>9</v>
      </c>
      <c r="I4" s="195">
        <v>46083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266</v>
      </c>
      <c r="D6" s="13">
        <f t="shared" ref="D6:D28" si="1">C6*L6</f>
        <v>202426</v>
      </c>
      <c r="F6" s="199" t="s">
        <v>16</v>
      </c>
      <c r="G6" s="201" t="s">
        <v>141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9</v>
      </c>
      <c r="D7" s="13">
        <f t="shared" si="1"/>
        <v>7029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130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57</v>
      </c>
      <c r="D9" s="13">
        <f t="shared" si="1"/>
        <v>41781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1032</v>
      </c>
      <c r="F10" s="199" t="s">
        <v>26</v>
      </c>
      <c r="G10" s="214" t="s">
        <v>127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1984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12</v>
      </c>
      <c r="D13" s="48">
        <f t="shared" si="1"/>
        <v>3684</v>
      </c>
      <c r="F13" s="220" t="s">
        <v>36</v>
      </c>
      <c r="G13" s="184"/>
      <c r="H13" s="175">
        <f>D29</f>
        <v>259606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8</v>
      </c>
      <c r="D14" s="31">
        <f t="shared" si="1"/>
        <v>88</v>
      </c>
      <c r="F14" s="178" t="s">
        <v>39</v>
      </c>
      <c r="G14" s="179"/>
      <c r="H14" s="180">
        <f>D54</f>
        <v>36129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223477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115*6</f>
        <v>690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>
        <v>50</v>
      </c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259606</v>
      </c>
      <c r="F29" s="92" t="s">
        <v>55</v>
      </c>
      <c r="G29" s="154"/>
      <c r="H29" s="114">
        <f>H15-H16-H17-H18-H19-H20-H22-H23-H24+H26+H27</f>
        <v>222737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36">
        <f>F34*G34</f>
        <v>41000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36">
        <f>F35*G35</f>
        <v>3500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36">
        <f t="shared" ref="H36:H39" si="2"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36">
        <f t="shared" si="2"/>
        <v>100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36">
        <f t="shared" si="2"/>
        <v>100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10</v>
      </c>
      <c r="D42" s="12">
        <f>C42*2.25</f>
        <v>22.5</v>
      </c>
      <c r="F42" s="39" t="s">
        <v>79</v>
      </c>
      <c r="G42" s="136">
        <v>88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31">
        <v>75280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31">
        <v>101194</v>
      </c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132">
        <v>1582</v>
      </c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222844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1</v>
      </c>
      <c r="D50" s="12">
        <f>C50*1.5</f>
        <v>1.5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138</v>
      </c>
      <c r="G51" s="122">
        <f>G49-H29</f>
        <v>107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9" t="s">
        <v>7</v>
      </c>
      <c r="B4" s="140"/>
      <c r="C4" s="140"/>
      <c r="D4" s="141"/>
      <c r="F4" s="189" t="s">
        <v>8</v>
      </c>
      <c r="G4" s="191"/>
      <c r="H4" s="193" t="s">
        <v>9</v>
      </c>
      <c r="I4" s="195"/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99" t="s">
        <v>16</v>
      </c>
      <c r="G6" s="201"/>
      <c r="H6" s="202"/>
      <c r="I6" s="202"/>
      <c r="J6" s="20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207" t="s">
        <v>21</v>
      </c>
      <c r="G8" s="208"/>
      <c r="H8" s="209"/>
      <c r="I8" s="209"/>
      <c r="J8" s="21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99" t="s">
        <v>26</v>
      </c>
      <c r="G10" s="214"/>
      <c r="H10" s="215"/>
      <c r="I10" s="215"/>
      <c r="J10" s="216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57"/>
      <c r="I19" s="157"/>
      <c r="J19" s="1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6"/>
      <c r="G28" s="61"/>
      <c r="H28" s="172"/>
      <c r="I28" s="173"/>
      <c r="J28" s="17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/>
      <c r="I34" s="137"/>
      <c r="J34" s="13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/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/>
      <c r="I36" s="137"/>
      <c r="J36" s="13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/>
      <c r="I37" s="137"/>
      <c r="J37" s="13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/>
      <c r="I38" s="137"/>
      <c r="J38" s="13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/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P43" s="4"/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P44" s="4"/>
      <c r="Q44" s="4"/>
      <c r="R44" s="5"/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P50" s="4"/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1</v>
      </c>
      <c r="H4" s="193" t="s">
        <v>9</v>
      </c>
      <c r="I4" s="195">
        <v>46084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382</v>
      </c>
      <c r="D6" s="13">
        <f t="shared" ref="D6:D28" si="1">C6*L6</f>
        <v>290702</v>
      </c>
      <c r="F6" s="199" t="s">
        <v>16</v>
      </c>
      <c r="G6" s="201" t="s">
        <v>111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7</v>
      </c>
      <c r="D7" s="13">
        <f t="shared" si="1"/>
        <v>5467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144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31</v>
      </c>
      <c r="D9" s="13">
        <f t="shared" si="1"/>
        <v>22723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139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322724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9</v>
      </c>
      <c r="D14" s="31">
        <f t="shared" si="1"/>
        <v>99</v>
      </c>
      <c r="F14" s="178" t="s">
        <v>39</v>
      </c>
      <c r="G14" s="179"/>
      <c r="H14" s="180">
        <f>D54</f>
        <v>44362.5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278361.5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10"/>
      <c r="D26" s="48">
        <f t="shared" si="1"/>
        <v>0</v>
      </c>
      <c r="F26" s="75"/>
      <c r="G26" s="65"/>
      <c r="H26" s="131"/>
      <c r="I26" s="131"/>
      <c r="J26" s="13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3</v>
      </c>
      <c r="D28" s="48">
        <f t="shared" si="1"/>
        <v>2433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322724</v>
      </c>
      <c r="F29" s="92" t="s">
        <v>55</v>
      </c>
      <c r="G29" s="154"/>
      <c r="H29" s="114">
        <f>H15-H16-H17-H18-H19-H20-H22-H23-H24+H26+H27+H28</f>
        <v>278361.5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36">
        <f t="shared" ref="H34:H39" si="2">F34*G34</f>
        <v>212000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36">
        <f t="shared" si="2"/>
        <v>18000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36">
        <f t="shared" si="2"/>
        <v>400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36">
        <f t="shared" si="2"/>
        <v>2700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36">
        <f t="shared" si="2"/>
        <v>1150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36">
        <f t="shared" si="2"/>
        <v>40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2</v>
      </c>
      <c r="D42" s="12">
        <f>C42*2.25</f>
        <v>4.5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31">
        <v>10000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31">
        <v>35000</v>
      </c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279290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8</v>
      </c>
      <c r="D50" s="12">
        <f>C50*1.5</f>
        <v>12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138</v>
      </c>
      <c r="G51" s="122">
        <f>G49-H29</f>
        <v>928.5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2</v>
      </c>
      <c r="H4" s="193" t="s">
        <v>9</v>
      </c>
      <c r="I4" s="195">
        <v>46084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224</v>
      </c>
      <c r="D6" s="13">
        <f t="shared" ref="D6:D28" si="1">C6*L6</f>
        <v>170464</v>
      </c>
      <c r="F6" s="199" t="s">
        <v>16</v>
      </c>
      <c r="G6" s="201" t="s">
        <v>126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</v>
      </c>
      <c r="D7" s="13">
        <f t="shared" si="1"/>
        <v>1562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113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71</v>
      </c>
      <c r="D9" s="13">
        <f t="shared" si="1"/>
        <v>52043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114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7</v>
      </c>
      <c r="D13" s="48">
        <f t="shared" si="1"/>
        <v>2149</v>
      </c>
      <c r="F13" s="220" t="s">
        <v>36</v>
      </c>
      <c r="G13" s="184"/>
      <c r="H13" s="175">
        <f>D29</f>
        <v>228774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14</v>
      </c>
      <c r="D14" s="31">
        <f t="shared" si="1"/>
        <v>154</v>
      </c>
      <c r="F14" s="178" t="s">
        <v>39</v>
      </c>
      <c r="G14" s="179"/>
      <c r="H14" s="180">
        <f>D54</f>
        <v>35040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193734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122*6</f>
        <v>732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61">
        <v>265</v>
      </c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228774</v>
      </c>
      <c r="F29" s="92" t="s">
        <v>55</v>
      </c>
      <c r="G29" s="154"/>
      <c r="H29" s="114">
        <f>H15-H16-H17-H18-H19-H20-H22-H23-H24+H26+H27</f>
        <v>192737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36">
        <f>F34*G34</f>
        <v>140000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36">
        <f t="shared" ref="H35:H39" si="2">F35*G35</f>
        <v>46500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36">
        <f>F36*G36</f>
        <v>400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36">
        <f t="shared" si="2"/>
        <v>4300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36">
        <f t="shared" si="2"/>
        <v>1350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>
        <v>45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62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>
        <v>1</v>
      </c>
      <c r="D46" s="12">
        <f>C46*1.5</f>
        <v>1.5</v>
      </c>
      <c r="F46" s="37"/>
      <c r="G46" s="88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3</v>
      </c>
      <c r="D49" s="12">
        <f>C49*42</f>
        <v>126</v>
      </c>
      <c r="F49" s="112" t="s">
        <v>86</v>
      </c>
      <c r="G49" s="114">
        <f>H34+H35+H36+H37+H38+H39+H40+H41+G42+H44+H45+H46</f>
        <v>192595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19</v>
      </c>
      <c r="D50" s="12">
        <f>C50*1.5</f>
        <v>28.5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162</v>
      </c>
      <c r="G51" s="221">
        <f>G49-H29</f>
        <v>-142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3</v>
      </c>
      <c r="H4" s="193" t="s">
        <v>9</v>
      </c>
      <c r="I4" s="195">
        <v>46084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291</v>
      </c>
      <c r="D6" s="13">
        <f t="shared" ref="D6:D28" si="1">C6*L6</f>
        <v>221451</v>
      </c>
      <c r="F6" s="199" t="s">
        <v>16</v>
      </c>
      <c r="G6" s="201" t="s">
        <v>141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20</v>
      </c>
      <c r="D7" s="13">
        <f t="shared" si="1"/>
        <v>15620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1</v>
      </c>
      <c r="D8" s="13">
        <f t="shared" si="1"/>
        <v>1093</v>
      </c>
      <c r="F8" s="207" t="s">
        <v>21</v>
      </c>
      <c r="G8" s="208" t="s">
        <v>130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36</v>
      </c>
      <c r="D9" s="13">
        <f t="shared" si="1"/>
        <v>26388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127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3</v>
      </c>
      <c r="D12" s="48">
        <f t="shared" si="1"/>
        <v>2976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15</v>
      </c>
      <c r="D13" s="48">
        <f t="shared" si="1"/>
        <v>4605</v>
      </c>
      <c r="F13" s="220" t="s">
        <v>36</v>
      </c>
      <c r="G13" s="184"/>
      <c r="H13" s="175">
        <f>D29</f>
        <v>273403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40279.5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>
        <v>1</v>
      </c>
      <c r="D15" s="31">
        <f t="shared" si="1"/>
        <v>620</v>
      </c>
      <c r="F15" s="183" t="s">
        <v>40</v>
      </c>
      <c r="G15" s="184"/>
      <c r="H15" s="185">
        <f>H13-H14</f>
        <v>233123.5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153*6</f>
        <v>918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273403</v>
      </c>
      <c r="F29" s="92" t="s">
        <v>55</v>
      </c>
      <c r="G29" s="154"/>
      <c r="H29" s="114">
        <f>H15-H16-H17-H18-H19-H20-H22-H23-H24+H26+H27</f>
        <v>232205.5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36">
        <f>F34*G34</f>
        <v>75000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36">
        <f>F35*G35</f>
        <v>48500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ref="H36:H39" si="2"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36">
        <f t="shared" si="2"/>
        <v>6000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36">
        <f t="shared" si="2"/>
        <v>2150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12</v>
      </c>
      <c r="D42" s="12">
        <f>C42*2.25</f>
        <v>27</v>
      </c>
      <c r="F42" s="39" t="s">
        <v>79</v>
      </c>
      <c r="G42" s="136">
        <v>74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31">
        <v>100483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>
        <v>64</v>
      </c>
      <c r="D46" s="12">
        <f>C46*1.5</f>
        <v>96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3</v>
      </c>
      <c r="D49" s="12">
        <f>C49*42</f>
        <v>126</v>
      </c>
      <c r="F49" s="112" t="s">
        <v>86</v>
      </c>
      <c r="G49" s="114">
        <f>H34+H35+H36+H37+H38+H39+H40+H41+G42+H44+H45+H46</f>
        <v>232207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22</v>
      </c>
      <c r="D50" s="12">
        <f>C50*1.5</f>
        <v>33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138</v>
      </c>
      <c r="G51" s="122">
        <f>G49-H29</f>
        <v>1.5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9" t="s">
        <v>7</v>
      </c>
      <c r="B4" s="140"/>
      <c r="C4" s="140"/>
      <c r="D4" s="141"/>
      <c r="F4" s="189" t="s">
        <v>8</v>
      </c>
      <c r="G4" s="191"/>
      <c r="H4" s="193" t="s">
        <v>9</v>
      </c>
      <c r="I4" s="195"/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99" t="s">
        <v>16</v>
      </c>
      <c r="G6" s="201"/>
      <c r="H6" s="202"/>
      <c r="I6" s="202"/>
      <c r="J6" s="20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207" t="s">
        <v>21</v>
      </c>
      <c r="G8" s="208"/>
      <c r="H8" s="209"/>
      <c r="I8" s="209"/>
      <c r="J8" s="21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99" t="s">
        <v>26</v>
      </c>
      <c r="G10" s="214"/>
      <c r="H10" s="215"/>
      <c r="I10" s="215"/>
      <c r="J10" s="216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57"/>
      <c r="I19" s="157"/>
      <c r="J19" s="1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6"/>
      <c r="G28" s="61"/>
      <c r="H28" s="172"/>
      <c r="I28" s="173"/>
      <c r="J28" s="17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/>
      <c r="I34" s="137"/>
      <c r="J34" s="13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/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/>
      <c r="I36" s="137"/>
      <c r="J36" s="13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/>
      <c r="I37" s="137"/>
      <c r="J37" s="13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/>
      <c r="I38" s="137"/>
      <c r="J38" s="13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/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P43" s="4"/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P44" s="4"/>
      <c r="Q44" s="4"/>
      <c r="R44" s="5"/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P50" s="4"/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1</v>
      </c>
      <c r="H4" s="193" t="s">
        <v>9</v>
      </c>
      <c r="I4" s="195">
        <v>46085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359</v>
      </c>
      <c r="D6" s="13">
        <f t="shared" ref="D6:D28" si="1">C6*L6</f>
        <v>273199</v>
      </c>
      <c r="F6" s="199" t="s">
        <v>16</v>
      </c>
      <c r="G6" s="201" t="s">
        <v>111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6</v>
      </c>
      <c r="D7" s="13">
        <f t="shared" si="1"/>
        <v>4686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144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117</v>
      </c>
      <c r="D9" s="13">
        <f t="shared" si="1"/>
        <v>85761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10</v>
      </c>
      <c r="D10" s="13">
        <f t="shared" si="1"/>
        <v>10320</v>
      </c>
      <c r="F10" s="199" t="s">
        <v>26</v>
      </c>
      <c r="G10" s="214" t="s">
        <v>139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</v>
      </c>
      <c r="D11" s="13">
        <f t="shared" si="1"/>
        <v>2340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3</v>
      </c>
      <c r="D12" s="48">
        <f t="shared" si="1"/>
        <v>2976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18</v>
      </c>
      <c r="D13" s="48">
        <f t="shared" si="1"/>
        <v>5526</v>
      </c>
      <c r="F13" s="220" t="s">
        <v>36</v>
      </c>
      <c r="G13" s="184"/>
      <c r="H13" s="175">
        <f>D29</f>
        <v>387395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14</v>
      </c>
      <c r="D14" s="31">
        <f t="shared" si="1"/>
        <v>154</v>
      </c>
      <c r="F14" s="178" t="s">
        <v>39</v>
      </c>
      <c r="G14" s="179"/>
      <c r="H14" s="180">
        <f>D54</f>
        <v>43563.75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343831.25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334*6</f>
        <v>2004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61">
        <v>100339</v>
      </c>
      <c r="I22" s="161"/>
      <c r="J22" s="16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31">
        <v>98532</v>
      </c>
      <c r="I26" s="131"/>
      <c r="J26" s="13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3</v>
      </c>
      <c r="D28" s="48">
        <f t="shared" si="1"/>
        <v>2433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387395</v>
      </c>
      <c r="F29" s="92" t="s">
        <v>55</v>
      </c>
      <c r="G29" s="154"/>
      <c r="H29" s="114">
        <f>H15-H16-H17-H18-H19-H20-H22-H23-H24+H26+H27+H28</f>
        <v>340020.25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36">
        <f t="shared" ref="H34:H39" si="2">F34*G34</f>
        <v>10000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36">
        <f t="shared" si="2"/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36">
        <f t="shared" si="2"/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36">
        <f t="shared" si="2"/>
        <v>100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36">
        <f t="shared" si="2"/>
        <v>100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7</v>
      </c>
      <c r="D42" s="12">
        <f>C42*2.25</f>
        <v>15.75</v>
      </c>
      <c r="F42" s="39" t="s">
        <v>79</v>
      </c>
      <c r="G42" s="136">
        <v>10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31">
        <v>230441.5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31">
        <v>98532</v>
      </c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>
        <v>2</v>
      </c>
      <c r="D46" s="12">
        <f>C46*1.5</f>
        <v>3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7</v>
      </c>
      <c r="D49" s="12">
        <f>C49*42</f>
        <v>294</v>
      </c>
      <c r="F49" s="112" t="s">
        <v>86</v>
      </c>
      <c r="G49" s="114">
        <f>H34+H35+H36+H37+H38+H39+H40+H41+G42+H44+H45+H46</f>
        <v>339183.5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17</v>
      </c>
      <c r="D50" s="12">
        <f>C50*1.5</f>
        <v>25.5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128</v>
      </c>
      <c r="G51" s="221">
        <f>G49-H29</f>
        <v>-836.75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2</v>
      </c>
      <c r="H4" s="193" t="s">
        <v>9</v>
      </c>
      <c r="I4" s="195">
        <v>46085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326</v>
      </c>
      <c r="D6" s="13">
        <f t="shared" ref="D6:D28" si="1">C6*L6</f>
        <v>248086</v>
      </c>
      <c r="F6" s="199" t="s">
        <v>16</v>
      </c>
      <c r="G6" s="201" t="s">
        <v>126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113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114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14</v>
      </c>
      <c r="D13" s="48">
        <f t="shared" si="1"/>
        <v>4298</v>
      </c>
      <c r="F13" s="220" t="s">
        <v>36</v>
      </c>
      <c r="G13" s="184"/>
      <c r="H13" s="175">
        <f>D29</f>
        <v>253739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5</v>
      </c>
      <c r="D14" s="31">
        <f t="shared" si="1"/>
        <v>55</v>
      </c>
      <c r="F14" s="178" t="s">
        <v>39</v>
      </c>
      <c r="G14" s="179"/>
      <c r="H14" s="180">
        <f>D54</f>
        <v>36819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216920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324*6</f>
        <v>1944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45">
        <v>50</v>
      </c>
      <c r="I19" s="145"/>
      <c r="J19" s="1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253739</v>
      </c>
      <c r="F29" s="92" t="s">
        <v>55</v>
      </c>
      <c r="G29" s="154"/>
      <c r="H29" s="114">
        <f>H15-H16-H17-H18-H19-H20-H22-H23-H24+H26+H27</f>
        <v>214926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36">
        <f>F34*G34</f>
        <v>214000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36">
        <f t="shared" ref="H35:H39" si="2">F35*G35</f>
        <v>500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36">
        <f t="shared" si="2"/>
        <v>300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36">
        <f t="shared" si="2"/>
        <v>50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>
        <v>32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62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88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10</v>
      </c>
      <c r="D49" s="12">
        <f>C49*42</f>
        <v>420</v>
      </c>
      <c r="F49" s="112" t="s">
        <v>86</v>
      </c>
      <c r="G49" s="114">
        <f>H34+H35+H36+H37+H38+H39+H40+H41+G42+H44+H45+H46</f>
        <v>214882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1</v>
      </c>
      <c r="D50" s="12">
        <f>C50*1.5</f>
        <v>1.5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162</v>
      </c>
      <c r="G51" s="221">
        <f>G49-H29</f>
        <v>-44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3</v>
      </c>
      <c r="H4" s="193" t="s">
        <v>9</v>
      </c>
      <c r="I4" s="195">
        <v>46085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270</v>
      </c>
      <c r="D6" s="13">
        <f t="shared" ref="D6:D28" si="1">C6*L6</f>
        <v>205470</v>
      </c>
      <c r="F6" s="199" t="s">
        <v>16</v>
      </c>
      <c r="G6" s="201" t="s">
        <v>141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130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29</v>
      </c>
      <c r="D9" s="13">
        <f t="shared" si="1"/>
        <v>21257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127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8</v>
      </c>
      <c r="D13" s="48">
        <f t="shared" si="1"/>
        <v>2456</v>
      </c>
      <c r="F13" s="220" t="s">
        <v>36</v>
      </c>
      <c r="G13" s="184"/>
      <c r="H13" s="175">
        <f>D29</f>
        <v>236285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7</v>
      </c>
      <c r="D14" s="31">
        <f t="shared" si="1"/>
        <v>77</v>
      </c>
      <c r="F14" s="178" t="s">
        <v>39</v>
      </c>
      <c r="G14" s="179"/>
      <c r="H14" s="180">
        <f>D54</f>
        <v>33749.25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202535.75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50*6+80*6+63*6</f>
        <v>1158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45">
        <v>50</v>
      </c>
      <c r="I19" s="145"/>
      <c r="J19" s="1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>
        <v>1</v>
      </c>
      <c r="D23" s="48">
        <f t="shared" si="1"/>
        <v>1175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236285</v>
      </c>
      <c r="F29" s="92" t="s">
        <v>55</v>
      </c>
      <c r="G29" s="154"/>
      <c r="H29" s="114">
        <f>H15-H16-H17-H18-H19-H20-H22-H23-H24+H26+H27</f>
        <v>201327.75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36">
        <f>F34*G34</f>
        <v>94000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36">
        <f>F35*G35</f>
        <v>54000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ref="H36:H39" si="2"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36">
        <f t="shared" si="2"/>
        <v>12400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36">
        <f t="shared" si="2"/>
        <v>100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36">
        <v>94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31">
        <v>40666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4</v>
      </c>
      <c r="D49" s="12">
        <f>C49*42</f>
        <v>168</v>
      </c>
      <c r="F49" s="112" t="s">
        <v>86</v>
      </c>
      <c r="G49" s="114">
        <f>H34+H35+H36+H37+H38+H39+H40+H41+G42+H44+H45+H46</f>
        <v>201260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6</v>
      </c>
      <c r="D50" s="12">
        <f>C50*1.5</f>
        <v>9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128</v>
      </c>
      <c r="G51" s="221">
        <f>G49-H29</f>
        <v>-67.75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9" t="s">
        <v>7</v>
      </c>
      <c r="B4" s="140"/>
      <c r="C4" s="140"/>
      <c r="D4" s="141"/>
      <c r="F4" s="189" t="s">
        <v>8</v>
      </c>
      <c r="G4" s="191"/>
      <c r="H4" s="193" t="s">
        <v>9</v>
      </c>
      <c r="I4" s="195"/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99" t="s">
        <v>16</v>
      </c>
      <c r="G6" s="201"/>
      <c r="H6" s="202"/>
      <c r="I6" s="202"/>
      <c r="J6" s="20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207" t="s">
        <v>21</v>
      </c>
      <c r="G8" s="208"/>
      <c r="H8" s="209"/>
      <c r="I8" s="209"/>
      <c r="J8" s="21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99" t="s">
        <v>26</v>
      </c>
      <c r="G10" s="214"/>
      <c r="H10" s="215"/>
      <c r="I10" s="215"/>
      <c r="J10" s="216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57"/>
      <c r="I19" s="157"/>
      <c r="J19" s="1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6"/>
      <c r="G28" s="61"/>
      <c r="H28" s="172"/>
      <c r="I28" s="173"/>
      <c r="J28" s="17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/>
      <c r="I34" s="137"/>
      <c r="J34" s="13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/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/>
      <c r="I36" s="137"/>
      <c r="J36" s="13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/>
      <c r="I37" s="137"/>
      <c r="J37" s="13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/>
      <c r="I38" s="137"/>
      <c r="J38" s="13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/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P43" s="4"/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P44" s="4"/>
      <c r="Q44" s="4"/>
      <c r="R44" s="5"/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P50" s="4"/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1</v>
      </c>
      <c r="H4" s="193" t="s">
        <v>9</v>
      </c>
      <c r="I4" s="195">
        <v>46086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377</v>
      </c>
      <c r="D6" s="13">
        <f t="shared" ref="D6:D28" si="1">C6*L6</f>
        <v>286897</v>
      </c>
      <c r="F6" s="199" t="s">
        <v>16</v>
      </c>
      <c r="G6" s="201" t="s">
        <v>111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144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10</v>
      </c>
      <c r="D9" s="13">
        <f t="shared" si="1"/>
        <v>7330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139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1</v>
      </c>
      <c r="D11" s="13">
        <f t="shared" si="1"/>
        <v>1170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220" t="s">
        <v>36</v>
      </c>
      <c r="G13" s="184"/>
      <c r="H13" s="175">
        <f>D29</f>
        <v>301631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55843.5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245787.5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325*6</f>
        <v>1950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90" t="s">
        <v>167</v>
      </c>
      <c r="C22" s="10">
        <v>2</v>
      </c>
      <c r="D22" s="48">
        <f t="shared" si="1"/>
        <v>3164</v>
      </c>
      <c r="F22" s="77"/>
      <c r="G22" s="73"/>
      <c r="H22" s="161"/>
      <c r="I22" s="161"/>
      <c r="J22" s="16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10"/>
      <c r="D26" s="48">
        <f t="shared" si="1"/>
        <v>0</v>
      </c>
      <c r="F26" s="75"/>
      <c r="G26" s="65"/>
      <c r="H26" s="131"/>
      <c r="I26" s="131"/>
      <c r="J26" s="13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301631</v>
      </c>
      <c r="F29" s="92" t="s">
        <v>55</v>
      </c>
      <c r="G29" s="154"/>
      <c r="H29" s="114">
        <f>H15-H16-H17-H18-H19-H20-H22-H23-H24+H26+H27+H28</f>
        <v>243837.5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36">
        <f t="shared" ref="H34:H39" si="2">F34*G34</f>
        <v>34000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36">
        <f t="shared" si="2"/>
        <v>209500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si="2"/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36">
        <f t="shared" si="2"/>
        <v>200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36">
        <f t="shared" si="2"/>
        <v>20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>
        <v>26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84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>
        <v>1</v>
      </c>
      <c r="D45" s="12">
        <f>C45*84</f>
        <v>84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>
        <v>6</v>
      </c>
      <c r="D46" s="12">
        <f>C46*1.5</f>
        <v>9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10</v>
      </c>
      <c r="D49" s="12">
        <f>C49*42</f>
        <v>420</v>
      </c>
      <c r="F49" s="112" t="s">
        <v>86</v>
      </c>
      <c r="G49" s="114">
        <f>H34+H35+H36+H37+H38+H39+H40+H41+G42+H44+H45+H46</f>
        <v>243746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18</v>
      </c>
      <c r="D50" s="12">
        <f>C50*1.5</f>
        <v>27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128</v>
      </c>
      <c r="G51" s="221">
        <f>G49-H29</f>
        <v>-91.5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2</v>
      </c>
      <c r="H4" s="193" t="s">
        <v>9</v>
      </c>
      <c r="I4" s="195">
        <v>46086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246</v>
      </c>
      <c r="D6" s="13">
        <f t="shared" ref="D6:D28" si="1">C6*L6</f>
        <v>187206</v>
      </c>
      <c r="F6" s="199" t="s">
        <v>16</v>
      </c>
      <c r="G6" s="201" t="s">
        <v>126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</v>
      </c>
      <c r="D7" s="13">
        <f t="shared" si="1"/>
        <v>781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113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24</v>
      </c>
      <c r="D9" s="13">
        <f t="shared" si="1"/>
        <v>17592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114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1984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7</v>
      </c>
      <c r="D13" s="48">
        <f t="shared" si="1"/>
        <v>2149</v>
      </c>
      <c r="F13" s="220" t="s">
        <v>36</v>
      </c>
      <c r="G13" s="184"/>
      <c r="H13" s="175">
        <f>D29</f>
        <v>264640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34920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229720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197*6</f>
        <v>1182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10">
        <v>4</v>
      </c>
      <c r="D23" s="48">
        <f t="shared" si="1"/>
        <v>6668</v>
      </c>
      <c r="F23" s="25"/>
      <c r="G23" s="37"/>
      <c r="H23" s="162"/>
      <c r="I23" s="131"/>
      <c r="J23" s="13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168</v>
      </c>
      <c r="C27" s="10">
        <v>1</v>
      </c>
      <c r="D27" s="44">
        <f t="shared" si="1"/>
        <v>1582</v>
      </c>
      <c r="F27" s="14"/>
      <c r="G27" s="14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264640</v>
      </c>
      <c r="F29" s="92" t="s">
        <v>55</v>
      </c>
      <c r="G29" s="154"/>
      <c r="H29" s="114">
        <f>H15-H16-H17-H18-H19-H20-H22-H23-H24+H26+H27</f>
        <v>228538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36">
        <f>F34*G34</f>
        <v>44000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36">
        <f t="shared" ref="H35:H39" si="2">F35*G35</f>
        <v>500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36">
        <f t="shared" si="2"/>
        <v>400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36">
        <f t="shared" si="2"/>
        <v>150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36">
        <f t="shared" si="2"/>
        <v>40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2</v>
      </c>
      <c r="D42" s="12">
        <f>C42*2.25</f>
        <v>4.5</v>
      </c>
      <c r="F42" s="39" t="s">
        <v>79</v>
      </c>
      <c r="G42" s="136">
        <v>69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31">
        <v>179826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88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10</v>
      </c>
      <c r="D49" s="12">
        <f>C49*42</f>
        <v>420</v>
      </c>
      <c r="F49" s="112" t="s">
        <v>86</v>
      </c>
      <c r="G49" s="114">
        <f>H34+H35+H36+H37+H38+H39+H40+H41+G42+H44+H45+H46</f>
        <v>224985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162</v>
      </c>
      <c r="G51" s="221">
        <f>G49-H29</f>
        <v>-3553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3</v>
      </c>
      <c r="H4" s="193" t="s">
        <v>9</v>
      </c>
      <c r="I4" s="195">
        <v>46086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141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130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127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>
        <f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>F35*G35</f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ref="H36:H39" si="2"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138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9" t="s">
        <v>7</v>
      </c>
      <c r="B4" s="140"/>
      <c r="C4" s="140"/>
      <c r="D4" s="141"/>
      <c r="F4" s="189" t="s">
        <v>8</v>
      </c>
      <c r="G4" s="191"/>
      <c r="H4" s="193" t="s">
        <v>9</v>
      </c>
      <c r="I4" s="195"/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99" t="s">
        <v>16</v>
      </c>
      <c r="G6" s="201"/>
      <c r="H6" s="202"/>
      <c r="I6" s="202"/>
      <c r="J6" s="20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207" t="s">
        <v>21</v>
      </c>
      <c r="G8" s="208"/>
      <c r="H8" s="209"/>
      <c r="I8" s="209"/>
      <c r="J8" s="21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99" t="s">
        <v>26</v>
      </c>
      <c r="G10" s="214"/>
      <c r="H10" s="215"/>
      <c r="I10" s="215"/>
      <c r="J10" s="216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57"/>
      <c r="I19" s="157"/>
      <c r="J19" s="1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6"/>
      <c r="G28" s="61"/>
      <c r="H28" s="172"/>
      <c r="I28" s="173"/>
      <c r="J28" s="17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/>
      <c r="I34" s="137"/>
      <c r="J34" s="13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/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/>
      <c r="I36" s="137"/>
      <c r="J36" s="13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/>
      <c r="I37" s="137"/>
      <c r="J37" s="13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/>
      <c r="I38" s="137"/>
      <c r="J38" s="13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/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P43" s="4"/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P44" s="4"/>
      <c r="Q44" s="4"/>
      <c r="R44" s="5"/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P50" s="4"/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1</v>
      </c>
      <c r="H4" s="193" t="s">
        <v>9</v>
      </c>
      <c r="I4" s="195">
        <v>46087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111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144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139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10"/>
      <c r="D26" s="48">
        <f t="shared" si="1"/>
        <v>0</v>
      </c>
      <c r="F26" s="75"/>
      <c r="G26" s="65"/>
      <c r="H26" s="131"/>
      <c r="I26" s="131"/>
      <c r="J26" s="13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H15-H16-H17-H18-H19-H20-H22-H23-H24+H26+H27+H28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6">
        <f t="shared" ref="H34:H39" si="2"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 t="shared" si="2"/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si="2"/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84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138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2</v>
      </c>
      <c r="H4" s="193" t="s">
        <v>9</v>
      </c>
      <c r="I4" s="195">
        <v>46087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126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113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114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>
        <f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 t="shared" ref="H35:H39" si="2">F35*G35</f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62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88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3</v>
      </c>
      <c r="H4" s="193" t="s">
        <v>9</v>
      </c>
      <c r="I4" s="195">
        <v>46087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355</v>
      </c>
      <c r="D6" s="13">
        <f t="shared" ref="D6:D28" si="1">C6*L6</f>
        <v>270155</v>
      </c>
      <c r="F6" s="199" t="s">
        <v>16</v>
      </c>
      <c r="G6" s="201" t="s">
        <v>141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10</v>
      </c>
      <c r="D7" s="13">
        <f t="shared" si="1"/>
        <v>7810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130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111</v>
      </c>
      <c r="D9" s="13">
        <f t="shared" si="1"/>
        <v>81363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127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13</v>
      </c>
      <c r="D13" s="48">
        <f t="shared" si="1"/>
        <v>3991</v>
      </c>
      <c r="F13" s="220" t="s">
        <v>36</v>
      </c>
      <c r="G13" s="184"/>
      <c r="H13" s="175">
        <f>D29</f>
        <v>363462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13</v>
      </c>
      <c r="D14" s="31">
        <f t="shared" si="1"/>
        <v>143</v>
      </c>
      <c r="F14" s="178" t="s">
        <v>39</v>
      </c>
      <c r="G14" s="179"/>
      <c r="H14" s="180">
        <f>D54</f>
        <v>54750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308712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v>2472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>
        <v>50</v>
      </c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363462</v>
      </c>
      <c r="F29" s="92" t="s">
        <v>55</v>
      </c>
      <c r="G29" s="154"/>
      <c r="H29" s="114">
        <f>H15-H16-H17-H18-H19-H20-H22-H23-H24+H26+H27</f>
        <v>306190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36">
        <f>F34*G34</f>
        <v>63000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36">
        <f>F35*G35</f>
        <v>15500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ref="H36:H39" si="2"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36">
        <f t="shared" si="2"/>
        <v>50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36">
        <f t="shared" si="2"/>
        <v>300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2</v>
      </c>
      <c r="D42" s="12">
        <f>C42*2.25</f>
        <v>4.5</v>
      </c>
      <c r="F42" s="39" t="s">
        <v>79</v>
      </c>
      <c r="G42" s="136">
        <v>3162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31">
        <v>225117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4</v>
      </c>
      <c r="D49" s="12">
        <f>C49*42</f>
        <v>168</v>
      </c>
      <c r="F49" s="112" t="s">
        <v>86</v>
      </c>
      <c r="G49" s="114">
        <f>H34+H35+H36+H37+H38+H39+H40+H41+G42+H44+H45+H46</f>
        <v>307129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9</v>
      </c>
      <c r="D50" s="12">
        <f>C50*1.5</f>
        <v>13.5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138</v>
      </c>
      <c r="G51" s="122">
        <f>G49-H29</f>
        <v>939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9" t="s">
        <v>7</v>
      </c>
      <c r="B4" s="140"/>
      <c r="C4" s="140"/>
      <c r="D4" s="141"/>
      <c r="F4" s="189" t="s">
        <v>8</v>
      </c>
      <c r="G4" s="191"/>
      <c r="H4" s="193" t="s">
        <v>9</v>
      </c>
      <c r="I4" s="195"/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99" t="s">
        <v>16</v>
      </c>
      <c r="G6" s="201"/>
      <c r="H6" s="202"/>
      <c r="I6" s="202"/>
      <c r="J6" s="20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207" t="s">
        <v>21</v>
      </c>
      <c r="G8" s="208"/>
      <c r="H8" s="209"/>
      <c r="I8" s="209"/>
      <c r="J8" s="21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99" t="s">
        <v>26</v>
      </c>
      <c r="G10" s="214"/>
      <c r="H10" s="215"/>
      <c r="I10" s="215"/>
      <c r="J10" s="216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57"/>
      <c r="I19" s="157"/>
      <c r="J19" s="1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6"/>
      <c r="G28" s="61"/>
      <c r="H28" s="172"/>
      <c r="I28" s="173"/>
      <c r="J28" s="17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/>
      <c r="I34" s="137"/>
      <c r="J34" s="13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/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/>
      <c r="I36" s="137"/>
      <c r="J36" s="13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/>
      <c r="I37" s="137"/>
      <c r="J37" s="13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/>
      <c r="I38" s="137"/>
      <c r="J38" s="13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/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P43" s="4"/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P44" s="4"/>
      <c r="Q44" s="4"/>
      <c r="R44" s="5"/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P50" s="4"/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1</v>
      </c>
      <c r="H4" s="193" t="s">
        <v>9</v>
      </c>
      <c r="I4" s="195">
        <v>46088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319</v>
      </c>
      <c r="D6" s="13">
        <f t="shared" ref="D6:D28" si="1">C6*L6</f>
        <v>242759</v>
      </c>
      <c r="F6" s="199" t="s">
        <v>16</v>
      </c>
      <c r="G6" s="201" t="s">
        <v>111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50</v>
      </c>
      <c r="D8" s="13">
        <f t="shared" si="1"/>
        <v>54650</v>
      </c>
      <c r="F8" s="207" t="s">
        <v>21</v>
      </c>
      <c r="G8" s="208" t="s">
        <v>144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17</v>
      </c>
      <c r="D9" s="13">
        <f t="shared" si="1"/>
        <v>12461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139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</v>
      </c>
      <c r="D11" s="13">
        <f t="shared" si="1"/>
        <v>2340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992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</v>
      </c>
      <c r="D13" s="48">
        <f t="shared" si="1"/>
        <v>307</v>
      </c>
      <c r="F13" s="220" t="s">
        <v>36</v>
      </c>
      <c r="G13" s="184"/>
      <c r="H13" s="175">
        <f>D29</f>
        <v>319434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42474.75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276959.25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61">
        <v>51622</v>
      </c>
      <c r="I22" s="161"/>
      <c r="J22" s="16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10"/>
      <c r="D26" s="48">
        <f t="shared" si="1"/>
        <v>0</v>
      </c>
      <c r="F26" s="75"/>
      <c r="G26" s="65"/>
      <c r="H26" s="131"/>
      <c r="I26" s="131"/>
      <c r="J26" s="13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1</v>
      </c>
      <c r="D28" s="48">
        <f t="shared" si="1"/>
        <v>811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319434</v>
      </c>
      <c r="F29" s="92" t="s">
        <v>55</v>
      </c>
      <c r="G29" s="154"/>
      <c r="H29" s="114">
        <f>H15-H16-H17-H18-H19-H20-H22-H23-H24+H26+H27+H28</f>
        <v>225337.25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136">
        <f t="shared" ref="H34:H39" si="2">F34*G34</f>
        <v>82000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 t="shared" si="2"/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36">
        <f t="shared" si="2"/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136">
        <f t="shared" si="2"/>
        <v>200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36">
        <f t="shared" si="2"/>
        <v>50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9</v>
      </c>
      <c r="D42" s="12">
        <f>C42*2.25</f>
        <v>20.25</v>
      </c>
      <c r="F42" s="39" t="s">
        <v>79</v>
      </c>
      <c r="G42" s="136">
        <v>106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31">
        <v>141334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>
        <v>3</v>
      </c>
      <c r="D46" s="12">
        <f>C46*1.5</f>
        <v>4.5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223690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8</v>
      </c>
      <c r="D50" s="12">
        <f>C50*1.5</f>
        <v>12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128</v>
      </c>
      <c r="G51" s="221">
        <f>G49-H29</f>
        <v>-1647.25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2</v>
      </c>
      <c r="H4" s="193" t="s">
        <v>9</v>
      </c>
      <c r="I4" s="195">
        <v>46088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385</v>
      </c>
      <c r="D6" s="13">
        <f t="shared" ref="D6:D28" si="1">C6*L6</f>
        <v>292985</v>
      </c>
      <c r="F6" s="199" t="s">
        <v>16</v>
      </c>
      <c r="G6" s="201" t="s">
        <v>126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4</v>
      </c>
      <c r="D7" s="13">
        <f t="shared" si="1"/>
        <v>3124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113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68</v>
      </c>
      <c r="D9" s="13">
        <f t="shared" si="1"/>
        <v>49844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114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1984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220" t="s">
        <v>36</v>
      </c>
      <c r="G13" s="184"/>
      <c r="H13" s="175">
        <f>D29</f>
        <v>351657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33426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318231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v>1200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351657</v>
      </c>
      <c r="F29" s="92" t="s">
        <v>55</v>
      </c>
      <c r="G29" s="154"/>
      <c r="H29" s="114">
        <f>H15-H16-H17-H18-H19-H20-H22-H23-H24+H26+H27</f>
        <v>317031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136">
        <f>F34*G34</f>
        <v>131000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36">
        <f t="shared" ref="H35:H39" si="2">F35*G35</f>
        <v>40000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136">
        <f t="shared" si="2"/>
        <v>400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36">
        <f t="shared" si="2"/>
        <v>50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36">
        <f t="shared" si="2"/>
        <v>20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12</v>
      </c>
      <c r="D42" s="12">
        <f>C42*2.25</f>
        <v>27</v>
      </c>
      <c r="F42" s="39" t="s">
        <v>79</v>
      </c>
      <c r="G42" s="136">
        <v>18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31">
        <v>145531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>
        <v>2</v>
      </c>
      <c r="D45" s="12">
        <f>C45*84</f>
        <v>168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88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1</v>
      </c>
      <c r="D49" s="12">
        <f>C49*42</f>
        <v>42</v>
      </c>
      <c r="F49" s="112" t="s">
        <v>86</v>
      </c>
      <c r="G49" s="114">
        <f>H34+H35+H36+H37+H38+H39+H40+H41+G42+H44+H45+H46</f>
        <v>317019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73</v>
      </c>
      <c r="D50" s="12">
        <f>C50*1.5</f>
        <v>109.5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162</v>
      </c>
      <c r="G51" s="221">
        <f>G49-H29</f>
        <v>-12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3</v>
      </c>
      <c r="H4" s="193" t="s">
        <v>9</v>
      </c>
      <c r="I4" s="195">
        <v>46088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432</v>
      </c>
      <c r="D6" s="13">
        <f t="shared" ref="D6:D28" si="1">C6*L6</f>
        <v>328752</v>
      </c>
      <c r="F6" s="199" t="s">
        <v>16</v>
      </c>
      <c r="G6" s="201" t="s">
        <v>141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12</v>
      </c>
      <c r="D7" s="13">
        <f t="shared" si="1"/>
        <v>9372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130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59</v>
      </c>
      <c r="D9" s="13">
        <f t="shared" si="1"/>
        <v>43247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127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1984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19</v>
      </c>
      <c r="D13" s="48">
        <f t="shared" si="1"/>
        <v>5833</v>
      </c>
      <c r="F13" s="220" t="s">
        <v>36</v>
      </c>
      <c r="G13" s="184"/>
      <c r="H13" s="175">
        <f>D29</f>
        <v>412474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58906.5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353567.5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2736</f>
        <v>2736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412474</v>
      </c>
      <c r="F29" s="92" t="s">
        <v>55</v>
      </c>
      <c r="G29" s="154"/>
      <c r="H29" s="114">
        <f>H15-H16-H17-H18-H19-H20-H22-H23-H24+H26+H27</f>
        <v>350831.5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36">
        <f>F34*G34</f>
        <v>100000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36">
        <f>F35*G35</f>
        <v>15500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ref="H36:H39" si="2"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136">
        <f t="shared" si="2"/>
        <v>4100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2</v>
      </c>
      <c r="D42" s="12">
        <f>C42*2.25</f>
        <v>4.5</v>
      </c>
      <c r="F42" s="39" t="s">
        <v>79</v>
      </c>
      <c r="G42" s="136">
        <v>24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31">
        <v>70468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31">
        <v>162086</v>
      </c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>
        <v>2</v>
      </c>
      <c r="D46" s="12">
        <f>C46*1.5</f>
        <v>3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18</v>
      </c>
      <c r="D49" s="12">
        <f>C49*42</f>
        <v>756</v>
      </c>
      <c r="F49" s="112" t="s">
        <v>86</v>
      </c>
      <c r="G49" s="114">
        <f>H34+H35+H36+H37+H38+H39+H40+H41+G42+H44+H45+H46</f>
        <v>352178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19</v>
      </c>
      <c r="D50" s="12">
        <f>C50*1.5</f>
        <v>28.5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138</v>
      </c>
      <c r="G51" s="122">
        <f>G49-H29</f>
        <v>1346.5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9" t="s">
        <v>7</v>
      </c>
      <c r="B4" s="140"/>
      <c r="C4" s="140"/>
      <c r="D4" s="141"/>
      <c r="F4" s="189" t="s">
        <v>8</v>
      </c>
      <c r="G4" s="191"/>
      <c r="H4" s="193" t="s">
        <v>9</v>
      </c>
      <c r="I4" s="195"/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99" t="s">
        <v>16</v>
      </c>
      <c r="G6" s="201"/>
      <c r="H6" s="202"/>
      <c r="I6" s="202"/>
      <c r="J6" s="20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207" t="s">
        <v>21</v>
      </c>
      <c r="G8" s="208"/>
      <c r="H8" s="209"/>
      <c r="I8" s="209"/>
      <c r="J8" s="21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99" t="s">
        <v>26</v>
      </c>
      <c r="G10" s="214"/>
      <c r="H10" s="215"/>
      <c r="I10" s="215"/>
      <c r="J10" s="216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57"/>
      <c r="I19" s="157"/>
      <c r="J19" s="1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6"/>
      <c r="G28" s="61"/>
      <c r="H28" s="172"/>
      <c r="I28" s="173"/>
      <c r="J28" s="17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/>
      <c r="I34" s="137"/>
      <c r="J34" s="13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/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/>
      <c r="I36" s="137"/>
      <c r="J36" s="13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/>
      <c r="I37" s="137"/>
      <c r="J37" s="13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/>
      <c r="I38" s="137"/>
      <c r="J38" s="13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/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P43" s="4"/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P44" s="4"/>
      <c r="Q44" s="4"/>
      <c r="R44" s="5"/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P50" s="4"/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1</v>
      </c>
      <c r="H4" s="193" t="s">
        <v>9</v>
      </c>
      <c r="I4" s="195">
        <v>46090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558</v>
      </c>
      <c r="D6" s="13">
        <f t="shared" ref="D6:D28" si="1">C6*L6</f>
        <v>424638</v>
      </c>
      <c r="F6" s="199" t="s">
        <v>16</v>
      </c>
      <c r="G6" s="201" t="s">
        <v>111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55</v>
      </c>
      <c r="D7" s="13">
        <f t="shared" si="1"/>
        <v>42955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144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67</v>
      </c>
      <c r="D9" s="13">
        <f t="shared" si="1"/>
        <v>49111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1032</v>
      </c>
      <c r="F10" s="199" t="s">
        <v>26</v>
      </c>
      <c r="G10" s="214" t="s">
        <v>139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992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20</v>
      </c>
      <c r="D13" s="48">
        <f t="shared" si="1"/>
        <v>6140</v>
      </c>
      <c r="F13" s="220" t="s">
        <v>36</v>
      </c>
      <c r="G13" s="184"/>
      <c r="H13" s="175">
        <f>D29</f>
        <v>529181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5</v>
      </c>
      <c r="D14" s="31">
        <f t="shared" si="1"/>
        <v>55</v>
      </c>
      <c r="F14" s="178" t="s">
        <v>39</v>
      </c>
      <c r="G14" s="179"/>
      <c r="H14" s="180">
        <f>D54</f>
        <v>67908.75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>
        <v>1</v>
      </c>
      <c r="D15" s="31">
        <f t="shared" si="1"/>
        <v>620</v>
      </c>
      <c r="F15" s="183" t="s">
        <v>40</v>
      </c>
      <c r="G15" s="184"/>
      <c r="H15" s="185">
        <f>H13-H14</f>
        <v>461272.25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534*6</f>
        <v>3204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179</v>
      </c>
      <c r="C24" s="10">
        <v>12</v>
      </c>
      <c r="D24" s="48">
        <f t="shared" si="1"/>
        <v>474</v>
      </c>
      <c r="F24" s="77"/>
      <c r="G24" s="79"/>
      <c r="H24" s="227"/>
      <c r="I24" s="228"/>
      <c r="J24" s="228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31">
        <v>51622</v>
      </c>
      <c r="I26" s="131"/>
      <c r="J26" s="13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529181</v>
      </c>
      <c r="F29" s="92" t="s">
        <v>55</v>
      </c>
      <c r="G29" s="154"/>
      <c r="H29" s="114">
        <f>H15-H16-H17-H18-H19-H20-H22-H23-H24+H26+H27+H28</f>
        <v>509690.25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136">
        <f t="shared" ref="H34:H39" si="2">F34*G34</f>
        <v>129000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36">
        <f t="shared" si="2"/>
        <v>19500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36">
        <f t="shared" si="2"/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136">
        <f t="shared" si="2"/>
        <v>500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136">
        <f t="shared" si="2"/>
        <v>50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7</v>
      </c>
      <c r="D42" s="12">
        <f>C42*2.25</f>
        <v>15.75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31">
        <v>359981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>
        <v>1</v>
      </c>
      <c r="D45" s="12">
        <f>C45*84</f>
        <v>84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509031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19</v>
      </c>
      <c r="D50" s="12">
        <f>C50*1.5</f>
        <v>28.5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128</v>
      </c>
      <c r="G51" s="221">
        <f>G49-H29</f>
        <v>-659.25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2</v>
      </c>
      <c r="H4" s="193" t="s">
        <v>9</v>
      </c>
      <c r="I4" s="195">
        <v>46090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538</v>
      </c>
      <c r="D6" s="13">
        <f t="shared" ref="D6:D28" si="1">C6*L6</f>
        <v>409418</v>
      </c>
      <c r="F6" s="199" t="s">
        <v>16</v>
      </c>
      <c r="G6" s="201" t="s">
        <v>126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</v>
      </c>
      <c r="D7" s="13">
        <f t="shared" si="1"/>
        <v>781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113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118</v>
      </c>
      <c r="D9" s="13">
        <f t="shared" si="1"/>
        <v>86494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114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20</v>
      </c>
      <c r="D13" s="48">
        <f t="shared" si="1"/>
        <v>6140</v>
      </c>
      <c r="F13" s="220" t="s">
        <v>36</v>
      </c>
      <c r="G13" s="184"/>
      <c r="H13" s="175">
        <f>D29</f>
        <v>502921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8</v>
      </c>
      <c r="D14" s="31">
        <f t="shared" si="1"/>
        <v>88</v>
      </c>
      <c r="F14" s="178" t="s">
        <v>39</v>
      </c>
      <c r="G14" s="179"/>
      <c r="H14" s="180">
        <f>D54</f>
        <v>75838.5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427082.5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900+1824+648</f>
        <v>3372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502921</v>
      </c>
      <c r="F29" s="92" t="s">
        <v>55</v>
      </c>
      <c r="G29" s="154"/>
      <c r="H29" s="114">
        <f>H15-H16-H17-H18-H19-H20-H22-H23-H24+H26+H27</f>
        <v>423710.5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136">
        <f>F34*G34</f>
        <v>340000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36">
        <f t="shared" ref="H35:H39" si="2">F35*G35</f>
        <v>12500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136">
        <f t="shared" si="2"/>
        <v>400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36">
        <f t="shared" si="2"/>
        <v>40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>
        <v>100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 t="s">
        <v>172</v>
      </c>
      <c r="G44" s="91" t="s">
        <v>182</v>
      </c>
      <c r="H44" s="131">
        <v>70473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88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14</v>
      </c>
      <c r="D49" s="12">
        <f>C49*42</f>
        <v>588</v>
      </c>
      <c r="F49" s="112" t="s">
        <v>86</v>
      </c>
      <c r="G49" s="114">
        <f>H34+H35+H36+H37+H38+H39+H40+H41+G42+H44+H45+H46</f>
        <v>423513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21</v>
      </c>
      <c r="D50" s="12">
        <f>C50*1.5</f>
        <v>31.5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162</v>
      </c>
      <c r="G51" s="221">
        <f>G49-H29</f>
        <v>-197.5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3</v>
      </c>
      <c r="H4" s="193" t="s">
        <v>9</v>
      </c>
      <c r="I4" s="195">
        <v>46090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369</v>
      </c>
      <c r="D6" s="13">
        <f t="shared" ref="D6:D28" si="1">C6*L6</f>
        <v>280809</v>
      </c>
      <c r="F6" s="199" t="s">
        <v>16</v>
      </c>
      <c r="G6" s="201" t="s">
        <v>141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11</v>
      </c>
      <c r="D7" s="13">
        <f t="shared" si="1"/>
        <v>8591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1</v>
      </c>
      <c r="D8" s="13">
        <f t="shared" si="1"/>
        <v>1093</v>
      </c>
      <c r="F8" s="207" t="s">
        <v>21</v>
      </c>
      <c r="G8" s="208" t="s">
        <v>130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63</v>
      </c>
      <c r="D9" s="13">
        <f t="shared" si="1"/>
        <v>46179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127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1984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15</v>
      </c>
      <c r="D13" s="48">
        <f t="shared" si="1"/>
        <v>4605</v>
      </c>
      <c r="F13" s="220" t="s">
        <v>36</v>
      </c>
      <c r="G13" s="184"/>
      <c r="H13" s="175">
        <f>D29</f>
        <v>344843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25784.25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319058.75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300</f>
        <v>300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>
        <v>1</v>
      </c>
      <c r="D27" s="44">
        <f t="shared" si="1"/>
        <v>1582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344843</v>
      </c>
      <c r="F29" s="92" t="s">
        <v>55</v>
      </c>
      <c r="G29" s="154"/>
      <c r="H29" s="114">
        <f>H15-H16-H17-H18-H19-H20-H22-H23-H24+H26+H27</f>
        <v>318758.75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136">
        <f>F34*G34</f>
        <v>114000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136">
        <f>F35*G35</f>
        <v>33000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ref="H36:H39" si="2"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136">
        <f t="shared" si="2"/>
        <v>1700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136">
        <f t="shared" si="2"/>
        <v>1550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7</v>
      </c>
      <c r="D42" s="12">
        <f>C42*2.25</f>
        <v>15.75</v>
      </c>
      <c r="F42" s="39" t="s">
        <v>79</v>
      </c>
      <c r="G42" s="136">
        <v>43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31">
        <v>168245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1</v>
      </c>
      <c r="D49" s="12">
        <f>C49*42</f>
        <v>42</v>
      </c>
      <c r="F49" s="112" t="s">
        <v>86</v>
      </c>
      <c r="G49" s="114">
        <f>H34+H35+H36+H37+H38+H39+H40+H41+G42+H44+H45+H46</f>
        <v>318538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9</v>
      </c>
      <c r="D50" s="12">
        <f>C50*1.5</f>
        <v>13.5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128</v>
      </c>
      <c r="G51" s="221">
        <f>G49-H29</f>
        <v>-220.75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9" t="s">
        <v>7</v>
      </c>
      <c r="B4" s="140"/>
      <c r="C4" s="140"/>
      <c r="D4" s="141"/>
      <c r="F4" s="189" t="s">
        <v>8</v>
      </c>
      <c r="G4" s="191"/>
      <c r="H4" s="193" t="s">
        <v>9</v>
      </c>
      <c r="I4" s="195"/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99" t="s">
        <v>16</v>
      </c>
      <c r="G6" s="201"/>
      <c r="H6" s="202"/>
      <c r="I6" s="202"/>
      <c r="J6" s="20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207" t="s">
        <v>21</v>
      </c>
      <c r="G8" s="208"/>
      <c r="H8" s="209"/>
      <c r="I8" s="209"/>
      <c r="J8" s="21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99" t="s">
        <v>26</v>
      </c>
      <c r="G10" s="214"/>
      <c r="H10" s="215"/>
      <c r="I10" s="215"/>
      <c r="J10" s="216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57"/>
      <c r="I19" s="157"/>
      <c r="J19" s="1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6"/>
      <c r="G28" s="61"/>
      <c r="H28" s="172"/>
      <c r="I28" s="173"/>
      <c r="J28" s="17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/>
      <c r="I34" s="137"/>
      <c r="J34" s="13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/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/>
      <c r="I36" s="137"/>
      <c r="J36" s="13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/>
      <c r="I37" s="137"/>
      <c r="J37" s="13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/>
      <c r="I38" s="137"/>
      <c r="J38" s="13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/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P43" s="4"/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P44" s="4"/>
      <c r="Q44" s="4"/>
      <c r="R44" s="5"/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P50" s="4"/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1</v>
      </c>
      <c r="H4" s="193" t="s">
        <v>9</v>
      </c>
      <c r="I4" s="195">
        <v>46091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111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144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139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10"/>
      <c r="D26" s="48">
        <f t="shared" si="1"/>
        <v>0</v>
      </c>
      <c r="F26" s="75"/>
      <c r="G26" s="65"/>
      <c r="H26" s="131"/>
      <c r="I26" s="131"/>
      <c r="J26" s="13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H15-H16-H17-H18-H19-H20-H22-H23-H24+H26+H27+H28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6">
        <f t="shared" ref="H34:H39" si="2"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 t="shared" si="2"/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si="2"/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84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2</v>
      </c>
      <c r="H4" s="193" t="s">
        <v>9</v>
      </c>
      <c r="I4" s="195">
        <v>46091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126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113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114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>
        <f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 t="shared" ref="H35:H39" si="2">F35*G35</f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62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88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3</v>
      </c>
      <c r="H4" s="193" t="s">
        <v>9</v>
      </c>
      <c r="I4" s="195">
        <v>46091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141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130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127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>
        <f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>F35*G35</f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ref="H36:H39" si="2"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138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9" t="s">
        <v>7</v>
      </c>
      <c r="B4" s="140"/>
      <c r="C4" s="140"/>
      <c r="D4" s="141"/>
      <c r="F4" s="189" t="s">
        <v>8</v>
      </c>
      <c r="G4" s="191"/>
      <c r="H4" s="193" t="s">
        <v>9</v>
      </c>
      <c r="I4" s="195"/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99" t="s">
        <v>16</v>
      </c>
      <c r="G6" s="201"/>
      <c r="H6" s="202"/>
      <c r="I6" s="202"/>
      <c r="J6" s="20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207" t="s">
        <v>21</v>
      </c>
      <c r="G8" s="208"/>
      <c r="H8" s="209"/>
      <c r="I8" s="209"/>
      <c r="J8" s="21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99" t="s">
        <v>26</v>
      </c>
      <c r="G10" s="214"/>
      <c r="H10" s="215"/>
      <c r="I10" s="215"/>
      <c r="J10" s="216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57"/>
      <c r="I19" s="157"/>
      <c r="J19" s="1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6"/>
      <c r="G28" s="61"/>
      <c r="H28" s="172"/>
      <c r="I28" s="173"/>
      <c r="J28" s="17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/>
      <c r="I34" s="137"/>
      <c r="J34" s="13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/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/>
      <c r="I36" s="137"/>
      <c r="J36" s="13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/>
      <c r="I37" s="137"/>
      <c r="J37" s="13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/>
      <c r="I38" s="137"/>
      <c r="J38" s="13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/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P43" s="4"/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P44" s="4"/>
      <c r="Q44" s="4"/>
      <c r="R44" s="5"/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P50" s="4"/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1</v>
      </c>
      <c r="H4" s="193" t="s">
        <v>9</v>
      </c>
      <c r="I4" s="195">
        <v>46092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111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144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139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10"/>
      <c r="D26" s="48">
        <f t="shared" si="1"/>
        <v>0</v>
      </c>
      <c r="F26" s="75"/>
      <c r="G26" s="65"/>
      <c r="H26" s="131"/>
      <c r="I26" s="131"/>
      <c r="J26" s="13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H15-H16-H17-H18-H19-H20-H22-H23-H24+H26+H27+H28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6">
        <f t="shared" ref="H34:H39" si="2"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 t="shared" si="2"/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si="2"/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84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2</v>
      </c>
      <c r="H4" s="193" t="s">
        <v>9</v>
      </c>
      <c r="I4" s="195">
        <v>46092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126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113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114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>
        <f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 t="shared" ref="H35:H39" si="2">F35*G35</f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62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88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3</v>
      </c>
      <c r="H4" s="193" t="s">
        <v>9</v>
      </c>
      <c r="I4" s="195">
        <v>46092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141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130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127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>
        <f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>F35*G35</f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ref="H36:H39" si="2"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138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9" t="s">
        <v>7</v>
      </c>
      <c r="B4" s="140"/>
      <c r="C4" s="140"/>
      <c r="D4" s="141"/>
      <c r="F4" s="189" t="s">
        <v>8</v>
      </c>
      <c r="G4" s="191"/>
      <c r="H4" s="193" t="s">
        <v>9</v>
      </c>
      <c r="I4" s="195"/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99" t="s">
        <v>16</v>
      </c>
      <c r="G6" s="201"/>
      <c r="H6" s="202"/>
      <c r="I6" s="202"/>
      <c r="J6" s="20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207" t="s">
        <v>21</v>
      </c>
      <c r="G8" s="208"/>
      <c r="H8" s="209"/>
      <c r="I8" s="209"/>
      <c r="J8" s="21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99" t="s">
        <v>26</v>
      </c>
      <c r="G10" s="214"/>
      <c r="H10" s="215"/>
      <c r="I10" s="215"/>
      <c r="J10" s="216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57"/>
      <c r="I19" s="157"/>
      <c r="J19" s="1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6"/>
      <c r="G28" s="61"/>
      <c r="H28" s="172"/>
      <c r="I28" s="173"/>
      <c r="J28" s="17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/>
      <c r="I34" s="137"/>
      <c r="J34" s="13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/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/>
      <c r="I36" s="137"/>
      <c r="J36" s="13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/>
      <c r="I37" s="137"/>
      <c r="J37" s="13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/>
      <c r="I38" s="137"/>
      <c r="J38" s="13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/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P43" s="4"/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P44" s="4"/>
      <c r="Q44" s="4"/>
      <c r="R44" s="5"/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P50" s="4"/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1</v>
      </c>
      <c r="H4" s="193" t="s">
        <v>9</v>
      </c>
      <c r="I4" s="195">
        <v>46093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111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144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139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10"/>
      <c r="D26" s="48">
        <f t="shared" si="1"/>
        <v>0</v>
      </c>
      <c r="F26" s="75"/>
      <c r="G26" s="65"/>
      <c r="H26" s="131"/>
      <c r="I26" s="131"/>
      <c r="J26" s="13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H15-H16-H17-H18-H19-H20-H22-H23-H24+H26+H27+H28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6">
        <f t="shared" ref="H34:H39" si="2"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 t="shared" si="2"/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si="2"/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84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2</v>
      </c>
      <c r="H4" s="193" t="s">
        <v>9</v>
      </c>
      <c r="I4" s="195">
        <v>46093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126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113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114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>
        <f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 t="shared" ref="H35:H39" si="2">F35*G35</f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62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88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3</v>
      </c>
      <c r="H4" s="193" t="s">
        <v>9</v>
      </c>
      <c r="I4" s="195">
        <v>46093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141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130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127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>
        <f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>F35*G35</f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ref="H36:H39" si="2"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138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9" t="s">
        <v>7</v>
      </c>
      <c r="B4" s="140"/>
      <c r="C4" s="140"/>
      <c r="D4" s="141"/>
      <c r="F4" s="189" t="s">
        <v>8</v>
      </c>
      <c r="G4" s="191"/>
      <c r="H4" s="193" t="s">
        <v>9</v>
      </c>
      <c r="I4" s="195"/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99" t="s">
        <v>16</v>
      </c>
      <c r="G6" s="201"/>
      <c r="H6" s="202"/>
      <c r="I6" s="202"/>
      <c r="J6" s="20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207" t="s">
        <v>21</v>
      </c>
      <c r="G8" s="208"/>
      <c r="H8" s="209"/>
      <c r="I8" s="209"/>
      <c r="J8" s="21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99" t="s">
        <v>26</v>
      </c>
      <c r="G10" s="214"/>
      <c r="H10" s="215"/>
      <c r="I10" s="215"/>
      <c r="J10" s="216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57"/>
      <c r="I19" s="157"/>
      <c r="J19" s="1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6"/>
      <c r="G28" s="61"/>
      <c r="H28" s="172"/>
      <c r="I28" s="173"/>
      <c r="J28" s="17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/>
      <c r="I34" s="137"/>
      <c r="J34" s="13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/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/>
      <c r="I36" s="137"/>
      <c r="J36" s="13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/>
      <c r="I37" s="137"/>
      <c r="J37" s="13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/>
      <c r="I38" s="137"/>
      <c r="J38" s="13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/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P43" s="4"/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P44" s="4"/>
      <c r="Q44" s="4"/>
      <c r="R44" s="5"/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P50" s="4"/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1</v>
      </c>
      <c r="H4" s="193" t="s">
        <v>9</v>
      </c>
      <c r="I4" s="195">
        <v>46094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111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144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139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10"/>
      <c r="D26" s="48">
        <f t="shared" si="1"/>
        <v>0</v>
      </c>
      <c r="F26" s="75"/>
      <c r="G26" s="65"/>
      <c r="H26" s="131"/>
      <c r="I26" s="131"/>
      <c r="J26" s="13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H15-H16-H17-H18-H19-H20-H22-H23-H24+H26+H27+H28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6">
        <f t="shared" ref="H34:H39" si="2"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 t="shared" si="2"/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si="2"/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84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2</v>
      </c>
      <c r="H4" s="193" t="s">
        <v>9</v>
      </c>
      <c r="I4" s="195">
        <v>46094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126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113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114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>
        <f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 t="shared" ref="H35:H39" si="2">F35*G35</f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62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88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3</v>
      </c>
      <c r="H4" s="193" t="s">
        <v>9</v>
      </c>
      <c r="I4" s="195">
        <v>46094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141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130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127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>
        <f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>F35*G35</f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ref="H36:H39" si="2"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138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9" t="s">
        <v>7</v>
      </c>
      <c r="B4" s="140"/>
      <c r="C4" s="140"/>
      <c r="D4" s="141"/>
      <c r="F4" s="189" t="s">
        <v>8</v>
      </c>
      <c r="G4" s="191"/>
      <c r="H4" s="193" t="s">
        <v>9</v>
      </c>
      <c r="I4" s="195"/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99" t="s">
        <v>16</v>
      </c>
      <c r="G6" s="201"/>
      <c r="H6" s="202"/>
      <c r="I6" s="202"/>
      <c r="J6" s="20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207" t="s">
        <v>21</v>
      </c>
      <c r="G8" s="208"/>
      <c r="H8" s="209"/>
      <c r="I8" s="209"/>
      <c r="J8" s="21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99" t="s">
        <v>26</v>
      </c>
      <c r="G10" s="214"/>
      <c r="H10" s="215"/>
      <c r="I10" s="215"/>
      <c r="J10" s="216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57"/>
      <c r="I19" s="157"/>
      <c r="J19" s="1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6"/>
      <c r="G28" s="61"/>
      <c r="H28" s="172"/>
      <c r="I28" s="173"/>
      <c r="J28" s="17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/>
      <c r="I34" s="137"/>
      <c r="J34" s="13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/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/>
      <c r="I36" s="137"/>
      <c r="J36" s="13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/>
      <c r="I37" s="137"/>
      <c r="J37" s="13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/>
      <c r="I38" s="137"/>
      <c r="J38" s="13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/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P43" s="4"/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P44" s="4"/>
      <c r="Q44" s="4"/>
      <c r="R44" s="5"/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P50" s="4"/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1</v>
      </c>
      <c r="H4" s="193" t="s">
        <v>9</v>
      </c>
      <c r="I4" s="195">
        <v>46095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111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144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139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10"/>
      <c r="D26" s="48">
        <f t="shared" si="1"/>
        <v>0</v>
      </c>
      <c r="F26" s="75"/>
      <c r="G26" s="65"/>
      <c r="H26" s="131"/>
      <c r="I26" s="131"/>
      <c r="J26" s="13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H15-H16-H17-H18-H19-H20-H22-H23-H24+H26+H27+H28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6">
        <f t="shared" ref="H34:H39" si="2"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 t="shared" si="2"/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si="2"/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84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2</v>
      </c>
      <c r="H4" s="193" t="s">
        <v>9</v>
      </c>
      <c r="I4" s="195">
        <v>46095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126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113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114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>
        <f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 t="shared" ref="H35:H39" si="2">F35*G35</f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62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88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3</v>
      </c>
      <c r="H4" s="193" t="s">
        <v>9</v>
      </c>
      <c r="I4" s="195">
        <v>46095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141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130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127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>
        <f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>F35*G35</f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ref="H36:H39" si="2"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138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9" t="s">
        <v>7</v>
      </c>
      <c r="B4" s="140"/>
      <c r="C4" s="140"/>
      <c r="D4" s="141"/>
      <c r="F4" s="189" t="s">
        <v>8</v>
      </c>
      <c r="G4" s="191"/>
      <c r="H4" s="193" t="s">
        <v>9</v>
      </c>
      <c r="I4" s="195"/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99" t="s">
        <v>16</v>
      </c>
      <c r="G6" s="201"/>
      <c r="H6" s="202"/>
      <c r="I6" s="202"/>
      <c r="J6" s="20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207" t="s">
        <v>21</v>
      </c>
      <c r="G8" s="208"/>
      <c r="H8" s="209"/>
      <c r="I8" s="209"/>
      <c r="J8" s="21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99" t="s">
        <v>26</v>
      </c>
      <c r="G10" s="214"/>
      <c r="H10" s="215"/>
      <c r="I10" s="215"/>
      <c r="J10" s="216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57"/>
      <c r="I19" s="157"/>
      <c r="J19" s="1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6"/>
      <c r="G28" s="61"/>
      <c r="H28" s="172"/>
      <c r="I28" s="173"/>
      <c r="J28" s="17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/>
      <c r="I34" s="137"/>
      <c r="J34" s="13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/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/>
      <c r="I36" s="137"/>
      <c r="J36" s="13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/>
      <c r="I37" s="137"/>
      <c r="J37" s="13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/>
      <c r="I38" s="137"/>
      <c r="J38" s="13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/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P43" s="4"/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P44" s="4"/>
      <c r="Q44" s="4"/>
      <c r="R44" s="5"/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P50" s="4"/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1</v>
      </c>
      <c r="H4" s="193" t="s">
        <v>9</v>
      </c>
      <c r="I4" s="195">
        <v>46097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111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144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139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10"/>
      <c r="D26" s="48">
        <f t="shared" si="1"/>
        <v>0</v>
      </c>
      <c r="F26" s="75"/>
      <c r="G26" s="65"/>
      <c r="H26" s="131"/>
      <c r="I26" s="131"/>
      <c r="J26" s="13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H15-H16-H17-H18-H19-H20-H22-H23-H24+H26+H27+H28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6">
        <f t="shared" ref="H34:H39" si="2"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 t="shared" si="2"/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si="2"/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84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2</v>
      </c>
      <c r="H4" s="193" t="s">
        <v>9</v>
      </c>
      <c r="I4" s="195">
        <v>46097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126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113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114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>
        <f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 t="shared" ref="H35:H39" si="2">F35*G35</f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62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88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3</v>
      </c>
      <c r="H4" s="193" t="s">
        <v>9</v>
      </c>
      <c r="I4" s="195">
        <v>46097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141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130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127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>
        <f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>F35*G35</f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ref="H36:H39" si="2"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138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</vt:lpstr>
      <vt:lpstr>13,03 R2</vt:lpstr>
      <vt:lpstr>13,03 R3</vt:lpstr>
      <vt:lpstr>(14)</vt:lpstr>
      <vt:lpstr>14,03 R1</vt:lpstr>
      <vt:lpstr>14,03 R2</vt:lpstr>
      <vt:lpstr>14,03 R3</vt:lpstr>
      <vt:lpstr>(16)</vt:lpstr>
      <vt:lpstr>16,03 R1</vt:lpstr>
      <vt:lpstr>16,03 R2</vt:lpstr>
      <vt:lpstr>16,03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R1'!Print_Area</vt:lpstr>
      <vt:lpstr>'13,03 R2'!Print_Area</vt:lpstr>
      <vt:lpstr>'13,03 R3'!Print_Area</vt:lpstr>
      <vt:lpstr>'14,03 R1'!Print_Area</vt:lpstr>
      <vt:lpstr>'14,03 R2'!Print_Area</vt:lpstr>
      <vt:lpstr>'14,03 R3'!Print_Area</vt:lpstr>
      <vt:lpstr>'16,03 R1'!Print_Area</vt:lpstr>
      <vt:lpstr>'16,03 R2'!Print_Area</vt:lpstr>
      <vt:lpstr>'16,03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2026-03-10T00:45:52Z</cp:lastPrinted>
  <dcterms:created xsi:type="dcterms:W3CDTF">2024-09-01T23:36:50Z</dcterms:created>
  <dcterms:modified xsi:type="dcterms:W3CDTF">2026-03-10T00:45:58Z</dcterms:modified>
</cp:coreProperties>
</file>