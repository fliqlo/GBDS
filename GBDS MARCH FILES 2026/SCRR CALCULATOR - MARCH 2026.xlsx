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F76512F0-DA64-4BF5-896A-5303C20137A1}" xr6:coauthVersionLast="45" xr6:coauthVersionMax="47" xr10:uidLastSave="{00000000-0000-0000-0000-000000000000}"/>
  <bookViews>
    <workbookView xWindow="-120" yWindow="-120" windowWidth="29040" windowHeight="15840" firstSheet="80" activeTab="90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 NO TRIP" sheetId="1907" r:id="rId71"/>
    <sheet name="21,03 R2 NO TRIP" sheetId="1908" r:id="rId72"/>
    <sheet name="21,03 R3 NO TRIP" sheetId="1909" r:id="rId73"/>
    <sheet name="(23)" sheetId="1910" r:id="rId74"/>
    <sheet name="23,03 R1" sheetId="1911" r:id="rId75"/>
    <sheet name="23,03 R2" sheetId="1912" r:id="rId76"/>
    <sheet name="23,03 R3" sheetId="1913" r:id="rId77"/>
    <sheet name="(24)" sheetId="1914" r:id="rId78"/>
    <sheet name="24,03 R1" sheetId="1915" r:id="rId79"/>
    <sheet name="24,03 R2" sheetId="1916" r:id="rId80"/>
    <sheet name="24,03 R3" sheetId="1917" r:id="rId81"/>
    <sheet name="(25)" sheetId="1918" r:id="rId82"/>
    <sheet name="25,03 R1 NO TRIP" sheetId="1919" r:id="rId83"/>
    <sheet name="25,03 R2" sheetId="1920" r:id="rId84"/>
    <sheet name="25,03 R3" sheetId="1921" r:id="rId85"/>
    <sheet name="(26)" sheetId="1922" r:id="rId86"/>
    <sheet name="26,03 R1" sheetId="1923" r:id="rId87"/>
    <sheet name="26,03 R2" sheetId="1924" r:id="rId88"/>
    <sheet name="26,03 R3 NO TRIP" sheetId="1925" r:id="rId89"/>
    <sheet name="(27)" sheetId="1926" r:id="rId90"/>
    <sheet name="27,03 R1" sheetId="1927" r:id="rId91"/>
    <sheet name="27,03 R2" sheetId="1928" r:id="rId92"/>
    <sheet name="27,03 R3" sheetId="1929" r:id="rId93"/>
    <sheet name="(28)" sheetId="1930" r:id="rId94"/>
    <sheet name="28,03 R1" sheetId="1931" r:id="rId95"/>
    <sheet name="28,03 R2" sheetId="1932" r:id="rId96"/>
    <sheet name="28,03 R3" sheetId="1933" r:id="rId97"/>
    <sheet name="(30)" sheetId="1934" r:id="rId98"/>
    <sheet name="30,03 R1" sheetId="1935" r:id="rId99"/>
    <sheet name="30,03 R2" sheetId="1936" r:id="rId100"/>
    <sheet name="30,03 R3" sheetId="1937" r:id="rId101"/>
    <sheet name="(31)" sheetId="1938" r:id="rId102"/>
    <sheet name="31,03 R1" sheetId="1939" r:id="rId103"/>
    <sheet name="31,03 R2" sheetId="1940" r:id="rId104"/>
    <sheet name="31,03 R3" sheetId="1941" r:id="rId105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85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7">'(30)'!$A$1:$J$60</definedName>
    <definedName name="_xlnm.Print_Area" localSheetId="101">'(31)'!$A$1:$J$60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 NO TRIP'!$A$1:$J$60</definedName>
    <definedName name="_xlnm.Print_Area" localSheetId="71">'21,03 R2 NO TRIP'!$A$1:$J$60</definedName>
    <definedName name="_xlnm.Print_Area" localSheetId="72">'21,03 R3 NO TRIP'!$A$1:$J$60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  <definedName name="_xlnm.Print_Area" localSheetId="78">'24,03 R1'!$A$1:$J$60</definedName>
    <definedName name="_xlnm.Print_Area" localSheetId="79">'24,03 R2'!$A$1:$J$60</definedName>
    <definedName name="_xlnm.Print_Area" localSheetId="80">'24,03 R3'!$A$1:$J$60</definedName>
    <definedName name="_xlnm.Print_Area" localSheetId="82">'25,03 R1 NO TRIP'!$A$1:$J$60</definedName>
    <definedName name="_xlnm.Print_Area" localSheetId="83">'25,03 R2'!$A$1:$J$60</definedName>
    <definedName name="_xlnm.Print_Area" localSheetId="84">'25,03 R3'!$A$1:$J$60</definedName>
    <definedName name="_xlnm.Print_Area" localSheetId="86">'26,03 R1'!$A$1:$J$60</definedName>
    <definedName name="_xlnm.Print_Area" localSheetId="87">'26,03 R2'!$A$1:$J$60</definedName>
    <definedName name="_xlnm.Print_Area" localSheetId="88">'26,03 R3 NO TRIP'!$A$1:$J$60</definedName>
    <definedName name="_xlnm.Print_Area" localSheetId="90">'27,03 R1'!$A$1:$J$60</definedName>
    <definedName name="_xlnm.Print_Area" localSheetId="91">'27,03 R2'!$A$1:$J$60</definedName>
    <definedName name="_xlnm.Print_Area" localSheetId="92">'27,03 R3'!$A$1:$J$60</definedName>
    <definedName name="_xlnm.Print_Area" localSheetId="94">'28,03 R1'!$A$1:$J$60</definedName>
    <definedName name="_xlnm.Print_Area" localSheetId="95">'28,03 R2'!$A$1:$J$60</definedName>
    <definedName name="_xlnm.Print_Area" localSheetId="96">'28,03 R3'!$A$1:$J$60</definedName>
    <definedName name="_xlnm.Print_Area" localSheetId="98">'30,03 R1'!$A$1:$J$60</definedName>
    <definedName name="_xlnm.Print_Area" localSheetId="99">'30,03 R2'!$A$1:$J$60</definedName>
    <definedName name="_xlnm.Print_Area" localSheetId="100">'30,03 R3'!$A$1:$J$60</definedName>
    <definedName name="_xlnm.Print_Area" localSheetId="102">'31,03 R1'!$A$1:$J$60</definedName>
    <definedName name="_xlnm.Print_Area" localSheetId="103">'31,03 R2'!$A$1:$J$60</definedName>
    <definedName name="_xlnm.Print_Area" localSheetId="104">'31,03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28" l="1"/>
  <c r="L26" i="1924" l="1"/>
  <c r="H16" i="1924" l="1"/>
  <c r="L24" i="1924" l="1"/>
  <c r="H16" i="1921" l="1"/>
  <c r="H16" i="1920" l="1"/>
  <c r="C12" i="1921"/>
  <c r="H16" i="1915" l="1"/>
  <c r="H16" i="1916"/>
  <c r="R52" i="1941" l="1"/>
  <c r="R51" i="1941"/>
  <c r="D50" i="1941"/>
  <c r="R49" i="1941"/>
  <c r="D49" i="1941"/>
  <c r="R48" i="1941"/>
  <c r="D48" i="1941"/>
  <c r="D46" i="1941"/>
  <c r="D45" i="1941"/>
  <c r="R44" i="1941"/>
  <c r="L28" i="1941" s="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L9" i="1941" s="1"/>
  <c r="D9" i="1941" s="1"/>
  <c r="H38" i="1941"/>
  <c r="D38" i="1941"/>
  <c r="R37" i="1941"/>
  <c r="H37" i="1941"/>
  <c r="D37" i="1941"/>
  <c r="R36" i="1941"/>
  <c r="L10" i="1941" s="1"/>
  <c r="D10" i="1941" s="1"/>
  <c r="H36" i="1941"/>
  <c r="D36" i="1941"/>
  <c r="R35" i="1941"/>
  <c r="H35" i="1941"/>
  <c r="D35" i="1941"/>
  <c r="R34" i="1941"/>
  <c r="H34" i="1941"/>
  <c r="G49" i="1941" s="1"/>
  <c r="D34" i="1941"/>
  <c r="D54" i="1941" s="1"/>
  <c r="H14" i="1941" s="1"/>
  <c r="R33" i="1941"/>
  <c r="R32" i="1941"/>
  <c r="R31" i="1941"/>
  <c r="R30" i="1941"/>
  <c r="R29" i="1941"/>
  <c r="R28" i="1941"/>
  <c r="R27" i="1941"/>
  <c r="D27" i="1941"/>
  <c r="R26" i="1941"/>
  <c r="L26" i="1941"/>
  <c r="D26" i="1941"/>
  <c r="R25" i="1941"/>
  <c r="L25" i="1941"/>
  <c r="D25" i="1941"/>
  <c r="R24" i="1941"/>
  <c r="D24" i="1941"/>
  <c r="R23" i="1941"/>
  <c r="L23" i="1941"/>
  <c r="D23" i="1941"/>
  <c r="R22" i="1941"/>
  <c r="L22" i="1941"/>
  <c r="D22" i="1941"/>
  <c r="R21" i="1941"/>
  <c r="D21" i="1941"/>
  <c r="R20" i="1941"/>
  <c r="L20" i="1941"/>
  <c r="D20" i="1941"/>
  <c r="R19" i="1941"/>
  <c r="L19" i="1941"/>
  <c r="D19" i="1941"/>
  <c r="R18" i="1941"/>
  <c r="D18" i="1941"/>
  <c r="R17" i="1941"/>
  <c r="D17" i="1941"/>
  <c r="R16" i="1941"/>
  <c r="L16" i="1941"/>
  <c r="D16" i="1941" s="1"/>
  <c r="R15" i="1941"/>
  <c r="D15" i="1941"/>
  <c r="R14" i="1941"/>
  <c r="D14" i="1941"/>
  <c r="R13" i="1941"/>
  <c r="D13" i="1941"/>
  <c r="R12" i="1941"/>
  <c r="L12" i="1941"/>
  <c r="D12" i="1941"/>
  <c r="R11" i="1941"/>
  <c r="L11" i="1941"/>
  <c r="D11" i="1941"/>
  <c r="L8" i="1941"/>
  <c r="D8" i="1941" s="1"/>
  <c r="L7" i="1941"/>
  <c r="D7" i="1941"/>
  <c r="R6" i="1941"/>
  <c r="L6" i="1941"/>
  <c r="D6" i="1941" s="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L10" i="1940" s="1"/>
  <c r="D10" i="1940" s="1"/>
  <c r="H36" i="1940"/>
  <c r="D36" i="1940"/>
  <c r="R35" i="1940"/>
  <c r="H35" i="1940"/>
  <c r="D35" i="1940"/>
  <c r="R34" i="1940"/>
  <c r="L12" i="1940" s="1"/>
  <c r="D12" i="1940" s="1"/>
  <c r="H34" i="1940"/>
  <c r="G49" i="1940" s="1"/>
  <c r="D34" i="1940"/>
  <c r="D54" i="1940" s="1"/>
  <c r="H14" i="1940" s="1"/>
  <c r="R33" i="1940"/>
  <c r="L23" i="1940" s="1"/>
  <c r="D23" i="1940" s="1"/>
  <c r="R32" i="1940"/>
  <c r="R31" i="1940"/>
  <c r="R30" i="1940"/>
  <c r="R29" i="1940"/>
  <c r="R28" i="1940"/>
  <c r="L28" i="1940"/>
  <c r="D28" i="1940"/>
  <c r="R27" i="1940"/>
  <c r="D27" i="1940"/>
  <c r="R26" i="1940"/>
  <c r="L26" i="1940"/>
  <c r="D26" i="1940"/>
  <c r="R25" i="1940"/>
  <c r="L25" i="1940"/>
  <c r="D25" i="1940" s="1"/>
  <c r="R24" i="1940"/>
  <c r="L24" i="1940"/>
  <c r="D24" i="1940"/>
  <c r="R23" i="1940"/>
  <c r="R22" i="1940"/>
  <c r="L22" i="1940"/>
  <c r="D22" i="1940" s="1"/>
  <c r="R21" i="1940"/>
  <c r="L17" i="1940" s="1"/>
  <c r="D17" i="1940" s="1"/>
  <c r="D21" i="1940"/>
  <c r="R20" i="1940"/>
  <c r="L20" i="1940"/>
  <c r="D20" i="1940" s="1"/>
  <c r="R19" i="1940"/>
  <c r="L19" i="1940"/>
  <c r="D19" i="1940" s="1"/>
  <c r="R18" i="1940"/>
  <c r="D18" i="1940"/>
  <c r="R17" i="1940"/>
  <c r="R16" i="1940"/>
  <c r="L16" i="1940"/>
  <c r="D16" i="1940" s="1"/>
  <c r="R15" i="1940"/>
  <c r="D15" i="1940"/>
  <c r="R14" i="1940"/>
  <c r="D14" i="1940"/>
  <c r="R13" i="1940"/>
  <c r="D13" i="1940"/>
  <c r="R12" i="1940"/>
  <c r="R11" i="1940"/>
  <c r="L11" i="1940"/>
  <c r="D11" i="1940"/>
  <c r="L9" i="1940"/>
  <c r="D9" i="1940"/>
  <c r="L8" i="1940"/>
  <c r="D8" i="1940" s="1"/>
  <c r="L7" i="1940"/>
  <c r="D7" i="1940" s="1"/>
  <c r="R6" i="1940"/>
  <c r="L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L20" i="1939" s="1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G49" i="1939" s="1"/>
  <c r="D34" i="1939"/>
  <c r="D54" i="1939" s="1"/>
  <c r="H14" i="1939" s="1"/>
  <c r="R33" i="1939"/>
  <c r="R32" i="1939"/>
  <c r="R31" i="1939"/>
  <c r="R30" i="1939"/>
  <c r="R29" i="1939"/>
  <c r="R28" i="1939"/>
  <c r="R27" i="1939"/>
  <c r="D27" i="1939"/>
  <c r="R26" i="1939"/>
  <c r="L26" i="1939"/>
  <c r="D26" i="1939"/>
  <c r="R25" i="1939"/>
  <c r="L25" i="1939"/>
  <c r="D25" i="1939"/>
  <c r="R24" i="1939"/>
  <c r="L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L17" i="1939"/>
  <c r="D17" i="1939"/>
  <c r="R16" i="1939"/>
  <c r="L16" i="1939"/>
  <c r="D16" i="1939" s="1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R52" i="1937"/>
  <c r="R51" i="1937"/>
  <c r="D50" i="1937"/>
  <c r="R49" i="1937"/>
  <c r="D49" i="1937"/>
  <c r="R48" i="1937"/>
  <c r="D48" i="1937"/>
  <c r="D46" i="1937"/>
  <c r="D45" i="1937"/>
  <c r="R44" i="1937"/>
  <c r="D44" i="1937"/>
  <c r="R42" i="1937"/>
  <c r="D42" i="1937"/>
  <c r="R41" i="1937"/>
  <c r="D41" i="1937"/>
  <c r="R40" i="1937"/>
  <c r="D40" i="1937"/>
  <c r="R39" i="1937"/>
  <c r="H39" i="1937"/>
  <c r="D39" i="1937"/>
  <c r="R38" i="1937"/>
  <c r="L9" i="1937" s="1"/>
  <c r="D9" i="1937" s="1"/>
  <c r="H38" i="1937"/>
  <c r="D38" i="1937"/>
  <c r="R37" i="1937"/>
  <c r="H37" i="1937"/>
  <c r="D37" i="1937"/>
  <c r="R36" i="1937"/>
  <c r="L10" i="1937" s="1"/>
  <c r="D10" i="1937" s="1"/>
  <c r="H36" i="1937"/>
  <c r="D36" i="1937"/>
  <c r="R35" i="1937"/>
  <c r="H35" i="1937"/>
  <c r="D35" i="1937"/>
  <c r="R34" i="1937"/>
  <c r="L12" i="1937" s="1"/>
  <c r="D12" i="1937" s="1"/>
  <c r="H34" i="1937"/>
  <c r="G49" i="1937" s="1"/>
  <c r="D34" i="1937"/>
  <c r="D54" i="1937" s="1"/>
  <c r="H14" i="1937" s="1"/>
  <c r="R33" i="1937"/>
  <c r="L23" i="1937" s="1"/>
  <c r="D23" i="1937" s="1"/>
  <c r="R32" i="1937"/>
  <c r="L11" i="1937" s="1"/>
  <c r="D11" i="1937" s="1"/>
  <c r="R31" i="1937"/>
  <c r="R30" i="1937"/>
  <c r="R29" i="1937"/>
  <c r="R28" i="1937"/>
  <c r="L28" i="1937"/>
  <c r="D28" i="1937"/>
  <c r="R27" i="1937"/>
  <c r="D27" i="1937"/>
  <c r="R26" i="1937"/>
  <c r="L26" i="1937"/>
  <c r="D26" i="1937"/>
  <c r="R25" i="1937"/>
  <c r="L25" i="1937"/>
  <c r="D25" i="1937"/>
  <c r="R24" i="1937"/>
  <c r="D24" i="1937"/>
  <c r="R23" i="1937"/>
  <c r="R22" i="1937"/>
  <c r="L22" i="1937"/>
  <c r="D22" i="1937"/>
  <c r="R21" i="1937"/>
  <c r="D21" i="1937"/>
  <c r="R20" i="1937"/>
  <c r="L20" i="1937"/>
  <c r="D20" i="1937"/>
  <c r="R19" i="1937"/>
  <c r="L19" i="1937"/>
  <c r="D19" i="1937"/>
  <c r="R18" i="1937"/>
  <c r="D18" i="1937"/>
  <c r="R17" i="1937"/>
  <c r="D17" i="1937"/>
  <c r="R16" i="1937"/>
  <c r="L16" i="1937"/>
  <c r="D16" i="1937" s="1"/>
  <c r="R15" i="1937"/>
  <c r="D15" i="1937"/>
  <c r="R14" i="1937"/>
  <c r="D14" i="1937"/>
  <c r="R13" i="1937"/>
  <c r="D13" i="1937"/>
  <c r="R12" i="1937"/>
  <c r="R11" i="1937"/>
  <c r="L8" i="1937"/>
  <c r="D8" i="1937"/>
  <c r="L7" i="1937"/>
  <c r="D7" i="1937" s="1"/>
  <c r="R6" i="1937"/>
  <c r="L6" i="1937"/>
  <c r="D6" i="1937" s="1"/>
  <c r="D29" i="1937" s="1"/>
  <c r="H13" i="1937" s="1"/>
  <c r="H15" i="1937" s="1"/>
  <c r="H29" i="1937" s="1"/>
  <c r="R5" i="1937"/>
  <c r="R4" i="1937"/>
  <c r="R52" i="1936"/>
  <c r="R51" i="1936"/>
  <c r="D50" i="1936"/>
  <c r="R49" i="1936"/>
  <c r="D49" i="1936"/>
  <c r="R48" i="1936"/>
  <c r="D48" i="1936"/>
  <c r="D46" i="1936"/>
  <c r="D45" i="1936"/>
  <c r="R44" i="1936"/>
  <c r="L28" i="1936" s="1"/>
  <c r="D28" i="1936" s="1"/>
  <c r="D44" i="1936"/>
  <c r="R42" i="1936"/>
  <c r="D42" i="1936"/>
  <c r="R41" i="1936"/>
  <c r="L7" i="1936" s="1"/>
  <c r="D7" i="1936" s="1"/>
  <c r="D41" i="1936"/>
  <c r="R40" i="1936"/>
  <c r="L8" i="1936" s="1"/>
  <c r="D8" i="1936" s="1"/>
  <c r="D40" i="1936"/>
  <c r="R39" i="1936"/>
  <c r="H39" i="1936"/>
  <c r="D39" i="1936"/>
  <c r="R38" i="1936"/>
  <c r="H38" i="1936"/>
  <c r="D38" i="1936"/>
  <c r="R37" i="1936"/>
  <c r="H37" i="1936"/>
  <c r="D37" i="1936"/>
  <c r="R36" i="1936"/>
  <c r="L10" i="1936" s="1"/>
  <c r="D10" i="1936" s="1"/>
  <c r="H36" i="1936"/>
  <c r="G49" i="1936" s="1"/>
  <c r="D36" i="1936"/>
  <c r="R35" i="1936"/>
  <c r="L19" i="1936" s="1"/>
  <c r="D19" i="1936" s="1"/>
  <c r="H35" i="1936"/>
  <c r="D35" i="1936"/>
  <c r="D54" i="1936" s="1"/>
  <c r="H14" i="1936" s="1"/>
  <c r="R34" i="1936"/>
  <c r="H34" i="1936"/>
  <c r="D34" i="1936"/>
  <c r="R33" i="1936"/>
  <c r="R32" i="1936"/>
  <c r="R31" i="1936"/>
  <c r="R30" i="1936"/>
  <c r="R29" i="1936"/>
  <c r="R28" i="1936"/>
  <c r="L16" i="1936" s="1"/>
  <c r="D16" i="1936" s="1"/>
  <c r="R27" i="1936"/>
  <c r="D27" i="1936"/>
  <c r="R26" i="1936"/>
  <c r="L26" i="1936"/>
  <c r="D26" i="1936" s="1"/>
  <c r="R25" i="1936"/>
  <c r="L25" i="1936"/>
  <c r="D25" i="1936"/>
  <c r="R24" i="1936"/>
  <c r="L24" i="1936"/>
  <c r="D24" i="1936" s="1"/>
  <c r="R23" i="1936"/>
  <c r="L23" i="1936"/>
  <c r="D23" i="1936"/>
  <c r="R22" i="1936"/>
  <c r="L22" i="1936"/>
  <c r="D22" i="1936"/>
  <c r="R21" i="1936"/>
  <c r="D21" i="1936"/>
  <c r="R20" i="1936"/>
  <c r="L20" i="1936"/>
  <c r="D20" i="1936" s="1"/>
  <c r="R19" i="1936"/>
  <c r="R18" i="1936"/>
  <c r="D18" i="1936"/>
  <c r="R17" i="1936"/>
  <c r="L17" i="1936"/>
  <c r="D17" i="1936"/>
  <c r="R16" i="1936"/>
  <c r="R15" i="1936"/>
  <c r="D15" i="1936"/>
  <c r="R14" i="1936"/>
  <c r="D14" i="1936"/>
  <c r="R13" i="1936"/>
  <c r="D13" i="1936"/>
  <c r="R12" i="1936"/>
  <c r="L12" i="1936"/>
  <c r="D12" i="1936" s="1"/>
  <c r="R11" i="1936"/>
  <c r="L11" i="1936"/>
  <c r="D11" i="1936"/>
  <c r="L9" i="1936"/>
  <c r="D9" i="1936"/>
  <c r="R6" i="1936"/>
  <c r="L6" i="1936"/>
  <c r="D6" i="1936" s="1"/>
  <c r="R5" i="1936"/>
  <c r="R4" i="1936"/>
  <c r="R52" i="1935"/>
  <c r="R51" i="1935"/>
  <c r="D50" i="1935"/>
  <c r="R49" i="1935"/>
  <c r="D49" i="1935"/>
  <c r="R48" i="1935"/>
  <c r="D48" i="1935"/>
  <c r="D46" i="1935"/>
  <c r="D45" i="1935"/>
  <c r="R44" i="1935"/>
  <c r="L28" i="1935" s="1"/>
  <c r="D28" i="1935" s="1"/>
  <c r="D44" i="1935"/>
  <c r="R42" i="1935"/>
  <c r="D42" i="1935"/>
  <c r="R41" i="1935"/>
  <c r="D41" i="1935"/>
  <c r="R40" i="1935"/>
  <c r="L8" i="1935" s="1"/>
  <c r="D8" i="1935" s="1"/>
  <c r="D40" i="1935"/>
  <c r="R39" i="1935"/>
  <c r="L20" i="1935" s="1"/>
  <c r="D20" i="1935" s="1"/>
  <c r="H39" i="1935"/>
  <c r="G49" i="1935" s="1"/>
  <c r="D39" i="1935"/>
  <c r="R38" i="1935"/>
  <c r="H38" i="1935"/>
  <c r="D38" i="1935"/>
  <c r="R37" i="1935"/>
  <c r="H37" i="1935"/>
  <c r="D37" i="1935"/>
  <c r="R36" i="1935"/>
  <c r="H36" i="1935"/>
  <c r="D36" i="1935"/>
  <c r="R35" i="1935"/>
  <c r="H35" i="1935"/>
  <c r="D35" i="1935"/>
  <c r="R34" i="1935"/>
  <c r="H34" i="1935"/>
  <c r="D34" i="1935"/>
  <c r="D54" i="1935" s="1"/>
  <c r="H14" i="1935" s="1"/>
  <c r="R33" i="1935"/>
  <c r="R32" i="1935"/>
  <c r="R31" i="1935"/>
  <c r="R30" i="1935"/>
  <c r="R29" i="1935"/>
  <c r="R28" i="1935"/>
  <c r="L16" i="1935" s="1"/>
  <c r="D16" i="1935" s="1"/>
  <c r="R27" i="1935"/>
  <c r="D27" i="1935"/>
  <c r="R26" i="1935"/>
  <c r="L26" i="1935"/>
  <c r="D26" i="1935"/>
  <c r="R25" i="1935"/>
  <c r="L25" i="1935"/>
  <c r="D25" i="1935" s="1"/>
  <c r="R24" i="1935"/>
  <c r="L24" i="1935"/>
  <c r="D24" i="1935"/>
  <c r="R23" i="1935"/>
  <c r="D23" i="1935"/>
  <c r="R22" i="1935"/>
  <c r="D22" i="1935"/>
  <c r="R21" i="1935"/>
  <c r="D21" i="1935"/>
  <c r="R20" i="1935"/>
  <c r="R19" i="1935"/>
  <c r="D19" i="1935"/>
  <c r="R18" i="1935"/>
  <c r="D18" i="1935"/>
  <c r="R17" i="1935"/>
  <c r="L17" i="1935"/>
  <c r="D17" i="1935"/>
  <c r="R16" i="1935"/>
  <c r="R15" i="1935"/>
  <c r="D15" i="1935"/>
  <c r="R14" i="1935"/>
  <c r="D14" i="1935"/>
  <c r="R13" i="1935"/>
  <c r="D13" i="1935"/>
  <c r="R12" i="1935"/>
  <c r="L12" i="1935"/>
  <c r="D12" i="1935"/>
  <c r="R11" i="1935"/>
  <c r="L11" i="1935"/>
  <c r="D11" i="1935"/>
  <c r="L10" i="1935"/>
  <c r="D10" i="1935" s="1"/>
  <c r="L9" i="1935"/>
  <c r="D9" i="1935" s="1"/>
  <c r="L7" i="1935"/>
  <c r="D7" i="1935"/>
  <c r="R6" i="1935"/>
  <c r="L6" i="1935"/>
  <c r="D6" i="1935" s="1"/>
  <c r="R5" i="1935"/>
  <c r="R4" i="1935"/>
  <c r="R52" i="1934"/>
  <c r="R51" i="1934"/>
  <c r="D50" i="1934"/>
  <c r="R49" i="1934"/>
  <c r="G49" i="1934"/>
  <c r="D49" i="1934"/>
  <c r="R48" i="1934"/>
  <c r="D48" i="1934"/>
  <c r="D46" i="1934"/>
  <c r="D45" i="1934"/>
  <c r="D44" i="1934"/>
  <c r="R42" i="1934"/>
  <c r="L6" i="1934" s="1"/>
  <c r="D6" i="1934" s="1"/>
  <c r="D42" i="1934"/>
  <c r="R41" i="1934"/>
  <c r="L7" i="1934" s="1"/>
  <c r="D7" i="1934" s="1"/>
  <c r="D41" i="1934"/>
  <c r="R40" i="1934"/>
  <c r="D40" i="1934"/>
  <c r="R39" i="1934"/>
  <c r="D39" i="1934"/>
  <c r="R38" i="1934"/>
  <c r="D38" i="1934"/>
  <c r="R37" i="1934"/>
  <c r="D37" i="1934"/>
  <c r="R36" i="1934"/>
  <c r="L10" i="1934" s="1"/>
  <c r="D10" i="1934" s="1"/>
  <c r="D36" i="1934"/>
  <c r="R35" i="1934"/>
  <c r="D35" i="1934"/>
  <c r="R34" i="1934"/>
  <c r="L12" i="1934" s="1"/>
  <c r="D12" i="1934" s="1"/>
  <c r="D34" i="1934"/>
  <c r="D54" i="1934" s="1"/>
  <c r="H14" i="1934" s="1"/>
  <c r="R33" i="1934"/>
  <c r="L23" i="1934" s="1"/>
  <c r="D23" i="1934" s="1"/>
  <c r="R32" i="1934"/>
  <c r="R31" i="1934"/>
  <c r="R30" i="1934"/>
  <c r="R29" i="1934"/>
  <c r="R28" i="1934"/>
  <c r="L16" i="1934" s="1"/>
  <c r="D16" i="1934" s="1"/>
  <c r="D28" i="1934"/>
  <c r="R27" i="1934"/>
  <c r="D27" i="1934"/>
  <c r="R26" i="1934"/>
  <c r="L26" i="1934"/>
  <c r="D26" i="1934"/>
  <c r="R25" i="1934"/>
  <c r="L25" i="1934"/>
  <c r="D25" i="1934"/>
  <c r="R24" i="1934"/>
  <c r="D24" i="1934"/>
  <c r="R23" i="1934"/>
  <c r="R22" i="1934"/>
  <c r="L22" i="1934"/>
  <c r="D22" i="1934"/>
  <c r="R21" i="1934"/>
  <c r="D21" i="1934"/>
  <c r="R20" i="1934"/>
  <c r="L20" i="1934"/>
  <c r="D20" i="1934"/>
  <c r="R19" i="1934"/>
  <c r="L19" i="1934"/>
  <c r="D19" i="1934"/>
  <c r="R18" i="1934"/>
  <c r="D18" i="1934"/>
  <c r="R17" i="1934"/>
  <c r="D17" i="1934"/>
  <c r="R16" i="1934"/>
  <c r="S15" i="1934"/>
  <c r="R15" i="1934"/>
  <c r="D15" i="1934"/>
  <c r="S14" i="1934"/>
  <c r="R14" i="1934"/>
  <c r="D14" i="1934"/>
  <c r="R13" i="1934"/>
  <c r="D13" i="1934"/>
  <c r="R12" i="1934"/>
  <c r="R11" i="1934"/>
  <c r="L11" i="1934"/>
  <c r="D11" i="1934"/>
  <c r="L9" i="1934"/>
  <c r="D9" i="1934"/>
  <c r="L8" i="1934"/>
  <c r="D8" i="1934" s="1"/>
  <c r="R6" i="1934"/>
  <c r="R5" i="1934"/>
  <c r="R4" i="1934"/>
  <c r="R52" i="1933"/>
  <c r="L22" i="1933" s="1"/>
  <c r="D22" i="1933" s="1"/>
  <c r="R51" i="1933"/>
  <c r="D50" i="1933"/>
  <c r="R49" i="1933"/>
  <c r="D49" i="1933"/>
  <c r="R48" i="1933"/>
  <c r="D48" i="1933"/>
  <c r="D46" i="1933"/>
  <c r="D45" i="1933"/>
  <c r="R44" i="1933"/>
  <c r="D44" i="1933"/>
  <c r="R42" i="1933"/>
  <c r="D42" i="1933"/>
  <c r="R41" i="1933"/>
  <c r="L7" i="1933" s="1"/>
  <c r="D7" i="1933" s="1"/>
  <c r="D41" i="1933"/>
  <c r="D54" i="1933" s="1"/>
  <c r="H14" i="1933" s="1"/>
  <c r="R40" i="1933"/>
  <c r="D40" i="1933"/>
  <c r="R39" i="1933"/>
  <c r="H39" i="1933"/>
  <c r="D39" i="1933"/>
  <c r="R38" i="1933"/>
  <c r="H38" i="1933"/>
  <c r="D38" i="1933"/>
  <c r="R37" i="1933"/>
  <c r="H37" i="1933"/>
  <c r="D37" i="1933"/>
  <c r="R36" i="1933"/>
  <c r="L10" i="1933" s="1"/>
  <c r="D10" i="1933" s="1"/>
  <c r="H36" i="1933"/>
  <c r="D36" i="1933"/>
  <c r="R35" i="1933"/>
  <c r="L19" i="1933" s="1"/>
  <c r="D19" i="1933" s="1"/>
  <c r="H35" i="1933"/>
  <c r="D35" i="1933"/>
  <c r="R34" i="1933"/>
  <c r="H34" i="1933"/>
  <c r="G49" i="1933" s="1"/>
  <c r="D34" i="1933"/>
  <c r="R33" i="1933"/>
  <c r="R32" i="1933"/>
  <c r="L11" i="1933" s="1"/>
  <c r="D11" i="1933" s="1"/>
  <c r="R31" i="1933"/>
  <c r="R30" i="1933"/>
  <c r="R29" i="1933"/>
  <c r="R28" i="1933"/>
  <c r="L28" i="1933"/>
  <c r="D28" i="1933"/>
  <c r="R27" i="1933"/>
  <c r="D27" i="1933"/>
  <c r="R26" i="1933"/>
  <c r="L26" i="1933"/>
  <c r="D26" i="1933"/>
  <c r="R25" i="1933"/>
  <c r="L25" i="1933"/>
  <c r="D25" i="1933"/>
  <c r="R24" i="1933"/>
  <c r="D24" i="1933"/>
  <c r="R23" i="1933"/>
  <c r="L23" i="1933"/>
  <c r="D23" i="1933" s="1"/>
  <c r="R22" i="1933"/>
  <c r="R21" i="1933"/>
  <c r="D21" i="1933"/>
  <c r="R20" i="1933"/>
  <c r="L20" i="1933"/>
  <c r="D20" i="1933"/>
  <c r="R19" i="1933"/>
  <c r="R18" i="1933"/>
  <c r="D18" i="1933"/>
  <c r="R17" i="1933"/>
  <c r="D17" i="1933"/>
  <c r="R16" i="1933"/>
  <c r="L16" i="1933"/>
  <c r="D16" i="1933" s="1"/>
  <c r="R15" i="1933"/>
  <c r="D15" i="1933"/>
  <c r="R14" i="1933"/>
  <c r="D14" i="1933"/>
  <c r="R13" i="1933"/>
  <c r="D13" i="1933"/>
  <c r="R12" i="1933"/>
  <c r="L12" i="1933"/>
  <c r="D12" i="1933"/>
  <c r="R11" i="1933"/>
  <c r="L9" i="1933"/>
  <c r="D9" i="1933" s="1"/>
  <c r="L8" i="1933"/>
  <c r="D8" i="1933" s="1"/>
  <c r="R6" i="1933"/>
  <c r="L6" i="1933"/>
  <c r="D6" i="1933" s="1"/>
  <c r="R5" i="1933"/>
  <c r="R4" i="1933"/>
  <c r="R52" i="1932"/>
  <c r="R51" i="1932"/>
  <c r="D50" i="1932"/>
  <c r="R49" i="1932"/>
  <c r="G49" i="1932"/>
  <c r="D49" i="1932"/>
  <c r="R48" i="1932"/>
  <c r="D48" i="1932"/>
  <c r="D46" i="1932"/>
  <c r="D45" i="1932"/>
  <c r="R44" i="1932"/>
  <c r="L28" i="1932" s="1"/>
  <c r="D28" i="1932" s="1"/>
  <c r="D44" i="1932"/>
  <c r="R42" i="1932"/>
  <c r="L6" i="1932" s="1"/>
  <c r="D6" i="1932" s="1"/>
  <c r="D42" i="1932"/>
  <c r="R41" i="1932"/>
  <c r="D41" i="1932"/>
  <c r="R40" i="1932"/>
  <c r="D40" i="1932"/>
  <c r="R39" i="1932"/>
  <c r="H39" i="1932"/>
  <c r="D39" i="1932"/>
  <c r="R38" i="1932"/>
  <c r="L9" i="1932" s="1"/>
  <c r="D9" i="1932" s="1"/>
  <c r="H38" i="1932"/>
  <c r="D38" i="1932"/>
  <c r="R37" i="1932"/>
  <c r="H37" i="1932"/>
  <c r="D37" i="1932"/>
  <c r="R36" i="1932"/>
  <c r="L10" i="1932" s="1"/>
  <c r="D10" i="1932" s="1"/>
  <c r="H36" i="1932"/>
  <c r="D36" i="1932"/>
  <c r="R35" i="1932"/>
  <c r="H35" i="1932"/>
  <c r="D35" i="1932"/>
  <c r="R34" i="1932"/>
  <c r="H34" i="1932"/>
  <c r="D34" i="1932"/>
  <c r="D54" i="1932" s="1"/>
  <c r="H14" i="1932" s="1"/>
  <c r="R33" i="1932"/>
  <c r="L23" i="1932" s="1"/>
  <c r="D23" i="1932" s="1"/>
  <c r="R32" i="1932"/>
  <c r="L11" i="1932" s="1"/>
  <c r="D11" i="1932" s="1"/>
  <c r="R31" i="1932"/>
  <c r="R30" i="1932"/>
  <c r="R29" i="1932"/>
  <c r="R28" i="1932"/>
  <c r="L16" i="1932" s="1"/>
  <c r="D16" i="1932" s="1"/>
  <c r="R27" i="1932"/>
  <c r="D27" i="1932"/>
  <c r="R26" i="1932"/>
  <c r="L26" i="1932"/>
  <c r="D26" i="1932"/>
  <c r="R25" i="1932"/>
  <c r="L25" i="1932"/>
  <c r="D25" i="1932" s="1"/>
  <c r="R24" i="1932"/>
  <c r="L24" i="1932"/>
  <c r="D24" i="1932"/>
  <c r="R23" i="1932"/>
  <c r="R22" i="1932"/>
  <c r="L22" i="1932"/>
  <c r="D22" i="1932" s="1"/>
  <c r="R21" i="1932"/>
  <c r="D21" i="1932"/>
  <c r="R20" i="1932"/>
  <c r="L20" i="1932"/>
  <c r="D20" i="1932"/>
  <c r="R19" i="1932"/>
  <c r="L19" i="1932"/>
  <c r="D19" i="1932" s="1"/>
  <c r="R18" i="1932"/>
  <c r="D18" i="1932"/>
  <c r="R17" i="1932"/>
  <c r="L17" i="1932"/>
  <c r="D17" i="1932"/>
  <c r="R16" i="1932"/>
  <c r="R15" i="1932"/>
  <c r="D15" i="1932"/>
  <c r="R14" i="1932"/>
  <c r="D14" i="1932"/>
  <c r="R13" i="1932"/>
  <c r="D13" i="1932"/>
  <c r="R12" i="1932"/>
  <c r="L12" i="1932"/>
  <c r="D12" i="1932"/>
  <c r="R11" i="1932"/>
  <c r="L8" i="1932"/>
  <c r="D8" i="1932"/>
  <c r="L7" i="1932"/>
  <c r="D7" i="1932" s="1"/>
  <c r="R6" i="1932"/>
  <c r="R5" i="1932"/>
  <c r="R4" i="1932"/>
  <c r="R52" i="1931"/>
  <c r="R51" i="1931"/>
  <c r="D50" i="1931"/>
  <c r="R49" i="1931"/>
  <c r="G49" i="1931"/>
  <c r="D49" i="1931"/>
  <c r="R48" i="1931"/>
  <c r="D48" i="1931"/>
  <c r="D46" i="1931"/>
  <c r="D45" i="1931"/>
  <c r="R44" i="1931"/>
  <c r="L28" i="1931" s="1"/>
  <c r="D28" i="1931" s="1"/>
  <c r="D44" i="1931"/>
  <c r="R42" i="1931"/>
  <c r="D42" i="1931"/>
  <c r="R41" i="1931"/>
  <c r="D41" i="1931"/>
  <c r="R40" i="1931"/>
  <c r="D40" i="1931"/>
  <c r="R39" i="1931"/>
  <c r="L20" i="1931" s="1"/>
  <c r="D20" i="1931" s="1"/>
  <c r="H39" i="1931"/>
  <c r="D39" i="1931"/>
  <c r="R38" i="1931"/>
  <c r="H38" i="1931"/>
  <c r="D38" i="1931"/>
  <c r="R37" i="1931"/>
  <c r="H37" i="1931"/>
  <c r="D37" i="1931"/>
  <c r="R36" i="1931"/>
  <c r="H36" i="1931"/>
  <c r="D36" i="1931"/>
  <c r="R35" i="1931"/>
  <c r="H35" i="1931"/>
  <c r="D35" i="1931"/>
  <c r="R34" i="1931"/>
  <c r="L12" i="1931" s="1"/>
  <c r="D12" i="1931" s="1"/>
  <c r="H34" i="1931"/>
  <c r="D34" i="1931"/>
  <c r="D54" i="1931" s="1"/>
  <c r="H14" i="1931" s="1"/>
  <c r="R33" i="1931"/>
  <c r="R32" i="1931"/>
  <c r="L11" i="1931" s="1"/>
  <c r="D11" i="1931" s="1"/>
  <c r="R31" i="1931"/>
  <c r="R30" i="1931"/>
  <c r="R29" i="1931"/>
  <c r="R28" i="1931"/>
  <c r="L16" i="1931" s="1"/>
  <c r="D16" i="1931" s="1"/>
  <c r="R27" i="1931"/>
  <c r="D27" i="1931"/>
  <c r="R26" i="1931"/>
  <c r="L26" i="1931"/>
  <c r="D26" i="1931"/>
  <c r="R25" i="1931"/>
  <c r="L25" i="1931"/>
  <c r="D25" i="1931" s="1"/>
  <c r="R24" i="1931"/>
  <c r="L24" i="1931"/>
  <c r="D24" i="1931" s="1"/>
  <c r="R23" i="1931"/>
  <c r="D23" i="1931"/>
  <c r="R22" i="1931"/>
  <c r="D22" i="1931"/>
  <c r="R21" i="1931"/>
  <c r="D21" i="1931"/>
  <c r="R20" i="1931"/>
  <c r="R19" i="1931"/>
  <c r="D19" i="1931"/>
  <c r="R18" i="1931"/>
  <c r="D18" i="1931"/>
  <c r="R17" i="1931"/>
  <c r="L17" i="1931"/>
  <c r="D17" i="1931" s="1"/>
  <c r="R16" i="1931"/>
  <c r="R15" i="1931"/>
  <c r="D15" i="1931"/>
  <c r="R14" i="1931"/>
  <c r="D14" i="1931"/>
  <c r="R13" i="1931"/>
  <c r="D13" i="1931"/>
  <c r="R12" i="1931"/>
  <c r="R11" i="1931"/>
  <c r="L10" i="1931"/>
  <c r="D10" i="1931" s="1"/>
  <c r="L9" i="1931"/>
  <c r="D9" i="1931" s="1"/>
  <c r="L8" i="1931"/>
  <c r="D8" i="1931" s="1"/>
  <c r="L7" i="1931"/>
  <c r="D7" i="1931"/>
  <c r="R6" i="1931"/>
  <c r="L6" i="1931"/>
  <c r="D6" i="1931" s="1"/>
  <c r="D29" i="1931" s="1"/>
  <c r="H13" i="1931" s="1"/>
  <c r="H15" i="1931" s="1"/>
  <c r="H29" i="1931" s="1"/>
  <c r="R5" i="1931"/>
  <c r="R4" i="1931"/>
  <c r="R52" i="1930"/>
  <c r="R51" i="1930"/>
  <c r="D50" i="1930"/>
  <c r="R49" i="1930"/>
  <c r="G49" i="1930"/>
  <c r="D49" i="1930"/>
  <c r="R48" i="1930"/>
  <c r="D48" i="1930"/>
  <c r="D46" i="1930"/>
  <c r="D45" i="1930"/>
  <c r="D44" i="1930"/>
  <c r="R42" i="1930"/>
  <c r="L6" i="1930" s="1"/>
  <c r="D6" i="1930" s="1"/>
  <c r="D42" i="1930"/>
  <c r="R41" i="1930"/>
  <c r="L7" i="1930" s="1"/>
  <c r="D7" i="1930" s="1"/>
  <c r="D41" i="1930"/>
  <c r="R40" i="1930"/>
  <c r="D40" i="1930"/>
  <c r="R39" i="1930"/>
  <c r="D39" i="1930"/>
  <c r="R38" i="1930"/>
  <c r="L9" i="1930" s="1"/>
  <c r="D9" i="1930" s="1"/>
  <c r="D38" i="1930"/>
  <c r="R37" i="1930"/>
  <c r="D37" i="1930"/>
  <c r="R36" i="1930"/>
  <c r="D36" i="1930"/>
  <c r="R35" i="1930"/>
  <c r="D35" i="1930"/>
  <c r="R34" i="1930"/>
  <c r="L12" i="1930" s="1"/>
  <c r="D12" i="1930" s="1"/>
  <c r="D34" i="1930"/>
  <c r="D54" i="1930" s="1"/>
  <c r="H14" i="1930" s="1"/>
  <c r="R33" i="1930"/>
  <c r="L23" i="1930" s="1"/>
  <c r="D23" i="1930" s="1"/>
  <c r="R32" i="1930"/>
  <c r="R31" i="1930"/>
  <c r="R30" i="1930"/>
  <c r="R29" i="1930"/>
  <c r="R28" i="1930"/>
  <c r="L16" i="1930" s="1"/>
  <c r="D16" i="1930" s="1"/>
  <c r="D28" i="1930"/>
  <c r="R27" i="1930"/>
  <c r="D27" i="1930"/>
  <c r="R26" i="1930"/>
  <c r="L26" i="1930"/>
  <c r="D26" i="1930"/>
  <c r="R25" i="1930"/>
  <c r="L25" i="1930"/>
  <c r="D25" i="1930"/>
  <c r="R24" i="1930"/>
  <c r="D24" i="1930"/>
  <c r="R23" i="1930"/>
  <c r="R22" i="1930"/>
  <c r="L22" i="1930"/>
  <c r="D22" i="1930" s="1"/>
  <c r="R21" i="1930"/>
  <c r="D21" i="1930"/>
  <c r="R20" i="1930"/>
  <c r="L20" i="1930"/>
  <c r="D20" i="1930"/>
  <c r="R19" i="1930"/>
  <c r="L19" i="1930"/>
  <c r="D19" i="1930"/>
  <c r="R18" i="1930"/>
  <c r="D18" i="1930"/>
  <c r="R17" i="1930"/>
  <c r="D17" i="1930"/>
  <c r="R16" i="1930"/>
  <c r="S15" i="1930"/>
  <c r="R15" i="1930"/>
  <c r="D15" i="1930"/>
  <c r="S14" i="1930"/>
  <c r="R14" i="1930"/>
  <c r="D14" i="1930"/>
  <c r="R13" i="1930"/>
  <c r="D13" i="1930"/>
  <c r="R12" i="1930"/>
  <c r="R11" i="1930"/>
  <c r="L11" i="1930"/>
  <c r="D11" i="1930" s="1"/>
  <c r="L10" i="1930"/>
  <c r="D10" i="1930" s="1"/>
  <c r="L8" i="1930"/>
  <c r="D8" i="1930" s="1"/>
  <c r="R6" i="1930"/>
  <c r="R5" i="1930"/>
  <c r="R4" i="1930"/>
  <c r="R52" i="1929"/>
  <c r="L22" i="1929" s="1"/>
  <c r="D22" i="1929" s="1"/>
  <c r="R51" i="1929"/>
  <c r="D50" i="1929"/>
  <c r="R49" i="1929"/>
  <c r="G49" i="1929"/>
  <c r="D49" i="1929"/>
  <c r="R48" i="1929"/>
  <c r="D48" i="1929"/>
  <c r="D46" i="1929"/>
  <c r="D45" i="1929"/>
  <c r="R44" i="1929"/>
  <c r="L28" i="1929" s="1"/>
  <c r="D28" i="1929" s="1"/>
  <c r="D44" i="1929"/>
  <c r="R42" i="1929"/>
  <c r="D42" i="1929"/>
  <c r="R41" i="1929"/>
  <c r="D41" i="1929"/>
  <c r="R40" i="1929"/>
  <c r="D40" i="1929"/>
  <c r="R39" i="1929"/>
  <c r="H39" i="1929"/>
  <c r="D39" i="1929"/>
  <c r="R38" i="1929"/>
  <c r="H38" i="1929"/>
  <c r="D38" i="1929"/>
  <c r="R37" i="1929"/>
  <c r="H37" i="1929"/>
  <c r="D37" i="1929"/>
  <c r="R36" i="1929"/>
  <c r="L10" i="1929" s="1"/>
  <c r="D10" i="1929" s="1"/>
  <c r="H36" i="1929"/>
  <c r="D36" i="1929"/>
  <c r="R35" i="1929"/>
  <c r="H35" i="1929"/>
  <c r="D35" i="1929"/>
  <c r="R34" i="1929"/>
  <c r="H34" i="1929"/>
  <c r="D34" i="1929"/>
  <c r="D54" i="1929" s="1"/>
  <c r="H14" i="1929" s="1"/>
  <c r="R33" i="1929"/>
  <c r="L23" i="1929" s="1"/>
  <c r="D23" i="1929" s="1"/>
  <c r="R32" i="1929"/>
  <c r="R31" i="1929"/>
  <c r="R30" i="1929"/>
  <c r="R29" i="1929"/>
  <c r="R28" i="1929"/>
  <c r="R27" i="1929"/>
  <c r="D27" i="1929"/>
  <c r="R26" i="1929"/>
  <c r="L26" i="1929"/>
  <c r="D26" i="1929"/>
  <c r="R25" i="1929"/>
  <c r="L25" i="1929"/>
  <c r="D25" i="1929" s="1"/>
  <c r="R24" i="1929"/>
  <c r="D24" i="1929"/>
  <c r="R23" i="1929"/>
  <c r="R22" i="1929"/>
  <c r="R21" i="1929"/>
  <c r="D21" i="1929"/>
  <c r="R20" i="1929"/>
  <c r="L20" i="1929"/>
  <c r="D20" i="1929"/>
  <c r="R19" i="1929"/>
  <c r="L19" i="1929"/>
  <c r="D19" i="1929" s="1"/>
  <c r="R18" i="1929"/>
  <c r="D18" i="1929"/>
  <c r="R17" i="1929"/>
  <c r="D17" i="1929"/>
  <c r="R16" i="1929"/>
  <c r="L16" i="1929"/>
  <c r="D16" i="1929" s="1"/>
  <c r="R15" i="1929"/>
  <c r="D15" i="1929"/>
  <c r="R14" i="1929"/>
  <c r="D14" i="1929"/>
  <c r="R13" i="1929"/>
  <c r="D13" i="1929"/>
  <c r="R12" i="1929"/>
  <c r="L12" i="1929"/>
  <c r="D12" i="1929" s="1"/>
  <c r="R11" i="1929"/>
  <c r="L11" i="1929"/>
  <c r="D11" i="1929"/>
  <c r="L9" i="1929"/>
  <c r="D9" i="1929"/>
  <c r="L8" i="1929"/>
  <c r="D8" i="1929"/>
  <c r="L7" i="1929"/>
  <c r="D7" i="1929"/>
  <c r="R6" i="1929"/>
  <c r="L6" i="1929"/>
  <c r="D6" i="1929"/>
  <c r="D29" i="1929" s="1"/>
  <c r="H13" i="1929" s="1"/>
  <c r="H15" i="1929" s="1"/>
  <c r="H29" i="1929" s="1"/>
  <c r="R5" i="1929"/>
  <c r="R4" i="1929"/>
  <c r="R52" i="1928"/>
  <c r="R51" i="1928"/>
  <c r="D50" i="1928"/>
  <c r="R49" i="1928"/>
  <c r="D49" i="1928"/>
  <c r="R48" i="1928"/>
  <c r="D48" i="1928"/>
  <c r="D46" i="1928"/>
  <c r="D45" i="1928"/>
  <c r="R44" i="1928"/>
  <c r="D44" i="1928"/>
  <c r="R42" i="1928"/>
  <c r="L6" i="1928" s="1"/>
  <c r="D6" i="1928" s="1"/>
  <c r="D42" i="1928"/>
  <c r="R41" i="1928"/>
  <c r="D41" i="1928"/>
  <c r="R40" i="1928"/>
  <c r="L8" i="1928" s="1"/>
  <c r="D8" i="1928" s="1"/>
  <c r="D40" i="1928"/>
  <c r="R39" i="1928"/>
  <c r="H39" i="1928"/>
  <c r="D39" i="1928"/>
  <c r="R38" i="1928"/>
  <c r="H38" i="1928"/>
  <c r="D38" i="1928"/>
  <c r="R37" i="1928"/>
  <c r="H37" i="1928"/>
  <c r="D37" i="1928"/>
  <c r="R36" i="1928"/>
  <c r="L10" i="1928" s="1"/>
  <c r="D10" i="1928" s="1"/>
  <c r="H36" i="1928"/>
  <c r="D36" i="1928"/>
  <c r="R35" i="1928"/>
  <c r="L19" i="1928" s="1"/>
  <c r="D19" i="1928" s="1"/>
  <c r="H35" i="1928"/>
  <c r="D35" i="1928"/>
  <c r="R34" i="1928"/>
  <c r="L12" i="1928" s="1"/>
  <c r="D12" i="1928" s="1"/>
  <c r="H34" i="1928"/>
  <c r="D34" i="1928"/>
  <c r="R33" i="1928"/>
  <c r="R32" i="1928"/>
  <c r="R31" i="1928"/>
  <c r="R30" i="1928"/>
  <c r="R29" i="1928"/>
  <c r="R28" i="1928"/>
  <c r="L28" i="1928"/>
  <c r="D28" i="1928"/>
  <c r="R27" i="1928"/>
  <c r="D27" i="1928"/>
  <c r="R26" i="1928"/>
  <c r="L26" i="1928"/>
  <c r="D26" i="1928" s="1"/>
  <c r="R25" i="1928"/>
  <c r="L25" i="1928"/>
  <c r="D25" i="1928" s="1"/>
  <c r="R24" i="1928"/>
  <c r="L24" i="1928"/>
  <c r="D24" i="1928"/>
  <c r="R23" i="1928"/>
  <c r="L23" i="1928"/>
  <c r="D23" i="1928"/>
  <c r="R22" i="1928"/>
  <c r="L22" i="1928"/>
  <c r="D22" i="1928" s="1"/>
  <c r="R21" i="1928"/>
  <c r="D21" i="1928"/>
  <c r="R20" i="1928"/>
  <c r="L20" i="1928"/>
  <c r="D20" i="1928"/>
  <c r="R19" i="1928"/>
  <c r="R18" i="1928"/>
  <c r="D18" i="1928"/>
  <c r="R17" i="1928"/>
  <c r="L17" i="1928"/>
  <c r="D17" i="1928"/>
  <c r="R16" i="1928"/>
  <c r="L16" i="1928"/>
  <c r="D16" i="1928" s="1"/>
  <c r="R15" i="1928"/>
  <c r="D15" i="1928"/>
  <c r="R14" i="1928"/>
  <c r="D14" i="1928"/>
  <c r="R13" i="1928"/>
  <c r="D13" i="1928"/>
  <c r="R12" i="1928"/>
  <c r="R11" i="1928"/>
  <c r="L11" i="1928"/>
  <c r="D11" i="1928"/>
  <c r="L9" i="1928"/>
  <c r="D9" i="1928" s="1"/>
  <c r="L7" i="1928"/>
  <c r="D7" i="1928" s="1"/>
  <c r="R6" i="1928"/>
  <c r="R5" i="1928"/>
  <c r="R4" i="1928"/>
  <c r="D54" i="1927"/>
  <c r="H14" i="1927" s="1"/>
  <c r="R52" i="1927"/>
  <c r="R51" i="1927"/>
  <c r="D50" i="1927"/>
  <c r="R49" i="1927"/>
  <c r="D49" i="1927"/>
  <c r="R48" i="1927"/>
  <c r="D48" i="1927"/>
  <c r="D46" i="1927"/>
  <c r="D45" i="1927"/>
  <c r="R44" i="1927"/>
  <c r="L28" i="1927" s="1"/>
  <c r="D28" i="1927" s="1"/>
  <c r="D44" i="1927"/>
  <c r="R42" i="1927"/>
  <c r="L6" i="1927" s="1"/>
  <c r="D6" i="1927" s="1"/>
  <c r="D42" i="1927"/>
  <c r="R41" i="1927"/>
  <c r="L7" i="1927" s="1"/>
  <c r="D7" i="1927" s="1"/>
  <c r="D41" i="1927"/>
  <c r="R40" i="1927"/>
  <c r="D40" i="1927"/>
  <c r="R39" i="1927"/>
  <c r="L20" i="1927" s="1"/>
  <c r="D20" i="1927" s="1"/>
  <c r="H39" i="1927"/>
  <c r="D39" i="1927"/>
  <c r="R38" i="1927"/>
  <c r="H38" i="1927"/>
  <c r="D38" i="1927"/>
  <c r="R37" i="1927"/>
  <c r="H37" i="1927"/>
  <c r="D37" i="1927"/>
  <c r="R36" i="1927"/>
  <c r="L10" i="1927" s="1"/>
  <c r="D10" i="1927" s="1"/>
  <c r="H36" i="1927"/>
  <c r="D36" i="1927"/>
  <c r="R35" i="1927"/>
  <c r="H35" i="1927"/>
  <c r="D35" i="1927"/>
  <c r="R34" i="1927"/>
  <c r="L12" i="1927" s="1"/>
  <c r="D12" i="1927" s="1"/>
  <c r="H34" i="1927"/>
  <c r="D34" i="1927"/>
  <c r="R33" i="1927"/>
  <c r="R32" i="1927"/>
  <c r="R31" i="1927"/>
  <c r="R30" i="1927"/>
  <c r="R29" i="1927"/>
  <c r="R28" i="1927"/>
  <c r="L16" i="1927" s="1"/>
  <c r="D16" i="1927" s="1"/>
  <c r="R27" i="1927"/>
  <c r="D27" i="1927"/>
  <c r="R26" i="1927"/>
  <c r="L26" i="1927"/>
  <c r="D26" i="1927"/>
  <c r="R25" i="1927"/>
  <c r="L25" i="1927"/>
  <c r="D25" i="1927"/>
  <c r="R24" i="1927"/>
  <c r="L24" i="1927"/>
  <c r="D24" i="1927"/>
  <c r="R23" i="1927"/>
  <c r="D23" i="1927"/>
  <c r="R22" i="1927"/>
  <c r="D22" i="1927"/>
  <c r="R21" i="1927"/>
  <c r="D21" i="1927"/>
  <c r="R20" i="1927"/>
  <c r="R19" i="1927"/>
  <c r="D19" i="1927"/>
  <c r="R18" i="1927"/>
  <c r="D18" i="1927"/>
  <c r="R17" i="1927"/>
  <c r="L17" i="1927"/>
  <c r="D17" i="1927"/>
  <c r="R16" i="1927"/>
  <c r="R15" i="1927"/>
  <c r="D15" i="1927"/>
  <c r="R14" i="1927"/>
  <c r="D14" i="1927"/>
  <c r="R13" i="1927"/>
  <c r="D13" i="1927"/>
  <c r="R12" i="1927"/>
  <c r="R11" i="1927"/>
  <c r="L11" i="1927"/>
  <c r="D11" i="1927"/>
  <c r="L9" i="1927"/>
  <c r="D9" i="1927"/>
  <c r="L8" i="1927"/>
  <c r="D8" i="1927"/>
  <c r="R6" i="1927"/>
  <c r="R5" i="1927"/>
  <c r="R4" i="1927"/>
  <c r="R52" i="1926"/>
  <c r="R51" i="1926"/>
  <c r="D50" i="1926"/>
  <c r="R49" i="1926"/>
  <c r="G49" i="1926"/>
  <c r="D49" i="1926"/>
  <c r="R48" i="1926"/>
  <c r="D48" i="1926"/>
  <c r="D46" i="1926"/>
  <c r="D45" i="1926"/>
  <c r="D44" i="1926"/>
  <c r="R42" i="1926"/>
  <c r="L6" i="1926" s="1"/>
  <c r="D6" i="1926" s="1"/>
  <c r="D42" i="1926"/>
  <c r="R41" i="1926"/>
  <c r="L7" i="1926" s="1"/>
  <c r="D7" i="1926" s="1"/>
  <c r="D41" i="1926"/>
  <c r="R40" i="1926"/>
  <c r="D40" i="1926"/>
  <c r="R39" i="1926"/>
  <c r="D39" i="1926"/>
  <c r="R38" i="1926"/>
  <c r="D38" i="1926"/>
  <c r="R37" i="1926"/>
  <c r="D37" i="1926"/>
  <c r="R36" i="1926"/>
  <c r="D36" i="1926"/>
  <c r="R35" i="1926"/>
  <c r="D35" i="1926"/>
  <c r="R34" i="1926"/>
  <c r="L12" i="1926" s="1"/>
  <c r="D12" i="1926" s="1"/>
  <c r="D34" i="1926"/>
  <c r="D54" i="1926" s="1"/>
  <c r="H14" i="1926" s="1"/>
  <c r="R33" i="1926"/>
  <c r="L23" i="1926" s="1"/>
  <c r="D23" i="1926" s="1"/>
  <c r="R32" i="1926"/>
  <c r="R31" i="1926"/>
  <c r="R30" i="1926"/>
  <c r="R29" i="1926"/>
  <c r="R28" i="1926"/>
  <c r="L16" i="1926" s="1"/>
  <c r="D16" i="1926" s="1"/>
  <c r="D28" i="1926"/>
  <c r="R27" i="1926"/>
  <c r="D27" i="1926"/>
  <c r="R26" i="1926"/>
  <c r="L26" i="1926"/>
  <c r="D26" i="1926"/>
  <c r="R25" i="1926"/>
  <c r="L25" i="1926"/>
  <c r="D25" i="1926"/>
  <c r="R24" i="1926"/>
  <c r="D24" i="1926"/>
  <c r="R23" i="1926"/>
  <c r="R22" i="1926"/>
  <c r="L22" i="1926"/>
  <c r="D22" i="1926" s="1"/>
  <c r="R21" i="1926"/>
  <c r="D21" i="1926"/>
  <c r="R20" i="1926"/>
  <c r="L20" i="1926"/>
  <c r="D20" i="1926"/>
  <c r="R19" i="1926"/>
  <c r="L19" i="1926"/>
  <c r="D19" i="1926"/>
  <c r="R18" i="1926"/>
  <c r="D18" i="1926"/>
  <c r="R17" i="1926"/>
  <c r="D17" i="1926"/>
  <c r="R16" i="1926"/>
  <c r="S15" i="1926"/>
  <c r="R15" i="1926"/>
  <c r="D15" i="1926"/>
  <c r="S14" i="1926"/>
  <c r="R14" i="1926"/>
  <c r="D14" i="1926"/>
  <c r="R13" i="1926"/>
  <c r="D13" i="1926"/>
  <c r="R12" i="1926"/>
  <c r="R11" i="1926"/>
  <c r="L11" i="1926"/>
  <c r="D11" i="1926"/>
  <c r="L10" i="1926"/>
  <c r="D10" i="1926"/>
  <c r="L9" i="1926"/>
  <c r="D9" i="1926"/>
  <c r="L8" i="1926"/>
  <c r="D8" i="1926"/>
  <c r="R6" i="1926"/>
  <c r="R5" i="1926"/>
  <c r="R4" i="1926"/>
  <c r="R52" i="1925"/>
  <c r="R51" i="1925"/>
  <c r="D50" i="1925"/>
  <c r="R49" i="1925"/>
  <c r="D49" i="1925"/>
  <c r="R48" i="1925"/>
  <c r="D48" i="1925"/>
  <c r="D46" i="1925"/>
  <c r="D45" i="1925"/>
  <c r="R44" i="1925"/>
  <c r="L28" i="1925" s="1"/>
  <c r="D28" i="1925" s="1"/>
  <c r="D44" i="1925"/>
  <c r="R42" i="1925"/>
  <c r="L6" i="1925" s="1"/>
  <c r="D6" i="1925" s="1"/>
  <c r="D42" i="1925"/>
  <c r="R41" i="1925"/>
  <c r="D41" i="1925"/>
  <c r="R40" i="1925"/>
  <c r="D40" i="1925"/>
  <c r="R39" i="1925"/>
  <c r="H39" i="1925"/>
  <c r="D39" i="1925"/>
  <c r="R38" i="1925"/>
  <c r="L9" i="1925" s="1"/>
  <c r="D9" i="1925" s="1"/>
  <c r="H38" i="1925"/>
  <c r="D38" i="1925"/>
  <c r="R37" i="1925"/>
  <c r="H37" i="1925"/>
  <c r="D37" i="1925"/>
  <c r="R36" i="1925"/>
  <c r="L10" i="1925" s="1"/>
  <c r="D10" i="1925" s="1"/>
  <c r="H36" i="1925"/>
  <c r="D36" i="1925"/>
  <c r="R35" i="1925"/>
  <c r="H35" i="1925"/>
  <c r="D35" i="1925"/>
  <c r="R34" i="1925"/>
  <c r="L12" i="1925" s="1"/>
  <c r="D12" i="1925" s="1"/>
  <c r="H34" i="1925"/>
  <c r="G49" i="1925" s="1"/>
  <c r="D34" i="1925"/>
  <c r="D54" i="1925" s="1"/>
  <c r="H14" i="1925" s="1"/>
  <c r="R33" i="1925"/>
  <c r="R32" i="1925"/>
  <c r="R31" i="1925"/>
  <c r="R30" i="1925"/>
  <c r="R29" i="1925"/>
  <c r="R28" i="1925"/>
  <c r="L16" i="1925" s="1"/>
  <c r="D16" i="1925" s="1"/>
  <c r="R27" i="1925"/>
  <c r="D27" i="1925"/>
  <c r="R26" i="1925"/>
  <c r="L26" i="1925"/>
  <c r="D26" i="1925" s="1"/>
  <c r="R25" i="1925"/>
  <c r="L25" i="1925"/>
  <c r="D25" i="1925"/>
  <c r="R24" i="1925"/>
  <c r="D24" i="1925"/>
  <c r="R23" i="1925"/>
  <c r="L23" i="1925"/>
  <c r="D23" i="1925"/>
  <c r="R22" i="1925"/>
  <c r="L22" i="1925"/>
  <c r="D22" i="1925"/>
  <c r="R21" i="1925"/>
  <c r="D21" i="1925"/>
  <c r="R20" i="1925"/>
  <c r="L20" i="1925"/>
  <c r="D20" i="1925" s="1"/>
  <c r="R19" i="1925"/>
  <c r="L19" i="1925"/>
  <c r="D19" i="1925"/>
  <c r="R18" i="1925"/>
  <c r="D18" i="1925"/>
  <c r="R17" i="1925"/>
  <c r="D17" i="1925"/>
  <c r="R16" i="1925"/>
  <c r="R15" i="1925"/>
  <c r="D15" i="1925"/>
  <c r="R14" i="1925"/>
  <c r="D14" i="1925"/>
  <c r="R13" i="1925"/>
  <c r="D13" i="1925"/>
  <c r="R12" i="1925"/>
  <c r="R11" i="1925"/>
  <c r="L11" i="1925"/>
  <c r="D11" i="1925"/>
  <c r="L8" i="1925"/>
  <c r="D8" i="1925" s="1"/>
  <c r="L7" i="1925"/>
  <c r="D7" i="1925" s="1"/>
  <c r="R6" i="1925"/>
  <c r="R5" i="1925"/>
  <c r="R4" i="1925"/>
  <c r="R52" i="1924"/>
  <c r="R51" i="1924"/>
  <c r="D50" i="1924"/>
  <c r="R49" i="1924"/>
  <c r="D49" i="1924"/>
  <c r="R48" i="1924"/>
  <c r="D48" i="1924"/>
  <c r="D46" i="1924"/>
  <c r="D45" i="1924"/>
  <c r="R44" i="1924"/>
  <c r="D44" i="1924"/>
  <c r="R42" i="1924"/>
  <c r="L6" i="1924" s="1"/>
  <c r="D6" i="1924" s="1"/>
  <c r="D42" i="1924"/>
  <c r="R41" i="1924"/>
  <c r="L7" i="1924" s="1"/>
  <c r="D7" i="1924" s="1"/>
  <c r="D41" i="1924"/>
  <c r="R40" i="1924"/>
  <c r="D40" i="1924"/>
  <c r="R39" i="1924"/>
  <c r="H39" i="1924"/>
  <c r="D39" i="1924"/>
  <c r="R38" i="1924"/>
  <c r="L9" i="1924" s="1"/>
  <c r="D9" i="1924" s="1"/>
  <c r="H38" i="1924"/>
  <c r="D38" i="1924"/>
  <c r="R37" i="1924"/>
  <c r="H37" i="1924"/>
  <c r="D37" i="1924"/>
  <c r="R36" i="1924"/>
  <c r="H36" i="1924"/>
  <c r="D36" i="1924"/>
  <c r="R35" i="1924"/>
  <c r="L19" i="1924" s="1"/>
  <c r="D19" i="1924" s="1"/>
  <c r="H35" i="1924"/>
  <c r="D35" i="1924"/>
  <c r="R34" i="1924"/>
  <c r="H34" i="1924"/>
  <c r="D34" i="1924"/>
  <c r="R33" i="1924"/>
  <c r="R32" i="1924"/>
  <c r="R31" i="1924"/>
  <c r="R30" i="1924"/>
  <c r="R29" i="1924"/>
  <c r="R28" i="1924"/>
  <c r="L28" i="1924"/>
  <c r="D28" i="1924"/>
  <c r="R27" i="1924"/>
  <c r="D27" i="1924"/>
  <c r="R26" i="1924"/>
  <c r="D26" i="1924"/>
  <c r="R25" i="1924"/>
  <c r="L25" i="1924"/>
  <c r="D25" i="1924"/>
  <c r="R24" i="1924"/>
  <c r="D24" i="1924"/>
  <c r="R23" i="1924"/>
  <c r="L23" i="1924"/>
  <c r="D23" i="1924"/>
  <c r="R22" i="1924"/>
  <c r="L22" i="1924"/>
  <c r="D22" i="1924"/>
  <c r="R21" i="1924"/>
  <c r="D21" i="1924"/>
  <c r="R20" i="1924"/>
  <c r="L20" i="1924"/>
  <c r="D20" i="1924" s="1"/>
  <c r="R19" i="1924"/>
  <c r="R18" i="1924"/>
  <c r="D18" i="1924"/>
  <c r="R17" i="1924"/>
  <c r="L17" i="1924"/>
  <c r="D17" i="1924"/>
  <c r="R16" i="1924"/>
  <c r="L16" i="1924"/>
  <c r="D16" i="1924"/>
  <c r="R15" i="1924"/>
  <c r="D15" i="1924"/>
  <c r="R14" i="1924"/>
  <c r="D14" i="1924"/>
  <c r="R13" i="1924"/>
  <c r="D13" i="1924"/>
  <c r="R12" i="1924"/>
  <c r="L12" i="1924"/>
  <c r="D12" i="1924"/>
  <c r="R11" i="1924"/>
  <c r="L11" i="1924"/>
  <c r="D11" i="1924"/>
  <c r="L10" i="1924"/>
  <c r="D10" i="1924" s="1"/>
  <c r="L8" i="1924"/>
  <c r="D8" i="1924" s="1"/>
  <c r="R6" i="1924"/>
  <c r="R5" i="1924"/>
  <c r="R4" i="1924"/>
  <c r="R52" i="1923"/>
  <c r="R51" i="1923"/>
  <c r="D50" i="1923"/>
  <c r="R49" i="1923"/>
  <c r="D49" i="1923"/>
  <c r="R48" i="1923"/>
  <c r="D48" i="1923"/>
  <c r="D46" i="1923"/>
  <c r="D45" i="1923"/>
  <c r="R44" i="1923"/>
  <c r="D44" i="1923"/>
  <c r="R42" i="1923"/>
  <c r="L6" i="1923" s="1"/>
  <c r="D6" i="1923" s="1"/>
  <c r="D42" i="1923"/>
  <c r="R41" i="1923"/>
  <c r="D41" i="1923"/>
  <c r="R40" i="1923"/>
  <c r="L8" i="1923" s="1"/>
  <c r="D8" i="1923" s="1"/>
  <c r="D40" i="1923"/>
  <c r="R39" i="1923"/>
  <c r="H39" i="1923"/>
  <c r="D39" i="1923"/>
  <c r="R38" i="1923"/>
  <c r="H38" i="1923"/>
  <c r="D38" i="1923"/>
  <c r="R37" i="1923"/>
  <c r="H37" i="1923"/>
  <c r="D37" i="1923"/>
  <c r="R36" i="1923"/>
  <c r="H36" i="1923"/>
  <c r="D36" i="1923"/>
  <c r="R35" i="1923"/>
  <c r="H35" i="1923"/>
  <c r="D35" i="1923"/>
  <c r="R34" i="1923"/>
  <c r="H34" i="1923"/>
  <c r="D34" i="1923"/>
  <c r="R33" i="1923"/>
  <c r="R32" i="1923"/>
  <c r="R31" i="1923"/>
  <c r="R30" i="1923"/>
  <c r="R29" i="1923"/>
  <c r="R28" i="1923"/>
  <c r="L16" i="1923" s="1"/>
  <c r="D16" i="1923" s="1"/>
  <c r="L28" i="1923"/>
  <c r="D28" i="1923"/>
  <c r="R27" i="1923"/>
  <c r="D27" i="1923"/>
  <c r="R26" i="1923"/>
  <c r="L26" i="1923"/>
  <c r="D26" i="1923" s="1"/>
  <c r="R25" i="1923"/>
  <c r="L25" i="1923"/>
  <c r="D25" i="1923"/>
  <c r="R24" i="1923"/>
  <c r="L24" i="1923"/>
  <c r="D24" i="1923"/>
  <c r="R23" i="1923"/>
  <c r="D23" i="1923"/>
  <c r="R22" i="1923"/>
  <c r="D22" i="1923"/>
  <c r="R21" i="1923"/>
  <c r="D21" i="1923"/>
  <c r="R20" i="1923"/>
  <c r="L20" i="1923"/>
  <c r="D20" i="1923"/>
  <c r="R19" i="1923"/>
  <c r="D19" i="1923"/>
  <c r="R18" i="1923"/>
  <c r="D18" i="1923"/>
  <c r="R17" i="1923"/>
  <c r="L17" i="1923"/>
  <c r="D17" i="1923"/>
  <c r="R16" i="1923"/>
  <c r="R15" i="1923"/>
  <c r="D15" i="1923"/>
  <c r="R14" i="1923"/>
  <c r="D14" i="1923"/>
  <c r="R13" i="1923"/>
  <c r="D13" i="1923"/>
  <c r="R12" i="1923"/>
  <c r="L12" i="1923"/>
  <c r="D12" i="1923"/>
  <c r="R11" i="1923"/>
  <c r="L11" i="1923"/>
  <c r="D11" i="1923"/>
  <c r="L10" i="1923"/>
  <c r="D10" i="1923"/>
  <c r="L9" i="1923"/>
  <c r="D9" i="1923" s="1"/>
  <c r="L7" i="1923"/>
  <c r="D7" i="1923" s="1"/>
  <c r="R6" i="1923"/>
  <c r="R5" i="1923"/>
  <c r="R4" i="1923"/>
  <c r="R52" i="1922"/>
  <c r="R51" i="1922"/>
  <c r="D50" i="1922"/>
  <c r="D54" i="1922" s="1"/>
  <c r="H14" i="1922" s="1"/>
  <c r="R49" i="1922"/>
  <c r="G49" i="1922"/>
  <c r="D49" i="1922"/>
  <c r="R48" i="1922"/>
  <c r="D48" i="1922"/>
  <c r="D46" i="1922"/>
  <c r="D45" i="1922"/>
  <c r="D44" i="1922"/>
  <c r="R42" i="1922"/>
  <c r="D42" i="1922"/>
  <c r="R41" i="1922"/>
  <c r="L7" i="1922" s="1"/>
  <c r="D7" i="1922" s="1"/>
  <c r="D41" i="1922"/>
  <c r="R40" i="1922"/>
  <c r="L8" i="1922" s="1"/>
  <c r="D8" i="1922" s="1"/>
  <c r="D40" i="1922"/>
  <c r="R39" i="1922"/>
  <c r="D39" i="1922"/>
  <c r="R38" i="1922"/>
  <c r="D38" i="1922"/>
  <c r="R37" i="1922"/>
  <c r="D37" i="1922"/>
  <c r="R36" i="1922"/>
  <c r="L10" i="1922" s="1"/>
  <c r="D10" i="1922" s="1"/>
  <c r="D36" i="1922"/>
  <c r="R35" i="1922"/>
  <c r="D35" i="1922"/>
  <c r="R34" i="1922"/>
  <c r="L12" i="1922" s="1"/>
  <c r="D12" i="1922" s="1"/>
  <c r="D34" i="1922"/>
  <c r="R33" i="1922"/>
  <c r="L23" i="1922" s="1"/>
  <c r="D23" i="1922" s="1"/>
  <c r="R32" i="1922"/>
  <c r="L11" i="1922" s="1"/>
  <c r="D11" i="1922" s="1"/>
  <c r="R31" i="1922"/>
  <c r="R30" i="1922"/>
  <c r="R29" i="1922"/>
  <c r="R28" i="1922"/>
  <c r="D28" i="1922"/>
  <c r="R27" i="1922"/>
  <c r="D27" i="1922"/>
  <c r="R26" i="1922"/>
  <c r="L26" i="1922"/>
  <c r="D26" i="1922"/>
  <c r="R25" i="1922"/>
  <c r="L25" i="1922"/>
  <c r="D25" i="1922"/>
  <c r="R24" i="1922"/>
  <c r="D24" i="1922"/>
  <c r="R23" i="1922"/>
  <c r="R22" i="1922"/>
  <c r="L22" i="1922"/>
  <c r="D22" i="1922"/>
  <c r="R21" i="1922"/>
  <c r="D21" i="1922"/>
  <c r="R20" i="1922"/>
  <c r="L20" i="1922"/>
  <c r="D20" i="1922"/>
  <c r="R19" i="1922"/>
  <c r="L19" i="1922"/>
  <c r="D19" i="1922"/>
  <c r="R18" i="1922"/>
  <c r="D18" i="1922"/>
  <c r="R17" i="1922"/>
  <c r="D17" i="1922"/>
  <c r="R16" i="1922"/>
  <c r="L16" i="1922"/>
  <c r="D16" i="1922" s="1"/>
  <c r="S15" i="1922"/>
  <c r="R15" i="1922"/>
  <c r="D15" i="1922"/>
  <c r="S14" i="1922"/>
  <c r="R14" i="1922"/>
  <c r="D14" i="1922"/>
  <c r="R13" i="1922"/>
  <c r="D13" i="1922"/>
  <c r="R12" i="1922"/>
  <c r="R11" i="1922"/>
  <c r="L9" i="1922"/>
  <c r="D9" i="1922"/>
  <c r="R6" i="1922"/>
  <c r="L6" i="1922"/>
  <c r="D6" i="1922" s="1"/>
  <c r="D29" i="1922" s="1"/>
  <c r="H13" i="1922" s="1"/>
  <c r="H15" i="1922" s="1"/>
  <c r="H29" i="1922" s="1"/>
  <c r="R5" i="1922"/>
  <c r="R4" i="1922"/>
  <c r="G49" i="1927" l="1"/>
  <c r="G49" i="1928"/>
  <c r="D54" i="1928"/>
  <c r="H14" i="1928" s="1"/>
  <c r="G49" i="1924"/>
  <c r="G49" i="1923"/>
  <c r="D54" i="1924"/>
  <c r="H14" i="1924" s="1"/>
  <c r="D54" i="1923"/>
  <c r="H14" i="1923" s="1"/>
  <c r="D29" i="1941"/>
  <c r="H13" i="1941" s="1"/>
  <c r="H15" i="1941" s="1"/>
  <c r="H29" i="1941" s="1"/>
  <c r="G51" i="1941" s="1"/>
  <c r="D29" i="1940"/>
  <c r="H13" i="1940" s="1"/>
  <c r="H15" i="1940" s="1"/>
  <c r="H29" i="1940" s="1"/>
  <c r="G51" i="1940"/>
  <c r="G51" i="1939"/>
  <c r="D29" i="1939"/>
  <c r="H13" i="1939" s="1"/>
  <c r="H15" i="1939" s="1"/>
  <c r="H29" i="1939" s="1"/>
  <c r="D29" i="1938"/>
  <c r="H13" i="1938" s="1"/>
  <c r="H15" i="1938" s="1"/>
  <c r="H29" i="1938" s="1"/>
  <c r="G51" i="1938" s="1"/>
  <c r="G51" i="1937"/>
  <c r="G51" i="1936"/>
  <c r="D29" i="1936"/>
  <c r="H13" i="1936" s="1"/>
  <c r="H15" i="1936" s="1"/>
  <c r="H29" i="1936" s="1"/>
  <c r="D29" i="1935"/>
  <c r="H13" i="1935" s="1"/>
  <c r="H15" i="1935" s="1"/>
  <c r="H29" i="1935" s="1"/>
  <c r="G51" i="1935"/>
  <c r="D29" i="1934"/>
  <c r="H13" i="1934" s="1"/>
  <c r="H15" i="1934" s="1"/>
  <c r="H29" i="1934" s="1"/>
  <c r="G51" i="1934" s="1"/>
  <c r="D29" i="1933"/>
  <c r="H13" i="1933" s="1"/>
  <c r="H15" i="1933" s="1"/>
  <c r="H29" i="1933" s="1"/>
  <c r="G51" i="1933"/>
  <c r="D29" i="1932"/>
  <c r="H13" i="1932" s="1"/>
  <c r="H15" i="1932" s="1"/>
  <c r="H29" i="1932" s="1"/>
  <c r="G51" i="1932" s="1"/>
  <c r="G51" i="1931"/>
  <c r="D29" i="1930"/>
  <c r="H13" i="1930" s="1"/>
  <c r="H15" i="1930" s="1"/>
  <c r="H29" i="1930" s="1"/>
  <c r="G51" i="1930"/>
  <c r="G51" i="1929"/>
  <c r="D29" i="1928"/>
  <c r="H13" i="1928" s="1"/>
  <c r="D29" i="1927"/>
  <c r="H13" i="1927" s="1"/>
  <c r="H15" i="1927" s="1"/>
  <c r="H29" i="1927" s="1"/>
  <c r="D29" i="1926"/>
  <c r="H13" i="1926" s="1"/>
  <c r="H15" i="1926" s="1"/>
  <c r="H29" i="1926" s="1"/>
  <c r="G51" i="1926" s="1"/>
  <c r="D29" i="1925"/>
  <c r="H13" i="1925" s="1"/>
  <c r="H15" i="1925" s="1"/>
  <c r="H29" i="1925" s="1"/>
  <c r="G51" i="1925"/>
  <c r="D29" i="1924"/>
  <c r="H13" i="1924" s="1"/>
  <c r="D29" i="1923"/>
  <c r="H13" i="1923" s="1"/>
  <c r="G51" i="1922"/>
  <c r="H16" i="1913"/>
  <c r="H16" i="1912"/>
  <c r="C20" i="1911"/>
  <c r="R52" i="1921"/>
  <c r="L22" i="1921" s="1"/>
  <c r="D22" i="1921" s="1"/>
  <c r="R51" i="1921"/>
  <c r="D50" i="1921"/>
  <c r="R49" i="1921"/>
  <c r="D49" i="1921"/>
  <c r="R48" i="1921"/>
  <c r="D48" i="1921"/>
  <c r="D46" i="1921"/>
  <c r="D45" i="1921"/>
  <c r="R44" i="1921"/>
  <c r="L28" i="1921" s="1"/>
  <c r="D28" i="1921" s="1"/>
  <c r="D44" i="1921"/>
  <c r="R42" i="1921"/>
  <c r="D42" i="1921"/>
  <c r="R41" i="1921"/>
  <c r="L7" i="1921" s="1"/>
  <c r="D7" i="1921" s="1"/>
  <c r="D41" i="1921"/>
  <c r="R40" i="1921"/>
  <c r="D40" i="1921"/>
  <c r="R39" i="1921"/>
  <c r="H39" i="1921"/>
  <c r="D39" i="1921"/>
  <c r="R38" i="1921"/>
  <c r="H38" i="1921"/>
  <c r="D38" i="1921"/>
  <c r="R37" i="1921"/>
  <c r="H37" i="1921"/>
  <c r="G49" i="1921" s="1"/>
  <c r="D37" i="1921"/>
  <c r="R36" i="1921"/>
  <c r="L10" i="1921" s="1"/>
  <c r="D10" i="1921" s="1"/>
  <c r="H36" i="1921"/>
  <c r="D36" i="1921"/>
  <c r="R35" i="1921"/>
  <c r="H35" i="1921"/>
  <c r="D35" i="1921"/>
  <c r="R34" i="1921"/>
  <c r="H34" i="1921"/>
  <c r="D34" i="1921"/>
  <c r="R33" i="1921"/>
  <c r="L23" i="1921" s="1"/>
  <c r="D23" i="1921" s="1"/>
  <c r="R32" i="1921"/>
  <c r="R31" i="1921"/>
  <c r="R30" i="1921"/>
  <c r="R29" i="1921"/>
  <c r="R28" i="1921"/>
  <c r="R27" i="1921"/>
  <c r="D27" i="1921"/>
  <c r="R26" i="1921"/>
  <c r="L26" i="1921"/>
  <c r="D26" i="1921"/>
  <c r="R25" i="1921"/>
  <c r="L25" i="1921"/>
  <c r="D25" i="1921" s="1"/>
  <c r="R24" i="1921"/>
  <c r="D24" i="1921"/>
  <c r="R23" i="1921"/>
  <c r="R22" i="1921"/>
  <c r="R21" i="1921"/>
  <c r="D21" i="1921"/>
  <c r="R20" i="1921"/>
  <c r="L20" i="1921"/>
  <c r="D20" i="1921"/>
  <c r="R19" i="1921"/>
  <c r="L19" i="1921"/>
  <c r="D19" i="1921" s="1"/>
  <c r="R18" i="1921"/>
  <c r="D18" i="1921"/>
  <c r="R17" i="1921"/>
  <c r="D17" i="1921"/>
  <c r="R16" i="1921"/>
  <c r="L16" i="1921"/>
  <c r="D16" i="1921" s="1"/>
  <c r="R15" i="1921"/>
  <c r="D15" i="1921"/>
  <c r="R14" i="1921"/>
  <c r="D14" i="1921"/>
  <c r="R13" i="1921"/>
  <c r="D13" i="1921"/>
  <c r="R12" i="1921"/>
  <c r="L12" i="1921"/>
  <c r="D12" i="1921"/>
  <c r="R11" i="1921"/>
  <c r="L11" i="1921"/>
  <c r="D11" i="1921"/>
  <c r="L9" i="1921"/>
  <c r="D9" i="1921" s="1"/>
  <c r="L8" i="1921"/>
  <c r="D8" i="1921" s="1"/>
  <c r="R6" i="1921"/>
  <c r="L6" i="1921"/>
  <c r="D6" i="1921" s="1"/>
  <c r="R5" i="1921"/>
  <c r="R4" i="1921"/>
  <c r="R52" i="1920"/>
  <c r="R51" i="1920"/>
  <c r="D50" i="1920"/>
  <c r="R49" i="1920"/>
  <c r="D49" i="1920"/>
  <c r="R48" i="1920"/>
  <c r="D48" i="1920"/>
  <c r="D46" i="1920"/>
  <c r="D45" i="1920"/>
  <c r="R44" i="1920"/>
  <c r="D44" i="1920"/>
  <c r="R42" i="1920"/>
  <c r="D42" i="1920"/>
  <c r="R41" i="1920"/>
  <c r="L7" i="1920" s="1"/>
  <c r="D7" i="1920" s="1"/>
  <c r="D41" i="1920"/>
  <c r="R40" i="1920"/>
  <c r="D40" i="1920"/>
  <c r="R39" i="1920"/>
  <c r="H39" i="1920"/>
  <c r="D39" i="1920"/>
  <c r="R38" i="1920"/>
  <c r="L9" i="1920" s="1"/>
  <c r="D9" i="1920" s="1"/>
  <c r="H38" i="1920"/>
  <c r="D38" i="1920"/>
  <c r="R37" i="1920"/>
  <c r="H37" i="1920"/>
  <c r="D37" i="1920"/>
  <c r="R36" i="1920"/>
  <c r="L10" i="1920" s="1"/>
  <c r="D10" i="1920" s="1"/>
  <c r="H36" i="1920"/>
  <c r="D36" i="1920"/>
  <c r="R35" i="1920"/>
  <c r="L19" i="1920" s="1"/>
  <c r="D19" i="1920" s="1"/>
  <c r="H35" i="1920"/>
  <c r="D35" i="1920"/>
  <c r="R34" i="1920"/>
  <c r="H34" i="1920"/>
  <c r="D34" i="1920"/>
  <c r="R33" i="1920"/>
  <c r="R32" i="1920"/>
  <c r="R31" i="1920"/>
  <c r="R30" i="1920"/>
  <c r="R29" i="1920"/>
  <c r="R28" i="1920"/>
  <c r="L28" i="1920"/>
  <c r="D28" i="1920"/>
  <c r="R27" i="1920"/>
  <c r="D27" i="1920"/>
  <c r="R26" i="1920"/>
  <c r="L26" i="1920"/>
  <c r="D26" i="1920"/>
  <c r="R25" i="1920"/>
  <c r="L25" i="1920"/>
  <c r="D25" i="1920" s="1"/>
  <c r="R24" i="1920"/>
  <c r="L24" i="1920"/>
  <c r="D24" i="1920"/>
  <c r="R23" i="1920"/>
  <c r="L23" i="1920"/>
  <c r="D23" i="1920" s="1"/>
  <c r="R22" i="1920"/>
  <c r="L22" i="1920"/>
  <c r="D22" i="1920" s="1"/>
  <c r="R21" i="1920"/>
  <c r="D21" i="1920"/>
  <c r="R20" i="1920"/>
  <c r="L20" i="1920"/>
  <c r="D20" i="1920"/>
  <c r="R19" i="1920"/>
  <c r="R18" i="1920"/>
  <c r="D18" i="1920"/>
  <c r="R17" i="1920"/>
  <c r="L17" i="1920"/>
  <c r="D17" i="1920" s="1"/>
  <c r="R16" i="1920"/>
  <c r="L16" i="1920"/>
  <c r="D16" i="1920" s="1"/>
  <c r="R15" i="1920"/>
  <c r="D15" i="1920"/>
  <c r="R14" i="1920"/>
  <c r="D14" i="1920"/>
  <c r="R13" i="1920"/>
  <c r="D13" i="1920"/>
  <c r="R12" i="1920"/>
  <c r="L12" i="1920"/>
  <c r="D12" i="1920"/>
  <c r="R11" i="1920"/>
  <c r="L11" i="1920"/>
  <c r="D11" i="1920"/>
  <c r="L8" i="1920"/>
  <c r="D8" i="1920"/>
  <c r="R6" i="1920"/>
  <c r="L6" i="1920"/>
  <c r="D6" i="1920"/>
  <c r="R5" i="1920"/>
  <c r="R4" i="1920"/>
  <c r="R52" i="1919"/>
  <c r="R51" i="1919"/>
  <c r="D50" i="1919"/>
  <c r="R49" i="1919"/>
  <c r="D49" i="1919"/>
  <c r="R48" i="1919"/>
  <c r="D48" i="1919"/>
  <c r="D46" i="1919"/>
  <c r="D45" i="1919"/>
  <c r="R44" i="1919"/>
  <c r="L28" i="1919" s="1"/>
  <c r="D28" i="1919" s="1"/>
  <c r="D44" i="1919"/>
  <c r="R42" i="1919"/>
  <c r="L6" i="1919" s="1"/>
  <c r="D6" i="1919" s="1"/>
  <c r="D42" i="1919"/>
  <c r="R41" i="1919"/>
  <c r="D41" i="1919"/>
  <c r="R40" i="1919"/>
  <c r="L8" i="1919" s="1"/>
  <c r="D8" i="1919" s="1"/>
  <c r="D40" i="1919"/>
  <c r="R39" i="1919"/>
  <c r="H39" i="1919"/>
  <c r="D39" i="1919"/>
  <c r="R38" i="1919"/>
  <c r="H38" i="1919"/>
  <c r="D38" i="1919"/>
  <c r="R37" i="1919"/>
  <c r="H37" i="1919"/>
  <c r="D37" i="1919"/>
  <c r="R36" i="1919"/>
  <c r="L10" i="1919" s="1"/>
  <c r="D10" i="1919" s="1"/>
  <c r="H36" i="1919"/>
  <c r="D36" i="1919"/>
  <c r="R35" i="1919"/>
  <c r="H35" i="1919"/>
  <c r="D35" i="1919"/>
  <c r="D54" i="1919" s="1"/>
  <c r="H14" i="1919" s="1"/>
  <c r="R34" i="1919"/>
  <c r="L12" i="1919" s="1"/>
  <c r="D12" i="1919" s="1"/>
  <c r="H34" i="1919"/>
  <c r="G49" i="1919" s="1"/>
  <c r="D34" i="1919"/>
  <c r="R33" i="1919"/>
  <c r="R32" i="1919"/>
  <c r="L11" i="1919" s="1"/>
  <c r="D11" i="1919" s="1"/>
  <c r="R31" i="1919"/>
  <c r="R30" i="1919"/>
  <c r="R29" i="1919"/>
  <c r="R28" i="1919"/>
  <c r="L16" i="1919" s="1"/>
  <c r="D16" i="1919" s="1"/>
  <c r="R27" i="1919"/>
  <c r="D27" i="1919"/>
  <c r="R26" i="1919"/>
  <c r="L26" i="1919"/>
  <c r="D26" i="1919" s="1"/>
  <c r="R25" i="1919"/>
  <c r="L25" i="1919"/>
  <c r="D25" i="1919"/>
  <c r="R24" i="1919"/>
  <c r="L24" i="1919"/>
  <c r="D24" i="1919"/>
  <c r="R23" i="1919"/>
  <c r="D23" i="1919"/>
  <c r="R22" i="1919"/>
  <c r="D22" i="1919"/>
  <c r="R21" i="1919"/>
  <c r="D21" i="1919"/>
  <c r="R20" i="1919"/>
  <c r="L20" i="1919"/>
  <c r="D20" i="1919"/>
  <c r="R19" i="1919"/>
  <c r="D19" i="1919"/>
  <c r="R18" i="1919"/>
  <c r="D18" i="1919"/>
  <c r="R17" i="1919"/>
  <c r="L17" i="1919"/>
  <c r="D17" i="1919"/>
  <c r="R16" i="1919"/>
  <c r="R15" i="1919"/>
  <c r="D15" i="1919"/>
  <c r="R14" i="1919"/>
  <c r="D14" i="1919"/>
  <c r="R13" i="1919"/>
  <c r="D13" i="1919"/>
  <c r="R12" i="1919"/>
  <c r="R11" i="1919"/>
  <c r="L9" i="1919"/>
  <c r="D9" i="1919"/>
  <c r="L7" i="1919"/>
  <c r="D7" i="1919" s="1"/>
  <c r="R6" i="1919"/>
  <c r="R5" i="1919"/>
  <c r="R4" i="1919"/>
  <c r="D54" i="1918"/>
  <c r="H14" i="1918" s="1"/>
  <c r="R52" i="1918"/>
  <c r="R51" i="1918"/>
  <c r="D50" i="1918"/>
  <c r="R49" i="1918"/>
  <c r="G49" i="1918"/>
  <c r="D49" i="1918"/>
  <c r="R48" i="1918"/>
  <c r="D48" i="1918"/>
  <c r="D46" i="1918"/>
  <c r="D45" i="1918"/>
  <c r="D44" i="1918"/>
  <c r="R42" i="1918"/>
  <c r="L6" i="1918" s="1"/>
  <c r="D6" i="1918" s="1"/>
  <c r="D42" i="1918"/>
  <c r="R41" i="1918"/>
  <c r="L7" i="1918" s="1"/>
  <c r="D7" i="1918" s="1"/>
  <c r="D41" i="1918"/>
  <c r="R40" i="1918"/>
  <c r="D40" i="1918"/>
  <c r="R39" i="1918"/>
  <c r="D39" i="1918"/>
  <c r="R38" i="1918"/>
  <c r="D38" i="1918"/>
  <c r="R37" i="1918"/>
  <c r="D37" i="1918"/>
  <c r="R36" i="1918"/>
  <c r="L10" i="1918" s="1"/>
  <c r="D10" i="1918" s="1"/>
  <c r="D36" i="1918"/>
  <c r="R35" i="1918"/>
  <c r="D35" i="1918"/>
  <c r="R34" i="1918"/>
  <c r="D34" i="1918"/>
  <c r="R33" i="1918"/>
  <c r="L23" i="1918" s="1"/>
  <c r="D23" i="1918" s="1"/>
  <c r="R32" i="1918"/>
  <c r="L11" i="1918" s="1"/>
  <c r="D11" i="1918" s="1"/>
  <c r="R31" i="1918"/>
  <c r="R30" i="1918"/>
  <c r="R29" i="1918"/>
  <c r="R28" i="1918"/>
  <c r="D28" i="1918"/>
  <c r="R27" i="1918"/>
  <c r="D27" i="1918"/>
  <c r="R26" i="1918"/>
  <c r="L26" i="1918"/>
  <c r="D26" i="1918" s="1"/>
  <c r="R25" i="1918"/>
  <c r="L25" i="1918"/>
  <c r="D25" i="1918"/>
  <c r="R24" i="1918"/>
  <c r="D24" i="1918"/>
  <c r="R23" i="1918"/>
  <c r="R22" i="1918"/>
  <c r="L22" i="1918"/>
  <c r="D22" i="1918"/>
  <c r="R21" i="1918"/>
  <c r="D21" i="1918"/>
  <c r="R20" i="1918"/>
  <c r="L20" i="1918"/>
  <c r="D20" i="1918" s="1"/>
  <c r="R19" i="1918"/>
  <c r="L19" i="1918"/>
  <c r="D19" i="1918"/>
  <c r="R18" i="1918"/>
  <c r="D18" i="1918"/>
  <c r="R17" i="1918"/>
  <c r="D17" i="1918"/>
  <c r="R16" i="1918"/>
  <c r="L16" i="1918"/>
  <c r="D16" i="1918" s="1"/>
  <c r="S15" i="1918"/>
  <c r="R15" i="1918"/>
  <c r="D15" i="1918"/>
  <c r="S14" i="1918"/>
  <c r="R14" i="1918"/>
  <c r="D14" i="1918"/>
  <c r="R13" i="1918"/>
  <c r="D13" i="1918"/>
  <c r="R12" i="1918"/>
  <c r="L12" i="1918"/>
  <c r="D12" i="1918" s="1"/>
  <c r="R11" i="1918"/>
  <c r="L9" i="1918"/>
  <c r="D9" i="1918"/>
  <c r="L8" i="1918"/>
  <c r="D8" i="1918" s="1"/>
  <c r="R6" i="1918"/>
  <c r="R5" i="1918"/>
  <c r="R4" i="1918"/>
  <c r="R52" i="1917"/>
  <c r="L22" i="1917" s="1"/>
  <c r="D22" i="1917" s="1"/>
  <c r="R51" i="1917"/>
  <c r="D50" i="1917"/>
  <c r="R49" i="1917"/>
  <c r="D49" i="1917"/>
  <c r="R48" i="1917"/>
  <c r="D48" i="1917"/>
  <c r="D46" i="1917"/>
  <c r="D45" i="1917"/>
  <c r="R44" i="1917"/>
  <c r="D44" i="1917"/>
  <c r="R42" i="1917"/>
  <c r="D42" i="1917"/>
  <c r="R41" i="1917"/>
  <c r="L7" i="1917" s="1"/>
  <c r="D7" i="1917" s="1"/>
  <c r="D41" i="1917"/>
  <c r="R40" i="1917"/>
  <c r="D40" i="1917"/>
  <c r="R39" i="1917"/>
  <c r="H39" i="1917"/>
  <c r="D39" i="1917"/>
  <c r="R38" i="1917"/>
  <c r="L9" i="1917" s="1"/>
  <c r="D9" i="1917" s="1"/>
  <c r="H38" i="1917"/>
  <c r="D38" i="1917"/>
  <c r="R37" i="1917"/>
  <c r="H37" i="1917"/>
  <c r="D37" i="1917"/>
  <c r="R36" i="1917"/>
  <c r="H36" i="1917"/>
  <c r="D36" i="1917"/>
  <c r="R35" i="1917"/>
  <c r="H35" i="1917"/>
  <c r="D35" i="1917"/>
  <c r="R34" i="1917"/>
  <c r="H34" i="1917"/>
  <c r="D34" i="1917"/>
  <c r="R33" i="1917"/>
  <c r="L23" i="1917" s="1"/>
  <c r="D23" i="1917" s="1"/>
  <c r="R32" i="1917"/>
  <c r="L11" i="1917" s="1"/>
  <c r="D11" i="1917" s="1"/>
  <c r="R31" i="1917"/>
  <c r="R30" i="1917"/>
  <c r="R29" i="1917"/>
  <c r="R28" i="1917"/>
  <c r="L28" i="1917"/>
  <c r="D28" i="1917"/>
  <c r="R27" i="1917"/>
  <c r="D27" i="1917"/>
  <c r="R26" i="1917"/>
  <c r="L26" i="1917"/>
  <c r="D26" i="1917"/>
  <c r="R25" i="1917"/>
  <c r="L25" i="1917"/>
  <c r="D25" i="1917"/>
  <c r="R24" i="1917"/>
  <c r="D24" i="1917"/>
  <c r="R23" i="1917"/>
  <c r="R22" i="1917"/>
  <c r="R21" i="1917"/>
  <c r="D21" i="1917"/>
  <c r="R20" i="1917"/>
  <c r="L20" i="1917"/>
  <c r="D20" i="1917"/>
  <c r="R19" i="1917"/>
  <c r="L19" i="1917"/>
  <c r="D19" i="1917"/>
  <c r="R18" i="1917"/>
  <c r="D18" i="1917"/>
  <c r="R17" i="1917"/>
  <c r="D17" i="1917"/>
  <c r="R16" i="1917"/>
  <c r="L16" i="1917"/>
  <c r="D16" i="1917"/>
  <c r="R15" i="1917"/>
  <c r="D15" i="1917"/>
  <c r="R14" i="1917"/>
  <c r="D14" i="1917"/>
  <c r="R13" i="1917"/>
  <c r="D13" i="1917"/>
  <c r="R12" i="1917"/>
  <c r="L12" i="1917"/>
  <c r="D12" i="1917"/>
  <c r="R11" i="1917"/>
  <c r="L10" i="1917"/>
  <c r="D10" i="1917"/>
  <c r="L8" i="1917"/>
  <c r="D8" i="1917"/>
  <c r="R6" i="1917"/>
  <c r="L6" i="1917"/>
  <c r="D6" i="1917"/>
  <c r="R5" i="1917"/>
  <c r="R4" i="1917"/>
  <c r="R52" i="1916"/>
  <c r="R51" i="1916"/>
  <c r="D50" i="1916"/>
  <c r="R49" i="1916"/>
  <c r="D49" i="1916"/>
  <c r="R48" i="1916"/>
  <c r="D48" i="1916"/>
  <c r="D46" i="1916"/>
  <c r="D45" i="1916"/>
  <c r="R44" i="1916"/>
  <c r="D44" i="1916"/>
  <c r="R42" i="1916"/>
  <c r="L6" i="1916" s="1"/>
  <c r="D6" i="1916" s="1"/>
  <c r="D42" i="1916"/>
  <c r="R41" i="1916"/>
  <c r="D41" i="1916"/>
  <c r="R40" i="1916"/>
  <c r="L8" i="1916" s="1"/>
  <c r="D8" i="1916" s="1"/>
  <c r="D40" i="1916"/>
  <c r="R39" i="1916"/>
  <c r="H39" i="1916"/>
  <c r="D39" i="1916"/>
  <c r="R38" i="1916"/>
  <c r="L9" i="1916" s="1"/>
  <c r="D9" i="1916" s="1"/>
  <c r="H38" i="1916"/>
  <c r="D38" i="1916"/>
  <c r="R37" i="1916"/>
  <c r="H37" i="1916"/>
  <c r="D37" i="1916"/>
  <c r="R36" i="1916"/>
  <c r="L10" i="1916" s="1"/>
  <c r="D10" i="1916" s="1"/>
  <c r="H36" i="1916"/>
  <c r="D36" i="1916"/>
  <c r="R35" i="1916"/>
  <c r="H35" i="1916"/>
  <c r="D35" i="1916"/>
  <c r="R34" i="1916"/>
  <c r="H34" i="1916"/>
  <c r="D34" i="1916"/>
  <c r="R33" i="1916"/>
  <c r="R32" i="1916"/>
  <c r="R31" i="1916"/>
  <c r="R30" i="1916"/>
  <c r="R29" i="1916"/>
  <c r="R28" i="1916"/>
  <c r="L28" i="1916"/>
  <c r="D28" i="1916"/>
  <c r="R27" i="1916"/>
  <c r="D27" i="1916"/>
  <c r="R26" i="1916"/>
  <c r="L26" i="1916"/>
  <c r="D26" i="1916"/>
  <c r="R25" i="1916"/>
  <c r="L25" i="1916"/>
  <c r="D25" i="1916"/>
  <c r="R24" i="1916"/>
  <c r="L24" i="1916"/>
  <c r="D24" i="1916"/>
  <c r="R23" i="1916"/>
  <c r="L23" i="1916"/>
  <c r="D23" i="1916"/>
  <c r="R22" i="1916"/>
  <c r="L22" i="1916"/>
  <c r="D22" i="1916" s="1"/>
  <c r="R21" i="1916"/>
  <c r="D21" i="1916"/>
  <c r="R20" i="1916"/>
  <c r="L20" i="1916"/>
  <c r="D20" i="1916"/>
  <c r="R19" i="1916"/>
  <c r="L19" i="1916"/>
  <c r="D19" i="1916" s="1"/>
  <c r="R18" i="1916"/>
  <c r="D18" i="1916"/>
  <c r="R17" i="1916"/>
  <c r="L17" i="1916"/>
  <c r="D17" i="1916"/>
  <c r="R16" i="1916"/>
  <c r="L16" i="1916"/>
  <c r="D16" i="1916" s="1"/>
  <c r="R15" i="1916"/>
  <c r="D15" i="1916"/>
  <c r="R14" i="1916"/>
  <c r="D14" i="1916"/>
  <c r="R13" i="1916"/>
  <c r="D13" i="1916"/>
  <c r="R12" i="1916"/>
  <c r="L12" i="1916"/>
  <c r="D12" i="1916"/>
  <c r="R11" i="1916"/>
  <c r="L11" i="1916"/>
  <c r="D11" i="1916"/>
  <c r="L7" i="1916"/>
  <c r="D7" i="1916"/>
  <c r="R6" i="1916"/>
  <c r="R5" i="1916"/>
  <c r="R4" i="1916"/>
  <c r="R52" i="1915"/>
  <c r="R51" i="1915"/>
  <c r="D50" i="1915"/>
  <c r="R49" i="1915"/>
  <c r="D49" i="1915"/>
  <c r="R48" i="1915"/>
  <c r="D48" i="1915"/>
  <c r="D46" i="1915"/>
  <c r="D45" i="1915"/>
  <c r="R44" i="1915"/>
  <c r="D44" i="1915"/>
  <c r="R42" i="1915"/>
  <c r="D42" i="1915"/>
  <c r="R41" i="1915"/>
  <c r="D41" i="1915"/>
  <c r="R40" i="1915"/>
  <c r="L8" i="1915" s="1"/>
  <c r="D8" i="1915" s="1"/>
  <c r="D40" i="1915"/>
  <c r="R39" i="1915"/>
  <c r="L20" i="1915" s="1"/>
  <c r="D20" i="1915" s="1"/>
  <c r="H39" i="1915"/>
  <c r="D39" i="1915"/>
  <c r="R38" i="1915"/>
  <c r="L9" i="1915" s="1"/>
  <c r="D9" i="1915" s="1"/>
  <c r="H38" i="1915"/>
  <c r="D38" i="1915"/>
  <c r="R37" i="1915"/>
  <c r="H37" i="1915"/>
  <c r="D37" i="1915"/>
  <c r="R36" i="1915"/>
  <c r="H36" i="1915"/>
  <c r="D36" i="1915"/>
  <c r="R35" i="1915"/>
  <c r="H35" i="1915"/>
  <c r="D35" i="1915"/>
  <c r="R34" i="1915"/>
  <c r="H34" i="1915"/>
  <c r="D34" i="1915"/>
  <c r="R33" i="1915"/>
  <c r="R32" i="1915"/>
  <c r="L11" i="1915" s="1"/>
  <c r="D11" i="1915" s="1"/>
  <c r="R31" i="1915"/>
  <c r="R30" i="1915"/>
  <c r="R29" i="1915"/>
  <c r="R28" i="1915"/>
  <c r="L28" i="1915"/>
  <c r="D28" i="1915"/>
  <c r="R27" i="1915"/>
  <c r="D27" i="1915"/>
  <c r="R26" i="1915"/>
  <c r="L26" i="1915"/>
  <c r="D26" i="1915"/>
  <c r="R25" i="1915"/>
  <c r="L25" i="1915"/>
  <c r="D25" i="1915"/>
  <c r="R24" i="1915"/>
  <c r="L24" i="1915"/>
  <c r="D24" i="1915"/>
  <c r="R23" i="1915"/>
  <c r="D23" i="1915"/>
  <c r="R22" i="1915"/>
  <c r="D22" i="1915"/>
  <c r="R21" i="1915"/>
  <c r="D21" i="1915"/>
  <c r="R20" i="1915"/>
  <c r="R19" i="1915"/>
  <c r="D19" i="1915"/>
  <c r="R18" i="1915"/>
  <c r="D18" i="1915"/>
  <c r="R17" i="1915"/>
  <c r="L17" i="1915"/>
  <c r="D17" i="1915"/>
  <c r="R16" i="1915"/>
  <c r="L16" i="1915"/>
  <c r="D16" i="1915" s="1"/>
  <c r="R15" i="1915"/>
  <c r="D15" i="1915"/>
  <c r="R14" i="1915"/>
  <c r="D14" i="1915"/>
  <c r="R13" i="1915"/>
  <c r="D13" i="1915"/>
  <c r="R12" i="1915"/>
  <c r="L12" i="1915"/>
  <c r="D12" i="1915" s="1"/>
  <c r="R11" i="1915"/>
  <c r="L10" i="1915"/>
  <c r="D10" i="1915"/>
  <c r="L7" i="1915"/>
  <c r="D7" i="1915"/>
  <c r="R6" i="1915"/>
  <c r="L6" i="1915"/>
  <c r="D6" i="1915" s="1"/>
  <c r="R5" i="1915"/>
  <c r="R4" i="1915"/>
  <c r="R52" i="1914"/>
  <c r="R51" i="1914"/>
  <c r="D50" i="1914"/>
  <c r="R49" i="1914"/>
  <c r="G49" i="1914"/>
  <c r="D49" i="1914"/>
  <c r="R48" i="1914"/>
  <c r="D48" i="1914"/>
  <c r="D46" i="1914"/>
  <c r="D45" i="1914"/>
  <c r="D44" i="1914"/>
  <c r="R42" i="1914"/>
  <c r="D42" i="1914"/>
  <c r="R41" i="1914"/>
  <c r="L7" i="1914" s="1"/>
  <c r="D7" i="1914" s="1"/>
  <c r="D41" i="1914"/>
  <c r="R40" i="1914"/>
  <c r="L8" i="1914" s="1"/>
  <c r="D8" i="1914" s="1"/>
  <c r="D40" i="1914"/>
  <c r="R39" i="1914"/>
  <c r="D39" i="1914"/>
  <c r="R38" i="1914"/>
  <c r="L9" i="1914" s="1"/>
  <c r="D9" i="1914" s="1"/>
  <c r="D38" i="1914"/>
  <c r="R37" i="1914"/>
  <c r="D37" i="1914"/>
  <c r="R36" i="1914"/>
  <c r="L10" i="1914" s="1"/>
  <c r="D10" i="1914" s="1"/>
  <c r="D36" i="1914"/>
  <c r="D54" i="1914" s="1"/>
  <c r="H14" i="1914" s="1"/>
  <c r="R35" i="1914"/>
  <c r="L19" i="1914" s="1"/>
  <c r="D19" i="1914" s="1"/>
  <c r="D35" i="1914"/>
  <c r="R34" i="1914"/>
  <c r="D34" i="1914"/>
  <c r="R33" i="1914"/>
  <c r="R32" i="1914"/>
  <c r="R31" i="1914"/>
  <c r="R30" i="1914"/>
  <c r="R29" i="1914"/>
  <c r="R28" i="1914"/>
  <c r="D28" i="1914"/>
  <c r="R27" i="1914"/>
  <c r="D27" i="1914"/>
  <c r="R26" i="1914"/>
  <c r="L26" i="1914"/>
  <c r="D26" i="1914"/>
  <c r="R25" i="1914"/>
  <c r="L25" i="1914"/>
  <c r="D25" i="1914"/>
  <c r="R24" i="1914"/>
  <c r="D24" i="1914"/>
  <c r="R23" i="1914"/>
  <c r="L23" i="1914"/>
  <c r="D23" i="1914"/>
  <c r="R22" i="1914"/>
  <c r="L22" i="1914"/>
  <c r="D22" i="1914"/>
  <c r="R21" i="1914"/>
  <c r="D21" i="1914"/>
  <c r="R20" i="1914"/>
  <c r="L20" i="1914"/>
  <c r="D20" i="1914"/>
  <c r="R19" i="1914"/>
  <c r="R18" i="1914"/>
  <c r="D18" i="1914"/>
  <c r="R17" i="1914"/>
  <c r="D17" i="1914"/>
  <c r="R16" i="1914"/>
  <c r="L16" i="1914"/>
  <c r="D16" i="1914" s="1"/>
  <c r="S15" i="1914"/>
  <c r="R15" i="1914"/>
  <c r="D15" i="1914"/>
  <c r="S14" i="1914"/>
  <c r="R14" i="1914"/>
  <c r="D14" i="1914"/>
  <c r="R13" i="1914"/>
  <c r="D13" i="1914"/>
  <c r="R12" i="1914"/>
  <c r="L12" i="1914"/>
  <c r="D12" i="1914"/>
  <c r="R11" i="1914"/>
  <c r="L11" i="1914"/>
  <c r="D11" i="1914"/>
  <c r="R6" i="1914"/>
  <c r="L6" i="1914"/>
  <c r="D6" i="1914"/>
  <c r="R5" i="1914"/>
  <c r="R4" i="1914"/>
  <c r="G51" i="1927" l="1"/>
  <c r="H15" i="1928"/>
  <c r="H29" i="1928" s="1"/>
  <c r="G51" i="1928" s="1"/>
  <c r="H15" i="1924"/>
  <c r="H29" i="1924" s="1"/>
  <c r="G51" i="1924" s="1"/>
  <c r="H15" i="1923"/>
  <c r="H29" i="1923" s="1"/>
  <c r="G51" i="1923" s="1"/>
  <c r="G49" i="1920"/>
  <c r="D54" i="1921"/>
  <c r="H14" i="1921" s="1"/>
  <c r="D29" i="1921"/>
  <c r="H13" i="1921" s="1"/>
  <c r="D54" i="1920"/>
  <c r="H14" i="1920" s="1"/>
  <c r="G49" i="1915"/>
  <c r="G49" i="1916"/>
  <c r="G49" i="1917"/>
  <c r="D54" i="1917"/>
  <c r="H14" i="1917" s="1"/>
  <c r="D29" i="1917"/>
  <c r="H13" i="1917" s="1"/>
  <c r="D54" i="1915"/>
  <c r="H14" i="1915" s="1"/>
  <c r="D29" i="1915"/>
  <c r="H13" i="1915" s="1"/>
  <c r="D54" i="1916"/>
  <c r="H14" i="1916" s="1"/>
  <c r="D29" i="1920"/>
  <c r="H13" i="1920" s="1"/>
  <c r="D29" i="1919"/>
  <c r="H13" i="1919" s="1"/>
  <c r="H15" i="1919" s="1"/>
  <c r="H29" i="1919" s="1"/>
  <c r="G51" i="1919" s="1"/>
  <c r="D29" i="1918"/>
  <c r="H13" i="1918" s="1"/>
  <c r="H15" i="1918" s="1"/>
  <c r="H29" i="1918" s="1"/>
  <c r="G51" i="1918" s="1"/>
  <c r="D29" i="1916"/>
  <c r="H13" i="1916" s="1"/>
  <c r="H15" i="1916" s="1"/>
  <c r="H29" i="1916" s="1"/>
  <c r="D29" i="1914"/>
  <c r="H13" i="1914" s="1"/>
  <c r="H15" i="1914" s="1"/>
  <c r="H29" i="1914" s="1"/>
  <c r="G51" i="1914" s="1"/>
  <c r="H16" i="1905"/>
  <c r="H16" i="1904"/>
  <c r="C12" i="1904"/>
  <c r="H15" i="1921" l="1"/>
  <c r="H29" i="1921" s="1"/>
  <c r="G51" i="1921" s="1"/>
  <c r="H15" i="1920"/>
  <c r="H29" i="1920" s="1"/>
  <c r="G51" i="1920" s="1"/>
  <c r="G51" i="1916"/>
  <c r="H15" i="1917"/>
  <c r="H29" i="1917" s="1"/>
  <c r="G51" i="1917" s="1"/>
  <c r="H15" i="1915"/>
  <c r="H29" i="1915" s="1"/>
  <c r="G51" i="1915" s="1"/>
  <c r="H16" i="1901"/>
  <c r="H16" i="1900"/>
  <c r="L22" i="1899"/>
  <c r="C15" i="1899"/>
  <c r="C12" i="1895" l="1"/>
  <c r="C16" i="1895"/>
  <c r="L22" i="1895"/>
  <c r="C21" i="1895"/>
  <c r="C15" i="1895"/>
  <c r="H16" i="1897" l="1"/>
  <c r="H16" i="1896" l="1"/>
  <c r="L17" i="1895" l="1"/>
  <c r="L26" i="1895"/>
  <c r="L16" i="1893" l="1"/>
  <c r="L27" i="1893"/>
  <c r="L31" i="1893"/>
  <c r="L25" i="1893"/>
  <c r="C12" i="1893"/>
  <c r="C23" i="1893"/>
  <c r="C21" i="1893"/>
  <c r="H16" i="1891"/>
  <c r="H16" i="1892"/>
  <c r="C21" i="1891"/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D35" i="1913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D34" i="1912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D34" i="191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D35" i="1905"/>
  <c r="R34" i="1905"/>
  <c r="H34" i="1905"/>
  <c r="D34" i="1905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R38" i="1904"/>
  <c r="H38" i="1904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D36" i="1903"/>
  <c r="R35" i="1903"/>
  <c r="H35" i="1903"/>
  <c r="D35" i="1903"/>
  <c r="R34" i="1903"/>
  <c r="H34" i="1903"/>
  <c r="D34" i="1903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D34" i="1895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D25" i="1893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D16" i="1893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D35" i="1892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G49" i="1913" l="1"/>
  <c r="G49" i="1912"/>
  <c r="G49" i="1911"/>
  <c r="D54" i="1913"/>
  <c r="H14" i="1913" s="1"/>
  <c r="D54" i="1912"/>
  <c r="H14" i="1912" s="1"/>
  <c r="D54" i="1911"/>
  <c r="H14" i="1911" s="1"/>
  <c r="G49" i="1903"/>
  <c r="G49" i="1904"/>
  <c r="G49" i="1905"/>
  <c r="D54" i="1905"/>
  <c r="H14" i="1905" s="1"/>
  <c r="D54" i="1904"/>
  <c r="H14" i="1904" s="1"/>
  <c r="D29" i="1904"/>
  <c r="H13" i="1904" s="1"/>
  <c r="D54" i="1903"/>
  <c r="H14" i="1903" s="1"/>
  <c r="G49" i="1900"/>
  <c r="D54" i="1901"/>
  <c r="H14" i="1901" s="1"/>
  <c r="D54" i="1900"/>
  <c r="H14" i="1900" s="1"/>
  <c r="D54" i="1899"/>
  <c r="H14" i="1899" s="1"/>
  <c r="D54" i="1897"/>
  <c r="H14" i="1897" s="1"/>
  <c r="G49" i="1897"/>
  <c r="G49" i="1896"/>
  <c r="G49" i="1895"/>
  <c r="D54" i="1896"/>
  <c r="H14" i="1896" s="1"/>
  <c r="D54" i="1895"/>
  <c r="H14" i="1895" s="1"/>
  <c r="G49" i="1891"/>
  <c r="G49" i="1892"/>
  <c r="G49" i="1893"/>
  <c r="D54" i="1893"/>
  <c r="H14" i="1893" s="1"/>
  <c r="D54" i="1892"/>
  <c r="H14" i="1892" s="1"/>
  <c r="D54" i="1891"/>
  <c r="H14" i="1891" s="1"/>
  <c r="D29" i="1913"/>
  <c r="H13" i="1913" s="1"/>
  <c r="D29" i="1912"/>
  <c r="H13" i="1912" s="1"/>
  <c r="D29" i="1911"/>
  <c r="H13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D29" i="1903"/>
  <c r="H13" i="1903" s="1"/>
  <c r="D29" i="1902"/>
  <c r="H13" i="1902" s="1"/>
  <c r="H15" i="1902" s="1"/>
  <c r="H29" i="1902" s="1"/>
  <c r="G51" i="1902" s="1"/>
  <c r="D29" i="1901"/>
  <c r="H13" i="1901" s="1"/>
  <c r="D29" i="1900"/>
  <c r="H13" i="1900" s="1"/>
  <c r="D29" i="1899"/>
  <c r="H13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 s="1"/>
  <c r="D29" i="1896"/>
  <c r="H13" i="1896" s="1"/>
  <c r="D29" i="1895"/>
  <c r="H13" i="1895" s="1"/>
  <c r="D29" i="1894"/>
  <c r="H13" i="1894" s="1"/>
  <c r="H15" i="1894" s="1"/>
  <c r="H29" i="1894" s="1"/>
  <c r="G51" i="1894"/>
  <c r="D29" i="1893"/>
  <c r="H13" i="1893" s="1"/>
  <c r="D29" i="1892"/>
  <c r="H13" i="1892" s="1"/>
  <c r="D29" i="1891"/>
  <c r="H13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5" i="1913" l="1"/>
  <c r="H29" i="1913" s="1"/>
  <c r="G51" i="1913" s="1"/>
  <c r="H15" i="1912"/>
  <c r="H29" i="1912" s="1"/>
  <c r="G51" i="1912" s="1"/>
  <c r="H15" i="1911"/>
  <c r="H29" i="1911" s="1"/>
  <c r="G51" i="1911" s="1"/>
  <c r="H15" i="1905"/>
  <c r="H29" i="1905" s="1"/>
  <c r="G51" i="1905" s="1"/>
  <c r="H15" i="1904"/>
  <c r="H29" i="1904" s="1"/>
  <c r="G51" i="1904" s="1"/>
  <c r="H15" i="1903"/>
  <c r="H29" i="1903" s="1"/>
  <c r="G51" i="1903" s="1"/>
  <c r="H15" i="1901"/>
  <c r="H29" i="1901" s="1"/>
  <c r="G51" i="1901" s="1"/>
  <c r="H15" i="1900"/>
  <c r="H29" i="1900" s="1"/>
  <c r="G51" i="1900" s="1"/>
  <c r="H15" i="1899"/>
  <c r="H29" i="1899" s="1"/>
  <c r="G51" i="1899" s="1"/>
  <c r="H15" i="1896"/>
  <c r="H29" i="1896" s="1"/>
  <c r="G51" i="1896" s="1"/>
  <c r="H15" i="1895"/>
  <c r="H29" i="1895" s="1"/>
  <c r="G51" i="1895" s="1"/>
  <c r="H15" i="1893"/>
  <c r="H29" i="1893" s="1"/>
  <c r="G51" i="1893" s="1"/>
  <c r="H15" i="1892"/>
  <c r="H29" i="1892" s="1"/>
  <c r="G51" i="1892" s="1"/>
  <c r="H15" i="1891"/>
  <c r="H29" i="1891" s="1"/>
  <c r="G51" i="1891" s="1"/>
  <c r="H16" i="1864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<sst xmlns="http://schemas.openxmlformats.org/spreadsheetml/2006/main" count="14077" uniqueCount="235">
  <si>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</si>
  <si>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</si>
  <si>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</si>
  <si>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</si>
  <si>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</si>
  <si>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</si>
  <si>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</si>
  <si>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</si>
  <si>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</si>
  <si>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</si>
  <si>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</si>
  <si>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</si>
  <si>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</si>
  <si>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</si>
  <si>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</si>
  <si>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</si>
  <si>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</si>
  <si>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</si>
  <si>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</si>
  <si>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</si>
  <si>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</si>
  <si>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</si>
  <si>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</si>
  <si>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</si>
  <si>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</si>
  <si>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</si>
  <si>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</si>
  <si>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</si>
  <si>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</si>
  <si>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</si>
  <si>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</si>
  <si>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</si>
  <si>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</si>
  <si>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</si>
  <si>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</si>
  <si>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</si>
  <si>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</si>
  <si>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</si>
  <si>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</si>
  <si>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</si>
  <si>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</si>
  <si>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</si>
  <si>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</si>
  <si>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</si>
  <si>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</si>
  <si>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</si>
  <si>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</si>
  <si>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</si>
  <si>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</si>
  <si>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</si>
  <si>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</si>
  <si>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</si>
  <si>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</si>
  <si>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</si>
  <si>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</si>
  <si>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</si>
  <si>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</si>
  <si>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</si>
  <si>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</si>
  <si>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</si>
  <si>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</si>
  <si>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</si>
  <si>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</si>
  <si>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</si>
  <si>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</si>
  <si>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</si>
  <si>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</si>
  <si>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</si>
  <si>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</si>
  <si>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</si>
  <si>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</si>
  <si>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</si>
  <si>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</si>
  <si>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</si>
  <si>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</si>
  <si>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</si>
  <si>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</si>
  <si>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</si>
  <si>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</si>
  <si>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</si>
  <si>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</si>
  <si>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</si>
  <si>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</si>
  <si>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</si>
  <si>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</si>
  <si>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</si>
  <si>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</si>
  <si>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</si>
  <si>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</si>
  <si>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</si>
  <si>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</si>
  <si>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</si>
  <si>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</si>
  <si>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</si>
  <si>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</si>
  <si>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</si>
  <si>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</si>
  <si>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</si>
  <si>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</si>
  <si>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</si>
  <si>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</si>
  <si>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</si>
  <si>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</si>
  <si>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</si>
  <si>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</si>
  <si>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</si>
  <si>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</si>
  <si>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</si>
  <si>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</si>
  <si>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</si>
  <si>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</si>
  <si>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</si>
  <si>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</si>
  <si>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</si>
  <si>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</si>
  <si>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</si>
  <si>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</si>
  <si>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</si>
  <si>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</si>
  <si>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</si>
  <si>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</si>
  <si>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</si>
  <si>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</si>
  <si>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</si>
  <si>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</si>
  <si>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</si>
  <si>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</si>
  <si>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</si>
  <si>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</si>
  <si>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</si>
  <si>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</si>
  <si>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</si>
  <si>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</si>
  <si>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</si>
  <si>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</si>
  <si>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</si>
  <si>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</si>
  <si>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</si>
  <si>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</si>
  <si>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</si>
  <si>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</si>
  <si>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</si>
  <si>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</si>
  <si>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</si>
  <si>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</si>
  <si>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</si>
  <si>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</si>
  <si>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</si>
  <si>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</si>
  <si>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</si>
  <si>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</si>
  <si>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</si>
  <si>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</si>
  <si>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</si>
  <si>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</si>
  <si>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</si>
  <si>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</si>
  <si>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</si>
  <si>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</si>
  <si>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</si>
  <si>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</si>
  <si>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</si>
  <si>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</si>
  <si>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</si>
  <si>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</si>
  <si>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</si>
  <si>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</si>
  <si>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</si>
  <si>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</si>
  <si>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</si>
  <si>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</si>
  <si>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</si>
  <si>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</si>
  <si>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</si>
  <si>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</si>
  <si>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</si>
  <si>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</si>
  <si>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</si>
  <si>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</si>
  <si>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</si>
  <si>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</si>
  <si>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</si>
  <si>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</si>
  <si>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</si>
  <si>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</si>
  <si>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</si>
  <si>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</si>
  <si>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</si>
  <si>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</si>
  <si>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</si>
  <si>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</si>
  <si>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</si>
  <si>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</si>
  <si>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</si>
  <si>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</si>
  <si>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</si>
  <si>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</si>
  <si>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</si>
  <si>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</si>
  <si>
    <t>SMLC/RHC/PPC</t>
  </si>
  <si>
    <t>43811</t>
  </si>
  <si>
    <t>147624</t>
  </si>
  <si>
    <t>2130020819</t>
  </si>
  <si>
    <t>146699</t>
  </si>
  <si>
    <t>147697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</si>
  <si>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</si>
  <si>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142268</t>
  </si>
  <si>
    <t>52548</t>
  </si>
  <si>
    <t>CB/CIB</t>
  </si>
  <si>
    <t>PAMB/CBB</t>
  </si>
  <si>
    <t>PAMB/CBB/SDB/CNB</t>
  </si>
  <si>
    <t>LANI SUERTE</t>
  </si>
  <si>
    <t>SIR NEIL</t>
  </si>
  <si>
    <t>2000008001</t>
  </si>
  <si>
    <t>2000003004</t>
  </si>
  <si>
    <t>43009</t>
  </si>
  <si>
    <t>2130020828</t>
  </si>
  <si>
    <t>ALEJANDRO PIZON</t>
  </si>
  <si>
    <t>2120042929</t>
  </si>
  <si>
    <t>PIZON ALEJANDRO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</si>
  <si>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</si>
  <si>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147725</t>
  </si>
  <si>
    <t>2000008006</t>
  </si>
  <si>
    <t>RACAZA, ALEXANDER</t>
  </si>
  <si>
    <t>2000003015</t>
  </si>
  <si>
    <t>147648</t>
  </si>
  <si>
    <t>LOPEZ, GINA GRACE</t>
  </si>
  <si>
    <t>1ST VALLEY BANK</t>
  </si>
  <si>
    <t>43013</t>
  </si>
  <si>
    <t>5089394</t>
  </si>
  <si>
    <t>SMLB BOTT.</t>
  </si>
  <si>
    <t>148991</t>
  </si>
  <si>
    <t>143500</t>
  </si>
  <si>
    <t>132743</t>
  </si>
  <si>
    <t>2120012943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</si>
</sst>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4" fillId="0" borderId="16" xfId="0" applyFont="1" applyFill="1" applyBorder="1"/>
    <xf numFmtId="0" fontId="23" fillId="0" borderId="21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0" fontId="0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tyles" Target="style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alcChain" Target="calcChain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8A00A-6A09-40C0-9567-6A2E50C21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5CBB3-71E7-4FB6-9EAD-18A630C13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A5002E-D318-48B4-AB6D-27A7112909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A9DB48-92EE-4AC2-9D12-6C263D8C4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8F2AD5-A322-4B18-A5A1-AABC207FA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08DB1F-FA86-4E07-8F0C-18E857517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D44F91-9C5A-400A-BA98-F24EA5E01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AFC75-74A1-419A-B0D6-3CF175F0B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8B4311-95F9-4301-BE34-664E4DC8F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F6F4E-96C6-4D0E-A732-1FBC5B395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E7AA2-EF7F-4B1F-8031-C6B3809A9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92D910-DAC7-4347-BB8A-C35391F12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69979-7B75-451A-BA8B-6C568EA0A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157CAB-16CA-4831-8A00-E32F68A72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E42C06-73F1-48CF-8C92-6CDA75C0A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5CE09D-7E65-4AC1-BC9C-9E5B8E3AE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F61849-0740-4C36-B270-48FE3F9F9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3D4D41-9C2E-449D-BE34-8C05AA47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A0D812-3DB2-490E-B645-5C4319DFC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0956C8-11C2-423F-AA6C-37958D75EA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71AF6-9270-47D6-A366-8AA99AFE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18B8B-FD83-41CB-AFE3-19030044C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52F89E-04F7-42B6-8205-737C18898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2BC85E-6A59-4629-B7BF-7F0877FF78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308</v>
      </c>
      <c r="D6" s="13">
        <f t="shared" ref="D6:D28" si="1">C6*L6</f>
        <v>234388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12</v>
      </c>
      <c r="D7" s="13">
        <f t="shared" si="1"/>
        <v>9372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18</v>
      </c>
      <c r="D9" s="13">
        <f t="shared" si="1"/>
        <v>13194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6</v>
      </c>
      <c r="D13" s="48">
        <f t="shared" si="1"/>
        <v>1842</v>
      </c>
      <c r="F13" s="152" t="s">
        <v>36</v>
      </c>
      <c r="G13" s="153"/>
      <c r="H13" s="154">
        <f>D29</f>
        <v>265882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30599.25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235282.75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216*6+10*6</f>
        <v>1356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265882</v>
      </c>
      <c r="F29" s="175" t="s">
        <v>55</v>
      </c>
      <c r="G29" s="176"/>
      <c r="H29" s="179">
        <f>H15-H16-H17-H18-H19-H20-H22-H23-H24+H26+H27+H28</f>
        <v>233926.75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207">
        <f t="shared" ref="H34:H39" si="2">F34*G34</f>
        <v>64000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207">
        <f t="shared" si="2"/>
        <v>6500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207">
        <f t="shared" si="2"/>
        <v>4300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207">
        <f t="shared" si="2"/>
        <v>1100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30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91">
        <v>150017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91">
        <v>7564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11</v>
      </c>
      <c r="D46" s="12">
        <f>C46*1.5</f>
        <v>16.5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233911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-15.75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351</v>
      </c>
      <c r="D6" s="13">
        <f t="shared" ref="D6:D28" si="1">C6*L6</f>
        <v>267111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40</v>
      </c>
      <c r="D9" s="13">
        <f t="shared" si="1"/>
        <v>29320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10</v>
      </c>
      <c r="D10" s="13">
        <f t="shared" si="1"/>
        <v>10320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9</v>
      </c>
      <c r="D13" s="48">
        <f t="shared" si="1"/>
        <v>2763</v>
      </c>
      <c r="F13" s="152" t="s">
        <v>36</v>
      </c>
      <c r="G13" s="153"/>
      <c r="H13" s="154">
        <f>D29</f>
        <v>313708.5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3</v>
      </c>
      <c r="D14" s="31">
        <f t="shared" si="1"/>
        <v>33</v>
      </c>
      <c r="F14" s="157" t="s">
        <v>39</v>
      </c>
      <c r="G14" s="158"/>
      <c r="H14" s="159">
        <f>D54</f>
        <v>55225.5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258483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230*6</f>
        <v>1380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150</v>
      </c>
      <c r="C24" s="10">
        <v>12</v>
      </c>
      <c r="D24" s="48">
        <f t="shared" si="1"/>
        <v>474</v>
      </c>
      <c r="F24" s="38"/>
      <c r="G24" s="37"/>
      <c r="H24" s="190"/>
      <c r="I24" s="191"/>
      <c r="J24" s="191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313708.5</v>
      </c>
      <c r="F29" s="175" t="s">
        <v>55</v>
      </c>
      <c r="G29" s="176"/>
      <c r="H29" s="179">
        <f>H15-H16-H17-H18-H19-H20-H22-H23-H24+H26+H27</f>
        <v>257103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207">
        <f>F34*G34</f>
        <v>101000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07">
        <f t="shared" ref="H35:H39" si="2">F35*G35</f>
        <v>11000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136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91">
        <v>144193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36</v>
      </c>
      <c r="D46" s="12">
        <f>C46*1.5</f>
        <v>54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22</v>
      </c>
      <c r="D49" s="12">
        <f>C49*42</f>
        <v>924</v>
      </c>
      <c r="F49" s="232" t="s">
        <v>86</v>
      </c>
      <c r="G49" s="179">
        <f>H34+H35+H36+H37+H38+H39+H40+H41+G42+H44+H45+H46</f>
        <v>256479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153</v>
      </c>
      <c r="G51" s="246">
        <f>G49-H29</f>
        <v>-624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266</v>
      </c>
      <c r="D6" s="13">
        <f t="shared" ref="D6:D28" si="1">C6*L6</f>
        <v>202426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9</v>
      </c>
      <c r="D7" s="13">
        <f t="shared" si="1"/>
        <v>7029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57</v>
      </c>
      <c r="D9" s="13">
        <f t="shared" si="1"/>
        <v>41781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259606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8</v>
      </c>
      <c r="D14" s="31">
        <f t="shared" si="1"/>
        <v>88</v>
      </c>
      <c r="F14" s="157" t="s">
        <v>39</v>
      </c>
      <c r="G14" s="158"/>
      <c r="H14" s="159">
        <f>D54</f>
        <v>36129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223477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115*6</f>
        <v>690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259606</v>
      </c>
      <c r="F29" s="175" t="s">
        <v>55</v>
      </c>
      <c r="G29" s="176"/>
      <c r="H29" s="179">
        <f>H15-H16-H17-H18-H19-H20-H22-H23-H24+H26+H27</f>
        <v>222737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07">
        <f>F34*G34</f>
        <v>41000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07">
        <f>F35*G35</f>
        <v>3500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88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91">
        <v>75280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91">
        <v>101194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216">
        <v>1582</v>
      </c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222844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107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382</v>
      </c>
      <c r="D6" s="13">
        <f t="shared" ref="D6:D28" si="1">C6*L6</f>
        <v>290702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5467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31</v>
      </c>
      <c r="D9" s="13">
        <f t="shared" si="1"/>
        <v>22723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322724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9</v>
      </c>
      <c r="D14" s="31">
        <f t="shared" si="1"/>
        <v>99</v>
      </c>
      <c r="F14" s="157" t="s">
        <v>39</v>
      </c>
      <c r="G14" s="158"/>
      <c r="H14" s="159">
        <f>D54</f>
        <v>44362.5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278361.5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3</v>
      </c>
      <c r="D28" s="48">
        <f t="shared" si="1"/>
        <v>2433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322724</v>
      </c>
      <c r="F29" s="175" t="s">
        <v>55</v>
      </c>
      <c r="G29" s="176"/>
      <c r="H29" s="179">
        <f>H15-H16-H17-H18-H19-H20-H22-H23-H24+H26+H27+H28</f>
        <v>278361.5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207">
        <f t="shared" ref="H34:H39" si="2">F34*G34</f>
        <v>212000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07">
        <f t="shared" si="2"/>
        <v>18000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207">
        <f t="shared" si="2"/>
        <v>1150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91">
        <v>10000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91">
        <v>35000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279290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928.5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224</v>
      </c>
      <c r="D6" s="13">
        <f t="shared" ref="D6:D28" si="1">C6*L6</f>
        <v>170464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1562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71</v>
      </c>
      <c r="D9" s="13">
        <f t="shared" si="1"/>
        <v>52043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228774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14</v>
      </c>
      <c r="D14" s="31">
        <f t="shared" si="1"/>
        <v>154</v>
      </c>
      <c r="F14" s="157" t="s">
        <v>39</v>
      </c>
      <c r="G14" s="158"/>
      <c r="H14" s="159">
        <f>D54</f>
        <v>35040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193734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122*6</f>
        <v>732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89">
        <v>265</v>
      </c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228774</v>
      </c>
      <c r="F29" s="175" t="s">
        <v>55</v>
      </c>
      <c r="G29" s="176"/>
      <c r="H29" s="179">
        <f>H15-H16-H17-H18-H19-H20-H22-H23-H24+H26+H27</f>
        <v>192737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207">
        <f>F34*G34</f>
        <v>140000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07">
        <f t="shared" ref="H35:H39" si="2">F35*G35</f>
        <v>46500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>F36*G36</f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207">
        <f t="shared" si="2"/>
        <v>4300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207">
        <f t="shared" si="2"/>
        <v>1350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45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192595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19</v>
      </c>
      <c r="D50" s="12">
        <f>C50*1.5</f>
        <v>28.5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-142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291</v>
      </c>
      <c r="D6" s="13">
        <f t="shared" ref="D6:D28" si="1">C6*L6</f>
        <v>221451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20</v>
      </c>
      <c r="D7" s="13">
        <f t="shared" si="1"/>
        <v>15620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36</v>
      </c>
      <c r="D9" s="13">
        <f t="shared" si="1"/>
        <v>26388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273403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40279.5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233123.5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153*6</f>
        <v>918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273403</v>
      </c>
      <c r="F29" s="175" t="s">
        <v>55</v>
      </c>
      <c r="G29" s="176"/>
      <c r="H29" s="179">
        <f>H15-H16-H17-H18-H19-H20-H22-H23-H24+H26+H27</f>
        <v>232205.5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207">
        <f>F34*G34</f>
        <v>75000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07">
        <f>F35*G35</f>
        <v>48500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207">
        <f t="shared" si="2"/>
        <v>6000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207">
        <f t="shared" si="2"/>
        <v>2150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12</v>
      </c>
      <c r="D42" s="12">
        <f>C42*2.25</f>
        <v>27</v>
      </c>
      <c r="F42" s="39" t="s">
        <v>79</v>
      </c>
      <c r="G42" s="207">
        <v>74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91">
        <v>100483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64</v>
      </c>
      <c r="D46" s="12">
        <f>C46*1.5</f>
        <v>96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232207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359</v>
      </c>
      <c r="D6" s="13">
        <f t="shared" ref="D6:D28" si="1">C6*L6</f>
        <v>273199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6</v>
      </c>
      <c r="D7" s="13">
        <f t="shared" si="1"/>
        <v>4686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117</v>
      </c>
      <c r="D9" s="13">
        <f t="shared" si="1"/>
        <v>85761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10</v>
      </c>
      <c r="D10" s="13">
        <f t="shared" si="1"/>
        <v>10320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18</v>
      </c>
      <c r="D13" s="48">
        <f t="shared" si="1"/>
        <v>5526</v>
      </c>
      <c r="F13" s="152" t="s">
        <v>36</v>
      </c>
      <c r="G13" s="153"/>
      <c r="H13" s="154">
        <f>D29</f>
        <v>387395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14</v>
      </c>
      <c r="D14" s="31">
        <f t="shared" si="1"/>
        <v>154</v>
      </c>
      <c r="F14" s="157" t="s">
        <v>39</v>
      </c>
      <c r="G14" s="158"/>
      <c r="H14" s="159">
        <f>D54</f>
        <v>43563.75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343831.25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334*6</f>
        <v>2004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89">
        <v>100339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91">
        <v>98532</v>
      </c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3</v>
      </c>
      <c r="D28" s="48">
        <f t="shared" si="1"/>
        <v>2433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387395</v>
      </c>
      <c r="F29" s="175" t="s">
        <v>55</v>
      </c>
      <c r="G29" s="176"/>
      <c r="H29" s="179">
        <f>H15-H16-H17-H18-H19-H20-H22-H23-H24+H26+H27+H28</f>
        <v>340020.25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207">
        <f t="shared" ref="H34:H39" si="2">F34*G34</f>
        <v>10000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10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91">
        <v>230441.5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91">
        <v>98532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7</v>
      </c>
      <c r="D49" s="12">
        <f>C49*42</f>
        <v>294</v>
      </c>
      <c r="F49" s="232" t="s">
        <v>86</v>
      </c>
      <c r="G49" s="179">
        <f>H34+H35+H36+H37+H38+H39+H40+H41+G42+H44+H45+H46</f>
        <v>339183.5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17</v>
      </c>
      <c r="D50" s="12">
        <f>C50*1.5</f>
        <v>25.5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-836.75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326</v>
      </c>
      <c r="D6" s="13">
        <f t="shared" ref="D6:D28" si="1">C6*L6</f>
        <v>248086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253739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36819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216920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324*6</f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253739</v>
      </c>
      <c r="F29" s="175" t="s">
        <v>55</v>
      </c>
      <c r="G29" s="176"/>
      <c r="H29" s="179">
        <f>H15-H16-H17-H18-H19-H20-H22-H23-H24+H26+H27</f>
        <v>214926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207">
        <f>F34*G34</f>
        <v>214000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7">
        <f t="shared" ref="H35:H39" si="2">F35*G35</f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32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214882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-44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270</v>
      </c>
      <c r="D6" s="13">
        <f t="shared" ref="D6:D28" si="1">C6*L6</f>
        <v>205470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29</v>
      </c>
      <c r="D9" s="13">
        <f t="shared" si="1"/>
        <v>21257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8</v>
      </c>
      <c r="D13" s="48">
        <f t="shared" si="1"/>
        <v>2456</v>
      </c>
      <c r="F13" s="152" t="s">
        <v>36</v>
      </c>
      <c r="G13" s="153"/>
      <c r="H13" s="154">
        <f>D29</f>
        <v>236285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33749.25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202535.75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50*6+80*6+63*6</f>
        <v>1158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>
        <v>1</v>
      </c>
      <c r="D23" s="48">
        <f t="shared" si="1"/>
        <v>1175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236285</v>
      </c>
      <c r="F29" s="175" t="s">
        <v>55</v>
      </c>
      <c r="G29" s="176"/>
      <c r="H29" s="179">
        <f>H15-H16-H17-H18-H19-H20-H22-H23-H24+H26+H27</f>
        <v>201327.75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207">
        <f>F34*G34</f>
        <v>94000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207">
        <f>F35*G35</f>
        <v>54000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207">
        <f t="shared" si="2"/>
        <v>12400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07">
        <v>94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91">
        <v>40666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201260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6</v>
      </c>
      <c r="D50" s="12">
        <f>C50*1.5</f>
        <v>9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-67.75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377</v>
      </c>
      <c r="D6" s="13">
        <f t="shared" ref="D6:D28" si="1">C6*L6</f>
        <v>286897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10</v>
      </c>
      <c r="D9" s="13">
        <f t="shared" si="1"/>
        <v>7330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301631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55843.5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245787.5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325*6</f>
        <v>1950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90" t="s">
        <v>167</v>
      </c>
      <c r="C22" s="10">
        <v>2</v>
      </c>
      <c r="D22" s="48">
        <f t="shared" si="1"/>
        <v>3164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301631</v>
      </c>
      <c r="F29" s="175" t="s">
        <v>55</v>
      </c>
      <c r="G29" s="176"/>
      <c r="H29" s="179">
        <f>H15-H16-H17-H18-H19-H20-H22-H23-H24+H26+H27+H28</f>
        <v>243837.5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207">
        <f t="shared" ref="H34:H39" si="2">F34*G34</f>
        <v>34000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207">
        <f t="shared" si="2"/>
        <v>209500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26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6</v>
      </c>
      <c r="D46" s="12">
        <f>C46*1.5</f>
        <v>9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243746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18</v>
      </c>
      <c r="D50" s="12">
        <f>C50*1.5</f>
        <v>27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-91.5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246</v>
      </c>
      <c r="D6" s="13">
        <f t="shared" ref="D6:D28" si="1">C6*L6</f>
        <v>187206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24</v>
      </c>
      <c r="D9" s="13">
        <f t="shared" si="1"/>
        <v>17592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264640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34920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229720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197*6</f>
        <v>1182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>
        <v>4</v>
      </c>
      <c r="D23" s="48">
        <f t="shared" si="1"/>
        <v>6668</v>
      </c>
      <c r="F23" s="25"/>
      <c r="G23" s="37"/>
      <c r="H23" s="190"/>
      <c r="I23" s="191"/>
      <c r="J23" s="19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168</v>
      </c>
      <c r="C27" s="10">
        <v>1</v>
      </c>
      <c r="D27" s="44">
        <f t="shared" si="1"/>
        <v>1582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264640</v>
      </c>
      <c r="F29" s="175" t="s">
        <v>55</v>
      </c>
      <c r="G29" s="176"/>
      <c r="H29" s="179">
        <f>H15-H16-H17-H18-H19-H20-H22-H23-H24+H26+H27</f>
        <v>228538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07">
        <f>F34*G34</f>
        <v>44000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7">
        <f t="shared" ref="H35:H39" si="2">F35*G35</f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07">
        <f t="shared" si="2"/>
        <v>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69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91">
        <v>179826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224985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-3553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355</v>
      </c>
      <c r="D6" s="13">
        <f t="shared" ref="D6:D28" si="1">C6*L6</f>
        <v>270155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10</v>
      </c>
      <c r="D7" s="13">
        <f t="shared" si="1"/>
        <v>7810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111</v>
      </c>
      <c r="D9" s="13">
        <f t="shared" si="1"/>
        <v>81363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363462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54750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308712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2472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363462</v>
      </c>
      <c r="F29" s="175" t="s">
        <v>55</v>
      </c>
      <c r="G29" s="176"/>
      <c r="H29" s="179">
        <f>H15-H16-H17-H18-H19-H20-H22-H23-H24+H26+H27</f>
        <v>306190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207">
        <f>F34*G34</f>
        <v>63000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07">
        <f>F35*G35</f>
        <v>15500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207">
        <f t="shared" si="2"/>
        <v>300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3162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91">
        <v>225117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307129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9</v>
      </c>
      <c r="D50" s="12">
        <f>C50*1.5</f>
        <v>13.5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939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319</v>
      </c>
      <c r="D6" s="13">
        <f t="shared" ref="D6:D28" si="1">C6*L6</f>
        <v>242759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50</v>
      </c>
      <c r="D8" s="13">
        <f t="shared" si="1"/>
        <v>54650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17</v>
      </c>
      <c r="D9" s="13">
        <f t="shared" si="1"/>
        <v>12461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</v>
      </c>
      <c r="D13" s="48">
        <f t="shared" si="1"/>
        <v>307</v>
      </c>
      <c r="F13" s="152" t="s">
        <v>36</v>
      </c>
      <c r="G13" s="153"/>
      <c r="H13" s="154">
        <f>D29</f>
        <v>319434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42474.75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276959.25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89">
        <v>51622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1</v>
      </c>
      <c r="D28" s="48">
        <f t="shared" si="1"/>
        <v>811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319434</v>
      </c>
      <c r="F29" s="175" t="s">
        <v>55</v>
      </c>
      <c r="G29" s="176"/>
      <c r="H29" s="179">
        <f>H15-H16-H17-H18-H19-H20-H22-H23-H24+H26+H27+H28</f>
        <v>225337.25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207">
        <f t="shared" ref="H34:H39" si="2">F34*G34</f>
        <v>82000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7">
        <v>106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91">
        <v>141334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</v>
      </c>
      <c r="D46" s="12">
        <f>C46*1.5</f>
        <v>4.5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223690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-1647.25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385</v>
      </c>
      <c r="D6" s="13">
        <f t="shared" ref="D6:D28" si="1">C6*L6</f>
        <v>292985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68</v>
      </c>
      <c r="D9" s="13">
        <f t="shared" si="1"/>
        <v>49844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351657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33426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318231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1200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351657</v>
      </c>
      <c r="F29" s="175" t="s">
        <v>55</v>
      </c>
      <c r="G29" s="176"/>
      <c r="H29" s="179">
        <f>H15-H16-H17-H18-H19-H20-H22-H23-H24+H26+H27</f>
        <v>317031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207">
        <f>F34*G34</f>
        <v>131000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07">
        <f t="shared" ref="H35:H39" si="2">F35*G35</f>
        <v>40000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12</v>
      </c>
      <c r="D42" s="12">
        <f>C42*2.25</f>
        <v>27</v>
      </c>
      <c r="F42" s="39" t="s">
        <v>79</v>
      </c>
      <c r="G42" s="207">
        <v>18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91">
        <v>145531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2</v>
      </c>
      <c r="D45" s="12">
        <f>C45*84</f>
        <v>168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317019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73</v>
      </c>
      <c r="D50" s="12">
        <f>C50*1.5</f>
        <v>109.5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-12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432</v>
      </c>
      <c r="D6" s="13">
        <f t="shared" ref="D6:D28" si="1">C6*L6</f>
        <v>328752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12</v>
      </c>
      <c r="D7" s="13">
        <f t="shared" si="1"/>
        <v>9372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59</v>
      </c>
      <c r="D9" s="13">
        <f t="shared" si="1"/>
        <v>43247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19</v>
      </c>
      <c r="D13" s="48">
        <f t="shared" si="1"/>
        <v>5833</v>
      </c>
      <c r="F13" s="152" t="s">
        <v>36</v>
      </c>
      <c r="G13" s="153"/>
      <c r="H13" s="154">
        <f>D29</f>
        <v>412474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58906.5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353567.5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2736</f>
        <v>2736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412474</v>
      </c>
      <c r="F29" s="175" t="s">
        <v>55</v>
      </c>
      <c r="G29" s="176"/>
      <c r="H29" s="179">
        <f>H15-H16-H17-H18-H19-H20-H22-H23-H24+H26+H27</f>
        <v>350831.5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207">
        <f>F34*G34</f>
        <v>100000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07">
        <f>F35*G35</f>
        <v>15500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207">
        <f t="shared" si="2"/>
        <v>4100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24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91">
        <v>70468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91">
        <v>162086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18</v>
      </c>
      <c r="D49" s="12">
        <f>C49*42</f>
        <v>756</v>
      </c>
      <c r="F49" s="232" t="s">
        <v>86</v>
      </c>
      <c r="G49" s="179">
        <f>H34+H35+H36+H37+H38+H39+H40+H41+G42+H44+H45+H46</f>
        <v>352178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19</v>
      </c>
      <c r="D50" s="12">
        <f>C50*1.5</f>
        <v>28.5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1346.5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558</v>
      </c>
      <c r="D6" s="13">
        <f t="shared" ref="D6:D28" si="1">C6*L6</f>
        <v>424638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55</v>
      </c>
      <c r="D7" s="13">
        <f t="shared" si="1"/>
        <v>42955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67</v>
      </c>
      <c r="D9" s="13">
        <f t="shared" si="1"/>
        <v>49111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529181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67908.75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461272.25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534*6</f>
        <v>3204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179</v>
      </c>
      <c r="C24" s="10">
        <v>12</v>
      </c>
      <c r="D24" s="48">
        <f t="shared" si="1"/>
        <v>474</v>
      </c>
      <c r="F24" s="77"/>
      <c r="G24" s="79"/>
      <c r="H24" s="242"/>
      <c r="I24" s="243"/>
      <c r="J24" s="243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91">
        <v>51622</v>
      </c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529181</v>
      </c>
      <c r="F29" s="175" t="s">
        <v>55</v>
      </c>
      <c r="G29" s="176"/>
      <c r="H29" s="179">
        <f>H15-H16-H17-H18-H19-H20-H22-H23-H24+H26+H27+H28</f>
        <v>509690.25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207">
        <f t="shared" ref="H34:H39" si="2">F34*G34</f>
        <v>129000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07">
        <f t="shared" si="2"/>
        <v>19500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207">
        <f t="shared" si="2"/>
        <v>500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91">
        <v>359981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509031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19</v>
      </c>
      <c r="D50" s="12">
        <f>C50*1.5</f>
        <v>28.5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-659.25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538</v>
      </c>
      <c r="D6" s="13">
        <f t="shared" ref="D6:D28" si="1">C6*L6</f>
        <v>409418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118</v>
      </c>
      <c r="D9" s="13">
        <f t="shared" si="1"/>
        <v>86494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502921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8</v>
      </c>
      <c r="D14" s="31">
        <f t="shared" si="1"/>
        <v>88</v>
      </c>
      <c r="F14" s="157" t="s">
        <v>39</v>
      </c>
      <c r="G14" s="158"/>
      <c r="H14" s="159">
        <f>D54</f>
        <v>75838.5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427082.5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900+1824+648</f>
        <v>3372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502921</v>
      </c>
      <c r="F29" s="175" t="s">
        <v>55</v>
      </c>
      <c r="G29" s="176"/>
      <c r="H29" s="179">
        <f>H15-H16-H17-H18-H19-H20-H22-H23-H24+H26+H27</f>
        <v>423710.5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207">
        <f>F34*G34</f>
        <v>340000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207">
        <f t="shared" ref="H35:H39" si="2">F35*G35</f>
        <v>12500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100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91">
        <v>70473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14</v>
      </c>
      <c r="D49" s="12">
        <f>C49*42</f>
        <v>588</v>
      </c>
      <c r="F49" s="232" t="s">
        <v>86</v>
      </c>
      <c r="G49" s="179">
        <f>H34+H35+H36+H37+H38+H39+H40+H41+G42+H44+H45+H46</f>
        <v>423513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21</v>
      </c>
      <c r="D50" s="12">
        <f>C50*1.5</f>
        <v>31.5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-197.5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369</v>
      </c>
      <c r="D6" s="13">
        <f t="shared" ref="D6:D28" si="1">C6*L6</f>
        <v>280809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11</v>
      </c>
      <c r="D7" s="13">
        <f t="shared" si="1"/>
        <v>8591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63</v>
      </c>
      <c r="D9" s="13">
        <f t="shared" si="1"/>
        <v>46179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344843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25784.25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319058.75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</f>
        <v>300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>
        <v>1</v>
      </c>
      <c r="D27" s="44">
        <f t="shared" si="1"/>
        <v>1582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344843</v>
      </c>
      <c r="F29" s="175" t="s">
        <v>55</v>
      </c>
      <c r="G29" s="176"/>
      <c r="H29" s="179">
        <f>H15-H16-H17-H18-H19-H20-H22-H23-H24+H26+H27</f>
        <v>318758.75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207">
        <f>F34*G34</f>
        <v>114000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207">
        <f>F35*G35</f>
        <v>33000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207">
        <f t="shared" si="2"/>
        <v>1700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207">
        <f t="shared" si="2"/>
        <v>1550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43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91">
        <v>168245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318538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9</v>
      </c>
      <c r="D50" s="12">
        <f>C50*1.5</f>
        <v>13.5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-220.75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324</v>
      </c>
      <c r="D6" s="13">
        <f t="shared" ref="D6:D28" si="1">C6*L6</f>
        <v>246564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3</v>
      </c>
      <c r="D7" s="13">
        <f t="shared" si="1"/>
        <v>2343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20</v>
      </c>
      <c r="D9" s="13">
        <f t="shared" si="1"/>
        <v>14660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5</v>
      </c>
      <c r="D13" s="48">
        <f t="shared" si="1"/>
        <v>1535</v>
      </c>
      <c r="F13" s="152" t="s">
        <v>36</v>
      </c>
      <c r="G13" s="153"/>
      <c r="H13" s="154">
        <f>D29</f>
        <v>267570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6</v>
      </c>
      <c r="D14" s="31">
        <f t="shared" si="1"/>
        <v>66</v>
      </c>
      <c r="F14" s="157" t="s">
        <v>39</v>
      </c>
      <c r="G14" s="158"/>
      <c r="H14" s="159">
        <f>D54</f>
        <v>39540.75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228029.25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267570</v>
      </c>
      <c r="F29" s="175" t="s">
        <v>55</v>
      </c>
      <c r="G29" s="176"/>
      <c r="H29" s="179">
        <f>H15-H16-H17-H18-H19-H20-H22-H23-H24+H26+H27+H28</f>
        <v>227979.25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207">
        <f t="shared" ref="H34:H39" si="2">F34*G34</f>
        <v>195000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207">
        <f t="shared" si="2"/>
        <v>27000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07">
        <f t="shared" si="2"/>
        <v>800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207">
        <f t="shared" si="2"/>
        <v>4200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207">
        <f t="shared" si="2"/>
        <v>1200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7">
        <v>217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228457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</v>
      </c>
      <c r="D50" s="12">
        <f>C50*1.5</f>
        <v>6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54" t="s">
        <v>184</v>
      </c>
      <c r="G51" s="256">
        <f>G49-H29</f>
        <v>477.75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311</v>
      </c>
      <c r="D6" s="13">
        <f t="shared" ref="D6:D28" si="1">C6*L6</f>
        <v>236671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6</v>
      </c>
      <c r="D7" s="13">
        <f t="shared" si="1"/>
        <v>4686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29</v>
      </c>
      <c r="D9" s="13">
        <f t="shared" si="1"/>
        <v>21257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11</v>
      </c>
      <c r="D13" s="48">
        <f t="shared" si="1"/>
        <v>3377</v>
      </c>
      <c r="F13" s="152" t="s">
        <v>36</v>
      </c>
      <c r="G13" s="153"/>
      <c r="H13" s="154">
        <f>D29</f>
        <v>266386.58333333331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6</v>
      </c>
      <c r="D14" s="31">
        <f t="shared" si="1"/>
        <v>66</v>
      </c>
      <c r="F14" s="157" t="s">
        <v>39</v>
      </c>
      <c r="G14" s="158"/>
      <c r="H14" s="159">
        <f>D54</f>
        <v>52669.5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213717.08333333331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</f>
        <v>648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98"/>
      <c r="I27" s="199"/>
      <c r="J27" s="200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266386.58333333331</v>
      </c>
      <c r="F29" s="175" t="s">
        <v>55</v>
      </c>
      <c r="G29" s="176"/>
      <c r="H29" s="179">
        <f>H15-H16-H17-H18-H19-H20-H22-H23-H24+H26+H27</f>
        <v>213069.08333333331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207">
        <f>F34*G34</f>
        <v>127000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207">
        <f t="shared" ref="H35:H39" si="2">F35*G35</f>
        <v>25500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207">
        <f t="shared" si="2"/>
        <v>3700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207">
        <f t="shared" si="2"/>
        <v>250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80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91">
        <v>56579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213109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39.916666666686069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329</v>
      </c>
      <c r="D6" s="13">
        <f t="shared" ref="D6:D28" si="1">C6*L6</f>
        <v>250369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21</v>
      </c>
      <c r="D9" s="13">
        <f t="shared" si="1"/>
        <v>15393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281186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42842.25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238343.75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108*6+80*6</f>
        <v>1128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281186</v>
      </c>
      <c r="F29" s="175" t="s">
        <v>55</v>
      </c>
      <c r="G29" s="176"/>
      <c r="H29" s="179">
        <f>H15-H16-H17-H18-H19-H20-H22-H23-H24+H26+H27</f>
        <v>237215.75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207">
        <f>F34*G34</f>
        <v>88000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07">
        <f>F35*G35</f>
        <v>16000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7">
        <f t="shared" ref="H36:H39" si="2">F36*G36</f>
        <v>600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207">
        <f t="shared" si="2"/>
        <v>6600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207">
        <f t="shared" si="2"/>
        <v>700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207">
        <f t="shared" si="2"/>
        <v>80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3</v>
      </c>
      <c r="D42" s="12">
        <f>C42*2.25</f>
        <v>6.75</v>
      </c>
      <c r="F42" s="39" t="s">
        <v>79</v>
      </c>
      <c r="G42" s="207">
        <v>911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91">
        <v>71968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91">
        <v>52207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45</v>
      </c>
      <c r="D46" s="12">
        <f>C46*1.5</f>
        <v>67.5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8</v>
      </c>
      <c r="D49" s="12">
        <f>C49*42</f>
        <v>336</v>
      </c>
      <c r="F49" s="232" t="s">
        <v>86</v>
      </c>
      <c r="G49" s="179">
        <f>H34+H35+H36+H37+H38+H39+H40+H41+G42+H44+H45+H46</f>
        <v>237066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16</v>
      </c>
      <c r="D50" s="12">
        <f>C50*1.5</f>
        <v>24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-149.75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411</v>
      </c>
      <c r="D6" s="13">
        <f t="shared" ref="D6:D28" si="1">C6*L6</f>
        <v>312771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1562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320439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21</v>
      </c>
      <c r="D14" s="31">
        <f t="shared" si="1"/>
        <v>231</v>
      </c>
      <c r="F14" s="157" t="s">
        <v>39</v>
      </c>
      <c r="G14" s="158"/>
      <c r="H14" s="159">
        <f>D54</f>
        <v>55105.5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265333.5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1938</f>
        <v>1938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320439</v>
      </c>
      <c r="F29" s="175" t="s">
        <v>55</v>
      </c>
      <c r="G29" s="176"/>
      <c r="H29" s="179">
        <f>H15-H16-H17-H18-H19-H20-H22-H23-H24+H26+H27+H28</f>
        <v>263395.5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207">
        <f t="shared" ref="H34:H39" si="2">F34*G34</f>
        <v>55000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207">
        <f t="shared" si="2"/>
        <v>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13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91">
        <v>203085.5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16</v>
      </c>
      <c r="D46" s="12">
        <f>C46*1.5</f>
        <v>24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263098.5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34</v>
      </c>
      <c r="D50" s="12">
        <f>C50*1.5</f>
        <v>51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-297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348</v>
      </c>
      <c r="D6" s="13">
        <f t="shared" ref="D6:D28" si="1">C6*L6</f>
        <v>264828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268786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44764.5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224021.5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1296+480</f>
        <v>1776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1</v>
      </c>
      <c r="D28" s="48">
        <f t="shared" si="1"/>
        <v>811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268786</v>
      </c>
      <c r="F29" s="175" t="s">
        <v>55</v>
      </c>
      <c r="G29" s="176"/>
      <c r="H29" s="179">
        <f>H15-H16-H17-H18-H19-H20-H22-H23-H24+H26+H27</f>
        <v>222195.5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207">
        <f>F34*G34</f>
        <v>142000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207">
        <f t="shared" ref="H35:H39" si="2">F35*G35</f>
        <v>45500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207">
        <f t="shared" si="2"/>
        <v>30000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207">
        <f t="shared" si="2"/>
        <v>3450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72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16</v>
      </c>
      <c r="D49" s="12">
        <f>C49*42</f>
        <v>672</v>
      </c>
      <c r="F49" s="232" t="s">
        <v>86</v>
      </c>
      <c r="G49" s="179">
        <f>H34+H35+H36+H37+H38+H39+H40+H41+G42+H44+H45+H46</f>
        <v>221022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-1173.5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418</v>
      </c>
      <c r="D6" s="13">
        <f t="shared" ref="D6:D28" si="1">C6*L6</f>
        <v>318098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15</v>
      </c>
      <c r="D7" s="13">
        <f t="shared" si="1"/>
        <v>11715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2</v>
      </c>
      <c r="D8" s="13">
        <f t="shared" si="1"/>
        <v>2186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</v>
      </c>
      <c r="D9" s="13">
        <f t="shared" si="1"/>
        <v>3665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4</v>
      </c>
      <c r="D10" s="13">
        <f t="shared" si="1"/>
        <v>4128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1+2+2</f>
        <v>5</v>
      </c>
      <c r="D12" s="48">
        <f t="shared" si="1"/>
        <v>4960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11</v>
      </c>
      <c r="D13" s="48">
        <f t="shared" si="1"/>
        <v>3377</v>
      </c>
      <c r="F13" s="152" t="s">
        <v>36</v>
      </c>
      <c r="G13" s="153"/>
      <c r="H13" s="154">
        <f>D29</f>
        <v>349583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14</v>
      </c>
      <c r="D14" s="31">
        <f t="shared" si="1"/>
        <v>154</v>
      </c>
      <c r="F14" s="157" t="s">
        <v>39</v>
      </c>
      <c r="G14" s="158"/>
      <c r="H14" s="159">
        <f>D54</f>
        <v>60138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289445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678+1350+360</f>
        <v>2388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349583</v>
      </c>
      <c r="F29" s="175" t="s">
        <v>55</v>
      </c>
      <c r="G29" s="176"/>
      <c r="H29" s="179">
        <f>H15-H16-H17-H18-H19-H20-H22-H23-H24+H26+H27</f>
        <v>287007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207">
        <f>F34*G34</f>
        <v>116000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07">
        <f>F35*G35</f>
        <v>10500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207">
        <f t="shared" si="2"/>
        <v>5900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207">
        <f t="shared" si="2"/>
        <v>1150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6</v>
      </c>
      <c r="D42" s="12">
        <f>C42*2.25</f>
        <v>13.5</v>
      </c>
      <c r="F42" s="39" t="s">
        <v>79</v>
      </c>
      <c r="G42" s="207">
        <v>160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91">
        <v>153409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31</v>
      </c>
      <c r="D46" s="12">
        <f>C46*1.5</f>
        <v>46.5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287119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19</v>
      </c>
      <c r="D50" s="12">
        <f>C50*1.5</f>
        <v>28.5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112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431</v>
      </c>
      <c r="D6" s="13">
        <f t="shared" ref="D6:D28" si="1">C6*L6</f>
        <v>327991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</v>
      </c>
      <c r="D9" s="13">
        <f t="shared" si="1"/>
        <v>2932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335528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78331.5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257196.5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378*6</f>
        <v>2268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335528</v>
      </c>
      <c r="F29" s="175" t="s">
        <v>55</v>
      </c>
      <c r="G29" s="176"/>
      <c r="H29" s="179">
        <f>H15-H16-H17-H18-H19-H20-H22-H23-H24+H26+H27+H28</f>
        <v>254928.5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207">
        <f t="shared" ref="H34:H39" si="2">F34*G34</f>
        <v>191000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207">
        <f t="shared" si="2"/>
        <v>34500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91">
        <v>24050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91">
        <v>5200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254750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-178.5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395</v>
      </c>
      <c r="D6" s="13">
        <f t="shared" ref="D6:D28" si="1">C6*L6</f>
        <v>300595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90</v>
      </c>
      <c r="D9" s="13">
        <f t="shared" si="1"/>
        <v>65970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10</v>
      </c>
      <c r="D10" s="13">
        <f t="shared" si="1"/>
        <v>10320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16</v>
      </c>
      <c r="D13" s="48">
        <f t="shared" si="1"/>
        <v>4912</v>
      </c>
      <c r="F13" s="152" t="s">
        <v>36</v>
      </c>
      <c r="G13" s="153"/>
      <c r="H13" s="154">
        <f>D29</f>
        <v>383159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17</v>
      </c>
      <c r="D14" s="31">
        <f t="shared" si="1"/>
        <v>187</v>
      </c>
      <c r="F14" s="157" t="s">
        <v>39</v>
      </c>
      <c r="G14" s="158"/>
      <c r="H14" s="159">
        <f>D54</f>
        <v>38395.5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344763.5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360*6</f>
        <v>2160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383159</v>
      </c>
      <c r="F29" s="175" t="s">
        <v>55</v>
      </c>
      <c r="G29" s="176"/>
      <c r="H29" s="179">
        <f>H15-H16-H17-H18-H19-H20-H22-H23-H24+H26+H27</f>
        <v>342603.5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207">
        <f>F34*G34</f>
        <v>77000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207">
        <f t="shared" ref="H35:H39" si="2">F35*G35</f>
        <v>12500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21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91">
        <v>253213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5</v>
      </c>
      <c r="D45" s="12">
        <f>C45*84</f>
        <v>420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</v>
      </c>
      <c r="D46" s="12">
        <f>C46*1.5</f>
        <v>6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8</v>
      </c>
      <c r="D49" s="12">
        <f>C49*42</f>
        <v>336</v>
      </c>
      <c r="F49" s="232" t="s">
        <v>86</v>
      </c>
      <c r="G49" s="179">
        <f>H34+H35+H36+H37+H38+H39+H40+H41+G42+H44+H45+H46</f>
        <v>343184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20</v>
      </c>
      <c r="D50" s="12">
        <f>C50*1.5</f>
        <v>30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580.5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363</v>
      </c>
      <c r="D6" s="13">
        <f t="shared" ref="D6:D28" si="1">C6*L6</f>
        <v>276243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15</v>
      </c>
      <c r="D7" s="13">
        <f t="shared" si="1"/>
        <v>11715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30</v>
      </c>
      <c r="D9" s="13">
        <f t="shared" si="1"/>
        <v>21990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320630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52599.75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268030.25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942+648+300</f>
        <v>1890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320630</v>
      </c>
      <c r="F29" s="175" t="s">
        <v>55</v>
      </c>
      <c r="G29" s="176"/>
      <c r="H29" s="179">
        <f>H15-H16-H17-H18-H19-H20-H22-H23-H24+H26+H27</f>
        <v>266140.25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207">
        <f>F34*G34</f>
        <v>81000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207">
        <f>F35*G35</f>
        <v>10500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207">
        <f t="shared" ref="H36:H39" si="2">F36*G36</f>
        <v>200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207">
        <f t="shared" si="2"/>
        <v>4900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207">
        <f t="shared" si="2"/>
        <v>300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7">
        <v>19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91">
        <v>65078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91">
        <v>103706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21</v>
      </c>
      <c r="D46" s="12">
        <f>C46*1.5</f>
        <v>31.5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265703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</v>
      </c>
      <c r="D50" s="12">
        <f>C50*1.5</f>
        <v>6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-437.25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676</v>
      </c>
      <c r="D6" s="13">
        <f t="shared" ref="D6:D28" si="1">C6*L6</f>
        <v>514436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36</v>
      </c>
      <c r="D9" s="13">
        <f t="shared" si="1"/>
        <v>26388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3</v>
      </c>
      <c r="D10" s="13">
        <f t="shared" si="1"/>
        <v>3096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1</f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561365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101851.5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459513.5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54+1944</f>
        <v>1998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89">
        <v>102166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91">
        <v>100339</v>
      </c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5</v>
      </c>
      <c r="D28" s="48">
        <f t="shared" si="1"/>
        <v>4055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561365</v>
      </c>
      <c r="F29" s="175" t="s">
        <v>55</v>
      </c>
      <c r="G29" s="176"/>
      <c r="H29" s="179">
        <f>H15-H16-H17-H18-H19-H20-H22-H23-H24+H26+H27+H28</f>
        <v>455638.5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207">
        <f t="shared" ref="H34:H39" si="2">F34*G34</f>
        <v>281000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207">
        <f t="shared" si="2"/>
        <v>45000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207">
        <f t="shared" si="2"/>
        <v>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207">
        <f t="shared" si="2"/>
        <v>60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16</v>
      </c>
      <c r="D42" s="12">
        <f>C42*2.25</f>
        <v>36</v>
      </c>
      <c r="F42" s="39" t="s">
        <v>79</v>
      </c>
      <c r="G42" s="207">
        <v>50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91">
        <v>90000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91">
        <v>38720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</v>
      </c>
      <c r="D46" s="12">
        <f>C46*1.5</f>
        <v>4.5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16</v>
      </c>
      <c r="D49" s="12">
        <f>C49*42</f>
        <v>672</v>
      </c>
      <c r="F49" s="232" t="s">
        <v>86</v>
      </c>
      <c r="G49" s="179">
        <f>H34+H35+H36+H37+H38+H39+H40+H41+G42+H44+H45+H46</f>
        <v>455730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23</v>
      </c>
      <c r="D50" s="12">
        <f>C50*1.5</f>
        <v>34.5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62" t="s">
        <v>194</v>
      </c>
      <c r="G51" s="256">
        <f>G49-H29</f>
        <v>91.5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63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314</v>
      </c>
      <c r="D6" s="13">
        <f t="shared" ref="D6:D28" si="1">C6*L6</f>
        <v>238954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12</v>
      </c>
      <c r="D7" s="13">
        <f t="shared" si="1"/>
        <v>9372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33</v>
      </c>
      <c r="D9" s="13">
        <f t="shared" si="1"/>
        <v>24189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8</v>
      </c>
      <c r="D13" s="48">
        <f t="shared" si="1"/>
        <v>2456</v>
      </c>
      <c r="F13" s="152" t="s">
        <v>36</v>
      </c>
      <c r="G13" s="153"/>
      <c r="H13" s="154">
        <f>D29</f>
        <v>279612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43846.5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235765.5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2</v>
      </c>
      <c r="D28" s="48">
        <f t="shared" si="1"/>
        <v>1622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279612</v>
      </c>
      <c r="F29" s="175" t="s">
        <v>55</v>
      </c>
      <c r="G29" s="176"/>
      <c r="H29" s="179">
        <f>H15-H16-H17-H18-H19-H20-H22-H23-H24+H26+H27</f>
        <v>235765.5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207">
        <f>F34*G34</f>
        <v>152000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207">
        <f t="shared" ref="H35:H39" si="2">F35*G35</f>
        <v>61500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207">
        <f t="shared" si="2"/>
        <v>20300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207">
        <f t="shared" si="2"/>
        <v>2100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8</v>
      </c>
      <c r="D42" s="12">
        <f>C42*2.25</f>
        <v>18</v>
      </c>
      <c r="F42" s="39" t="s">
        <v>79</v>
      </c>
      <c r="G42" s="207">
        <v>14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10</v>
      </c>
      <c r="D46" s="12">
        <f>C46*1.5</f>
        <v>15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235914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</v>
      </c>
      <c r="D50" s="12">
        <f>C50*1.5</f>
        <v>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148.5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316</v>
      </c>
      <c r="D6" s="13">
        <f t="shared" ref="D6:D28" si="1">C6*L6</f>
        <v>240476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16</v>
      </c>
      <c r="D7" s="13">
        <f t="shared" si="1"/>
        <v>12496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16</v>
      </c>
      <c r="D9" s="13">
        <f t="shared" si="1"/>
        <v>11728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267902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12</v>
      </c>
      <c r="D14" s="31">
        <f t="shared" si="1"/>
        <v>132</v>
      </c>
      <c r="F14" s="157" t="s">
        <v>39</v>
      </c>
      <c r="G14" s="158"/>
      <c r="H14" s="159">
        <f>D54</f>
        <v>40562.25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227339.75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300+648+318</f>
        <v>1266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267902</v>
      </c>
      <c r="F29" s="175" t="s">
        <v>55</v>
      </c>
      <c r="G29" s="176"/>
      <c r="H29" s="179">
        <f>H15-H16-H17-H18-H19-H20-H22-H23-H24+H26+H27</f>
        <v>226073.75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07">
        <f>F34*G34</f>
        <v>103000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207">
        <f>F35*G35</f>
        <v>20000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</v>
      </c>
      <c r="D42" s="12">
        <f>C42*2.25</f>
        <v>2.25</v>
      </c>
      <c r="F42" s="39" t="s">
        <v>79</v>
      </c>
      <c r="G42" s="207">
        <v>78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91">
        <v>32658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91">
        <v>70531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</v>
      </c>
      <c r="D49" s="12">
        <f>C49*42</f>
        <v>84</v>
      </c>
      <c r="F49" s="232" t="s">
        <v>86</v>
      </c>
      <c r="G49" s="179">
        <f>H34+H35+H36+H37+H38+H39+H40+H41+G42+H44+H45+H46</f>
        <v>226267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193.25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527</v>
      </c>
      <c r="D6" s="13">
        <f t="shared" ref="D6:D28" si="1">C6*L6</f>
        <v>401047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50</v>
      </c>
      <c r="D9" s="13">
        <f t="shared" si="1"/>
        <v>36650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16</v>
      </c>
      <c r="D13" s="48">
        <f t="shared" si="1"/>
        <v>4912</v>
      </c>
      <c r="F13" s="152" t="s">
        <v>36</v>
      </c>
      <c r="G13" s="153"/>
      <c r="H13" s="154">
        <f>D29</f>
        <v>451583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66073.5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385509.5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150*6+347*6</f>
        <v>2982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451583</v>
      </c>
      <c r="F29" s="175" t="s">
        <v>55</v>
      </c>
      <c r="G29" s="176"/>
      <c r="H29" s="179">
        <f>H15-H16-H17-H18-H19-H20-H22-H23-H24+H26+H27</f>
        <v>382527.5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207">
        <f>F34*G34</f>
        <v>334000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207">
        <f t="shared" ref="H35:H39" si="2">F35*G35</f>
        <v>43000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207">
        <f t="shared" si="2"/>
        <v>2600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49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18</v>
      </c>
      <c r="D49" s="12">
        <f>C49*42</f>
        <v>756</v>
      </c>
      <c r="F49" s="232" t="s">
        <v>86</v>
      </c>
      <c r="G49" s="179">
        <f>H34+H35+H36+H37+H38+H39+H40+H41+G42+H44+H45+H46</f>
        <v>382369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-158.5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520</v>
      </c>
      <c r="D6" s="13">
        <f t="shared" ref="D6:D28" si="1">C6*L6</f>
        <v>395720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1562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23</v>
      </c>
      <c r="D9" s="13">
        <f t="shared" si="1"/>
        <v>16859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5</v>
      </c>
      <c r="D13" s="48">
        <f t="shared" si="1"/>
        <v>1535</v>
      </c>
      <c r="F13" s="152" t="s">
        <v>36</v>
      </c>
      <c r="G13" s="153"/>
      <c r="H13" s="154">
        <f>D29</f>
        <v>415764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8</v>
      </c>
      <c r="D14" s="31">
        <f t="shared" si="1"/>
        <v>88</v>
      </c>
      <c r="F14" s="157" t="s">
        <v>39</v>
      </c>
      <c r="G14" s="158"/>
      <c r="H14" s="159">
        <f>D54</f>
        <v>38598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377166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216*6+61*6</f>
        <v>1662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415764</v>
      </c>
      <c r="F29" s="175" t="s">
        <v>55</v>
      </c>
      <c r="G29" s="176"/>
      <c r="H29" s="179">
        <f>H15-H16-H17-H18-H19-H20-H22-H23-H24+H26+H27</f>
        <v>375454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207">
        <f>F34*G34</f>
        <v>62000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7">
        <f>F35*G35</f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91">
        <v>139824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91">
        <v>173521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376145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</v>
      </c>
      <c r="D50" s="12">
        <f>C50*1.5</f>
        <v>6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691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840</v>
      </c>
      <c r="D6" s="13">
        <f t="shared" ref="D6:D28" si="1">C6*L6</f>
        <v>639240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3</v>
      </c>
      <c r="D7" s="13">
        <f t="shared" si="1"/>
        <v>2343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118</v>
      </c>
      <c r="D9" s="13">
        <f t="shared" si="1"/>
        <v>86494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20</v>
      </c>
      <c r="D10" s="13">
        <f t="shared" si="1"/>
        <v>20640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15</v>
      </c>
      <c r="D11" s="13">
        <f t="shared" si="1"/>
        <v>17550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10</v>
      </c>
      <c r="D12" s="48">
        <f t="shared" si="1"/>
        <v>9920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36</v>
      </c>
      <c r="D13" s="48">
        <f t="shared" si="1"/>
        <v>11052</v>
      </c>
      <c r="F13" s="152" t="s">
        <v>36</v>
      </c>
      <c r="G13" s="153"/>
      <c r="H13" s="154">
        <f>D29</f>
        <v>793392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6</v>
      </c>
      <c r="D14" s="31">
        <f t="shared" si="1"/>
        <v>66</v>
      </c>
      <c r="F14" s="157" t="s">
        <v>39</v>
      </c>
      <c r="G14" s="158"/>
      <c r="H14" s="159">
        <f>D54</f>
        <v>105668.25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687723.75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678*6+233*6</f>
        <v>5466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3</v>
      </c>
      <c r="D18" s="48">
        <f t="shared" si="1"/>
        <v>1860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793392</v>
      </c>
      <c r="F29" s="175" t="s">
        <v>55</v>
      </c>
      <c r="G29" s="176"/>
      <c r="H29" s="179">
        <f>H15-H16-H17-H18-H19-H20-H22-H23-H24+H26+H27+H28</f>
        <v>682257.75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>
        <v>59</v>
      </c>
      <c r="H34" s="207">
        <f t="shared" ref="H34:H39" si="2">F34*G34</f>
        <v>59000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07">
        <f t="shared" si="2"/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882</v>
      </c>
      <c r="D37" s="12">
        <f>C37*111</f>
        <v>97902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13</v>
      </c>
      <c r="D44" s="12">
        <f>C44*120</f>
        <v>1560</v>
      </c>
      <c r="F44" s="37" t="s">
        <v>145</v>
      </c>
      <c r="G44" s="62" t="s">
        <v>203</v>
      </c>
      <c r="H44" s="191">
        <v>473393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145</v>
      </c>
      <c r="G45" s="62" t="s">
        <v>204</v>
      </c>
      <c r="H45" s="191">
        <v>148170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681383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-874.75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105668.25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395</v>
      </c>
      <c r="D6" s="13">
        <f t="shared" ref="D6:D28" si="1">C6*L6</f>
        <v>300595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30</v>
      </c>
      <c r="D9" s="13">
        <f t="shared" si="1"/>
        <v>21990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327138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8</v>
      </c>
      <c r="D14" s="31">
        <f t="shared" si="1"/>
        <v>88</v>
      </c>
      <c r="F14" s="157" t="s">
        <v>39</v>
      </c>
      <c r="G14" s="158"/>
      <c r="H14" s="159">
        <f>D54</f>
        <v>58863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268275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216*6+200*6</f>
        <v>2496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327138</v>
      </c>
      <c r="F29" s="175" t="s">
        <v>55</v>
      </c>
      <c r="G29" s="176"/>
      <c r="H29" s="179">
        <f>H15-H16-H17-H18-H19-H20-H22-H23-H24+H26+H27</f>
        <v>265779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</v>
      </c>
      <c r="H34" s="207">
        <f>F34*G34</f>
        <v>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501</v>
      </c>
      <c r="D37" s="12">
        <f>C37*111</f>
        <v>55611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7</v>
      </c>
      <c r="H38" s="207">
        <f t="shared" si="2"/>
        <v>350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820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201</v>
      </c>
      <c r="H44" s="191">
        <v>113992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5</v>
      </c>
      <c r="D45" s="12">
        <f>C45*84</f>
        <v>420</v>
      </c>
      <c r="F45" s="37" t="s">
        <v>172</v>
      </c>
      <c r="G45" s="62" t="s">
        <v>202</v>
      </c>
      <c r="H45" s="191">
        <v>145035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18</v>
      </c>
      <c r="D49" s="12">
        <f>C49*42</f>
        <v>756</v>
      </c>
      <c r="F49" s="232" t="s">
        <v>86</v>
      </c>
      <c r="G49" s="179">
        <f>H34+H35+H36+H37+H38+H39+H40+H41+G42+H44+H45+H46</f>
        <v>264237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20</v>
      </c>
      <c r="D50" s="12">
        <f>C50*1.5</f>
        <v>30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-1542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58863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97">
        <v>320</v>
      </c>
      <c r="D6" s="13">
        <f t="shared" ref="D6:D28" si="1">C6*L6</f>
        <v>243520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97">
        <v>50</v>
      </c>
      <c r="D7" s="13">
        <f t="shared" si="1"/>
        <v>39050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97">
        <v>20</v>
      </c>
      <c r="D8" s="13">
        <f t="shared" si="1"/>
        <v>21860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97">
        <v>105</v>
      </c>
      <c r="D9" s="13">
        <f t="shared" si="1"/>
        <v>76965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97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97">
        <v>5</v>
      </c>
      <c r="D11" s="13">
        <f t="shared" si="1"/>
        <v>5850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97">
        <f>30+6+2</f>
        <v>38</v>
      </c>
      <c r="D12" s="48">
        <f t="shared" si="1"/>
        <v>37696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97"/>
      <c r="D13" s="48">
        <f t="shared" si="1"/>
        <v>0</v>
      </c>
      <c r="F13" s="152" t="s">
        <v>36</v>
      </c>
      <c r="G13" s="153"/>
      <c r="H13" s="154">
        <f>D29</f>
        <v>454572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97"/>
      <c r="D14" s="31">
        <f t="shared" si="1"/>
        <v>0</v>
      </c>
      <c r="F14" s="157" t="s">
        <v>39</v>
      </c>
      <c r="G14" s="158"/>
      <c r="H14" s="159">
        <f>D54</f>
        <v>43967.25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97">
        <v>5</v>
      </c>
      <c r="D15" s="31">
        <f t="shared" si="1"/>
        <v>3100</v>
      </c>
      <c r="F15" s="162" t="s">
        <v>40</v>
      </c>
      <c r="G15" s="153"/>
      <c r="H15" s="163">
        <f>H13-H14</f>
        <v>410604.75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97">
        <v>1</v>
      </c>
      <c r="D16" s="48">
        <f t="shared" si="1"/>
        <v>1702</v>
      </c>
      <c r="F16" s="67" t="s">
        <v>42</v>
      </c>
      <c r="G16" s="66" t="s">
        <v>43</v>
      </c>
      <c r="H16" s="166"/>
      <c r="I16" s="166"/>
      <c r="J16" s="166"/>
      <c r="L16" s="6">
        <f>1582+120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97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97">
        <v>2</v>
      </c>
      <c r="D18" s="48">
        <f t="shared" si="1"/>
        <v>1240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97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97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97">
        <f>5+2+5</f>
        <v>12</v>
      </c>
      <c r="D21" s="48">
        <f t="shared" si="1"/>
        <v>7800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97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96" t="s">
        <v>199</v>
      </c>
      <c r="C23" s="97">
        <f>2+2</f>
        <v>4</v>
      </c>
      <c r="D23" s="48">
        <f t="shared" si="1"/>
        <v>4700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97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97">
        <v>1</v>
      </c>
      <c r="D25" s="48">
        <f t="shared" si="1"/>
        <v>1277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1157+120</f>
        <v>1277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97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93</v>
      </c>
      <c r="C27" s="97">
        <v>1</v>
      </c>
      <c r="D27" s="44">
        <f t="shared" si="1"/>
        <v>1702</v>
      </c>
      <c r="F27" s="25"/>
      <c r="G27" s="80"/>
      <c r="H27" s="198"/>
      <c r="I27" s="199"/>
      <c r="J27" s="200"/>
      <c r="L27" s="7">
        <f>1582+120</f>
        <v>1702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97">
        <v>10</v>
      </c>
      <c r="D28" s="48">
        <f t="shared" si="1"/>
        <v>8110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454572</v>
      </c>
      <c r="F29" s="175" t="s">
        <v>55</v>
      </c>
      <c r="G29" s="176"/>
      <c r="H29" s="179">
        <f>H15-H16-H17-H18-H19-H20-H22-H23-H24+H26+H27</f>
        <v>410604.75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L31">
        <f>332-572</f>
        <v>-240</v>
      </c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07">
        <f>F34*G34</f>
        <v>12000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6</v>
      </c>
      <c r="D35" s="30">
        <f>C35*84</f>
        <v>504</v>
      </c>
      <c r="F35" s="58">
        <v>500</v>
      </c>
      <c r="G35" s="41">
        <v>6</v>
      </c>
      <c r="H35" s="207">
        <f>F35*G35</f>
        <v>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14</v>
      </c>
      <c r="D36" s="12">
        <f>C36*1.5</f>
        <v>21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87</v>
      </c>
      <c r="D37" s="12">
        <f>C37*111</f>
        <v>9657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312</v>
      </c>
      <c r="D38" s="12">
        <f>C38*84</f>
        <v>26208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34</v>
      </c>
      <c r="D41" s="12">
        <f>C41*84</f>
        <v>2856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>
        <v>31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200</v>
      </c>
      <c r="H44" s="191">
        <v>394931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42</v>
      </c>
      <c r="D45" s="12">
        <f>C45*84</f>
        <v>3528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21</v>
      </c>
      <c r="D46" s="12">
        <f>C46*1.5</f>
        <v>31.5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410362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205</v>
      </c>
      <c r="G51" s="246">
        <f>G49-H29</f>
        <v>-242.75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43967.25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314</v>
      </c>
      <c r="D6" s="13">
        <f t="shared" ref="D6:D28" si="1">C6*L6</f>
        <v>238954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21</v>
      </c>
      <c r="D7" s="13">
        <f t="shared" si="1"/>
        <v>16401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12</v>
      </c>
      <c r="D8" s="13">
        <f t="shared" si="1"/>
        <v>13116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8</v>
      </c>
      <c r="D9" s="13">
        <f t="shared" si="1"/>
        <v>5864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10</v>
      </c>
      <c r="D10" s="13">
        <f t="shared" si="1"/>
        <v>10320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40</v>
      </c>
      <c r="D11" s="13">
        <f t="shared" si="1"/>
        <v>46800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25+10</f>
        <v>35</v>
      </c>
      <c r="D12" s="48">
        <f t="shared" si="1"/>
        <v>34720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</v>
      </c>
      <c r="D13" s="48">
        <f t="shared" si="1"/>
        <v>307</v>
      </c>
      <c r="F13" s="152" t="s">
        <v>36</v>
      </c>
      <c r="G13" s="153"/>
      <c r="H13" s="154">
        <f>D29</f>
        <v>401678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46828.5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208</v>
      </c>
      <c r="C15" s="10">
        <f>10+5</f>
        <v>15</v>
      </c>
      <c r="D15" s="31">
        <f t="shared" si="1"/>
        <v>9300</v>
      </c>
      <c r="F15" s="162" t="s">
        <v>40</v>
      </c>
      <c r="G15" s="153"/>
      <c r="H15" s="163">
        <f>H13-H14</f>
        <v>354849.5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209</v>
      </c>
      <c r="C16" s="10">
        <f>1+1</f>
        <v>2</v>
      </c>
      <c r="D16" s="48">
        <f t="shared" si="1"/>
        <v>3404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>
        <v>5</v>
      </c>
      <c r="D20" s="13">
        <f t="shared" si="1"/>
        <v>5875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5+3</f>
        <v>8</v>
      </c>
      <c r="D21" s="48">
        <f t="shared" si="1"/>
        <v>5200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>
        <v>1</v>
      </c>
      <c r="D22" s="48">
        <f t="shared" si="1"/>
        <v>1582</v>
      </c>
      <c r="F22" s="77"/>
      <c r="G22" s="73"/>
      <c r="H22" s="189"/>
      <c r="I22" s="189"/>
      <c r="J22" s="189"/>
      <c r="L22" s="7">
        <f>1582</f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10</v>
      </c>
      <c r="D28" s="48">
        <f t="shared" si="1"/>
        <v>8110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401678</v>
      </c>
      <c r="F29" s="175" t="s">
        <v>55</v>
      </c>
      <c r="G29" s="176"/>
      <c r="H29" s="179">
        <f>H15-H16-H17-H18-H19-H20-H22-H23-H24+H26+H27+H28</f>
        <v>354849.5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</v>
      </c>
      <c r="H34" s="207">
        <f t="shared" ref="H34:H39" si="2">F34*G34</f>
        <v>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1</v>
      </c>
      <c r="H35" s="207">
        <f t="shared" si="2"/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62</v>
      </c>
      <c r="D37" s="12">
        <f>C37*111</f>
        <v>6882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322</v>
      </c>
      <c r="D38" s="12">
        <f>C38*84</f>
        <v>27048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91">
        <v>351689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98</v>
      </c>
      <c r="D45" s="12">
        <f>C45*84</f>
        <v>8232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</v>
      </c>
      <c r="D46" s="12">
        <f>C46*1.5</f>
        <v>4.5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354289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-560.5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46828.5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388</v>
      </c>
      <c r="D6" s="13">
        <f t="shared" ref="D6:D28" si="1">C6*L6</f>
        <v>295268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</v>
      </c>
      <c r="D9" s="13">
        <f t="shared" si="1"/>
        <v>5131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309448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45107.25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264340.75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324*6</f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309448</v>
      </c>
      <c r="F29" s="175" t="s">
        <v>55</v>
      </c>
      <c r="G29" s="176"/>
      <c r="H29" s="179">
        <f>H15-H16-H17-H18-H19-H20-H22-H23-H24+H26+H27</f>
        <v>262396.75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150</v>
      </c>
      <c r="H34" s="207">
        <f>F34*G34</f>
        <v>150000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223</v>
      </c>
      <c r="H35" s="207">
        <f t="shared" ref="H35:H39" si="2">F35*G35</f>
        <v>111500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392</v>
      </c>
      <c r="D37" s="12">
        <f>C37*111</f>
        <v>43512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</v>
      </c>
      <c r="H38" s="207">
        <f t="shared" si="2"/>
        <v>200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7">
        <v>18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11</v>
      </c>
      <c r="D49" s="12">
        <f>C49*42</f>
        <v>462</v>
      </c>
      <c r="F49" s="232" t="s">
        <v>86</v>
      </c>
      <c r="G49" s="179">
        <f>H34+H35+H36+H37+H38+H39+H40+H41+G42+H44+H45+H46</f>
        <v>262118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-278.75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45107.25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332</v>
      </c>
      <c r="D6" s="13">
        <f t="shared" ref="D6:D28" si="1">C6*L6</f>
        <v>252652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73</v>
      </c>
      <c r="D9" s="13">
        <f t="shared" si="1"/>
        <v>53509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311662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43362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268300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600+606</f>
        <v>1206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70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311662</v>
      </c>
      <c r="F29" s="175" t="s">
        <v>55</v>
      </c>
      <c r="G29" s="176"/>
      <c r="H29" s="179">
        <f>H15-H16-H17-H18-H19-H20-H22-H23-H24+H26+H27</f>
        <v>267024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164</v>
      </c>
      <c r="H34" s="207">
        <f>F34*G34</f>
        <v>164000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07">
        <f>F35*G35</f>
        <v>29000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57</v>
      </c>
      <c r="H37" s="207">
        <f t="shared" si="2"/>
        <v>5700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38</v>
      </c>
      <c r="H38" s="207">
        <f t="shared" si="2"/>
        <v>1900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1063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76" t="s">
        <v>207</v>
      </c>
      <c r="H44" s="191">
        <v>65622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267285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52</v>
      </c>
      <c r="D50" s="12">
        <f>C50*1.5</f>
        <v>78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261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43362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457</v>
      </c>
      <c r="D6" s="13">
        <f t="shared" ref="D6:D28" si="1">C6*L6</f>
        <v>347777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65</v>
      </c>
      <c r="D8" s="13">
        <f t="shared" si="1"/>
        <v>71045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19</v>
      </c>
      <c r="D9" s="13">
        <f t="shared" si="1"/>
        <v>13927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449433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16</v>
      </c>
      <c r="D14" s="31">
        <f t="shared" si="1"/>
        <v>176</v>
      </c>
      <c r="F14" s="157" t="s">
        <v>39</v>
      </c>
      <c r="G14" s="158"/>
      <c r="H14" s="159">
        <f>D54</f>
        <v>82245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f>1</f>
        <v>1</v>
      </c>
      <c r="D15" s="31">
        <f t="shared" si="1"/>
        <v>620</v>
      </c>
      <c r="F15" s="162" t="s">
        <v>40</v>
      </c>
      <c r="G15" s="153"/>
      <c r="H15" s="163">
        <f>H13-H14</f>
        <v>367188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98" t="s">
        <v>210</v>
      </c>
      <c r="C22" s="10">
        <v>1</v>
      </c>
      <c r="D22" s="48">
        <f t="shared" si="1"/>
        <v>1702</v>
      </c>
      <c r="F22" s="77" t="s">
        <v>174</v>
      </c>
      <c r="G22" s="73">
        <v>9596</v>
      </c>
      <c r="H22" s="189">
        <v>67313</v>
      </c>
      <c r="I22" s="189"/>
      <c r="J22" s="189"/>
      <c r="L22" s="7">
        <f>1582+120</f>
        <v>1702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2</v>
      </c>
      <c r="D28" s="48">
        <f t="shared" si="1"/>
        <v>1622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449433</v>
      </c>
      <c r="F29" s="175" t="s">
        <v>55</v>
      </c>
      <c r="G29" s="176"/>
      <c r="H29" s="179">
        <f>H15-H16-H17-H18-H19-H20-H22-H23-H24+H26+H27+H28</f>
        <v>297881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168</v>
      </c>
      <c r="H34" s="207">
        <f t="shared" ref="H34:H39" si="2">F34*G34</f>
        <v>168000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07">
        <f t="shared" si="2"/>
        <v>39000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569</v>
      </c>
      <c r="D37" s="12">
        <f>C37*111</f>
        <v>63159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95</v>
      </c>
      <c r="D38" s="12">
        <f>C38*84</f>
        <v>7980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154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70</v>
      </c>
      <c r="D44" s="12">
        <f>C44*120</f>
        <v>8400</v>
      </c>
      <c r="F44" s="37" t="s">
        <v>146</v>
      </c>
      <c r="G44" s="84" t="s">
        <v>148</v>
      </c>
      <c r="H44" s="191">
        <v>75000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155</v>
      </c>
      <c r="G45" s="99" t="s">
        <v>211</v>
      </c>
      <c r="H45" s="191">
        <v>11700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6</v>
      </c>
      <c r="D46" s="12">
        <f>C46*1.5</f>
        <v>9</v>
      </c>
      <c r="F46" s="37" t="s">
        <v>155</v>
      </c>
      <c r="G46" s="62" t="s">
        <v>212</v>
      </c>
      <c r="H46" s="191">
        <v>3944</v>
      </c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297798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14</v>
      </c>
      <c r="D50" s="12">
        <f>C50*1.5</f>
        <v>21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-83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82245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326</v>
      </c>
      <c r="D6" s="13">
        <f t="shared" ref="D6:D28" si="1">C6*L6</f>
        <v>248086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17</v>
      </c>
      <c r="D9" s="13">
        <f t="shared" si="1"/>
        <v>12461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267889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40076.25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227812.75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104*6</f>
        <v>624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267889</v>
      </c>
      <c r="F29" s="175" t="s">
        <v>55</v>
      </c>
      <c r="G29" s="176"/>
      <c r="H29" s="179">
        <f>H15-H16-H17-H18-H19-H20-H22-H23-H24+H26+H27</f>
        <v>227188.75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187</v>
      </c>
      <c r="H34" s="207">
        <f>F34*G34</f>
        <v>187000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07">
        <f t="shared" ref="H35:H39" si="2">F35*G35</f>
        <v>40000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8</v>
      </c>
      <c r="D36" s="12">
        <f>C36*1.5</f>
        <v>12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335</v>
      </c>
      <c r="D37" s="12">
        <f>C37*111</f>
        <v>37185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207">
        <f t="shared" si="2"/>
        <v>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61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2</v>
      </c>
      <c r="D45" s="12">
        <f>C45*84</f>
        <v>168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16</v>
      </c>
      <c r="D46" s="12">
        <f>C46*1.5</f>
        <v>24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6</v>
      </c>
      <c r="D49" s="12">
        <f>C49*42</f>
        <v>252</v>
      </c>
      <c r="F49" s="232" t="s">
        <v>86</v>
      </c>
      <c r="G49" s="179">
        <f>H34+H35+H36+H37+H38+H39+H40+H41+G42+H44+H45+H46</f>
        <v>227211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14</v>
      </c>
      <c r="D50" s="12">
        <f>C50*1.5</f>
        <v>21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22.25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40076.25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430</v>
      </c>
      <c r="D6" s="13">
        <f t="shared" ref="D6:D28" si="1">C6*L6</f>
        <v>327230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5467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112</v>
      </c>
      <c r="D9" s="13">
        <f t="shared" si="1"/>
        <v>82096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10</v>
      </c>
      <c r="D11" s="13">
        <f t="shared" si="1"/>
        <v>11700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432743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10</v>
      </c>
      <c r="D14" s="31">
        <f t="shared" si="1"/>
        <v>110</v>
      </c>
      <c r="F14" s="157" t="s">
        <v>39</v>
      </c>
      <c r="G14" s="158"/>
      <c r="H14" s="159">
        <f>D54</f>
        <v>88158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344585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648+450+2130</f>
        <v>3228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432743</v>
      </c>
      <c r="F29" s="175" t="s">
        <v>55</v>
      </c>
      <c r="G29" s="176"/>
      <c r="H29" s="179">
        <f>H15-H16-H17-H18-H19-H20-H22-H23-H24+H26+H27</f>
        <v>341357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46</v>
      </c>
      <c r="H34" s="207">
        <f>F34*G34</f>
        <v>46000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07">
        <f>F35*G35</f>
        <v>10500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7">
        <f t="shared" ref="H36:H39" si="2">F36*G36</f>
        <v>200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742</v>
      </c>
      <c r="D37" s="12">
        <f>C37*111</f>
        <v>82362</v>
      </c>
      <c r="F37" s="12">
        <v>100</v>
      </c>
      <c r="G37" s="39">
        <v>18</v>
      </c>
      <c r="H37" s="207">
        <f t="shared" si="2"/>
        <v>1800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79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10</v>
      </c>
      <c r="D44" s="12">
        <f>C44*120</f>
        <v>1200</v>
      </c>
      <c r="F44" s="37" t="s">
        <v>146</v>
      </c>
      <c r="G44" s="76" t="s">
        <v>213</v>
      </c>
      <c r="H44" s="191">
        <v>48987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76" t="s">
        <v>214</v>
      </c>
      <c r="H45" s="191">
        <v>233269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9</v>
      </c>
      <c r="D49" s="12">
        <f>C49*42</f>
        <v>378</v>
      </c>
      <c r="F49" s="232" t="s">
        <v>86</v>
      </c>
      <c r="G49" s="179">
        <f>H34+H35+H36+H37+H38+H39+H40+H41+G42+H44+H45+H46</f>
        <v>340935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13</v>
      </c>
      <c r="D50" s="12">
        <f>C50*1.5</f>
        <v>19.5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-422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88158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436</v>
      </c>
      <c r="D6" s="13">
        <f t="shared" ref="D6:D28" si="1">C6*L6</f>
        <v>331796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10</v>
      </c>
      <c r="D9" s="13">
        <f t="shared" si="1"/>
        <v>7330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343569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12</v>
      </c>
      <c r="D14" s="31">
        <f t="shared" si="1"/>
        <v>132</v>
      </c>
      <c r="F14" s="157" t="s">
        <v>39</v>
      </c>
      <c r="G14" s="158"/>
      <c r="H14" s="159">
        <f>D54</f>
        <v>53209.5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290359.5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 t="s">
        <v>217</v>
      </c>
      <c r="G22" s="73">
        <v>9803</v>
      </c>
      <c r="H22" s="189">
        <v>141854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343569</v>
      </c>
      <c r="F29" s="175" t="s">
        <v>55</v>
      </c>
      <c r="G29" s="176"/>
      <c r="H29" s="179">
        <f>H15-H16-H17-H18-H19-H20-H22-H23-H24+H26+H27+H28</f>
        <v>148455.5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126</v>
      </c>
      <c r="H34" s="207">
        <f t="shared" ref="H34:H39" si="2">F34*G34</f>
        <v>126000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07">
        <f t="shared" si="2"/>
        <v>19000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29</v>
      </c>
      <c r="H37" s="207">
        <f t="shared" si="2"/>
        <v>2900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68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148418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-37.5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53209.5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398</v>
      </c>
      <c r="D6" s="13">
        <f t="shared" ref="D6:D28" si="1">C6*L6</f>
        <v>302878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9</v>
      </c>
      <c r="D7" s="13">
        <f t="shared" si="1"/>
        <v>7029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36</v>
      </c>
      <c r="D9" s="13">
        <f t="shared" si="1"/>
        <v>26388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2+1</f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348180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51591.75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296588.25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</f>
        <v>648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 t="s">
        <v>164</v>
      </c>
      <c r="G22" s="73">
        <v>9736</v>
      </c>
      <c r="H22" s="189">
        <v>94558</v>
      </c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106" t="s">
        <v>164</v>
      </c>
      <c r="G26" s="59">
        <v>9573</v>
      </c>
      <c r="H26" s="195">
        <v>102166</v>
      </c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5</v>
      </c>
      <c r="D28" s="48">
        <f t="shared" si="1"/>
        <v>4055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348180</v>
      </c>
      <c r="F29" s="175" t="s">
        <v>55</v>
      </c>
      <c r="G29" s="176"/>
      <c r="H29" s="179">
        <f>H15-H16-H17-H18-H19-H20-H22-H23-H24+H26+H27</f>
        <v>303548.25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207">
        <f>F34*G34</f>
        <v>106000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</v>
      </c>
      <c r="H35" s="207">
        <f t="shared" ref="H35:H39" si="2">F35*G35</f>
        <v>22000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33</v>
      </c>
      <c r="H37" s="207">
        <f t="shared" si="2"/>
        <v>3300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89</v>
      </c>
      <c r="D38" s="12">
        <f>C38*84</f>
        <v>7476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>
        <v>68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37" t="s">
        <v>172</v>
      </c>
      <c r="G44" s="99" t="s">
        <v>216</v>
      </c>
      <c r="H44" s="191">
        <v>70347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91">
        <v>102166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</v>
      </c>
      <c r="D46" s="12">
        <f>C46*1.5</f>
        <v>6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303901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21</v>
      </c>
      <c r="D50" s="12">
        <f>C50*1.5</f>
        <v>31.5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352.75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51591.75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372</v>
      </c>
      <c r="D6" s="13">
        <f t="shared" ref="D6:D28" si="1">C6*L6</f>
        <v>283092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5467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25</v>
      </c>
      <c r="D9" s="13">
        <f t="shared" si="1"/>
        <v>18325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313665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11</v>
      </c>
      <c r="D14" s="31">
        <f t="shared" si="1"/>
        <v>121</v>
      </c>
      <c r="F14" s="157" t="s">
        <v>39</v>
      </c>
      <c r="G14" s="158"/>
      <c r="H14" s="159">
        <f>D54</f>
        <v>47919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265746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300+690+1032+30</f>
        <v>2052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313665</v>
      </c>
      <c r="F29" s="175" t="s">
        <v>55</v>
      </c>
      <c r="G29" s="176"/>
      <c r="H29" s="179">
        <f>H15-H16-H17-H18-H19-H20-H22-H23-H24+H26+H27</f>
        <v>263644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207">
        <f>F34*G34</f>
        <v>116000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07">
        <f>F35*G35</f>
        <v>30500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418</v>
      </c>
      <c r="D37" s="12">
        <f>C37*111</f>
        <v>46398</v>
      </c>
      <c r="F37" s="12">
        <v>100</v>
      </c>
      <c r="G37" s="39">
        <v>23</v>
      </c>
      <c r="H37" s="207">
        <f t="shared" si="2"/>
        <v>2300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207">
        <f t="shared" si="2"/>
        <v>200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2294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215</v>
      </c>
      <c r="H44" s="191">
        <v>112255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11</v>
      </c>
      <c r="D46" s="12">
        <f>C46*1.5</f>
        <v>16.5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7</v>
      </c>
      <c r="D49" s="12">
        <f>C49*42</f>
        <v>294</v>
      </c>
      <c r="F49" s="232" t="s">
        <v>86</v>
      </c>
      <c r="G49" s="179">
        <f>H34+H35+H36+H37+H38+H39+H40+H41+G42+H44+H45+H46</f>
        <v>263549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-95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47919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 t="s">
        <v>174</v>
      </c>
      <c r="G26" s="65">
        <v>9596</v>
      </c>
      <c r="H26" s="191">
        <v>67313</v>
      </c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 t="s">
        <v>219</v>
      </c>
      <c r="G27" s="91">
        <v>9803</v>
      </c>
      <c r="H27" s="244">
        <v>141854</v>
      </c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209167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67</v>
      </c>
      <c r="H34" s="207">
        <f t="shared" ref="H34:H39" si="2">F34*G34</f>
        <v>67000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13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105" t="s">
        <v>218</v>
      </c>
      <c r="H44" s="191">
        <v>141854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209167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220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480</v>
      </c>
      <c r="D6" s="13">
        <f t="shared" ref="D6:D28" si="1">C6*L6</f>
        <v>365280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10</v>
      </c>
      <c r="D7" s="13">
        <f t="shared" si="1"/>
        <v>7810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2</v>
      </c>
      <c r="D8" s="13">
        <f t="shared" si="1"/>
        <v>2186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72</v>
      </c>
      <c r="D9" s="13">
        <f t="shared" si="1"/>
        <v>52776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3</v>
      </c>
      <c r="D10" s="13">
        <f t="shared" si="1"/>
        <v>3096</v>
      </c>
      <c r="F10" s="130" t="s">
        <v>26</v>
      </c>
      <c r="G10" s="146" t="s">
        <v>223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</v>
      </c>
      <c r="D13" s="48">
        <f t="shared" si="1"/>
        <v>307</v>
      </c>
      <c r="F13" s="152" t="s">
        <v>36</v>
      </c>
      <c r="G13" s="153"/>
      <c r="H13" s="154">
        <f>D29</f>
        <v>441683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</v>
      </c>
      <c r="D14" s="31">
        <f t="shared" si="1"/>
        <v>22</v>
      </c>
      <c r="F14" s="157" t="s">
        <v>39</v>
      </c>
      <c r="G14" s="158"/>
      <c r="H14" s="159">
        <f>D54</f>
        <v>51233.25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390449.75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>
        <f>1+1</f>
        <v>2</v>
      </c>
      <c r="D20" s="13">
        <f t="shared" si="1"/>
        <v>2350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441683</v>
      </c>
      <c r="F29" s="175" t="s">
        <v>55</v>
      </c>
      <c r="G29" s="176"/>
      <c r="H29" s="179">
        <f>H15-H16-H17-H18-H19-H20-H22-H23-H24+H26+H27+H28</f>
        <v>390449.75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90</v>
      </c>
      <c r="H34" s="207">
        <f t="shared" ref="H34:H39" si="2">F34*G34</f>
        <v>90000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07">
        <f t="shared" si="2"/>
        <v>16000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43</v>
      </c>
      <c r="D36" s="12">
        <f>C36*1.5</f>
        <v>64.5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10</v>
      </c>
      <c r="H38" s="207">
        <f t="shared" si="2"/>
        <v>500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221</v>
      </c>
      <c r="H44" s="191">
        <v>266891.5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9</v>
      </c>
      <c r="D45" s="12">
        <f>C45*84</f>
        <v>756</v>
      </c>
      <c r="F45" s="37" t="s">
        <v>146</v>
      </c>
      <c r="G45" s="84" t="s">
        <v>148</v>
      </c>
      <c r="H45" s="191">
        <v>13879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23</v>
      </c>
      <c r="D46" s="12">
        <f>C46*1.5</f>
        <v>34.5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389970.5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72</v>
      </c>
      <c r="D50" s="12">
        <f>C50*1.5</f>
        <v>108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-479.25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51233.25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349</v>
      </c>
      <c r="D6" s="13">
        <f t="shared" ref="D6:D28" si="1">C6*L6</f>
        <v>265589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110</v>
      </c>
      <c r="D9" s="13">
        <f t="shared" si="1"/>
        <v>80630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18</v>
      </c>
      <c r="D13" s="48">
        <f t="shared" si="1"/>
        <v>5526</v>
      </c>
      <c r="F13" s="152" t="s">
        <v>36</v>
      </c>
      <c r="G13" s="153"/>
      <c r="H13" s="154">
        <f>D29</f>
        <v>356198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10</v>
      </c>
      <c r="D14" s="31">
        <f t="shared" si="1"/>
        <v>110</v>
      </c>
      <c r="F14" s="157" t="s">
        <v>39</v>
      </c>
      <c r="G14" s="158"/>
      <c r="H14" s="159">
        <f>D54</f>
        <v>52395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303803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433*6</f>
        <v>2598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356198</v>
      </c>
      <c r="F29" s="175" t="s">
        <v>55</v>
      </c>
      <c r="G29" s="176"/>
      <c r="H29" s="179">
        <f>H15-H16-H17-H18-H19-H20-H22-H23-H24+H26+H27</f>
        <v>301205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210</v>
      </c>
      <c r="H34" s="207">
        <f>F34*G34</f>
        <v>210000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207">
        <f t="shared" ref="H35:H39" si="2">F35*G35</f>
        <v>61500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201</v>
      </c>
      <c r="H37" s="207">
        <f t="shared" si="2"/>
        <v>20100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197</v>
      </c>
      <c r="H38" s="207">
        <f t="shared" si="2"/>
        <v>9850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14</v>
      </c>
      <c r="D49" s="12">
        <f>C49*42</f>
        <v>588</v>
      </c>
      <c r="F49" s="232" t="s">
        <v>86</v>
      </c>
      <c r="G49" s="179">
        <f>H34+H35+H36+H37+H38+H39+H40+H41+G42+H44+H45+H46</f>
        <v>301450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245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52395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451</v>
      </c>
      <c r="D6" s="13">
        <f t="shared" ref="D6:D28" si="1">C6*L6</f>
        <v>343211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9</v>
      </c>
      <c r="D7" s="13">
        <f t="shared" si="1"/>
        <v>7029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28</v>
      </c>
      <c r="D9" s="13">
        <f t="shared" si="1"/>
        <v>20524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376448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</v>
      </c>
      <c r="D14" s="31">
        <f t="shared" si="1"/>
        <v>11</v>
      </c>
      <c r="F14" s="157" t="s">
        <v>39</v>
      </c>
      <c r="G14" s="158"/>
      <c r="H14" s="159">
        <f>D54</f>
        <v>62977.5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313470.5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1296+300+708</f>
        <v>2304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376448</v>
      </c>
      <c r="F29" s="175" t="s">
        <v>55</v>
      </c>
      <c r="G29" s="176"/>
      <c r="H29" s="179">
        <f>H15-H16-H17-H18-H19-H20-H22-H23-H24+H26+H27</f>
        <v>311166.5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137</v>
      </c>
      <c r="H34" s="207">
        <f>F34*G34</f>
        <v>137000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63</v>
      </c>
      <c r="H35" s="207">
        <f>F35*G35</f>
        <v>31500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07">
        <f t="shared" ref="H36:H39" si="2">F36*G36</f>
        <v>1400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531</v>
      </c>
      <c r="D37" s="12">
        <f>C37*111</f>
        <v>58941</v>
      </c>
      <c r="F37" s="12">
        <v>100</v>
      </c>
      <c r="G37" s="39">
        <v>98</v>
      </c>
      <c r="H37" s="207">
        <f t="shared" si="2"/>
        <v>9800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36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146</v>
      </c>
      <c r="G44" s="76" t="s">
        <v>222</v>
      </c>
      <c r="H44" s="191">
        <v>131211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311087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17</v>
      </c>
      <c r="D50" s="12">
        <f>C50*1.5</f>
        <v>25.5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-79.5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62977.5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63432-4C58-4651-B203-5118A08B7E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030A0-AEA0-41AB-806A-0E9B4538D1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458</v>
      </c>
      <c r="D6" s="13">
        <f t="shared" ref="D6:D28" si="1">C6*L6</f>
        <v>348538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223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356654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51967.5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304686.5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432*6</f>
        <v>2592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356654</v>
      </c>
      <c r="F29" s="175" t="s">
        <v>55</v>
      </c>
      <c r="G29" s="176"/>
      <c r="H29" s="179">
        <f>H15-H16-H17-H18-H19-H20-H22-H23-H24+H26+H27+H28</f>
        <v>302094.5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254</v>
      </c>
      <c r="H34" s="207">
        <f t="shared" ref="H34:H39" si="2">F34*G34</f>
        <v>254000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74</v>
      </c>
      <c r="H35" s="207">
        <f t="shared" si="2"/>
        <v>37000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447</v>
      </c>
      <c r="D37" s="12">
        <f>C37*111</f>
        <v>49617</v>
      </c>
      <c r="F37" s="12">
        <v>100</v>
      </c>
      <c r="G37" s="39">
        <v>8</v>
      </c>
      <c r="H37" s="207">
        <f t="shared" si="2"/>
        <v>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6</v>
      </c>
      <c r="D42" s="12">
        <f>C42*2.25</f>
        <v>13.5</v>
      </c>
      <c r="F42" s="39" t="s">
        <v>79</v>
      </c>
      <c r="G42" s="207">
        <v>59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155</v>
      </c>
      <c r="G44" s="84"/>
      <c r="H44" s="191">
        <v>10400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8</v>
      </c>
      <c r="D46" s="12">
        <f>C46*1.5</f>
        <v>12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16</v>
      </c>
      <c r="D49" s="12">
        <f>C49*42</f>
        <v>672</v>
      </c>
      <c r="F49" s="232" t="s">
        <v>86</v>
      </c>
      <c r="G49" s="179">
        <f>H34+H35+H36+H37+H38+H39+H40+H41+G42+H44+H45+H46</f>
        <v>302259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164.5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51967.5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5AAD9-601E-44C4-9D82-98CE6E10CD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350</v>
      </c>
      <c r="D6" s="13">
        <f t="shared" ref="D6:D28" si="1">C6*L6</f>
        <v>266350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23</v>
      </c>
      <c r="D9" s="13">
        <f t="shared" si="1"/>
        <v>16859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9</v>
      </c>
      <c r="D13" s="48">
        <f t="shared" si="1"/>
        <v>2763</v>
      </c>
      <c r="F13" s="152" t="s">
        <v>36</v>
      </c>
      <c r="G13" s="153"/>
      <c r="H13" s="154">
        <f>D29</f>
        <v>291721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</v>
      </c>
      <c r="D14" s="31">
        <f t="shared" si="1"/>
        <v>11</v>
      </c>
      <c r="F14" s="157" t="s">
        <v>39</v>
      </c>
      <c r="G14" s="158"/>
      <c r="H14" s="159">
        <f>D54</f>
        <v>47277.75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244443.25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144*6+200*6</f>
        <v>2064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2</v>
      </c>
      <c r="D28" s="48">
        <f t="shared" si="1"/>
        <v>1622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291721</v>
      </c>
      <c r="F29" s="175" t="s">
        <v>55</v>
      </c>
      <c r="G29" s="176"/>
      <c r="H29" s="179">
        <f>H15-H16-H17-H18-H19-H20-H22-H23-H24+H26+H27</f>
        <v>242379.25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85</v>
      </c>
      <c r="H34" s="207">
        <f>F34*G34</f>
        <v>85000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207">
        <f t="shared" ref="H35:H39" si="2">F35*G35</f>
        <v>27500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415</v>
      </c>
      <c r="D37" s="12">
        <f>C37*111</f>
        <v>46065</v>
      </c>
      <c r="F37" s="12">
        <v>100</v>
      </c>
      <c r="G37" s="39">
        <v>35</v>
      </c>
      <c r="H37" s="207">
        <f t="shared" si="2"/>
        <v>3500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6</v>
      </c>
      <c r="H38" s="207">
        <f t="shared" si="2"/>
        <v>300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</v>
      </c>
      <c r="D42" s="12">
        <f>C42*2.25</f>
        <v>2.25</v>
      </c>
      <c r="F42" s="39" t="s">
        <v>79</v>
      </c>
      <c r="G42" s="207">
        <v>110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225</v>
      </c>
      <c r="H44" s="191">
        <v>125594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242004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-375.25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47277.75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CE60F-D9FC-44C9-BD53-9497EACA63AC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441</v>
      </c>
      <c r="D6" s="13">
        <f t="shared" ref="D6:D28" si="1">C6*L6</f>
        <v>335601</v>
      </c>
      <c r="F6" s="130" t="s">
        <v>16</v>
      </c>
      <c r="G6" s="132" t="s">
        <v>226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2</v>
      </c>
      <c r="D8" s="13">
        <f t="shared" si="1"/>
        <v>2186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15</v>
      </c>
      <c r="D9" s="13">
        <f t="shared" si="1"/>
        <v>10995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18</v>
      </c>
      <c r="D13" s="48">
        <f t="shared" si="1"/>
        <v>5526</v>
      </c>
      <c r="F13" s="152" t="s">
        <v>36</v>
      </c>
      <c r="G13" s="153"/>
      <c r="H13" s="154">
        <f>D29</f>
        <v>362847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</v>
      </c>
      <c r="D14" s="31">
        <f t="shared" si="1"/>
        <v>22</v>
      </c>
      <c r="F14" s="157" t="s">
        <v>39</v>
      </c>
      <c r="G14" s="158"/>
      <c r="H14" s="159">
        <f>D54</f>
        <v>52308.75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310538.25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362847</v>
      </c>
      <c r="F29" s="175" t="s">
        <v>55</v>
      </c>
      <c r="G29" s="176"/>
      <c r="H29" s="179">
        <f>H15-H16-H17-H18-H19-H20-H22-H23-H24+H26+H27</f>
        <v>310538.25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47</v>
      </c>
      <c r="H34" s="207">
        <f>F34*G34</f>
        <v>47000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07">
        <f>F35*G35</f>
        <v>30500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07">
        <f t="shared" ref="H36:H39" si="2">F36*G36</f>
        <v>800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166</v>
      </c>
      <c r="H37" s="207">
        <f t="shared" si="2"/>
        <v>16600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38</v>
      </c>
      <c r="H38" s="207">
        <f t="shared" si="2"/>
        <v>1900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60</v>
      </c>
      <c r="D39" s="31">
        <f>C39*4.5</f>
        <v>270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58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224</v>
      </c>
      <c r="H44" s="191">
        <v>213577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13</v>
      </c>
      <c r="D46" s="12">
        <f>C46*1.5</f>
        <v>19.5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25</v>
      </c>
      <c r="D49" s="12">
        <f>C49*42</f>
        <v>1050</v>
      </c>
      <c r="F49" s="232" t="s">
        <v>86</v>
      </c>
      <c r="G49" s="179">
        <f>H34+H35+H36+H37+H38+H39+H40+H41+G42+H44+H45+H46</f>
        <v>310435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23</v>
      </c>
      <c r="D50" s="12">
        <f>C50*1.5</f>
        <v>34.5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-103.25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52308.75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1BCE-F45A-4166-B607-F64E4F63E7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80CE1-8A0E-4B52-8339-74921893267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A204-ED77-4E5C-BAAE-A75F117A3AB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298</v>
      </c>
      <c r="D6" s="13">
        <f t="shared" ref="D6:D28" si="1">C6*L6</f>
        <v>226778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3</v>
      </c>
      <c r="D7" s="13">
        <f t="shared" si="1"/>
        <v>2343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232411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27734.25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204676.75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</f>
        <v>1296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232411</v>
      </c>
      <c r="F29" s="175" t="s">
        <v>55</v>
      </c>
      <c r="G29" s="176"/>
      <c r="H29" s="179">
        <f>H15-H16-H17-H18-H19-H20-H22-H23-H24+H26+H27</f>
        <v>203380.75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207">
        <f>F34*G34</f>
        <v>146000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207">
        <f t="shared" ref="H35:H39" si="2">F35*G35</f>
        <v>56000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207">
        <f>F36*G36</f>
        <v>1000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26</v>
      </c>
      <c r="D38" s="12">
        <f>C38*84</f>
        <v>2184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07">
        <v>40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</v>
      </c>
      <c r="D46" s="12">
        <f>C46*1.5</f>
        <v>6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203040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-340.75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27734.25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43C3-75D3-4AAE-B5DB-A0365E0F4D32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479</v>
      </c>
      <c r="D6" s="13">
        <f t="shared" ref="D6:D28" si="1">C6*L6</f>
        <v>364519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1562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75</v>
      </c>
      <c r="D9" s="13">
        <f t="shared" si="1"/>
        <v>54975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2+1</f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17</v>
      </c>
      <c r="D13" s="48">
        <f t="shared" si="1"/>
        <v>5219</v>
      </c>
      <c r="F13" s="152" t="s">
        <v>36</v>
      </c>
      <c r="G13" s="153"/>
      <c r="H13" s="154">
        <f>D29</f>
        <v>429981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10</v>
      </c>
      <c r="D14" s="31">
        <f t="shared" si="1"/>
        <v>110</v>
      </c>
      <c r="F14" s="157" t="s">
        <v>39</v>
      </c>
      <c r="G14" s="158"/>
      <c r="H14" s="159">
        <f>D54</f>
        <v>58497.75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371483.25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1620+10*6</f>
        <v>1680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429981</v>
      </c>
      <c r="F29" s="175" t="s">
        <v>55</v>
      </c>
      <c r="G29" s="176"/>
      <c r="H29" s="179">
        <f>H15-H16-H17-H18-H19-H20-H22-H23-H24+H26+H27</f>
        <v>369753.25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</v>
      </c>
      <c r="H34" s="207">
        <f>F34*G34</f>
        <v>28000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07">
        <f>F35*G35</f>
        <v>18000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8</v>
      </c>
      <c r="H38" s="207">
        <f t="shared" si="2"/>
        <v>400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29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228</v>
      </c>
      <c r="H44" s="191">
        <v>175030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112" t="s">
        <v>227</v>
      </c>
      <c r="G45" s="62" t="s">
        <v>229</v>
      </c>
      <c r="H45" s="191">
        <v>147971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11</v>
      </c>
      <c r="D49" s="12">
        <f>C49*42</f>
        <v>462</v>
      </c>
      <c r="F49" s="232" t="s">
        <v>86</v>
      </c>
      <c r="G49" s="179">
        <f>H34+H35+H36+H37+H38+H39+H40+H41+G42+H44+H45+H46</f>
        <v>369850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96.75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58497.75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909D-6CDD-482C-B153-74A80CE29FE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E67A-D898-443B-A85B-C015399365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508</v>
      </c>
      <c r="D6" s="13">
        <f t="shared" ref="D6:D28" si="1">C6*L6</f>
        <v>386588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40</v>
      </c>
      <c r="D7" s="13">
        <f t="shared" si="1"/>
        <v>31240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6</v>
      </c>
      <c r="D9" s="13">
        <f t="shared" si="1"/>
        <v>4398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11</v>
      </c>
      <c r="D10" s="13">
        <f t="shared" si="1"/>
        <v>11352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16</v>
      </c>
      <c r="D13" s="48">
        <f t="shared" si="1"/>
        <v>4912</v>
      </c>
      <c r="F13" s="152" t="s">
        <v>36</v>
      </c>
      <c r="G13" s="153"/>
      <c r="H13" s="154">
        <f>D29</f>
        <v>441829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69174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372655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2886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441829</v>
      </c>
      <c r="F29" s="175" t="s">
        <v>55</v>
      </c>
      <c r="G29" s="176"/>
      <c r="H29" s="179">
        <f>H15-H16-H17-H18-H19-H20-H22-H23-H24+H26+H27+H28</f>
        <v>369769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47</v>
      </c>
      <c r="H34" s="207">
        <f t="shared" ref="H34:H39" si="2">F34*G34</f>
        <v>47000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</v>
      </c>
      <c r="H35" s="207">
        <f t="shared" si="2"/>
        <v>3500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585</v>
      </c>
      <c r="D37" s="12">
        <f>C37*111</f>
        <v>64935</v>
      </c>
      <c r="F37" s="12">
        <v>100</v>
      </c>
      <c r="G37" s="39">
        <v>14</v>
      </c>
      <c r="H37" s="207">
        <f t="shared" si="2"/>
        <v>1400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28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145</v>
      </c>
      <c r="G44" s="62" t="s">
        <v>231</v>
      </c>
      <c r="H44" s="191">
        <v>317894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369822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16</v>
      </c>
      <c r="D50" s="12">
        <f>C50*1.5</f>
        <v>24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53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69174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6A7B-2109-44BA-9E64-265B3B3F57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307</v>
      </c>
      <c r="D6" s="13">
        <f t="shared" ref="D6:D28" si="1">C6*L6</f>
        <v>233627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19</v>
      </c>
      <c r="D9" s="13">
        <f t="shared" si="1"/>
        <v>13927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255036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34270.5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220765.5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</f>
        <v>1296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230</v>
      </c>
      <c r="C24" s="10">
        <v>12</v>
      </c>
      <c r="D24" s="48">
        <f t="shared" si="1"/>
        <v>543</v>
      </c>
      <c r="F24" s="38"/>
      <c r="G24" s="37"/>
      <c r="H24" s="190"/>
      <c r="I24" s="191"/>
      <c r="J24" s="191"/>
      <c r="L24" s="47">
        <f>1050/24+1.5</f>
        <v>45.25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>
        <v>12</v>
      </c>
      <c r="D26" s="48">
        <f t="shared" si="1"/>
        <v>454</v>
      </c>
      <c r="F26" s="64"/>
      <c r="G26" s="10"/>
      <c r="H26" s="195"/>
      <c r="I26" s="196"/>
      <c r="J26" s="197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255036</v>
      </c>
      <c r="F29" s="175" t="s">
        <v>55</v>
      </c>
      <c r="G29" s="176"/>
      <c r="H29" s="179">
        <f>H15-H16-H17-H18-H19-H20-H22-H23-H24+H26+H27</f>
        <v>219469.5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68</v>
      </c>
      <c r="H34" s="207">
        <f>F34*G34</f>
        <v>68000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07">
        <f t="shared" ref="H35:H39" si="2">F35*G35</f>
        <v>8000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21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232</v>
      </c>
      <c r="H44" s="191">
        <v>142516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218787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-682.5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34270.5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F356-2FE4-46A6-94B2-BE4D8D1B2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65FEE-B8DA-4732-94CA-64CA1116B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1339C-4EFF-43E3-92C2-4F219833CF6B}">
  <dimension ref="A1:R59"/>
  <sheetViews>
    <sheetView tabSelected="1" topLeftCell="A28" zoomScaleNormal="100" zoomScaleSheetLayoutView="85" workbookViewId="0">
      <selection activeCell="H20" sqref="H20:J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-50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114</v>
      </c>
      <c r="H34" s="207">
        <f t="shared" ref="H34:H39" si="2">F34*G34</f>
        <v>114000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207">
        <f t="shared" si="2"/>
        <v>52500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33</v>
      </c>
      <c r="H37" s="207">
        <f t="shared" si="2"/>
        <v>3300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16</v>
      </c>
      <c r="H38" s="207">
        <f t="shared" si="2"/>
        <v>800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31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105" t="s">
        <v>234</v>
      </c>
      <c r="H44" s="191">
        <v>34082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205113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205163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4B51-1A04-4239-AE54-2A0F7D852D4C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437</v>
      </c>
      <c r="D6" s="13">
        <f t="shared" ref="D6:D28" si="1">C6*L6</f>
        <v>332557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9</v>
      </c>
      <c r="D7" s="13">
        <f t="shared" si="1"/>
        <v>7029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45</v>
      </c>
      <c r="D9" s="13">
        <f t="shared" si="1"/>
        <v>32985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377835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3</v>
      </c>
      <c r="D14" s="31">
        <f t="shared" si="1"/>
        <v>33</v>
      </c>
      <c r="F14" s="157" t="s">
        <v>39</v>
      </c>
      <c r="G14" s="158"/>
      <c r="H14" s="159">
        <f>D54</f>
        <v>50940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326895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330*6</f>
        <v>1980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377835</v>
      </c>
      <c r="F29" s="175" t="s">
        <v>55</v>
      </c>
      <c r="G29" s="176"/>
      <c r="H29" s="179">
        <f>H15-H16-H17-H18-H19-H20-H22-H23-H24+H26+H27</f>
        <v>324915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94</v>
      </c>
      <c r="H34" s="207">
        <f>F34*G34</f>
        <v>94000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26</v>
      </c>
      <c r="H35" s="207">
        <f t="shared" ref="H35:H39" si="2">F35*G35</f>
        <v>13000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8</v>
      </c>
      <c r="H37" s="207">
        <f t="shared" si="2"/>
        <v>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129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233</v>
      </c>
      <c r="H44" s="191">
        <v>216820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11</v>
      </c>
      <c r="D49" s="12">
        <f>C49*42</f>
        <v>462</v>
      </c>
      <c r="F49" s="232" t="s">
        <v>86</v>
      </c>
      <c r="G49" s="179">
        <f>H34+H35+H36+H37+H38+H39+H40+H41+G42+H44+H45+H46</f>
        <v>324869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-46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50940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4B1D-4832-4812-A289-D242873E14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BD88A-7EEE-4ACC-A523-2936457E87C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8722F-EF72-4699-AD3A-F36D017D5D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BD2D7-E72E-4055-9E63-2403982653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1E05-8989-413E-811F-0DE6C543E4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3D335-D3A5-4E0D-A090-174D010EC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A87E3-852E-4B6C-A069-5312CAB501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46111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6FF0E-4307-45AE-862E-EFB651BA96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46111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1AFB1-B3A9-4E1E-90CC-133F27BEC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46111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46112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46112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46112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105</vt:i4>
      </vt:variant>
      <vt:variant>
        <vt:lpstr>Named Ranges</vt:lpstr>
      </vt:variant>
      <vt:variant>
        <vt:i4>104</vt:i4>
      </vt:variant>
    </vt:vector>
  </HeadingPairs>
  <TitlesOfParts>
    <vt:vector size="209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 NO TRIP</vt:lpstr>
      <vt:lpstr>21,03 R2 NO TRIP</vt:lpstr>
      <vt:lpstr>21,03 R3 NO TRIP</vt:lpstr>
      <vt:lpstr>(23)</vt:lpstr>
      <vt:lpstr>23,03 R1</vt:lpstr>
      <vt:lpstr>23,03 R2</vt:lpstr>
      <vt:lpstr>23,03 R3</vt:lpstr>
      <vt:lpstr>(24)</vt:lpstr>
      <vt:lpstr>24,03 R1</vt:lpstr>
      <vt:lpstr>24,03 R2</vt:lpstr>
      <vt:lpstr>24,03 R3</vt:lpstr>
      <vt:lpstr>(25)</vt:lpstr>
      <vt:lpstr>25,03 R1 NO TRIP</vt:lpstr>
      <vt:lpstr>25,03 R2</vt:lpstr>
      <vt:lpstr>25,03 R3</vt:lpstr>
      <vt:lpstr>(26)</vt:lpstr>
      <vt:lpstr>26,03 R1</vt:lpstr>
      <vt:lpstr>26,03 R2</vt:lpstr>
      <vt:lpstr>26,03 R3 NO TRIP</vt:lpstr>
      <vt:lpstr>(27)</vt:lpstr>
      <vt:lpstr>27,03 R1</vt:lpstr>
      <vt:lpstr>27,03 R2</vt:lpstr>
      <vt:lpstr>27,03 R3</vt:lpstr>
      <vt:lpstr>(28)</vt:lpstr>
      <vt:lpstr>28,03 R1</vt:lpstr>
      <vt:lpstr>28,03 R2</vt:lpstr>
      <vt:lpstr>28,03 R3</vt:lpstr>
      <vt:lpstr>(30)</vt:lpstr>
      <vt:lpstr>30,03 R1</vt:lpstr>
      <vt:lpstr>30,03 R2</vt:lpstr>
      <vt:lpstr>30,03 R3</vt:lpstr>
      <vt:lpstr>(31)</vt:lpstr>
      <vt:lpstr>31,03 R1</vt:lpstr>
      <vt:lpstr>31,03 R2</vt:lpstr>
      <vt:lpstr>31,03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 NO TRIP'!Print_Area</vt:lpstr>
      <vt:lpstr>'21,03 R2 NO TRIP'!Print_Area</vt:lpstr>
      <vt:lpstr>'21,03 R3 NO TRIP'!Print_Area</vt:lpstr>
      <vt:lpstr>'23,03 R1'!Print_Area</vt:lpstr>
      <vt:lpstr>'23,03 R2'!Print_Area</vt:lpstr>
      <vt:lpstr>'23,03 R3'!Print_Area</vt:lpstr>
      <vt:lpstr>'24,03 R1'!Print_Area</vt:lpstr>
      <vt:lpstr>'24,03 R2'!Print_Area</vt:lpstr>
      <vt:lpstr>'24,03 R3'!Print_Area</vt:lpstr>
      <vt:lpstr>'25,03 R1 NO TRIP'!Print_Area</vt:lpstr>
      <vt:lpstr>'25,03 R2'!Print_Area</vt:lpstr>
      <vt:lpstr>'25,03 R3'!Print_Area</vt:lpstr>
      <vt:lpstr>'26,03 R1'!Print_Area</vt:lpstr>
      <vt:lpstr>'26,03 R2'!Print_Area</vt:lpstr>
      <vt:lpstr>'26,03 R3 NO TRIP'!Print_Area</vt:lpstr>
      <vt:lpstr>'27,03 R1'!Print_Area</vt:lpstr>
      <vt:lpstr>'27,03 R2'!Print_Area</vt:lpstr>
      <vt:lpstr>'27,03 R3'!Print_Area</vt:lpstr>
      <vt:lpstr>'28,03 R1'!Print_Area</vt:lpstr>
      <vt:lpstr>'28,03 R2'!Print_Area</vt:lpstr>
      <vt:lpstr>'28,03 R3'!Print_Area</vt:lpstr>
      <vt:lpstr>'30,03 R1'!Print_Area</vt:lpstr>
      <vt:lpstr>'30,03 R2'!Print_Area</vt:lpstr>
      <vt:lpstr>'30,03 R3'!Print_Area</vt:lpstr>
      <vt:lpstr>'31,03 R1'!Print_Area</vt:lpstr>
      <vt:lpstr>'31,03 R2'!Print_Area</vt:lpstr>
      <vt:lpstr>'31,03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2026-03-27T00:01:51Z</cp:lastPrinted>
  <dcterms:created xsi:type="dcterms:W3CDTF">2024-09-01T23:36:50Z</dcterms:created>
  <dcterms:modified xsi:type="dcterms:W3CDTF">2026-03-27T09:26:01Z</dcterms:modified>
</cp:coreProperties>
</file>