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9C45A14-D4DF-4D7D-B941-D71DF5335640}" xr6:coauthVersionLast="45" xr6:coauthVersionMax="47" xr10:uidLastSave="{00000000-0000-0000-0000-000000000000}"/>
  <bookViews>
    <workbookView xWindow="-120" yWindow="-120" windowWidth="29040" windowHeight="15840" firstSheet="7" activeTab="15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" sheetId="1855" r:id="rId19"/>
    <sheet name="06,03 R2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R1'!$A$1:$J$60</definedName>
    <definedName name="_xlnm.Print_Area" localSheetId="19">'06,03 R2'!$A$1:$J$60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51" l="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D44" i="1865"/>
  <c r="R42" i="1865"/>
  <c r="L6" i="1865" s="1"/>
  <c r="D6" i="1865" s="1"/>
  <c r="D29" i="1865" s="1"/>
  <c r="H13" i="1865" s="1"/>
  <c r="H15" i="1865" s="1"/>
  <c r="H29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H38" i="1865"/>
  <c r="D38" i="1865"/>
  <c r="R37" i="1865"/>
  <c r="H37" i="1865"/>
  <c r="D37" i="1865"/>
  <c r="R36" i="1865"/>
  <c r="H36" i="1865"/>
  <c r="G49" i="1865" s="1"/>
  <c r="D36" i="1865"/>
  <c r="D54" i="1865" s="1"/>
  <c r="H14" i="1865" s="1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R32" i="1865"/>
  <c r="R31" i="1865"/>
  <c r="R30" i="1865"/>
  <c r="R29" i="1865"/>
  <c r="R28" i="1865"/>
  <c r="L28" i="1865"/>
  <c r="D28" i="1865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L23" i="1865"/>
  <c r="D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L16" i="1865"/>
  <c r="D16" i="1865"/>
  <c r="R15" i="1865"/>
  <c r="D15" i="1865"/>
  <c r="R14" i="1865"/>
  <c r="D14" i="1865"/>
  <c r="R13" i="1865"/>
  <c r="D13" i="1865"/>
  <c r="R12" i="1865"/>
  <c r="R11" i="1865"/>
  <c r="L11" i="1865"/>
  <c r="D11" i="1865"/>
  <c r="L10" i="1865"/>
  <c r="D10" i="1865"/>
  <c r="L9" i="1865"/>
  <c r="D9" i="1865" s="1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D41" i="1864"/>
  <c r="R40" i="1864"/>
  <c r="D40" i="1864"/>
  <c r="R39" i="1864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H34" i="1864"/>
  <c r="G49" i="1864" s="1"/>
  <c r="D34" i="1864"/>
  <c r="D54" i="1864" s="1"/>
  <c r="H14" i="1864" s="1"/>
  <c r="R33" i="1864"/>
  <c r="R32" i="1864"/>
  <c r="R31" i="1864"/>
  <c r="R30" i="1864"/>
  <c r="R29" i="1864"/>
  <c r="R28" i="1864"/>
  <c r="L28" i="1864"/>
  <c r="D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/>
  <c r="R23" i="1864"/>
  <c r="L23" i="1864"/>
  <c r="D23" i="1864" s="1"/>
  <c r="R22" i="1864"/>
  <c r="L22" i="1864"/>
  <c r="D22" i="1864" s="1"/>
  <c r="R21" i="1864"/>
  <c r="D21" i="1864"/>
  <c r="R20" i="1864"/>
  <c r="L20" i="1864"/>
  <c r="D20" i="1864" s="1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L12" i="1864"/>
  <c r="D12" i="1864" s="1"/>
  <c r="R11" i="1864"/>
  <c r="L11" i="1864"/>
  <c r="D11" i="1864"/>
  <c r="L8" i="1864"/>
  <c r="D8" i="1864" s="1"/>
  <c r="L7" i="1864"/>
  <c r="D7" i="1864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D41" i="1863"/>
  <c r="R40" i="1863"/>
  <c r="L8" i="1863" s="1"/>
  <c r="D8" i="1863" s="1"/>
  <c r="D40" i="1863"/>
  <c r="R39" i="1863"/>
  <c r="H39" i="1863"/>
  <c r="D39" i="1863"/>
  <c r="R38" i="1863"/>
  <c r="H38" i="1863"/>
  <c r="D38" i="1863"/>
  <c r="R37" i="1863"/>
  <c r="H37" i="1863"/>
  <c r="D37" i="1863"/>
  <c r="R36" i="1863"/>
  <c r="L10" i="1863" s="1"/>
  <c r="D10" i="1863" s="1"/>
  <c r="H36" i="1863"/>
  <c r="G49" i="1863" s="1"/>
  <c r="D36" i="1863"/>
  <c r="R35" i="1863"/>
  <c r="H35" i="1863"/>
  <c r="D35" i="1863"/>
  <c r="R34" i="1863"/>
  <c r="H34" i="1863"/>
  <c r="D34" i="1863"/>
  <c r="D54" i="1863" s="1"/>
  <c r="H14" i="1863" s="1"/>
  <c r="R33" i="1863"/>
  <c r="R32" i="1863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/>
  <c r="R16" i="1863"/>
  <c r="R15" i="1863"/>
  <c r="D15" i="1863"/>
  <c r="R14" i="1863"/>
  <c r="D14" i="1863"/>
  <c r="R13" i="1863"/>
  <c r="D13" i="1863"/>
  <c r="R12" i="1863"/>
  <c r="L12" i="1863"/>
  <c r="D12" i="1863"/>
  <c r="R11" i="1863"/>
  <c r="L11" i="1863"/>
  <c r="D11" i="1863"/>
  <c r="L9" i="1863"/>
  <c r="D9" i="1863" s="1"/>
  <c r="L7" i="1863"/>
  <c r="D7" i="1863" s="1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D42" i="1862"/>
  <c r="R41" i="1862"/>
  <c r="L7" i="1862" s="1"/>
  <c r="D7" i="1862" s="1"/>
  <c r="D41" i="1862"/>
  <c r="R40" i="1862"/>
  <c r="D40" i="1862"/>
  <c r="R39" i="1862"/>
  <c r="D39" i="1862"/>
  <c r="R38" i="1862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D54" i="1862" s="1"/>
  <c r="H14" i="1862" s="1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/>
  <c r="R19" i="1862"/>
  <c r="L19" i="1862"/>
  <c r="D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9" i="1862"/>
  <c r="D9" i="1862" s="1"/>
  <c r="L8" i="1862"/>
  <c r="D8" i="1862" s="1"/>
  <c r="R6" i="1862"/>
  <c r="L6" i="1862"/>
  <c r="D6" i="1862" s="1"/>
  <c r="D29" i="1862" s="1"/>
  <c r="H13" i="1862" s="1"/>
  <c r="H15" i="1862" s="1"/>
  <c r="H29" i="1862" s="1"/>
  <c r="R5" i="1862"/>
  <c r="R4" i="1862"/>
  <c r="R52" i="186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29" i="1861" s="1"/>
  <c r="H13" i="1861" s="1"/>
  <c r="H15" i="1861" s="1"/>
  <c r="H29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D54" i="1861" s="1"/>
  <c r="H14" i="1861" s="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G49" i="1861" s="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/>
  <c r="R24" i="1861"/>
  <c r="D24" i="1861"/>
  <c r="R23" i="1861"/>
  <c r="L23" i="1861"/>
  <c r="D23" i="1861"/>
  <c r="R22" i="1861"/>
  <c r="L22" i="1861"/>
  <c r="D22" i="1861" s="1"/>
  <c r="R21" i="1861"/>
  <c r="D21" i="1861"/>
  <c r="R20" i="1861"/>
  <c r="L20" i="1861"/>
  <c r="D20" i="186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/>
  <c r="L9" i="1861"/>
  <c r="D9" i="1861" s="1"/>
  <c r="L8" i="1861"/>
  <c r="D8" i="186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D42" i="1860"/>
  <c r="R41" i="1860"/>
  <c r="L7" i="1860" s="1"/>
  <c r="D7" i="1860" s="1"/>
  <c r="D41" i="1860"/>
  <c r="R40" i="1860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G49" i="1860" s="1"/>
  <c r="D34" i="1860"/>
  <c r="D54" i="1860" s="1"/>
  <c r="H14" i="1860" s="1"/>
  <c r="R33" i="1860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/>
  <c r="R25" i="1860"/>
  <c r="L25" i="1860"/>
  <c r="D25" i="1860"/>
  <c r="R24" i="1860"/>
  <c r="L24" i="1860"/>
  <c r="D24" i="1860" s="1"/>
  <c r="R23" i="1860"/>
  <c r="L23" i="1860"/>
  <c r="D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/>
  <c r="R16" i="1860"/>
  <c r="R15" i="1860"/>
  <c r="D15" i="1860"/>
  <c r="R14" i="1860"/>
  <c r="D14" i="1860"/>
  <c r="R13" i="1860"/>
  <c r="D13" i="1860"/>
  <c r="R12" i="1860"/>
  <c r="L12" i="1860"/>
  <c r="D12" i="1860"/>
  <c r="R11" i="1860"/>
  <c r="L8" i="1860"/>
  <c r="D8" i="1860"/>
  <c r="R6" i="1860"/>
  <c r="L6" i="1860"/>
  <c r="D6" i="1860" s="1"/>
  <c r="R5" i="1860"/>
  <c r="R4" i="1860"/>
  <c r="R52" i="1859"/>
  <c r="R51" i="1859"/>
  <c r="D50" i="1859"/>
  <c r="R49" i="1859"/>
  <c r="G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D54" i="1859" s="1"/>
  <c r="H14" i="1859" s="1"/>
  <c r="R34" i="1859"/>
  <c r="H34" i="1859"/>
  <c r="D34" i="1859"/>
  <c r="R33" i="1859"/>
  <c r="R32" i="1859"/>
  <c r="R31" i="1859"/>
  <c r="R30" i="1859"/>
  <c r="R29" i="1859"/>
  <c r="R28" i="1859"/>
  <c r="L28" i="1859"/>
  <c r="D28" i="1859"/>
  <c r="R27" i="1859"/>
  <c r="D27" i="1859"/>
  <c r="R26" i="1859"/>
  <c r="L26" i="1859"/>
  <c r="D26" i="1859"/>
  <c r="R25" i="1859"/>
  <c r="L25" i="1859"/>
  <c r="D25" i="1859" s="1"/>
  <c r="R24" i="1859"/>
  <c r="L24" i="1859"/>
  <c r="D24" i="1859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/>
  <c r="R16" i="1859"/>
  <c r="L16" i="1859"/>
  <c r="D16" i="1859" s="1"/>
  <c r="R15" i="1859"/>
  <c r="D15" i="1859"/>
  <c r="R14" i="1859"/>
  <c r="D14" i="1859"/>
  <c r="R13" i="1859"/>
  <c r="D13" i="1859"/>
  <c r="R12" i="1859"/>
  <c r="L12" i="1859"/>
  <c r="D12" i="1859" s="1"/>
  <c r="R11" i="1859"/>
  <c r="L11" i="1859"/>
  <c r="D11" i="1859" s="1"/>
  <c r="L10" i="1859"/>
  <c r="D10" i="1859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D54" i="1858" s="1"/>
  <c r="H14" i="1858" s="1"/>
  <c r="R33" i="1858"/>
  <c r="L23" i="1858" s="1"/>
  <c r="D23" i="1858" s="1"/>
  <c r="R32" i="1858"/>
  <c r="R31" i="1858"/>
  <c r="R30" i="1858"/>
  <c r="R29" i="1858"/>
  <c r="R28" i="1858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/>
  <c r="R21" i="1858"/>
  <c r="D21" i="1858"/>
  <c r="R20" i="1858"/>
  <c r="L20" i="1858"/>
  <c r="D20" i="1858"/>
  <c r="R19" i="1858"/>
  <c r="L19" i="1858"/>
  <c r="D19" i="1858"/>
  <c r="R18" i="1858"/>
  <c r="D18" i="1858"/>
  <c r="R17" i="1858"/>
  <c r="D17" i="1858"/>
  <c r="R16" i="1858"/>
  <c r="L16" i="1858"/>
  <c r="D16" i="1858" s="1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/>
  <c r="L9" i="1858"/>
  <c r="D9" i="1858" s="1"/>
  <c r="R6" i="1858"/>
  <c r="R5" i="1858"/>
  <c r="R4" i="1858"/>
  <c r="R52" i="1857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H36" i="1857"/>
  <c r="D36" i="1857"/>
  <c r="R35" i="1857"/>
  <c r="H35" i="1857"/>
  <c r="D35" i="1857"/>
  <c r="R34" i="1857"/>
  <c r="L12" i="1857" s="1"/>
  <c r="D12" i="1857" s="1"/>
  <c r="H34" i="1857"/>
  <c r="G49" i="1857" s="1"/>
  <c r="D34" i="1857"/>
  <c r="D54" i="1857" s="1"/>
  <c r="H14" i="1857" s="1"/>
  <c r="R33" i="1857"/>
  <c r="R32" i="1857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L23" i="1857"/>
  <c r="D23" i="1857" s="1"/>
  <c r="R22" i="1857"/>
  <c r="L22" i="1857"/>
  <c r="D22" i="1857"/>
  <c r="R21" i="1857"/>
  <c r="D21" i="1857"/>
  <c r="R20" i="1857"/>
  <c r="L20" i="1857"/>
  <c r="D20" i="1857" s="1"/>
  <c r="R19" i="1857"/>
  <c r="L19" i="1857"/>
  <c r="D19" i="1857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11" i="1857"/>
  <c r="D11" i="1857"/>
  <c r="L10" i="1857"/>
  <c r="D10" i="1857"/>
  <c r="L8" i="1857"/>
  <c r="D8" i="1857"/>
  <c r="L7" i="1857"/>
  <c r="D7" i="1857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D41" i="1856"/>
  <c r="R40" i="1856"/>
  <c r="D40" i="1856"/>
  <c r="R39" i="1856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H34" i="1856"/>
  <c r="G49" i="1856" s="1"/>
  <c r="D34" i="1856"/>
  <c r="D54" i="1856" s="1"/>
  <c r="H14" i="1856" s="1"/>
  <c r="R33" i="1856"/>
  <c r="R32" i="1856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/>
  <c r="R22" i="1856"/>
  <c r="L22" i="1856"/>
  <c r="D22" i="1856" s="1"/>
  <c r="R21" i="1856"/>
  <c r="D21" i="1856"/>
  <c r="R20" i="1856"/>
  <c r="L20" i="1856"/>
  <c r="D20" i="1856" s="1"/>
  <c r="R19" i="1856"/>
  <c r="L19" i="1856"/>
  <c r="D19" i="1856" s="1"/>
  <c r="R18" i="1856"/>
  <c r="D18" i="1856"/>
  <c r="R17" i="1856"/>
  <c r="L17" i="1856"/>
  <c r="D17" i="1856"/>
  <c r="R16" i="1856"/>
  <c r="R15" i="1856"/>
  <c r="D15" i="1856"/>
  <c r="R14" i="1856"/>
  <c r="D14" i="1856"/>
  <c r="R13" i="1856"/>
  <c r="D13" i="1856"/>
  <c r="R12" i="1856"/>
  <c r="L12" i="1856"/>
  <c r="D12" i="1856"/>
  <c r="R11" i="1856"/>
  <c r="L11" i="1856"/>
  <c r="D11" i="1856"/>
  <c r="L9" i="1856"/>
  <c r="D9" i="1856"/>
  <c r="L8" i="1856"/>
  <c r="D8" i="1856" s="1"/>
  <c r="L7" i="1856"/>
  <c r="D7" i="1856"/>
  <c r="R6" i="1856"/>
  <c r="L6" i="1856"/>
  <c r="D6" i="1856" s="1"/>
  <c r="R5" i="1856"/>
  <c r="R4" i="1856"/>
  <c r="R52" i="1855"/>
  <c r="R51" i="1855"/>
  <c r="D50" i="1855"/>
  <c r="R49" i="1855"/>
  <c r="G49" i="1855"/>
  <c r="D49" i="1855"/>
  <c r="R48" i="1855"/>
  <c r="D48" i="1855"/>
  <c r="D46" i="1855"/>
  <c r="D45" i="1855"/>
  <c r="R44" i="1855"/>
  <c r="L28" i="1855" s="1"/>
  <c r="D28" i="1855" s="1"/>
  <c r="D44" i="1855"/>
  <c r="R42" i="1855"/>
  <c r="D42" i="1855"/>
  <c r="R41" i="1855"/>
  <c r="D41" i="1855"/>
  <c r="R40" i="1855"/>
  <c r="L8" i="1855" s="1"/>
  <c r="D8" i="1855" s="1"/>
  <c r="D40" i="1855"/>
  <c r="R39" i="1855"/>
  <c r="H39" i="1855"/>
  <c r="D39" i="1855"/>
  <c r="R38" i="1855"/>
  <c r="H38" i="1855"/>
  <c r="D38" i="1855"/>
  <c r="R37" i="1855"/>
  <c r="H37" i="1855"/>
  <c r="D37" i="1855"/>
  <c r="R36" i="1855"/>
  <c r="H36" i="1855"/>
  <c r="D36" i="1855"/>
  <c r="R35" i="1855"/>
  <c r="H35" i="1855"/>
  <c r="D35" i="1855"/>
  <c r="R34" i="1855"/>
  <c r="L12" i="1855" s="1"/>
  <c r="D12" i="1855" s="1"/>
  <c r="H34" i="1855"/>
  <c r="D34" i="1855"/>
  <c r="D54" i="1855" s="1"/>
  <c r="H14" i="1855" s="1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/>
  <c r="R23" i="1855"/>
  <c r="D23" i="1855"/>
  <c r="R22" i="1855"/>
  <c r="D22" i="1855"/>
  <c r="R21" i="1855"/>
  <c r="D21" i="1855"/>
  <c r="R20" i="1855"/>
  <c r="L20" i="1855"/>
  <c r="D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10" i="1855"/>
  <c r="D10" i="1855" s="1"/>
  <c r="L9" i="1855"/>
  <c r="D9" i="1855" s="1"/>
  <c r="L7" i="1855"/>
  <c r="D7" i="1855" s="1"/>
  <c r="R6" i="1855"/>
  <c r="L6" i="1855"/>
  <c r="D6" i="1855" s="1"/>
  <c r="D29" i="1855" s="1"/>
  <c r="H13" i="1855" s="1"/>
  <c r="H15" i="1855" s="1"/>
  <c r="H29" i="1855" s="1"/>
  <c r="G51" i="1855" s="1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D40" i="1854"/>
  <c r="R39" i="1854"/>
  <c r="D39" i="1854"/>
  <c r="R38" i="1854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1" i="1854"/>
  <c r="D11" i="1854"/>
  <c r="L10" i="1854"/>
  <c r="D10" i="1854" s="1"/>
  <c r="L9" i="1854"/>
  <c r="D9" i="1854"/>
  <c r="L8" i="1854"/>
  <c r="D8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29" i="1853" s="1"/>
  <c r="H13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H34" i="1853"/>
  <c r="G49" i="1853" s="1"/>
  <c r="D34" i="1853"/>
  <c r="D54" i="1853" s="1"/>
  <c r="H14" i="1853" s="1"/>
  <c r="R33" i="1853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/>
  <c r="R24" i="1853"/>
  <c r="D24" i="1853"/>
  <c r="R23" i="1853"/>
  <c r="L23" i="1853"/>
  <c r="D23" i="1853"/>
  <c r="R22" i="1853"/>
  <c r="L22" i="1853"/>
  <c r="D22" i="1853"/>
  <c r="R21" i="1853"/>
  <c r="D21" i="1853"/>
  <c r="R20" i="1853"/>
  <c r="L20" i="1853"/>
  <c r="D20" i="1853"/>
  <c r="R19" i="1853"/>
  <c r="L19" i="1853"/>
  <c r="D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L12" i="1853"/>
  <c r="D12" i="1853" s="1"/>
  <c r="R11" i="1853"/>
  <c r="L11" i="1853"/>
  <c r="D11" i="1853"/>
  <c r="L8" i="1853"/>
  <c r="D8" i="1853"/>
  <c r="L7" i="1853"/>
  <c r="D7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D42" i="1852"/>
  <c r="R41" i="1852"/>
  <c r="D41" i="1852"/>
  <c r="R40" i="1852"/>
  <c r="D40" i="1852"/>
  <c r="R39" i="1852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H35" i="1852"/>
  <c r="D35" i="1852"/>
  <c r="R34" i="1852"/>
  <c r="H34" i="1852"/>
  <c r="D34" i="1852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/>
  <c r="R24" i="1852"/>
  <c r="L24" i="1852"/>
  <c r="D24" i="1852" s="1"/>
  <c r="R23" i="1852"/>
  <c r="D23" i="1852"/>
  <c r="R22" i="1852"/>
  <c r="L22" i="1852"/>
  <c r="D22" i="1852" s="1"/>
  <c r="R21" i="1852"/>
  <c r="D21" i="1852"/>
  <c r="R20" i="1852"/>
  <c r="L20" i="1852"/>
  <c r="D20" i="1852" s="1"/>
  <c r="R19" i="1852"/>
  <c r="L19" i="1852"/>
  <c r="D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/>
  <c r="L8" i="1852"/>
  <c r="D8" i="1852" s="1"/>
  <c r="L7" i="1852"/>
  <c r="D7" i="1852"/>
  <c r="R6" i="1852"/>
  <c r="L6" i="1852"/>
  <c r="D6" i="1852" s="1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D41" i="1851"/>
  <c r="R40" i="1851"/>
  <c r="D40" i="1851"/>
  <c r="R39" i="1851"/>
  <c r="L20" i="1851" s="1"/>
  <c r="D20" i="1851" s="1"/>
  <c r="H39" i="1851"/>
  <c r="D39" i="1851"/>
  <c r="R38" i="185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/>
  <c r="R25" i="1851"/>
  <c r="L25" i="1851"/>
  <c r="D25" i="185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/>
  <c r="R16" i="1851"/>
  <c r="R15" i="1851"/>
  <c r="D15" i="1851"/>
  <c r="R14" i="1851"/>
  <c r="D14" i="1851"/>
  <c r="R13" i="1851"/>
  <c r="D13" i="1851"/>
  <c r="R12" i="1851"/>
  <c r="L12" i="1851"/>
  <c r="D12" i="1851"/>
  <c r="R11" i="1851"/>
  <c r="L9" i="1851"/>
  <c r="D9" i="1851" s="1"/>
  <c r="L8" i="1851"/>
  <c r="D8" i="1851" s="1"/>
  <c r="L7" i="1851"/>
  <c r="D7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D35" i="1850"/>
  <c r="R34" i="1850"/>
  <c r="L12" i="1850" s="1"/>
  <c r="D12" i="1850" s="1"/>
  <c r="D34" i="1850"/>
  <c r="D54" i="1850" s="1"/>
  <c r="H14" i="1850" s="1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/>
  <c r="R25" i="1850"/>
  <c r="L25" i="1850"/>
  <c r="D25" i="1850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L19" i="1850"/>
  <c r="D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L12" i="1849"/>
  <c r="D12" i="1849"/>
  <c r="R11" i="1849"/>
  <c r="L11" i="1849"/>
  <c r="D11" i="1849"/>
  <c r="L9" i="1849"/>
  <c r="D9" i="1849"/>
  <c r="L8" i="1849"/>
  <c r="D8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42" i="1848"/>
  <c r="R41" i="1848"/>
  <c r="L7" i="1848" s="1"/>
  <c r="D7" i="1848" s="1"/>
  <c r="D41" i="1848"/>
  <c r="R40" i="1848"/>
  <c r="D40" i="1848"/>
  <c r="R39" i="1848"/>
  <c r="H39" i="1848"/>
  <c r="D39" i="1848"/>
  <c r="R38" i="1848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28" i="1848"/>
  <c r="D28" i="1848"/>
  <c r="R27" i="1848"/>
  <c r="D27" i="1848"/>
  <c r="R26" i="1848"/>
  <c r="L26" i="1848"/>
  <c r="D26" i="1848"/>
  <c r="R25" i="1848"/>
  <c r="L25" i="1848"/>
  <c r="D25" i="1848"/>
  <c r="R24" i="1848"/>
  <c r="L24" i="1848"/>
  <c r="D24" i="1848" s="1"/>
  <c r="R23" i="1848"/>
  <c r="L23" i="1848"/>
  <c r="D23" i="1848"/>
  <c r="R22" i="1848"/>
  <c r="L22" i="1848"/>
  <c r="D22" i="1848" s="1"/>
  <c r="R21" i="1848"/>
  <c r="L17" i="1848" s="1"/>
  <c r="D17" i="1848" s="1"/>
  <c r="D21" i="1848"/>
  <c r="R20" i="1848"/>
  <c r="L20" i="1848"/>
  <c r="D20" i="1848"/>
  <c r="R19" i="1848"/>
  <c r="R18" i="1848"/>
  <c r="D18" i="1848"/>
  <c r="R17" i="1848"/>
  <c r="R16" i="1848"/>
  <c r="L16" i="1848"/>
  <c r="D16" i="1848" s="1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L9" i="1848"/>
  <c r="D9" i="1848"/>
  <c r="L8" i="1848"/>
  <c r="D8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H36" i="1847"/>
  <c r="D36" i="1847"/>
  <c r="R35" i="1847"/>
  <c r="H35" i="1847"/>
  <c r="D35" i="1847"/>
  <c r="R34" i="1847"/>
  <c r="H34" i="1847"/>
  <c r="D34" i="1847"/>
  <c r="R33" i="1847"/>
  <c r="R32" i="1847"/>
  <c r="R31" i="1847"/>
  <c r="R30" i="1847"/>
  <c r="R29" i="1847"/>
  <c r="R28" i="1847"/>
  <c r="L16" i="1847" s="1"/>
  <c r="D16" i="1847" s="1"/>
  <c r="L28" i="1847"/>
  <c r="D28" i="1847"/>
  <c r="R27" i="1847"/>
  <c r="D27" i="1847"/>
  <c r="R26" i="1847"/>
  <c r="L26" i="1847"/>
  <c r="D26" i="1847" s="1"/>
  <c r="R25" i="1847"/>
  <c r="L25" i="1847"/>
  <c r="D25" i="1847" s="1"/>
  <c r="R24" i="1847"/>
  <c r="L24" i="1847"/>
  <c r="D24" i="1847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11" i="1847"/>
  <c r="D11" i="1847"/>
  <c r="L10" i="1847"/>
  <c r="D10" i="1847" s="1"/>
  <c r="L9" i="1847"/>
  <c r="D9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D40" i="1846"/>
  <c r="R39" i="1846"/>
  <c r="D39" i="1846"/>
  <c r="R38" i="1846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D54" i="1846" s="1"/>
  <c r="H14" i="1846" s="1"/>
  <c r="R33" i="1846"/>
  <c r="L23" i="1846" s="1"/>
  <c r="D23" i="1846" s="1"/>
  <c r="R32" i="1846"/>
  <c r="R31" i="1846"/>
  <c r="R30" i="1846"/>
  <c r="R29" i="1846"/>
  <c r="R28" i="1846"/>
  <c r="D28" i="1846"/>
  <c r="R27" i="1846"/>
  <c r="D27" i="1846"/>
  <c r="R26" i="1846"/>
  <c r="L26" i="1846"/>
  <c r="D26" i="1846"/>
  <c r="R25" i="1846"/>
  <c r="L25" i="1846"/>
  <c r="D25" i="1846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L16" i="1846"/>
  <c r="D16" i="1846" s="1"/>
  <c r="S15" i="1846"/>
  <c r="R15" i="1846"/>
  <c r="D15" i="1846"/>
  <c r="S14" i="1846"/>
  <c r="R14" i="1846"/>
  <c r="D14" i="1846"/>
  <c r="R13" i="1846"/>
  <c r="D13" i="1846"/>
  <c r="R12" i="1846"/>
  <c r="R11" i="1846"/>
  <c r="L11" i="1846"/>
  <c r="D11" i="1846"/>
  <c r="L9" i="1846"/>
  <c r="D9" i="1846" s="1"/>
  <c r="L8" i="1846"/>
  <c r="D8" i="1846"/>
  <c r="R6" i="1846"/>
  <c r="R5" i="1846"/>
  <c r="R4" i="1846"/>
  <c r="R52" i="1845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H34" i="1845"/>
  <c r="D34" i="1845"/>
  <c r="R33" i="1845"/>
  <c r="R32" i="1845"/>
  <c r="R31" i="1845"/>
  <c r="R30" i="1845"/>
  <c r="R29" i="1845"/>
  <c r="R28" i="1845"/>
  <c r="L16" i="1845" s="1"/>
  <c r="D16" i="1845" s="1"/>
  <c r="R27" i="1845"/>
  <c r="D27" i="1845"/>
  <c r="R26" i="1845"/>
  <c r="L26" i="1845"/>
  <c r="D26" i="1845"/>
  <c r="R25" i="1845"/>
  <c r="L25" i="1845"/>
  <c r="D25" i="1845"/>
  <c r="R24" i="1845"/>
  <c r="D24" i="1845"/>
  <c r="R23" i="1845"/>
  <c r="L23" i="1845"/>
  <c r="D23" i="1845"/>
  <c r="R22" i="1845"/>
  <c r="L22" i="1845"/>
  <c r="D22" i="1845"/>
  <c r="R21" i="1845"/>
  <c r="D21" i="1845"/>
  <c r="R20" i="1845"/>
  <c r="L20" i="1845"/>
  <c r="D20" i="1845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L12" i="1845"/>
  <c r="D12" i="1845"/>
  <c r="R11" i="1845"/>
  <c r="L11" i="1845"/>
  <c r="D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H34" i="1844"/>
  <c r="D34" i="1844"/>
  <c r="R33" i="1844"/>
  <c r="R32" i="1844"/>
  <c r="R31" i="1844"/>
  <c r="R30" i="1844"/>
  <c r="R29" i="1844"/>
  <c r="R28" i="1844"/>
  <c r="L28" i="1844"/>
  <c r="D28" i="1844"/>
  <c r="R27" i="1844"/>
  <c r="D27" i="1844"/>
  <c r="R26" i="1844"/>
  <c r="L26" i="1844"/>
  <c r="D26" i="1844"/>
  <c r="R25" i="1844"/>
  <c r="L25" i="1844"/>
  <c r="D25" i="1844" s="1"/>
  <c r="R24" i="1844"/>
  <c r="L24" i="1844"/>
  <c r="D24" i="1844" s="1"/>
  <c r="R23" i="1844"/>
  <c r="L23" i="1844"/>
  <c r="D23" i="1844" s="1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L16" i="1844"/>
  <c r="D16" i="1844" s="1"/>
  <c r="R15" i="1844"/>
  <c r="D15" i="1844"/>
  <c r="R14" i="1844"/>
  <c r="D14" i="1844"/>
  <c r="R13" i="1844"/>
  <c r="D13" i="1844"/>
  <c r="R12" i="1844"/>
  <c r="L12" i="1844"/>
  <c r="D12" i="1844"/>
  <c r="R11" i="1844"/>
  <c r="L11" i="1844"/>
  <c r="D11" i="1844"/>
  <c r="L10" i="1844"/>
  <c r="D10" i="1844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R31" i="1843"/>
  <c r="R30" i="1843"/>
  <c r="R29" i="1843"/>
  <c r="R28" i="1843"/>
  <c r="L16" i="1843" s="1"/>
  <c r="D16" i="1843" s="1"/>
  <c r="L28" i="1843"/>
  <c r="D28" i="1843"/>
  <c r="R27" i="1843"/>
  <c r="D27" i="1843"/>
  <c r="R26" i="1843"/>
  <c r="L26" i="1843"/>
  <c r="D26" i="1843"/>
  <c r="R25" i="1843"/>
  <c r="L25" i="1843"/>
  <c r="D25" i="1843"/>
  <c r="R24" i="1843"/>
  <c r="L24" i="1843"/>
  <c r="D24" i="1843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/>
  <c r="R16" i="1843"/>
  <c r="R15" i="1843"/>
  <c r="D15" i="1843"/>
  <c r="R14" i="1843"/>
  <c r="D14" i="1843"/>
  <c r="R13" i="1843"/>
  <c r="D13" i="1843"/>
  <c r="R12" i="1843"/>
  <c r="R11" i="1843"/>
  <c r="L11" i="1843"/>
  <c r="D11" i="1843"/>
  <c r="L9" i="1843"/>
  <c r="D9" i="1843" s="1"/>
  <c r="L7" i="1843"/>
  <c r="D7" i="1843"/>
  <c r="R6" i="1843"/>
  <c r="R5" i="1843"/>
  <c r="R4" i="1843"/>
  <c r="D54" i="1842"/>
  <c r="H14" i="1842" s="1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L9" i="1842"/>
  <c r="D9" i="1842"/>
  <c r="R6" i="1842"/>
  <c r="L6" i="1842"/>
  <c r="D6" i="1842" s="1"/>
  <c r="R5" i="1842"/>
  <c r="R4" i="1842"/>
  <c r="G49" i="1851" l="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G51" i="1865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G51" i="1862"/>
  <c r="G51" i="1861"/>
  <c r="D29" i="1860"/>
  <c r="H13" i="1860" s="1"/>
  <c r="H15" i="1860" s="1"/>
  <c r="H29" i="1860" s="1"/>
  <c r="G51" i="1860"/>
  <c r="D29" i="1859"/>
  <c r="H13" i="1859" s="1"/>
  <c r="H15" i="1859" s="1"/>
  <c r="H29" i="1859" s="1"/>
  <c r="G51" i="1859"/>
  <c r="D29" i="1858"/>
  <c r="H13" i="1858" s="1"/>
  <c r="H15" i="1858" s="1"/>
  <c r="H29" i="1858" s="1"/>
  <c r="G51" i="1858" s="1"/>
  <c r="D29" i="1857"/>
  <c r="H13" i="1857" s="1"/>
  <c r="H15" i="1857" s="1"/>
  <c r="H29" i="1857" s="1"/>
  <c r="G51" i="1857" s="1"/>
  <c r="D29" i="1856"/>
  <c r="H13" i="1856" s="1"/>
  <c r="H15" i="1856" s="1"/>
  <c r="H29" i="1856" s="1"/>
  <c r="G51" i="1856"/>
  <c r="D29" i="1854"/>
  <c r="H13" i="1854" s="1"/>
  <c r="H15" i="1854" s="1"/>
  <c r="H29" i="1854" s="1"/>
  <c r="G51" i="1854" s="1"/>
  <c r="H15" i="1853"/>
  <c r="H29" i="1853" s="1"/>
  <c r="G51" i="1853"/>
  <c r="D29" i="1852"/>
  <c r="H13" i="1852" s="1"/>
  <c r="D29" i="1851"/>
  <c r="H13" i="1851" s="1"/>
  <c r="D29" i="1850"/>
  <c r="H13" i="1850" s="1"/>
  <c r="H15" i="1850" s="1"/>
  <c r="H29" i="1850" s="1"/>
  <c r="G51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H15" i="1852" l="1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<sst xmlns="http://schemas.openxmlformats.org/spreadsheetml/2006/main" count="3780" uniqueCount="171">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</sst>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24" fillId="0" borderId="2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87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>
        <v>308</v>
      </c>
      <c r="D6" s="13">
        <f t="shared" ref="D6:D28" si="1">C6*L6</f>
        <v>234388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>
        <v>12</v>
      </c>
      <c r="D7" s="13">
        <f t="shared" si="1"/>
        <v>9372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>
        <v>1</v>
      </c>
      <c r="D8" s="13">
        <f t="shared" si="1"/>
        <v>1093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>
        <v>18</v>
      </c>
      <c r="D9" s="13">
        <f t="shared" si="1"/>
        <v>13194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>
        <v>2</v>
      </c>
      <c r="D10" s="13">
        <f t="shared" si="1"/>
        <v>2064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>
        <v>6</v>
      </c>
      <c r="D13" s="48">
        <f t="shared" si="1"/>
        <v>1842</v>
      </c>
      <c r="F13" s="135" t="s">
        <v>36</v>
      </c>
      <c r="G13" s="136"/>
      <c r="H13" s="137">
        <f>D29</f>
        <v>265882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>
        <v>5</v>
      </c>
      <c r="D14" s="31">
        <f t="shared" si="1"/>
        <v>55</v>
      </c>
      <c r="F14" s="140" t="s">
        <v>39</v>
      </c>
      <c r="G14" s="141"/>
      <c r="H14" s="142">
        <f>D54</f>
        <v>30599.25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>
        <v>1</v>
      </c>
      <c r="D15" s="31">
        <f t="shared" si="1"/>
        <v>620</v>
      </c>
      <c r="F15" s="145" t="s">
        <v>40</v>
      </c>
      <c r="G15" s="136"/>
      <c r="H15" s="146">
        <f>H13-H14</f>
        <v>235282.75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216*6+10*6</f>
        <v>1356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0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87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265882</v>
      </c>
      <c r="F29" s="158" t="s">
        <v>55</v>
      </c>
      <c r="G29" s="159"/>
      <c r="H29" s="162">
        <f>H15-H16-H17-H18-H19-H20-H22-H23-H24+H26+H27+H28</f>
        <v>233926.75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90">
        <f t="shared" ref="H34:H39" si="2">F34*G34</f>
        <v>64000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90">
        <f t="shared" si="2"/>
        <v>6500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90">
        <f t="shared" si="2"/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90">
        <f t="shared" si="2"/>
        <v>4300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90">
        <f t="shared" si="2"/>
        <v>1100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30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74">
        <v>150017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2</v>
      </c>
      <c r="D45" s="12">
        <f>C45*84</f>
        <v>168</v>
      </c>
      <c r="F45" s="37" t="s">
        <v>146</v>
      </c>
      <c r="G45" s="85" t="s">
        <v>148</v>
      </c>
      <c r="H45" s="174">
        <v>7564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11</v>
      </c>
      <c r="D46" s="12">
        <f>C46*1.5</f>
        <v>16.5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233911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3</v>
      </c>
      <c r="D50" s="12">
        <f>C50*1.5</f>
        <v>4.5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-15.75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351</v>
      </c>
      <c r="D6" s="13">
        <f t="shared" ref="D6:D28" si="1">C6*L6</f>
        <v>267111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40</v>
      </c>
      <c r="D9" s="13">
        <f t="shared" si="1"/>
        <v>29320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10</v>
      </c>
      <c r="D10" s="13">
        <f t="shared" si="1"/>
        <v>10320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9</v>
      </c>
      <c r="D13" s="48">
        <f t="shared" si="1"/>
        <v>2763</v>
      </c>
      <c r="F13" s="135" t="s">
        <v>36</v>
      </c>
      <c r="G13" s="136"/>
      <c r="H13" s="137">
        <f>D29</f>
        <v>313708.5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3</v>
      </c>
      <c r="D14" s="31">
        <f t="shared" si="1"/>
        <v>33</v>
      </c>
      <c r="F14" s="140" t="s">
        <v>39</v>
      </c>
      <c r="G14" s="141"/>
      <c r="H14" s="142">
        <f>D54</f>
        <v>55225.5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258483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230*6</f>
        <v>1380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150</v>
      </c>
      <c r="C24" s="10">
        <v>12</v>
      </c>
      <c r="D24" s="48">
        <f t="shared" si="1"/>
        <v>474</v>
      </c>
      <c r="F24" s="38"/>
      <c r="G24" s="37"/>
      <c r="H24" s="173"/>
      <c r="I24" s="174"/>
      <c r="J24" s="174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7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313708.5</v>
      </c>
      <c r="F29" s="158" t="s">
        <v>55</v>
      </c>
      <c r="G29" s="159"/>
      <c r="H29" s="162">
        <f>H15-H16-H17-H18-H19-H20-H22-H23-H24+H26+H27</f>
        <v>257103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90">
        <f>F34*G34</f>
        <v>101000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90">
        <f t="shared" ref="H35:H39" si="2">F35*G35</f>
        <v>11000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136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74">
        <v>144193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36</v>
      </c>
      <c r="D46" s="12">
        <f>C46*1.5</f>
        <v>54</v>
      </c>
      <c r="F46" s="37"/>
      <c r="G46" s="89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22</v>
      </c>
      <c r="D49" s="12">
        <f>C49*42</f>
        <v>924</v>
      </c>
      <c r="F49" s="215" t="s">
        <v>86</v>
      </c>
      <c r="G49" s="162">
        <f>H34+H35+H36+H37+H38+H39+H40+H41+G42+H44+H45+H46</f>
        <v>256479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5</v>
      </c>
      <c r="D50" s="12">
        <f>C50*1.5</f>
        <v>7.5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153</v>
      </c>
      <c r="G51" s="229">
        <f>G49-H29</f>
        <v>-624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46083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266</v>
      </c>
      <c r="D6" s="13">
        <f t="shared" ref="D6:D28" si="1">C6*L6</f>
        <v>202426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9</v>
      </c>
      <c r="D7" s="13">
        <f t="shared" si="1"/>
        <v>7029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57</v>
      </c>
      <c r="D9" s="13">
        <f t="shared" si="1"/>
        <v>41781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>
        <v>1</v>
      </c>
      <c r="D10" s="13">
        <f t="shared" si="1"/>
        <v>1032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12</v>
      </c>
      <c r="D13" s="48">
        <f t="shared" si="1"/>
        <v>3684</v>
      </c>
      <c r="F13" s="135" t="s">
        <v>36</v>
      </c>
      <c r="G13" s="136"/>
      <c r="H13" s="137">
        <f>D29</f>
        <v>259606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8</v>
      </c>
      <c r="D14" s="31">
        <f t="shared" si="1"/>
        <v>88</v>
      </c>
      <c r="F14" s="140" t="s">
        <v>39</v>
      </c>
      <c r="G14" s="141"/>
      <c r="H14" s="142">
        <f>D54</f>
        <v>36129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223477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115*6</f>
        <v>690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>
        <v>50</v>
      </c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87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259606</v>
      </c>
      <c r="F29" s="158" t="s">
        <v>55</v>
      </c>
      <c r="G29" s="159"/>
      <c r="H29" s="162">
        <f>H15-H16-H17-H18-H19-H20-H22-H23-H24+H26+H27</f>
        <v>222737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90">
        <f>F34*G34</f>
        <v>41000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90">
        <f>F35*G35</f>
        <v>3500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90">
        <v>88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0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74">
        <v>75280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74">
        <v>101194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99">
        <v>1582</v>
      </c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222844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</v>
      </c>
      <c r="D50" s="12">
        <f>C50*1.5</f>
        <v>1.5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107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>
        <v>382</v>
      </c>
      <c r="D6" s="13">
        <f t="shared" ref="D6:D28" si="1">C6*L6</f>
        <v>290702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>
        <v>7</v>
      </c>
      <c r="D7" s="13">
        <f t="shared" si="1"/>
        <v>5467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>
        <v>31</v>
      </c>
      <c r="D9" s="13">
        <f t="shared" si="1"/>
        <v>22723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322724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>
        <v>9</v>
      </c>
      <c r="D14" s="31">
        <f t="shared" si="1"/>
        <v>99</v>
      </c>
      <c r="F14" s="140" t="s">
        <v>39</v>
      </c>
      <c r="G14" s="141"/>
      <c r="H14" s="142">
        <f>D54</f>
        <v>44362.5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278361.5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>
        <v>3</v>
      </c>
      <c r="D28" s="48">
        <f t="shared" si="1"/>
        <v>2433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322724</v>
      </c>
      <c r="F29" s="158" t="s">
        <v>55</v>
      </c>
      <c r="G29" s="159"/>
      <c r="H29" s="162">
        <f>H15-H16-H17-H18-H19-H20-H22-H23-H24+H26+H27+H28</f>
        <v>278361.5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90">
        <f t="shared" ref="H34:H39" si="2">F34*G34</f>
        <v>212000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90">
        <f t="shared" si="2"/>
        <v>18000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0">
        <f t="shared" si="2"/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90">
        <f t="shared" si="2"/>
        <v>2700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90">
        <f t="shared" si="2"/>
        <v>1150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74">
        <v>10000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74">
        <v>35000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279290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8</v>
      </c>
      <c r="D50" s="12">
        <f>C50*1.5</f>
        <v>12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928.5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224</v>
      </c>
      <c r="D6" s="13">
        <f t="shared" ref="D6:D28" si="1">C6*L6</f>
        <v>170464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</v>
      </c>
      <c r="D7" s="13">
        <f t="shared" si="1"/>
        <v>1562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71</v>
      </c>
      <c r="D9" s="13">
        <f t="shared" si="1"/>
        <v>52043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7</v>
      </c>
      <c r="D13" s="48">
        <f t="shared" si="1"/>
        <v>2149</v>
      </c>
      <c r="F13" s="135" t="s">
        <v>36</v>
      </c>
      <c r="G13" s="136"/>
      <c r="H13" s="137">
        <f>D29</f>
        <v>228774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14</v>
      </c>
      <c r="D14" s="31">
        <f t="shared" si="1"/>
        <v>154</v>
      </c>
      <c r="F14" s="140" t="s">
        <v>39</v>
      </c>
      <c r="G14" s="141"/>
      <c r="H14" s="142">
        <f>D54</f>
        <v>35040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193734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122*6</f>
        <v>732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72">
        <v>265</v>
      </c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228774</v>
      </c>
      <c r="F29" s="158" t="s">
        <v>55</v>
      </c>
      <c r="G29" s="159"/>
      <c r="H29" s="162">
        <f>H15-H16-H17-H18-H19-H20-H22-H23-H24+H26+H27</f>
        <v>192737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90">
        <f>F34*G34</f>
        <v>140000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90">
        <f t="shared" ref="H35:H39" si="2">F35*G35</f>
        <v>46500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90">
        <f>F36*G36</f>
        <v>400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90">
        <f t="shared" si="2"/>
        <v>4300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90">
        <f t="shared" si="2"/>
        <v>1350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45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1</v>
      </c>
      <c r="D46" s="12">
        <f>C46*1.5</f>
        <v>1.5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3</v>
      </c>
      <c r="D49" s="12">
        <f>C49*42</f>
        <v>126</v>
      </c>
      <c r="F49" s="215" t="s">
        <v>86</v>
      </c>
      <c r="G49" s="162">
        <f>H34+H35+H36+H37+H38+H39+H40+H41+G42+H44+H45+H46</f>
        <v>192595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19</v>
      </c>
      <c r="D50" s="12">
        <f>C50*1.5</f>
        <v>28.5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-142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46084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291</v>
      </c>
      <c r="D6" s="13">
        <f t="shared" ref="D6:D28" si="1">C6*L6</f>
        <v>221451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20</v>
      </c>
      <c r="D7" s="13">
        <f t="shared" si="1"/>
        <v>15620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>
        <v>1</v>
      </c>
      <c r="D8" s="13">
        <f t="shared" si="1"/>
        <v>1093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36</v>
      </c>
      <c r="D9" s="13">
        <f t="shared" si="1"/>
        <v>26388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15</v>
      </c>
      <c r="D13" s="48">
        <f t="shared" si="1"/>
        <v>4605</v>
      </c>
      <c r="F13" s="135" t="s">
        <v>36</v>
      </c>
      <c r="G13" s="136"/>
      <c r="H13" s="137">
        <f>D29</f>
        <v>273403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40279.5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>
        <v>1</v>
      </c>
      <c r="D15" s="31">
        <f t="shared" si="1"/>
        <v>620</v>
      </c>
      <c r="F15" s="145" t="s">
        <v>40</v>
      </c>
      <c r="G15" s="136"/>
      <c r="H15" s="146">
        <f>H13-H14</f>
        <v>233123.5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153*6</f>
        <v>918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273403</v>
      </c>
      <c r="F29" s="158" t="s">
        <v>55</v>
      </c>
      <c r="G29" s="159"/>
      <c r="H29" s="162">
        <f>H15-H16-H17-H18-H19-H20-H22-H23-H24+H26+H27</f>
        <v>232205.5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90">
        <f>F34*G34</f>
        <v>75000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90">
        <f>F35*G35</f>
        <v>48500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90">
        <f t="shared" si="2"/>
        <v>6000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90">
        <f t="shared" si="2"/>
        <v>2150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12</v>
      </c>
      <c r="D42" s="12">
        <f>C42*2.25</f>
        <v>27</v>
      </c>
      <c r="F42" s="39" t="s">
        <v>79</v>
      </c>
      <c r="G42" s="190">
        <v>74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74">
        <v>100483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64</v>
      </c>
      <c r="D46" s="12">
        <f>C46*1.5</f>
        <v>96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3</v>
      </c>
      <c r="D49" s="12">
        <f>C49*42</f>
        <v>126</v>
      </c>
      <c r="F49" s="215" t="s">
        <v>86</v>
      </c>
      <c r="G49" s="162">
        <f>H34+H35+H36+H37+H38+H39+H40+H41+G42+H44+H45+H46</f>
        <v>232207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22</v>
      </c>
      <c r="D50" s="12">
        <f>C50*1.5</f>
        <v>33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1.5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>
        <v>359</v>
      </c>
      <c r="D6" s="13">
        <f t="shared" ref="D6:D28" si="1">C6*L6</f>
        <v>273199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>
        <v>6</v>
      </c>
      <c r="D7" s="13">
        <f t="shared" si="1"/>
        <v>4686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>
        <v>117</v>
      </c>
      <c r="D9" s="13">
        <f t="shared" si="1"/>
        <v>85761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>
        <v>10</v>
      </c>
      <c r="D10" s="13">
        <f t="shared" si="1"/>
        <v>10320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>
        <v>2</v>
      </c>
      <c r="D11" s="13">
        <f t="shared" si="1"/>
        <v>2340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>
        <v>3</v>
      </c>
      <c r="D12" s="48">
        <f t="shared" si="1"/>
        <v>2976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>
        <v>18</v>
      </c>
      <c r="D13" s="48">
        <f t="shared" si="1"/>
        <v>5526</v>
      </c>
      <c r="F13" s="135" t="s">
        <v>36</v>
      </c>
      <c r="G13" s="136"/>
      <c r="H13" s="137">
        <f>D29</f>
        <v>387395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>
        <v>14</v>
      </c>
      <c r="D14" s="31">
        <f t="shared" si="1"/>
        <v>154</v>
      </c>
      <c r="F14" s="140" t="s">
        <v>39</v>
      </c>
      <c r="G14" s="141"/>
      <c r="H14" s="142">
        <f>D54</f>
        <v>43563.75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343831.25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334*6</f>
        <v>2004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 t="s">
        <v>164</v>
      </c>
      <c r="G22" s="73">
        <v>8425</v>
      </c>
      <c r="H22" s="172">
        <v>100339</v>
      </c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 t="s">
        <v>164</v>
      </c>
      <c r="G26" s="65">
        <v>9125</v>
      </c>
      <c r="H26" s="174">
        <v>98532</v>
      </c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>
        <v>3</v>
      </c>
      <c r="D28" s="48">
        <f t="shared" si="1"/>
        <v>2433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387395</v>
      </c>
      <c r="F29" s="158" t="s">
        <v>55</v>
      </c>
      <c r="G29" s="159"/>
      <c r="H29" s="162">
        <f>H15-H16-H17-H18-H19-H20-H22-H23-H24+H26+H27+H28</f>
        <v>340020.25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90">
        <f t="shared" ref="H34:H39" si="2">F34*G34</f>
        <v>10000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90">
        <f t="shared" si="2"/>
        <v>100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90">
        <v>10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74">
        <v>230441.5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74">
        <v>98532</v>
      </c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2</v>
      </c>
      <c r="D46" s="12">
        <f>C46*1.5</f>
        <v>3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7</v>
      </c>
      <c r="D49" s="12">
        <f>C49*42</f>
        <v>294</v>
      </c>
      <c r="F49" s="215" t="s">
        <v>86</v>
      </c>
      <c r="G49" s="162">
        <f>H34+H35+H36+H37+H38+H39+H40+H41+G42+H44+H45+H46</f>
        <v>339183.5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17</v>
      </c>
      <c r="D50" s="12">
        <f>C50*1.5</f>
        <v>25.5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-836.75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326</v>
      </c>
      <c r="D6" s="13">
        <f t="shared" ref="D6:D28" si="1">C6*L6</f>
        <v>248086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14</v>
      </c>
      <c r="D13" s="48">
        <f t="shared" si="1"/>
        <v>4298</v>
      </c>
      <c r="F13" s="135" t="s">
        <v>36</v>
      </c>
      <c r="G13" s="136"/>
      <c r="H13" s="137">
        <f>D29</f>
        <v>253739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5</v>
      </c>
      <c r="D14" s="31">
        <f t="shared" si="1"/>
        <v>55</v>
      </c>
      <c r="F14" s="140" t="s">
        <v>39</v>
      </c>
      <c r="G14" s="141"/>
      <c r="H14" s="142">
        <f>D54</f>
        <v>36819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216920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324*6</f>
        <v>1944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253739</v>
      </c>
      <c r="F29" s="158" t="s">
        <v>55</v>
      </c>
      <c r="G29" s="159"/>
      <c r="H29" s="162">
        <f>H15-H16-H17-H18-H19-H20-H22-H23-H24+H26+H27</f>
        <v>214926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90">
        <f>F34*G34</f>
        <v>214000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0">
        <f t="shared" ref="H35:H39" si="2">F35*G35</f>
        <v>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90">
        <f t="shared" si="2"/>
        <v>300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90">
        <f t="shared" si="2"/>
        <v>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32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10</v>
      </c>
      <c r="D49" s="12">
        <f>C49*42</f>
        <v>420</v>
      </c>
      <c r="F49" s="215" t="s">
        <v>86</v>
      </c>
      <c r="G49" s="162">
        <f>H34+H35+H36+H37+H38+H39+H40+H41+G42+H44+H45+H46</f>
        <v>214882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</v>
      </c>
      <c r="D50" s="12">
        <f>C50*1.5</f>
        <v>1.5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-44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46085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270</v>
      </c>
      <c r="D6" s="13">
        <f t="shared" ref="D6:D28" si="1">C6*L6</f>
        <v>205470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29</v>
      </c>
      <c r="D9" s="13">
        <f t="shared" si="1"/>
        <v>21257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8</v>
      </c>
      <c r="D13" s="48">
        <f t="shared" si="1"/>
        <v>2456</v>
      </c>
      <c r="F13" s="135" t="s">
        <v>36</v>
      </c>
      <c r="G13" s="136"/>
      <c r="H13" s="137">
        <f>D29</f>
        <v>236285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>
        <v>7</v>
      </c>
      <c r="D14" s="31">
        <f t="shared" si="1"/>
        <v>77</v>
      </c>
      <c r="F14" s="140" t="s">
        <v>39</v>
      </c>
      <c r="G14" s="141"/>
      <c r="H14" s="142">
        <f>D54</f>
        <v>33749.25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202535.75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50*6+80*6+63*6</f>
        <v>1158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9">
        <v>50</v>
      </c>
      <c r="I19" s="149"/>
      <c r="J19" s="14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>
        <v>1</v>
      </c>
      <c r="D23" s="48">
        <f t="shared" si="1"/>
        <v>1175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236285</v>
      </c>
      <c r="F29" s="158" t="s">
        <v>55</v>
      </c>
      <c r="G29" s="159"/>
      <c r="H29" s="162">
        <f>H15-H16-H17-H18-H19-H20-H22-H23-H24+H26+H27</f>
        <v>201327.75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90">
        <f>F34*G34</f>
        <v>94000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90">
        <f>F35*G35</f>
        <v>54000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90">
        <f t="shared" si="2"/>
        <v>12400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90">
        <f t="shared" si="2"/>
        <v>100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90">
        <v>94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74">
        <v>40666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4</v>
      </c>
      <c r="D49" s="12">
        <f>C49*42</f>
        <v>168</v>
      </c>
      <c r="F49" s="215" t="s">
        <v>86</v>
      </c>
      <c r="G49" s="162">
        <f>H34+H35+H36+H37+H38+H39+H40+H41+G42+H44+H45+H46</f>
        <v>201260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6</v>
      </c>
      <c r="D50" s="12">
        <f>C50*1.5</f>
        <v>9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-67.75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>
        <v>377</v>
      </c>
      <c r="D6" s="13">
        <f t="shared" ref="D6:D28" si="1">C6*L6</f>
        <v>286897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>
        <v>10</v>
      </c>
      <c r="D9" s="13">
        <f t="shared" si="1"/>
        <v>7330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>
        <v>1</v>
      </c>
      <c r="D11" s="13">
        <f t="shared" si="1"/>
        <v>1170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>
        <v>10</v>
      </c>
      <c r="D13" s="48">
        <f t="shared" si="1"/>
        <v>3070</v>
      </c>
      <c r="F13" s="135" t="s">
        <v>36</v>
      </c>
      <c r="G13" s="136"/>
      <c r="H13" s="137">
        <f>D29</f>
        <v>301631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55843.5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245787.5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>
        <f>325*6</f>
        <v>1950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237" t="s">
        <v>167</v>
      </c>
      <c r="C22" s="84">
        <v>2</v>
      </c>
      <c r="D22" s="48">
        <f t="shared" si="1"/>
        <v>3164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301631</v>
      </c>
      <c r="F29" s="158" t="s">
        <v>55</v>
      </c>
      <c r="G29" s="159"/>
      <c r="H29" s="162">
        <f>H15-H16-H17-H18-H19-H20-H22-H23-H24+H26+H27+H28</f>
        <v>243837.5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90">
        <f t="shared" ref="H34:H39" si="2">F34*G34</f>
        <v>34000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90">
        <f t="shared" si="2"/>
        <v>209500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90">
        <f t="shared" si="2"/>
        <v>200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90">
        <f t="shared" si="2"/>
        <v>20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>
        <v>26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>
        <v>1</v>
      </c>
      <c r="D45" s="12">
        <f>C45*84</f>
        <v>84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>
        <v>6</v>
      </c>
      <c r="D46" s="12">
        <f>C46*1.5</f>
        <v>9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10</v>
      </c>
      <c r="D49" s="12">
        <f>C49*42</f>
        <v>420</v>
      </c>
      <c r="F49" s="215" t="s">
        <v>86</v>
      </c>
      <c r="G49" s="162">
        <f>H34+H35+H36+H37+H38+H39+H40+H41+G42+H44+H45+H46</f>
        <v>243746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>
        <v>18</v>
      </c>
      <c r="D50" s="12">
        <f>C50*1.5</f>
        <v>27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-91.5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tabSelected="1"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>
        <v>246</v>
      </c>
      <c r="D6" s="13">
        <f t="shared" ref="D6:D28" si="1">C6*L6</f>
        <v>187206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>
        <v>1</v>
      </c>
      <c r="D7" s="13">
        <f t="shared" si="1"/>
        <v>781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>
        <v>24</v>
      </c>
      <c r="D9" s="13">
        <f t="shared" si="1"/>
        <v>17592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>
        <v>2</v>
      </c>
      <c r="D12" s="48">
        <f t="shared" si="1"/>
        <v>1984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>
        <v>7</v>
      </c>
      <c r="D13" s="48">
        <f t="shared" si="1"/>
        <v>2149</v>
      </c>
      <c r="F13" s="135" t="s">
        <v>36</v>
      </c>
      <c r="G13" s="136"/>
      <c r="H13" s="137">
        <f>D29</f>
        <v>264640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34920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229720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>
        <f>197*6</f>
        <v>1182</v>
      </c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237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10">
        <v>4</v>
      </c>
      <c r="D23" s="48">
        <f t="shared" si="1"/>
        <v>6668</v>
      </c>
      <c r="F23" s="25"/>
      <c r="G23" s="37"/>
      <c r="H23" s="173"/>
      <c r="I23" s="174"/>
      <c r="J23" s="17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168</v>
      </c>
      <c r="C27" s="10">
        <v>1</v>
      </c>
      <c r="D27" s="44">
        <f t="shared" si="1"/>
        <v>1582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264640</v>
      </c>
      <c r="F29" s="158" t="s">
        <v>55</v>
      </c>
      <c r="G29" s="159"/>
      <c r="H29" s="162">
        <f>H15-H16-H17-H18-H19-H20-H22-H23-H24+H26+H27</f>
        <v>228538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90">
        <f>F34*G34</f>
        <v>44000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90">
        <f t="shared" ref="H35:H39" si="2">F35*G35</f>
        <v>500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90">
        <f t="shared" si="2"/>
        <v>400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90">
        <f t="shared" si="2"/>
        <v>150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90">
        <f t="shared" si="2"/>
        <v>40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>
        <v>2</v>
      </c>
      <c r="D42" s="12">
        <f>C42*2.25</f>
        <v>4.5</v>
      </c>
      <c r="F42" s="39" t="s">
        <v>79</v>
      </c>
      <c r="G42" s="190">
        <v>69</v>
      </c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74">
        <v>179826</v>
      </c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>
        <v>10</v>
      </c>
      <c r="D49" s="12">
        <f>C49*42</f>
        <v>420</v>
      </c>
      <c r="F49" s="215" t="s">
        <v>86</v>
      </c>
      <c r="G49" s="162">
        <f>H34+H35+H36+H37+H38+H39+H40+H41+G42+H44+H45+H46</f>
        <v>224985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162</v>
      </c>
      <c r="G51" s="229">
        <f>G49-H29</f>
        <v>-3553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46086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46087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46088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97" t="s">
        <v>7</v>
      </c>
      <c r="B4" s="98"/>
      <c r="C4" s="98"/>
      <c r="D4" s="99"/>
      <c r="F4" s="100" t="s">
        <v>8</v>
      </c>
      <c r="G4" s="102"/>
      <c r="H4" s="104" t="s">
        <v>9</v>
      </c>
      <c r="I4" s="106"/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11"/>
      <c r="B6" s="16"/>
      <c r="C6" s="10"/>
      <c r="D6" s="13">
        <f t="shared" ref="D6:D28" si="1">C6*L6</f>
        <v>0</v>
      </c>
      <c r="F6" s="113" t="s">
        <v>16</v>
      </c>
      <c r="G6" s="115"/>
      <c r="H6" s="116"/>
      <c r="I6" s="116"/>
      <c r="J6" s="11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11"/>
      <c r="B7" s="16"/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11"/>
      <c r="B8" s="16"/>
      <c r="C8" s="10"/>
      <c r="D8" s="13">
        <f t="shared" si="1"/>
        <v>0</v>
      </c>
      <c r="F8" s="121" t="s">
        <v>21</v>
      </c>
      <c r="G8" s="123"/>
      <c r="H8" s="124"/>
      <c r="I8" s="124"/>
      <c r="J8" s="12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11"/>
      <c r="B9" s="16"/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11"/>
      <c r="C10" s="10"/>
      <c r="D10" s="13">
        <f t="shared" si="1"/>
        <v>0</v>
      </c>
      <c r="F10" s="113" t="s">
        <v>26</v>
      </c>
      <c r="G10" s="129"/>
      <c r="H10" s="130"/>
      <c r="I10" s="130"/>
      <c r="J10" s="131"/>
      <c r="K10" s="8"/>
      <c r="L10" s="6">
        <f>R36</f>
        <v>972</v>
      </c>
      <c r="P10" s="4"/>
      <c r="Q10" s="4"/>
      <c r="R10" s="5"/>
    </row>
    <row r="11" spans="1:19" ht="15.75" x14ac:dyDescent="0.25">
      <c r="A11" s="111"/>
      <c r="B11" s="17"/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11"/>
      <c r="B12" s="17"/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11"/>
      <c r="B13" s="17"/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11"/>
      <c r="B14" s="14"/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11"/>
      <c r="B15" s="14"/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1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/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/>
      <c r="C19" s="10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/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11"/>
      <c r="B22" s="46"/>
      <c r="C22" s="10"/>
      <c r="D22" s="48">
        <f t="shared" si="1"/>
        <v>0</v>
      </c>
      <c r="F22" s="77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/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/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11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/>
      <c r="C28" s="10"/>
      <c r="D28" s="48">
        <f t="shared" si="1"/>
        <v>0</v>
      </c>
      <c r="F28" s="94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/>
      <c r="I34" s="191"/>
      <c r="J34" s="19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/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/>
      <c r="I36" s="191"/>
      <c r="J36" s="19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/>
      <c r="I37" s="191"/>
      <c r="J37" s="19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/>
      <c r="I38" s="191"/>
      <c r="J38" s="19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/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P43" s="4"/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P44" s="4"/>
      <c r="Q44" s="4"/>
      <c r="R44" s="5"/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P50" s="4"/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1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84"/>
      <c r="D6" s="13">
        <f t="shared" ref="D6:D28" si="1">C6*L6</f>
        <v>0</v>
      </c>
      <c r="F6" s="113" t="s">
        <v>16</v>
      </c>
      <c r="G6" s="115" t="s">
        <v>111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84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84"/>
      <c r="D8" s="13">
        <f t="shared" si="1"/>
        <v>0</v>
      </c>
      <c r="F8" s="121" t="s">
        <v>21</v>
      </c>
      <c r="G8" s="123" t="s">
        <v>144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84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84"/>
      <c r="D10" s="13">
        <f t="shared" si="1"/>
        <v>0</v>
      </c>
      <c r="F10" s="113" t="s">
        <v>26</v>
      </c>
      <c r="G10" s="129" t="s">
        <v>139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84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84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84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84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84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133</v>
      </c>
      <c r="C17" s="84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22"/>
      <c r="I19" s="122"/>
      <c r="J19" s="122"/>
      <c r="L19" s="6">
        <v>1102</v>
      </c>
      <c r="Q19" s="4"/>
      <c r="R19" s="5">
        <f t="shared" si="0"/>
        <v>0</v>
      </c>
    </row>
    <row r="20" spans="1:18" ht="15.75" x14ac:dyDescent="0.25">
      <c r="A20" s="11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124</v>
      </c>
      <c r="C22" s="84"/>
      <c r="D22" s="48">
        <f t="shared" si="1"/>
        <v>0</v>
      </c>
      <c r="F22" s="77"/>
      <c r="G22" s="73"/>
      <c r="H22" s="172"/>
      <c r="I22" s="172"/>
      <c r="J22" s="17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101</v>
      </c>
      <c r="C23" s="84"/>
      <c r="D23" s="48">
        <f t="shared" si="1"/>
        <v>0</v>
      </c>
      <c r="F23" s="77"/>
      <c r="G23" s="79"/>
      <c r="H23" s="225"/>
      <c r="I23" s="226"/>
      <c r="J23" s="22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118</v>
      </c>
      <c r="C24" s="84"/>
      <c r="D24" s="48">
        <f t="shared" si="1"/>
        <v>0</v>
      </c>
      <c r="F24" s="77"/>
      <c r="G24" s="79"/>
      <c r="H24" s="225"/>
      <c r="I24" s="226"/>
      <c r="J24" s="22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132</v>
      </c>
      <c r="C26" s="84"/>
      <c r="D26" s="48">
        <f t="shared" si="1"/>
        <v>0</v>
      </c>
      <c r="F26" s="75"/>
      <c r="G26" s="65"/>
      <c r="H26" s="174"/>
      <c r="I26" s="174"/>
      <c r="J26" s="17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110</v>
      </c>
      <c r="C27" s="84"/>
      <c r="D27" s="44">
        <f t="shared" si="1"/>
        <v>0</v>
      </c>
      <c r="F27" s="71"/>
      <c r="G27" s="91"/>
      <c r="H27" s="227"/>
      <c r="I27" s="228"/>
      <c r="J27" s="22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84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H15-H16-H17-H18-H19-H20-H22-H23-H24+H26+H27+H28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90">
        <f t="shared" ref="H34:H39" si="2"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si="2"/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si="2"/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85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74"/>
      <c r="I46" s="174"/>
      <c r="J46" s="174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128</v>
      </c>
      <c r="G51" s="229">
        <f>G49-H29</f>
        <v>0</v>
      </c>
      <c r="H51" s="230"/>
      <c r="I51" s="230"/>
      <c r="J51" s="23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32"/>
      <c r="H52" s="233"/>
      <c r="I52" s="233"/>
      <c r="J52" s="23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2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126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113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114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93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5"/>
      <c r="I19" s="235"/>
      <c r="J19" s="23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22"/>
      <c r="I20" s="122"/>
      <c r="J20" s="12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2"/>
      <c r="G22" s="73"/>
      <c r="H22" s="172"/>
      <c r="I22" s="172"/>
      <c r="J22" s="17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25"/>
      <c r="G23" s="37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120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 t="shared" ref="H35:H39" si="2"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62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62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9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135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96" t="s">
        <v>1</v>
      </c>
      <c r="O1" s="96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97" t="s">
        <v>7</v>
      </c>
      <c r="B4" s="98"/>
      <c r="C4" s="98"/>
      <c r="D4" s="99"/>
      <c r="F4" s="100" t="s">
        <v>8</v>
      </c>
      <c r="G4" s="102">
        <v>3</v>
      </c>
      <c r="H4" s="104" t="s">
        <v>9</v>
      </c>
      <c r="I4" s="106">
        <v>46090</v>
      </c>
      <c r="J4" s="10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10" t="s">
        <v>7</v>
      </c>
      <c r="B5" s="15" t="s">
        <v>11</v>
      </c>
      <c r="C5" s="9" t="s">
        <v>12</v>
      </c>
      <c r="D5" s="25" t="s">
        <v>13</v>
      </c>
      <c r="F5" s="101"/>
      <c r="G5" s="103"/>
      <c r="H5" s="105"/>
      <c r="I5" s="108"/>
      <c r="J5" s="10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11"/>
      <c r="B6" s="16" t="s">
        <v>15</v>
      </c>
      <c r="C6" s="10"/>
      <c r="D6" s="13">
        <f t="shared" ref="D6:D28" si="1">C6*L6</f>
        <v>0</v>
      </c>
      <c r="F6" s="113" t="s">
        <v>16</v>
      </c>
      <c r="G6" s="115" t="s">
        <v>141</v>
      </c>
      <c r="H6" s="116"/>
      <c r="I6" s="116"/>
      <c r="J6" s="11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11"/>
      <c r="B7" s="16" t="s">
        <v>18</v>
      </c>
      <c r="C7" s="10"/>
      <c r="D7" s="13">
        <f t="shared" si="1"/>
        <v>0</v>
      </c>
      <c r="F7" s="114"/>
      <c r="G7" s="118"/>
      <c r="H7" s="119"/>
      <c r="I7" s="119"/>
      <c r="J7" s="12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11"/>
      <c r="B8" s="16" t="s">
        <v>20</v>
      </c>
      <c r="C8" s="10"/>
      <c r="D8" s="13">
        <f t="shared" si="1"/>
        <v>0</v>
      </c>
      <c r="F8" s="121" t="s">
        <v>21</v>
      </c>
      <c r="G8" s="123" t="s">
        <v>130</v>
      </c>
      <c r="H8" s="124"/>
      <c r="I8" s="124"/>
      <c r="J8" s="12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11"/>
      <c r="B9" s="16" t="s">
        <v>23</v>
      </c>
      <c r="C9" s="10"/>
      <c r="D9" s="13">
        <f t="shared" si="1"/>
        <v>0</v>
      </c>
      <c r="F9" s="114"/>
      <c r="G9" s="126"/>
      <c r="H9" s="127"/>
      <c r="I9" s="127"/>
      <c r="J9" s="12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11"/>
      <c r="B10" t="s">
        <v>25</v>
      </c>
      <c r="C10" s="10"/>
      <c r="D10" s="13">
        <f t="shared" si="1"/>
        <v>0</v>
      </c>
      <c r="F10" s="113" t="s">
        <v>26</v>
      </c>
      <c r="G10" s="129" t="s">
        <v>127</v>
      </c>
      <c r="H10" s="130"/>
      <c r="I10" s="130"/>
      <c r="J10" s="131"/>
      <c r="K10" s="8"/>
      <c r="L10" s="6">
        <f>R36</f>
        <v>1032</v>
      </c>
      <c r="P10" s="4"/>
      <c r="Q10" s="4"/>
      <c r="R10" s="5"/>
    </row>
    <row r="11" spans="1:18" ht="15.75" x14ac:dyDescent="0.25">
      <c r="A11" s="111"/>
      <c r="B11" s="17" t="s">
        <v>28</v>
      </c>
      <c r="C11" s="10"/>
      <c r="D11" s="13">
        <f t="shared" si="1"/>
        <v>0</v>
      </c>
      <c r="F11" s="114"/>
      <c r="G11" s="126"/>
      <c r="H11" s="127"/>
      <c r="I11" s="127"/>
      <c r="J11" s="12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11"/>
      <c r="B12" s="17" t="s">
        <v>30</v>
      </c>
      <c r="C12" s="10"/>
      <c r="D12" s="48">
        <f t="shared" si="1"/>
        <v>0</v>
      </c>
      <c r="F12" s="132" t="s">
        <v>33</v>
      </c>
      <c r="G12" s="133"/>
      <c r="H12" s="133"/>
      <c r="I12" s="133"/>
      <c r="J12" s="13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11"/>
      <c r="B13" s="17" t="s">
        <v>32</v>
      </c>
      <c r="C13" s="10"/>
      <c r="D13" s="48">
        <f t="shared" si="1"/>
        <v>0</v>
      </c>
      <c r="F13" s="135" t="s">
        <v>36</v>
      </c>
      <c r="G13" s="136"/>
      <c r="H13" s="137">
        <f>D29</f>
        <v>0</v>
      </c>
      <c r="I13" s="138"/>
      <c r="J13" s="1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11"/>
      <c r="B14" s="14" t="s">
        <v>35</v>
      </c>
      <c r="C14" s="10"/>
      <c r="D14" s="31">
        <f t="shared" si="1"/>
        <v>0</v>
      </c>
      <c r="F14" s="140" t="s">
        <v>39</v>
      </c>
      <c r="G14" s="141"/>
      <c r="H14" s="142">
        <f>D54</f>
        <v>0</v>
      </c>
      <c r="I14" s="143"/>
      <c r="J14" s="1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11"/>
      <c r="B15" s="14" t="s">
        <v>38</v>
      </c>
      <c r="C15" s="10"/>
      <c r="D15" s="31">
        <f t="shared" si="1"/>
        <v>0</v>
      </c>
      <c r="F15" s="145" t="s">
        <v>40</v>
      </c>
      <c r="G15" s="136"/>
      <c r="H15" s="146">
        <f>H13-H14</f>
        <v>0</v>
      </c>
      <c r="I15" s="147"/>
      <c r="J15" s="14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1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9"/>
      <c r="I16" s="149"/>
      <c r="J16" s="14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11"/>
      <c r="B17" t="s">
        <v>112</v>
      </c>
      <c r="C17" s="10"/>
      <c r="D17" s="48">
        <f t="shared" si="1"/>
        <v>0</v>
      </c>
      <c r="F17" s="56"/>
      <c r="G17" s="66" t="s">
        <v>45</v>
      </c>
      <c r="H17" s="122"/>
      <c r="I17" s="122"/>
      <c r="J17" s="12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1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22"/>
      <c r="I18" s="122"/>
      <c r="J18" s="12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1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1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9"/>
      <c r="I20" s="149"/>
      <c r="J20" s="14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1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9" t="s">
        <v>13</v>
      </c>
      <c r="I21" s="170"/>
      <c r="J21" s="17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11"/>
      <c r="B22" s="46" t="s">
        <v>104</v>
      </c>
      <c r="C22" s="10"/>
      <c r="D22" s="48">
        <f t="shared" si="1"/>
        <v>0</v>
      </c>
      <c r="F22" s="77"/>
      <c r="G22" s="73"/>
      <c r="H22" s="172"/>
      <c r="I22" s="172"/>
      <c r="J22" s="17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11"/>
      <c r="B23" s="14" t="s">
        <v>107</v>
      </c>
      <c r="C23" s="10"/>
      <c r="D23" s="48">
        <f t="shared" si="1"/>
        <v>0</v>
      </c>
      <c r="F23" s="78"/>
      <c r="G23" s="79"/>
      <c r="H23" s="173"/>
      <c r="I23" s="174"/>
      <c r="J23" s="17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11"/>
      <c r="B24" s="14" t="s">
        <v>101</v>
      </c>
      <c r="C24" s="10"/>
      <c r="D24" s="48">
        <f t="shared" si="1"/>
        <v>0</v>
      </c>
      <c r="F24" s="38"/>
      <c r="G24" s="37"/>
      <c r="H24" s="173"/>
      <c r="I24" s="174"/>
      <c r="J24" s="17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1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11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11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12"/>
      <c r="B28" s="46" t="s">
        <v>97</v>
      </c>
      <c r="C28" s="10"/>
      <c r="D28" s="48">
        <f t="shared" si="1"/>
        <v>0</v>
      </c>
      <c r="F28" s="94"/>
      <c r="G28" s="61"/>
      <c r="H28" s="184"/>
      <c r="I28" s="185"/>
      <c r="J28" s="18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0" t="s">
        <v>36</v>
      </c>
      <c r="B29" s="151"/>
      <c r="C29" s="152"/>
      <c r="D29" s="156">
        <f>SUM(D6:D28)</f>
        <v>0</v>
      </c>
      <c r="F29" s="158" t="s">
        <v>55</v>
      </c>
      <c r="G29" s="159"/>
      <c r="H29" s="162">
        <f>H15-H16-H17-H18-H19-H20-H22-H23-H24+H26+H27</f>
        <v>0</v>
      </c>
      <c r="I29" s="163"/>
      <c r="J29" s="16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3"/>
      <c r="B30" s="154"/>
      <c r="C30" s="155"/>
      <c r="D30" s="157"/>
      <c r="F30" s="160"/>
      <c r="G30" s="161"/>
      <c r="H30" s="165"/>
      <c r="I30" s="166"/>
      <c r="J30" s="167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97" t="s">
        <v>58</v>
      </c>
      <c r="B32" s="98"/>
      <c r="C32" s="98"/>
      <c r="D32" s="99"/>
      <c r="F32" s="187" t="s">
        <v>59</v>
      </c>
      <c r="G32" s="188"/>
      <c r="H32" s="188"/>
      <c r="I32" s="188"/>
      <c r="J32" s="18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87" t="s">
        <v>13</v>
      </c>
      <c r="I33" s="188"/>
      <c r="J33" s="18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1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90">
        <f>F34*G34</f>
        <v>0</v>
      </c>
      <c r="I34" s="191"/>
      <c r="J34" s="19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11"/>
      <c r="B35" s="27" t="s">
        <v>68</v>
      </c>
      <c r="C35" s="52"/>
      <c r="D35" s="30">
        <f>C35*84</f>
        <v>0</v>
      </c>
      <c r="F35" s="58">
        <v>500</v>
      </c>
      <c r="G35" s="41"/>
      <c r="H35" s="190">
        <f>F35*G35</f>
        <v>0</v>
      </c>
      <c r="I35" s="191"/>
      <c r="J35" s="19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12"/>
      <c r="B36" s="26" t="s">
        <v>70</v>
      </c>
      <c r="C36" s="10"/>
      <c r="D36" s="12">
        <f>C36*1.5</f>
        <v>0</v>
      </c>
      <c r="F36" s="12">
        <v>200</v>
      </c>
      <c r="G36" s="37"/>
      <c r="H36" s="190">
        <f t="shared" ref="H36:H39" si="2">F36*G36</f>
        <v>0</v>
      </c>
      <c r="I36" s="191"/>
      <c r="J36" s="19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1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90">
        <f t="shared" si="2"/>
        <v>0</v>
      </c>
      <c r="I37" s="191"/>
      <c r="J37" s="19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11"/>
      <c r="B38" s="29" t="s">
        <v>68</v>
      </c>
      <c r="C38" s="54"/>
      <c r="D38" s="12">
        <f>C38*84</f>
        <v>0</v>
      </c>
      <c r="F38" s="30">
        <v>50</v>
      </c>
      <c r="G38" s="39"/>
      <c r="H38" s="190">
        <f t="shared" si="2"/>
        <v>0</v>
      </c>
      <c r="I38" s="191"/>
      <c r="J38" s="19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12"/>
      <c r="B39" s="29" t="s">
        <v>70</v>
      </c>
      <c r="C39" s="52"/>
      <c r="D39" s="31">
        <f>C39*4.5</f>
        <v>0</v>
      </c>
      <c r="F39" s="12">
        <v>20</v>
      </c>
      <c r="G39" s="37"/>
      <c r="H39" s="190">
        <f t="shared" si="2"/>
        <v>0</v>
      </c>
      <c r="I39" s="191"/>
      <c r="J39" s="19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1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90"/>
      <c r="I40" s="191"/>
      <c r="J40" s="19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11"/>
      <c r="B41" s="27" t="s">
        <v>68</v>
      </c>
      <c r="C41" s="10"/>
      <c r="D41" s="12">
        <f>C41*84</f>
        <v>0</v>
      </c>
      <c r="F41" s="12">
        <v>5</v>
      </c>
      <c r="G41" s="42"/>
      <c r="H41" s="190"/>
      <c r="I41" s="191"/>
      <c r="J41" s="19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12"/>
      <c r="B42" s="27" t="s">
        <v>70</v>
      </c>
      <c r="C42" s="11"/>
      <c r="D42" s="12">
        <f>C42*2.25</f>
        <v>0</v>
      </c>
      <c r="F42" s="39" t="s">
        <v>79</v>
      </c>
      <c r="G42" s="190"/>
      <c r="H42" s="191"/>
      <c r="I42" s="191"/>
      <c r="J42" s="19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93" t="s">
        <v>81</v>
      </c>
      <c r="C43" s="11"/>
      <c r="D43" s="12"/>
      <c r="F43" s="59" t="s">
        <v>82</v>
      </c>
      <c r="G43" s="91" t="s">
        <v>83</v>
      </c>
      <c r="H43" s="196" t="s">
        <v>13</v>
      </c>
      <c r="I43" s="197"/>
      <c r="J43" s="19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94"/>
      <c r="B44" s="27" t="s">
        <v>66</v>
      </c>
      <c r="C44" s="10"/>
      <c r="D44" s="12">
        <f>C44*120</f>
        <v>0</v>
      </c>
      <c r="F44" s="37"/>
      <c r="G44" s="76"/>
      <c r="H44" s="174"/>
      <c r="I44" s="174"/>
      <c r="J44" s="17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94"/>
      <c r="B45" s="27" t="s">
        <v>68</v>
      </c>
      <c r="C45" s="33"/>
      <c r="D45" s="12">
        <f>C45*84</f>
        <v>0</v>
      </c>
      <c r="F45" s="37"/>
      <c r="G45" s="76"/>
      <c r="H45" s="174"/>
      <c r="I45" s="174"/>
      <c r="J45" s="174"/>
      <c r="K45" s="21"/>
      <c r="P45" s="4"/>
      <c r="Q45" s="4"/>
      <c r="R45" s="5"/>
    </row>
    <row r="46" spans="1:18" ht="15.75" x14ac:dyDescent="0.25">
      <c r="A46" s="194"/>
      <c r="B46" s="49" t="s">
        <v>70</v>
      </c>
      <c r="C46" s="81"/>
      <c r="D46" s="12">
        <f>C46*1.5</f>
        <v>0</v>
      </c>
      <c r="F46" s="37"/>
      <c r="G46" s="62"/>
      <c r="H46" s="199"/>
      <c r="I46" s="199"/>
      <c r="J46" s="199"/>
      <c r="K46" s="21"/>
      <c r="P46" s="4"/>
      <c r="Q46" s="4"/>
      <c r="R46" s="5"/>
    </row>
    <row r="47" spans="1:18" ht="15.75" x14ac:dyDescent="0.25">
      <c r="A47" s="195"/>
      <c r="B47" s="27"/>
      <c r="C47" s="11"/>
      <c r="D47" s="12"/>
      <c r="F47" s="59"/>
      <c r="G47" s="59"/>
      <c r="H47" s="200"/>
      <c r="I47" s="201"/>
      <c r="J47" s="202"/>
      <c r="K47" s="21"/>
      <c r="P47" s="4"/>
      <c r="Q47" s="4"/>
      <c r="R47" s="5"/>
    </row>
    <row r="48" spans="1:18" ht="15" customHeight="1" x14ac:dyDescent="0.25">
      <c r="A48" s="193" t="s">
        <v>32</v>
      </c>
      <c r="B48" s="27" t="s">
        <v>66</v>
      </c>
      <c r="C48" s="10"/>
      <c r="D48" s="12">
        <f>C48*78</f>
        <v>0</v>
      </c>
      <c r="F48" s="59"/>
      <c r="G48" s="59"/>
      <c r="H48" s="200"/>
      <c r="I48" s="201"/>
      <c r="J48" s="20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94"/>
      <c r="B49" s="29" t="s">
        <v>68</v>
      </c>
      <c r="C49" s="33"/>
      <c r="D49" s="12">
        <f>C49*42</f>
        <v>0</v>
      </c>
      <c r="F49" s="215" t="s">
        <v>86</v>
      </c>
      <c r="G49" s="162">
        <f>H34+H35+H36+H37+H38+H39+H40+H41+G42+H44+H45+H46</f>
        <v>0</v>
      </c>
      <c r="H49" s="163"/>
      <c r="I49" s="163"/>
      <c r="J49" s="16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94"/>
      <c r="B50" s="32" t="s">
        <v>70</v>
      </c>
      <c r="C50" s="11"/>
      <c r="D50" s="12">
        <f>C50*1.5</f>
        <v>0</v>
      </c>
      <c r="F50" s="216"/>
      <c r="G50" s="165"/>
      <c r="H50" s="166"/>
      <c r="I50" s="166"/>
      <c r="J50" s="167"/>
      <c r="O50" t="s">
        <v>137</v>
      </c>
      <c r="P50" s="4">
        <v>1204</v>
      </c>
      <c r="Q50" s="4"/>
      <c r="R50" s="5"/>
    </row>
    <row r="51" spans="1:18" ht="15" customHeight="1" x14ac:dyDescent="0.25">
      <c r="A51" s="194"/>
      <c r="B51" s="27"/>
      <c r="C51" s="10"/>
      <c r="D51" s="31"/>
      <c r="F51" s="217" t="s">
        <v>138</v>
      </c>
      <c r="G51" s="219">
        <f>G49-H29</f>
        <v>0</v>
      </c>
      <c r="H51" s="220"/>
      <c r="I51" s="220"/>
      <c r="J51" s="22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94"/>
      <c r="B52" s="29"/>
      <c r="C52" s="33"/>
      <c r="D52" s="45"/>
      <c r="F52" s="218"/>
      <c r="G52" s="222"/>
      <c r="H52" s="223"/>
      <c r="I52" s="223"/>
      <c r="J52" s="22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9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58" t="s">
        <v>90</v>
      </c>
      <c r="B54" s="203"/>
      <c r="C54" s="204"/>
      <c r="D54" s="20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60"/>
      <c r="B55" s="205"/>
      <c r="C55" s="206"/>
      <c r="D55" s="20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09" t="s">
        <v>91</v>
      </c>
      <c r="B58" s="210"/>
      <c r="C58" s="210"/>
      <c r="D58" s="211"/>
      <c r="F58" s="209" t="s">
        <v>92</v>
      </c>
      <c r="G58" s="210"/>
      <c r="H58" s="210"/>
      <c r="I58" s="210"/>
      <c r="J58" s="211"/>
    </row>
    <row r="59" spans="1:18" x14ac:dyDescent="0.25">
      <c r="A59" s="212"/>
      <c r="B59" s="213"/>
      <c r="C59" s="213"/>
      <c r="D59" s="214"/>
      <c r="F59" s="212"/>
      <c r="G59" s="213"/>
      <c r="H59" s="213"/>
      <c r="I59" s="213"/>
      <c r="J59" s="21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</vt:lpstr>
      <vt:lpstr>06,03 R2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R1'!Print_Area</vt:lpstr>
      <vt:lpstr>'06,03 R2'!Print_Area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2026-03-04T23:12:13Z</cp:lastPrinted>
  <dcterms:created xsi:type="dcterms:W3CDTF">2024-09-01T23:36:50Z</dcterms:created>
  <dcterms:modified xsi:type="dcterms:W3CDTF">2026-03-05T09:23:53Z</dcterms:modified>
</cp:coreProperties>
</file>