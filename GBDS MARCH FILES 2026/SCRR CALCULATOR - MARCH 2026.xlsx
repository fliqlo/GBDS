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B5FCB8E1-E480-4189-A70D-78E86696BBD1}" xr6:coauthVersionLast="45" xr6:coauthVersionMax="47" xr10:uidLastSave="{00000000-0000-0000-0000-000000000000}"/>
  <bookViews>
    <workbookView xWindow="-120" yWindow="-120" windowWidth="29040" windowHeight="15840" firstSheet="74" activeTab="80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 NO TRIP" sheetId="1879" r:id="rId43"/>
    <sheet name="13,03 R2 NO TRIP" sheetId="1880" r:id="rId44"/>
    <sheet name="13,03 R3 NO TRIP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 NO TRIP" sheetId="1887" r:id="rId51"/>
    <sheet name="16,03 R2" sheetId="1888" r:id="rId52"/>
    <sheet name="16,03 R3" sheetId="1889" r:id="rId53"/>
    <sheet name="(17)" sheetId="1890" r:id="rId54"/>
    <sheet name="17,03 R1" sheetId="1891" r:id="rId55"/>
    <sheet name="17,03 R2" sheetId="1892" r:id="rId56"/>
    <sheet name="17,03 R3" sheetId="1893" r:id="rId57"/>
    <sheet name="(18)" sheetId="1894" r:id="rId58"/>
    <sheet name="18,03 R1" sheetId="1895" r:id="rId59"/>
    <sheet name="18,03 R2" sheetId="1896" r:id="rId60"/>
    <sheet name="18,03 R3" sheetId="1897" r:id="rId61"/>
    <sheet name="(19)" sheetId="1898" r:id="rId62"/>
    <sheet name="19,03 R1" sheetId="1899" r:id="rId63"/>
    <sheet name="19,03 R2" sheetId="1900" r:id="rId64"/>
    <sheet name="19,03 R3" sheetId="1901" r:id="rId65"/>
    <sheet name="(20)" sheetId="1902" r:id="rId66"/>
    <sheet name="20,03 R1" sheetId="1903" r:id="rId67"/>
    <sheet name="20,03 R2" sheetId="1904" r:id="rId68"/>
    <sheet name="20,03 R3" sheetId="1905" r:id="rId69"/>
    <sheet name="(21)" sheetId="1906" r:id="rId70"/>
    <sheet name="21,03 R1 NO TRIP" sheetId="1907" r:id="rId71"/>
    <sheet name="21,03 R2 NO TRIP" sheetId="1908" r:id="rId72"/>
    <sheet name="21,03 R3 NO TRIP" sheetId="1909" r:id="rId73"/>
    <sheet name="(23)" sheetId="1910" r:id="rId74"/>
    <sheet name="23,03 R1" sheetId="1911" r:id="rId75"/>
    <sheet name="23,03 R2" sheetId="1912" r:id="rId76"/>
    <sheet name="23,03 R3" sheetId="1913" r:id="rId77"/>
    <sheet name="(24)" sheetId="1914" r:id="rId78"/>
    <sheet name="24,03 R1" sheetId="1915" r:id="rId79"/>
    <sheet name="24,03 R2" sheetId="1916" r:id="rId80"/>
    <sheet name="24,03 R3" sheetId="1917" r:id="rId81"/>
    <sheet name="(25)" sheetId="1918" r:id="rId82"/>
    <sheet name="25,03 R1" sheetId="1919" r:id="rId83"/>
    <sheet name="25,03 R2" sheetId="1920" r:id="rId84"/>
    <sheet name="25,03 R3" sheetId="1921" r:id="rId85"/>
    <sheet name="(26)" sheetId="1922" r:id="rId86"/>
    <sheet name="26,03 R1" sheetId="1923" r:id="rId87"/>
    <sheet name="26,03 R2" sheetId="1924" r:id="rId88"/>
    <sheet name="26,03 R3" sheetId="1925" r:id="rId89"/>
    <sheet name="(27)" sheetId="1926" r:id="rId90"/>
    <sheet name="27,03 R1" sheetId="1927" r:id="rId91"/>
    <sheet name="27,03 R2" sheetId="1928" r:id="rId92"/>
    <sheet name="27,03 R3" sheetId="1929" r:id="rId93"/>
    <sheet name="(28)" sheetId="1930" r:id="rId94"/>
    <sheet name="28,03 R1" sheetId="1931" r:id="rId95"/>
    <sheet name="28,03 R2" sheetId="1932" r:id="rId96"/>
    <sheet name="28,03 R3" sheetId="1933" r:id="rId97"/>
    <sheet name="(30)" sheetId="1934" r:id="rId98"/>
    <sheet name="30,03 R1" sheetId="1935" r:id="rId99"/>
    <sheet name="30,03 R2" sheetId="1936" r:id="rId100"/>
    <sheet name="30,03 R3" sheetId="1937" r:id="rId101"/>
    <sheet name="(31)" sheetId="1938" r:id="rId102"/>
    <sheet name="31,03 R1" sheetId="1939" r:id="rId103"/>
    <sheet name="31,03 R2" sheetId="1940" r:id="rId104"/>
    <sheet name="31,03 R3" sheetId="1941" r:id="rId105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69">'(21)'!$A$1:$J$60</definedName>
    <definedName name="_xlnm.Print_Area" localSheetId="73">'(23)'!$A$1:$J$60</definedName>
    <definedName name="_xlnm.Print_Area" localSheetId="77">'(24)'!$A$1:$J$60</definedName>
    <definedName name="_xlnm.Print_Area" localSheetId="81">'(25)'!$A$1:$J$60</definedName>
    <definedName name="_xlnm.Print_Area" localSheetId="85">'(26)'!$A$1:$J$60</definedName>
    <definedName name="_xlnm.Print_Area" localSheetId="89">'(27)'!$A$1:$J$60</definedName>
    <definedName name="_xlnm.Print_Area" localSheetId="93">'(28)'!$A$1:$J$60</definedName>
    <definedName name="_xlnm.Print_Area" localSheetId="5">'(3)'!$A$1:$J$60</definedName>
    <definedName name="_xlnm.Print_Area" localSheetId="97">'(30)'!$A$1:$J$60</definedName>
    <definedName name="_xlnm.Print_Area" localSheetId="101">'(31)'!$A$1:$J$60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 NO TRIP'!$A$1:$J$60</definedName>
    <definedName name="_xlnm.Print_Area" localSheetId="43">'13,03 R2 NO TRIP'!$A$1:$J$60</definedName>
    <definedName name="_xlnm.Print_Area" localSheetId="44">'13,03 R3 NO TRIP'!$A$1:$J$60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 NO TRIP'!$A$1:$J$60</definedName>
    <definedName name="_xlnm.Print_Area" localSheetId="51">'16,03 R2'!$A$1:$J$60</definedName>
    <definedName name="_xlnm.Print_Area" localSheetId="52">'16,03 R3'!$A$1:$J$60</definedName>
    <definedName name="_xlnm.Print_Area" localSheetId="54">'17,03 R1'!$A$1:$J$60</definedName>
    <definedName name="_xlnm.Print_Area" localSheetId="55">'17,03 R2'!$A$1:$J$60</definedName>
    <definedName name="_xlnm.Print_Area" localSheetId="56">'17,03 R3'!$A$1:$J$60</definedName>
    <definedName name="_xlnm.Print_Area" localSheetId="58">'18,03 R1'!$A$1:$J$60</definedName>
    <definedName name="_xlnm.Print_Area" localSheetId="59">'18,03 R2'!$A$1:$J$60</definedName>
    <definedName name="_xlnm.Print_Area" localSheetId="60">'18,03 R3'!$A$1:$J$60</definedName>
    <definedName name="_xlnm.Print_Area" localSheetId="62">'19,03 R1'!$A$1:$J$60</definedName>
    <definedName name="_xlnm.Print_Area" localSheetId="63">'19,03 R2'!$A$1:$J$60</definedName>
    <definedName name="_xlnm.Print_Area" localSheetId="64">'19,03 R3'!$A$1:$J$60</definedName>
    <definedName name="_xlnm.Print_Area" localSheetId="66">'20,03 R1'!$A$1:$J$60</definedName>
    <definedName name="_xlnm.Print_Area" localSheetId="67">'20,03 R2'!$A$1:$J$60</definedName>
    <definedName name="_xlnm.Print_Area" localSheetId="68">'20,03 R3'!$A$1:$J$60</definedName>
    <definedName name="_xlnm.Print_Area" localSheetId="70">'21,03 R1 NO TRIP'!$A$1:$J$60</definedName>
    <definedName name="_xlnm.Print_Area" localSheetId="71">'21,03 R2 NO TRIP'!$A$1:$J$60</definedName>
    <definedName name="_xlnm.Print_Area" localSheetId="72">'21,03 R3 NO TRIP'!$A$1:$J$60</definedName>
    <definedName name="_xlnm.Print_Area" localSheetId="74">'23,03 R1'!$A$1:$J$60</definedName>
    <definedName name="_xlnm.Print_Area" localSheetId="75">'23,03 R2'!$A$1:$J$60</definedName>
    <definedName name="_xlnm.Print_Area" localSheetId="76">'23,03 R3'!$A$1:$J$60</definedName>
    <definedName name="_xlnm.Print_Area" localSheetId="78">'24,03 R1'!$A$1:$J$60</definedName>
    <definedName name="_xlnm.Print_Area" localSheetId="79">'24,03 R2'!$A$1:$J$60</definedName>
    <definedName name="_xlnm.Print_Area" localSheetId="80">'24,03 R3'!$A$1:$J$60</definedName>
    <definedName name="_xlnm.Print_Area" localSheetId="82">'25,03 R1'!$A$1:$J$60</definedName>
    <definedName name="_xlnm.Print_Area" localSheetId="83">'25,03 R2'!$A$1:$J$60</definedName>
    <definedName name="_xlnm.Print_Area" localSheetId="84">'25,03 R3'!$A$1:$J$60</definedName>
    <definedName name="_xlnm.Print_Area" localSheetId="86">'26,03 R1'!$A$1:$J$60</definedName>
    <definedName name="_xlnm.Print_Area" localSheetId="87">'26,03 R2'!$A$1:$J$60</definedName>
    <definedName name="_xlnm.Print_Area" localSheetId="88">'26,03 R3'!$A$1:$J$60</definedName>
    <definedName name="_xlnm.Print_Area" localSheetId="90">'27,03 R1'!$A$1:$J$60</definedName>
    <definedName name="_xlnm.Print_Area" localSheetId="91">'27,03 R2'!$A$1:$J$60</definedName>
    <definedName name="_xlnm.Print_Area" localSheetId="92">'27,03 R3'!$A$1:$J$60</definedName>
    <definedName name="_xlnm.Print_Area" localSheetId="94">'28,03 R1'!$A$1:$J$60</definedName>
    <definedName name="_xlnm.Print_Area" localSheetId="95">'28,03 R2'!$A$1:$J$60</definedName>
    <definedName name="_xlnm.Print_Area" localSheetId="96">'28,03 R3'!$A$1:$J$60</definedName>
    <definedName name="_xlnm.Print_Area" localSheetId="98">'30,03 R1'!$A$1:$J$60</definedName>
    <definedName name="_xlnm.Print_Area" localSheetId="99">'30,03 R2'!$A$1:$J$60</definedName>
    <definedName name="_xlnm.Print_Area" localSheetId="100">'30,03 R3'!$A$1:$J$60</definedName>
    <definedName name="_xlnm.Print_Area" localSheetId="102">'31,03 R1'!$A$1:$J$60</definedName>
    <definedName name="_xlnm.Print_Area" localSheetId="103">'31,03 R2'!$A$1:$J$60</definedName>
    <definedName name="_xlnm.Print_Area" localSheetId="104">'31,03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915" l="1"/>
  <c r="H16" i="1916"/>
  <c r="R52" i="1941" l="1"/>
  <c r="R51" i="1941"/>
  <c r="D50" i="1941"/>
  <c r="R49" i="1941"/>
  <c r="D49" i="1941"/>
  <c r="R48" i="1941"/>
  <c r="D48" i="1941"/>
  <c r="D46" i="1941"/>
  <c r="D45" i="1941"/>
  <c r="R44" i="1941"/>
  <c r="L28" i="1941" s="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L9" i="1941" s="1"/>
  <c r="D9" i="1941" s="1"/>
  <c r="H38" i="1941"/>
  <c r="D38" i="1941"/>
  <c r="R37" i="1941"/>
  <c r="H37" i="1941"/>
  <c r="D37" i="1941"/>
  <c r="R36" i="1941"/>
  <c r="L10" i="1941" s="1"/>
  <c r="D10" i="1941" s="1"/>
  <c r="H36" i="1941"/>
  <c r="D36" i="1941"/>
  <c r="R35" i="1941"/>
  <c r="H35" i="1941"/>
  <c r="D35" i="1941"/>
  <c r="R34" i="1941"/>
  <c r="H34" i="1941"/>
  <c r="G49" i="1941" s="1"/>
  <c r="D34" i="1941"/>
  <c r="D54" i="1941" s="1"/>
  <c r="H14" i="1941" s="1"/>
  <c r="R33" i="1941"/>
  <c r="R32" i="1941"/>
  <c r="R31" i="1941"/>
  <c r="R30" i="1941"/>
  <c r="R29" i="1941"/>
  <c r="R28" i="1941"/>
  <c r="R27" i="1941"/>
  <c r="D27" i="1941"/>
  <c r="R26" i="1941"/>
  <c r="L26" i="1941"/>
  <c r="D26" i="1941"/>
  <c r="R25" i="1941"/>
  <c r="L25" i="1941"/>
  <c r="D25" i="1941"/>
  <c r="R24" i="1941"/>
  <c r="D24" i="1941"/>
  <c r="R23" i="1941"/>
  <c r="L23" i="1941"/>
  <c r="D23" i="1941"/>
  <c r="R22" i="1941"/>
  <c r="L22" i="1941"/>
  <c r="D22" i="1941"/>
  <c r="R21" i="1941"/>
  <c r="D21" i="1941"/>
  <c r="R20" i="1941"/>
  <c r="L20" i="1941"/>
  <c r="D20" i="1941"/>
  <c r="R19" i="1941"/>
  <c r="L19" i="1941"/>
  <c r="D19" i="1941"/>
  <c r="R18" i="1941"/>
  <c r="D18" i="1941"/>
  <c r="R17" i="1941"/>
  <c r="D17" i="1941"/>
  <c r="R16" i="1941"/>
  <c r="L16" i="1941"/>
  <c r="D16" i="1941" s="1"/>
  <c r="R15" i="1941"/>
  <c r="D15" i="1941"/>
  <c r="R14" i="1941"/>
  <c r="D14" i="1941"/>
  <c r="R13" i="1941"/>
  <c r="D13" i="1941"/>
  <c r="R12" i="1941"/>
  <c r="L12" i="1941"/>
  <c r="D12" i="1941"/>
  <c r="R11" i="1941"/>
  <c r="L11" i="1941"/>
  <c r="D11" i="1941"/>
  <c r="L8" i="1941"/>
  <c r="D8" i="1941" s="1"/>
  <c r="L7" i="1941"/>
  <c r="D7" i="1941"/>
  <c r="R6" i="1941"/>
  <c r="L6" i="1941"/>
  <c r="D6" i="1941" s="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L10" i="1940" s="1"/>
  <c r="D10" i="1940" s="1"/>
  <c r="H36" i="1940"/>
  <c r="D36" i="1940"/>
  <c r="R35" i="1940"/>
  <c r="H35" i="1940"/>
  <c r="D35" i="1940"/>
  <c r="R34" i="1940"/>
  <c r="L12" i="1940" s="1"/>
  <c r="D12" i="1940" s="1"/>
  <c r="H34" i="1940"/>
  <c r="G49" i="1940" s="1"/>
  <c r="D34" i="1940"/>
  <c r="D54" i="1940" s="1"/>
  <c r="H14" i="1940" s="1"/>
  <c r="R33" i="1940"/>
  <c r="L23" i="1940" s="1"/>
  <c r="D23" i="1940" s="1"/>
  <c r="R32" i="1940"/>
  <c r="R31" i="1940"/>
  <c r="R30" i="1940"/>
  <c r="R29" i="1940"/>
  <c r="R28" i="1940"/>
  <c r="L28" i="1940"/>
  <c r="D28" i="1940"/>
  <c r="R27" i="1940"/>
  <c r="D27" i="1940"/>
  <c r="R26" i="1940"/>
  <c r="L26" i="1940"/>
  <c r="D26" i="1940"/>
  <c r="R25" i="1940"/>
  <c r="L25" i="1940"/>
  <c r="D25" i="1940" s="1"/>
  <c r="R24" i="1940"/>
  <c r="L24" i="1940"/>
  <c r="D24" i="1940"/>
  <c r="R23" i="1940"/>
  <c r="R22" i="1940"/>
  <c r="L22" i="1940"/>
  <c r="D22" i="1940" s="1"/>
  <c r="R21" i="1940"/>
  <c r="L17" i="1940" s="1"/>
  <c r="D17" i="1940" s="1"/>
  <c r="D21" i="1940"/>
  <c r="R20" i="1940"/>
  <c r="L20" i="1940"/>
  <c r="D20" i="1940" s="1"/>
  <c r="R19" i="1940"/>
  <c r="L19" i="1940"/>
  <c r="D19" i="1940" s="1"/>
  <c r="R18" i="1940"/>
  <c r="D18" i="1940"/>
  <c r="R17" i="1940"/>
  <c r="R16" i="1940"/>
  <c r="L16" i="1940"/>
  <c r="D16" i="1940" s="1"/>
  <c r="R15" i="1940"/>
  <c r="D15" i="1940"/>
  <c r="R14" i="1940"/>
  <c r="D14" i="1940"/>
  <c r="R13" i="1940"/>
  <c r="D13" i="1940"/>
  <c r="R12" i="1940"/>
  <c r="R11" i="1940"/>
  <c r="L11" i="1940"/>
  <c r="D11" i="1940"/>
  <c r="L9" i="1940"/>
  <c r="D9" i="1940"/>
  <c r="L8" i="1940"/>
  <c r="D8" i="1940" s="1"/>
  <c r="L7" i="1940"/>
  <c r="D7" i="1940" s="1"/>
  <c r="R6" i="1940"/>
  <c r="L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L20" i="1939" s="1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G49" i="1939" s="1"/>
  <c r="D34" i="1939"/>
  <c r="D54" i="1939" s="1"/>
  <c r="H14" i="1939" s="1"/>
  <c r="R33" i="1939"/>
  <c r="R32" i="1939"/>
  <c r="R31" i="1939"/>
  <c r="R30" i="1939"/>
  <c r="R29" i="1939"/>
  <c r="R28" i="1939"/>
  <c r="R27" i="1939"/>
  <c r="D27" i="1939"/>
  <c r="R26" i="1939"/>
  <c r="L26" i="1939"/>
  <c r="D26" i="1939"/>
  <c r="R25" i="1939"/>
  <c r="L25" i="1939"/>
  <c r="D25" i="1939"/>
  <c r="R24" i="1939"/>
  <c r="L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L17" i="1939"/>
  <c r="D17" i="1939"/>
  <c r="R16" i="1939"/>
  <c r="L16" i="1939"/>
  <c r="D16" i="1939" s="1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R52" i="1937"/>
  <c r="R51" i="1937"/>
  <c r="D50" i="1937"/>
  <c r="R49" i="1937"/>
  <c r="D49" i="1937"/>
  <c r="R48" i="1937"/>
  <c r="D48" i="1937"/>
  <c r="D46" i="1937"/>
  <c r="D45" i="1937"/>
  <c r="R44" i="1937"/>
  <c r="D44" i="1937"/>
  <c r="R42" i="1937"/>
  <c r="D42" i="1937"/>
  <c r="R41" i="1937"/>
  <c r="D41" i="1937"/>
  <c r="R40" i="1937"/>
  <c r="D40" i="1937"/>
  <c r="R39" i="1937"/>
  <c r="H39" i="1937"/>
  <c r="D39" i="1937"/>
  <c r="R38" i="1937"/>
  <c r="L9" i="1937" s="1"/>
  <c r="D9" i="1937" s="1"/>
  <c r="H38" i="1937"/>
  <c r="D38" i="1937"/>
  <c r="R37" i="1937"/>
  <c r="H37" i="1937"/>
  <c r="D37" i="1937"/>
  <c r="R36" i="1937"/>
  <c r="L10" i="1937" s="1"/>
  <c r="D10" i="1937" s="1"/>
  <c r="H36" i="1937"/>
  <c r="D36" i="1937"/>
  <c r="R35" i="1937"/>
  <c r="H35" i="1937"/>
  <c r="D35" i="1937"/>
  <c r="R34" i="1937"/>
  <c r="L12" i="1937" s="1"/>
  <c r="D12" i="1937" s="1"/>
  <c r="H34" i="1937"/>
  <c r="G49" i="1937" s="1"/>
  <c r="D34" i="1937"/>
  <c r="D54" i="1937" s="1"/>
  <c r="H14" i="1937" s="1"/>
  <c r="R33" i="1937"/>
  <c r="L23" i="1937" s="1"/>
  <c r="D23" i="1937" s="1"/>
  <c r="R32" i="1937"/>
  <c r="L11" i="1937" s="1"/>
  <c r="D11" i="1937" s="1"/>
  <c r="R31" i="1937"/>
  <c r="R30" i="1937"/>
  <c r="R29" i="1937"/>
  <c r="R28" i="1937"/>
  <c r="L28" i="1937"/>
  <c r="D28" i="1937"/>
  <c r="R27" i="1937"/>
  <c r="D27" i="1937"/>
  <c r="R26" i="1937"/>
  <c r="L26" i="1937"/>
  <c r="D26" i="1937"/>
  <c r="R25" i="1937"/>
  <c r="L25" i="1937"/>
  <c r="D25" i="1937"/>
  <c r="R24" i="1937"/>
  <c r="D24" i="1937"/>
  <c r="R23" i="1937"/>
  <c r="R22" i="1937"/>
  <c r="L22" i="1937"/>
  <c r="D22" i="1937"/>
  <c r="R21" i="1937"/>
  <c r="D21" i="1937"/>
  <c r="R20" i="1937"/>
  <c r="L20" i="1937"/>
  <c r="D20" i="1937"/>
  <c r="R19" i="1937"/>
  <c r="L19" i="1937"/>
  <c r="D19" i="1937"/>
  <c r="R18" i="1937"/>
  <c r="D18" i="1937"/>
  <c r="R17" i="1937"/>
  <c r="D17" i="1937"/>
  <c r="R16" i="1937"/>
  <c r="L16" i="1937"/>
  <c r="D16" i="1937" s="1"/>
  <c r="R15" i="1937"/>
  <c r="D15" i="1937"/>
  <c r="R14" i="1937"/>
  <c r="D14" i="1937"/>
  <c r="R13" i="1937"/>
  <c r="D13" i="1937"/>
  <c r="R12" i="1937"/>
  <c r="R11" i="1937"/>
  <c r="L8" i="1937"/>
  <c r="D8" i="1937"/>
  <c r="L7" i="1937"/>
  <c r="D7" i="1937" s="1"/>
  <c r="R6" i="1937"/>
  <c r="L6" i="1937"/>
  <c r="D6" i="1937" s="1"/>
  <c r="D29" i="1937" s="1"/>
  <c r="H13" i="1937" s="1"/>
  <c r="H15" i="1937" s="1"/>
  <c r="H29" i="1937" s="1"/>
  <c r="R5" i="1937"/>
  <c r="R4" i="1937"/>
  <c r="R52" i="1936"/>
  <c r="R51" i="1936"/>
  <c r="D50" i="1936"/>
  <c r="R49" i="1936"/>
  <c r="D49" i="1936"/>
  <c r="R48" i="1936"/>
  <c r="D48" i="1936"/>
  <c r="D46" i="1936"/>
  <c r="D45" i="1936"/>
  <c r="R44" i="1936"/>
  <c r="L28" i="1936" s="1"/>
  <c r="D28" i="1936" s="1"/>
  <c r="D44" i="1936"/>
  <c r="R42" i="1936"/>
  <c r="D42" i="1936"/>
  <c r="R41" i="1936"/>
  <c r="L7" i="1936" s="1"/>
  <c r="D7" i="1936" s="1"/>
  <c r="D41" i="1936"/>
  <c r="R40" i="1936"/>
  <c r="L8" i="1936" s="1"/>
  <c r="D8" i="1936" s="1"/>
  <c r="D40" i="1936"/>
  <c r="R39" i="1936"/>
  <c r="H39" i="1936"/>
  <c r="D39" i="1936"/>
  <c r="R38" i="1936"/>
  <c r="H38" i="1936"/>
  <c r="D38" i="1936"/>
  <c r="R37" i="1936"/>
  <c r="H37" i="1936"/>
  <c r="D37" i="1936"/>
  <c r="R36" i="1936"/>
  <c r="L10" i="1936" s="1"/>
  <c r="D10" i="1936" s="1"/>
  <c r="H36" i="1936"/>
  <c r="G49" i="1936" s="1"/>
  <c r="D36" i="1936"/>
  <c r="R35" i="1936"/>
  <c r="L19" i="1936" s="1"/>
  <c r="D19" i="1936" s="1"/>
  <c r="H35" i="1936"/>
  <c r="D35" i="1936"/>
  <c r="D54" i="1936" s="1"/>
  <c r="H14" i="1936" s="1"/>
  <c r="R34" i="1936"/>
  <c r="H34" i="1936"/>
  <c r="D34" i="1936"/>
  <c r="R33" i="1936"/>
  <c r="R32" i="1936"/>
  <c r="R31" i="1936"/>
  <c r="R30" i="1936"/>
  <c r="R29" i="1936"/>
  <c r="R28" i="1936"/>
  <c r="L16" i="1936" s="1"/>
  <c r="D16" i="1936" s="1"/>
  <c r="R27" i="1936"/>
  <c r="D27" i="1936"/>
  <c r="R26" i="1936"/>
  <c r="L26" i="1936"/>
  <c r="D26" i="1936" s="1"/>
  <c r="R25" i="1936"/>
  <c r="L25" i="1936"/>
  <c r="D25" i="1936"/>
  <c r="R24" i="1936"/>
  <c r="L24" i="1936"/>
  <c r="D24" i="1936" s="1"/>
  <c r="R23" i="1936"/>
  <c r="L23" i="1936"/>
  <c r="D23" i="1936"/>
  <c r="R22" i="1936"/>
  <c r="L22" i="1936"/>
  <c r="D22" i="1936"/>
  <c r="R21" i="1936"/>
  <c r="D21" i="1936"/>
  <c r="R20" i="1936"/>
  <c r="L20" i="1936"/>
  <c r="D20" i="1936" s="1"/>
  <c r="R19" i="1936"/>
  <c r="R18" i="1936"/>
  <c r="D18" i="1936"/>
  <c r="R17" i="1936"/>
  <c r="L17" i="1936"/>
  <c r="D17" i="1936"/>
  <c r="R16" i="1936"/>
  <c r="R15" i="1936"/>
  <c r="D15" i="1936"/>
  <c r="R14" i="1936"/>
  <c r="D14" i="1936"/>
  <c r="R13" i="1936"/>
  <c r="D13" i="1936"/>
  <c r="R12" i="1936"/>
  <c r="L12" i="1936"/>
  <c r="D12" i="1936" s="1"/>
  <c r="R11" i="1936"/>
  <c r="L11" i="1936"/>
  <c r="D11" i="1936"/>
  <c r="L9" i="1936"/>
  <c r="D9" i="1936"/>
  <c r="R6" i="1936"/>
  <c r="L6" i="1936"/>
  <c r="D6" i="1936" s="1"/>
  <c r="R5" i="1936"/>
  <c r="R4" i="1936"/>
  <c r="R52" i="1935"/>
  <c r="R51" i="1935"/>
  <c r="D50" i="1935"/>
  <c r="R49" i="1935"/>
  <c r="D49" i="1935"/>
  <c r="R48" i="1935"/>
  <c r="D48" i="1935"/>
  <c r="D46" i="1935"/>
  <c r="D45" i="1935"/>
  <c r="R44" i="1935"/>
  <c r="L28" i="1935" s="1"/>
  <c r="D28" i="1935" s="1"/>
  <c r="D44" i="1935"/>
  <c r="R42" i="1935"/>
  <c r="D42" i="1935"/>
  <c r="R41" i="1935"/>
  <c r="D41" i="1935"/>
  <c r="R40" i="1935"/>
  <c r="L8" i="1935" s="1"/>
  <c r="D8" i="1935" s="1"/>
  <c r="D40" i="1935"/>
  <c r="R39" i="1935"/>
  <c r="L20" i="1935" s="1"/>
  <c r="D20" i="1935" s="1"/>
  <c r="H39" i="1935"/>
  <c r="G49" i="1935" s="1"/>
  <c r="D39" i="1935"/>
  <c r="R38" i="1935"/>
  <c r="H38" i="1935"/>
  <c r="D38" i="1935"/>
  <c r="R37" i="1935"/>
  <c r="H37" i="1935"/>
  <c r="D37" i="1935"/>
  <c r="R36" i="1935"/>
  <c r="H36" i="1935"/>
  <c r="D36" i="1935"/>
  <c r="R35" i="1935"/>
  <c r="H35" i="1935"/>
  <c r="D35" i="1935"/>
  <c r="R34" i="1935"/>
  <c r="H34" i="1935"/>
  <c r="D34" i="1935"/>
  <c r="D54" i="1935" s="1"/>
  <c r="H14" i="1935" s="1"/>
  <c r="R33" i="1935"/>
  <c r="R32" i="1935"/>
  <c r="R31" i="1935"/>
  <c r="R30" i="1935"/>
  <c r="R29" i="1935"/>
  <c r="R28" i="1935"/>
  <c r="L16" i="1935" s="1"/>
  <c r="D16" i="1935" s="1"/>
  <c r="R27" i="1935"/>
  <c r="D27" i="1935"/>
  <c r="R26" i="1935"/>
  <c r="L26" i="1935"/>
  <c r="D26" i="1935"/>
  <c r="R25" i="1935"/>
  <c r="L25" i="1935"/>
  <c r="D25" i="1935" s="1"/>
  <c r="R24" i="1935"/>
  <c r="L24" i="1935"/>
  <c r="D24" i="1935"/>
  <c r="R23" i="1935"/>
  <c r="D23" i="1935"/>
  <c r="R22" i="1935"/>
  <c r="D22" i="1935"/>
  <c r="R21" i="1935"/>
  <c r="D21" i="1935"/>
  <c r="R20" i="1935"/>
  <c r="R19" i="1935"/>
  <c r="D19" i="1935"/>
  <c r="R18" i="1935"/>
  <c r="D18" i="1935"/>
  <c r="R17" i="1935"/>
  <c r="L17" i="1935"/>
  <c r="D17" i="1935"/>
  <c r="R16" i="1935"/>
  <c r="R15" i="1935"/>
  <c r="D15" i="1935"/>
  <c r="R14" i="1935"/>
  <c r="D14" i="1935"/>
  <c r="R13" i="1935"/>
  <c r="D13" i="1935"/>
  <c r="R12" i="1935"/>
  <c r="L12" i="1935"/>
  <c r="D12" i="1935"/>
  <c r="R11" i="1935"/>
  <c r="L11" i="1935"/>
  <c r="D11" i="1935"/>
  <c r="L10" i="1935"/>
  <c r="D10" i="1935" s="1"/>
  <c r="L9" i="1935"/>
  <c r="D9" i="1935" s="1"/>
  <c r="L7" i="1935"/>
  <c r="D7" i="1935"/>
  <c r="R6" i="1935"/>
  <c r="L6" i="1935"/>
  <c r="D6" i="1935" s="1"/>
  <c r="R5" i="1935"/>
  <c r="R4" i="1935"/>
  <c r="R52" i="1934"/>
  <c r="R51" i="1934"/>
  <c r="D50" i="1934"/>
  <c r="R49" i="1934"/>
  <c r="G49" i="1934"/>
  <c r="D49" i="1934"/>
  <c r="R48" i="1934"/>
  <c r="D48" i="1934"/>
  <c r="D46" i="1934"/>
  <c r="D45" i="1934"/>
  <c r="D44" i="1934"/>
  <c r="R42" i="1934"/>
  <c r="L6" i="1934" s="1"/>
  <c r="D6" i="1934" s="1"/>
  <c r="D42" i="1934"/>
  <c r="R41" i="1934"/>
  <c r="L7" i="1934" s="1"/>
  <c r="D7" i="1934" s="1"/>
  <c r="D41" i="1934"/>
  <c r="R40" i="1934"/>
  <c r="D40" i="1934"/>
  <c r="R39" i="1934"/>
  <c r="D39" i="1934"/>
  <c r="R38" i="1934"/>
  <c r="D38" i="1934"/>
  <c r="R37" i="1934"/>
  <c r="D37" i="1934"/>
  <c r="R36" i="1934"/>
  <c r="L10" i="1934" s="1"/>
  <c r="D10" i="1934" s="1"/>
  <c r="D36" i="1934"/>
  <c r="R35" i="1934"/>
  <c r="D35" i="1934"/>
  <c r="R34" i="1934"/>
  <c r="L12" i="1934" s="1"/>
  <c r="D12" i="1934" s="1"/>
  <c r="D34" i="1934"/>
  <c r="D54" i="1934" s="1"/>
  <c r="H14" i="1934" s="1"/>
  <c r="R33" i="1934"/>
  <c r="L23" i="1934" s="1"/>
  <c r="D23" i="1934" s="1"/>
  <c r="R32" i="1934"/>
  <c r="R31" i="1934"/>
  <c r="R30" i="1934"/>
  <c r="R29" i="1934"/>
  <c r="R28" i="1934"/>
  <c r="L16" i="1934" s="1"/>
  <c r="D16" i="1934" s="1"/>
  <c r="D28" i="1934"/>
  <c r="R27" i="1934"/>
  <c r="D27" i="1934"/>
  <c r="R26" i="1934"/>
  <c r="L26" i="1934"/>
  <c r="D26" i="1934"/>
  <c r="R25" i="1934"/>
  <c r="L25" i="1934"/>
  <c r="D25" i="1934"/>
  <c r="R24" i="1934"/>
  <c r="D24" i="1934"/>
  <c r="R23" i="1934"/>
  <c r="R22" i="1934"/>
  <c r="L22" i="1934"/>
  <c r="D22" i="1934"/>
  <c r="R21" i="1934"/>
  <c r="D21" i="1934"/>
  <c r="R20" i="1934"/>
  <c r="L20" i="1934"/>
  <c r="D20" i="1934"/>
  <c r="R19" i="1934"/>
  <c r="L19" i="1934"/>
  <c r="D19" i="1934"/>
  <c r="R18" i="1934"/>
  <c r="D18" i="1934"/>
  <c r="R17" i="1934"/>
  <c r="D17" i="1934"/>
  <c r="R16" i="1934"/>
  <c r="S15" i="1934"/>
  <c r="R15" i="1934"/>
  <c r="D15" i="1934"/>
  <c r="S14" i="1934"/>
  <c r="R14" i="1934"/>
  <c r="D14" i="1934"/>
  <c r="R13" i="1934"/>
  <c r="D13" i="1934"/>
  <c r="R12" i="1934"/>
  <c r="R11" i="1934"/>
  <c r="L11" i="1934"/>
  <c r="D11" i="1934"/>
  <c r="L9" i="1934"/>
  <c r="D9" i="1934"/>
  <c r="L8" i="1934"/>
  <c r="D8" i="1934" s="1"/>
  <c r="R6" i="1934"/>
  <c r="R5" i="1934"/>
  <c r="R4" i="1934"/>
  <c r="R52" i="1933"/>
  <c r="L22" i="1933" s="1"/>
  <c r="D22" i="1933" s="1"/>
  <c r="R51" i="1933"/>
  <c r="D50" i="1933"/>
  <c r="R49" i="1933"/>
  <c r="D49" i="1933"/>
  <c r="R48" i="1933"/>
  <c r="D48" i="1933"/>
  <c r="D46" i="1933"/>
  <c r="D45" i="1933"/>
  <c r="R44" i="1933"/>
  <c r="D44" i="1933"/>
  <c r="R42" i="1933"/>
  <c r="D42" i="1933"/>
  <c r="R41" i="1933"/>
  <c r="L7" i="1933" s="1"/>
  <c r="D7" i="1933" s="1"/>
  <c r="D41" i="1933"/>
  <c r="D54" i="1933" s="1"/>
  <c r="H14" i="1933" s="1"/>
  <c r="R40" i="1933"/>
  <c r="D40" i="1933"/>
  <c r="R39" i="1933"/>
  <c r="H39" i="1933"/>
  <c r="D39" i="1933"/>
  <c r="R38" i="1933"/>
  <c r="H38" i="1933"/>
  <c r="D38" i="1933"/>
  <c r="R37" i="1933"/>
  <c r="H37" i="1933"/>
  <c r="D37" i="1933"/>
  <c r="R36" i="1933"/>
  <c r="L10" i="1933" s="1"/>
  <c r="D10" i="1933" s="1"/>
  <c r="H36" i="1933"/>
  <c r="D36" i="1933"/>
  <c r="R35" i="1933"/>
  <c r="L19" i="1933" s="1"/>
  <c r="D19" i="1933" s="1"/>
  <c r="H35" i="1933"/>
  <c r="D35" i="1933"/>
  <c r="R34" i="1933"/>
  <c r="H34" i="1933"/>
  <c r="G49" i="1933" s="1"/>
  <c r="D34" i="1933"/>
  <c r="R33" i="1933"/>
  <c r="R32" i="1933"/>
  <c r="L11" i="1933" s="1"/>
  <c r="D11" i="1933" s="1"/>
  <c r="R31" i="1933"/>
  <c r="R30" i="1933"/>
  <c r="R29" i="1933"/>
  <c r="R28" i="1933"/>
  <c r="L28" i="1933"/>
  <c r="D28" i="1933"/>
  <c r="R27" i="1933"/>
  <c r="D27" i="1933"/>
  <c r="R26" i="1933"/>
  <c r="L26" i="1933"/>
  <c r="D26" i="1933"/>
  <c r="R25" i="1933"/>
  <c r="L25" i="1933"/>
  <c r="D25" i="1933"/>
  <c r="R24" i="1933"/>
  <c r="D24" i="1933"/>
  <c r="R23" i="1933"/>
  <c r="L23" i="1933"/>
  <c r="D23" i="1933" s="1"/>
  <c r="R22" i="1933"/>
  <c r="R21" i="1933"/>
  <c r="D21" i="1933"/>
  <c r="R20" i="1933"/>
  <c r="L20" i="1933"/>
  <c r="D20" i="1933"/>
  <c r="R19" i="1933"/>
  <c r="R18" i="1933"/>
  <c r="D18" i="1933"/>
  <c r="R17" i="1933"/>
  <c r="D17" i="1933"/>
  <c r="R16" i="1933"/>
  <c r="L16" i="1933"/>
  <c r="D16" i="1933" s="1"/>
  <c r="R15" i="1933"/>
  <c r="D15" i="1933"/>
  <c r="R14" i="1933"/>
  <c r="D14" i="1933"/>
  <c r="R13" i="1933"/>
  <c r="D13" i="1933"/>
  <c r="R12" i="1933"/>
  <c r="L12" i="1933"/>
  <c r="D12" i="1933"/>
  <c r="R11" i="1933"/>
  <c r="L9" i="1933"/>
  <c r="D9" i="1933" s="1"/>
  <c r="L8" i="1933"/>
  <c r="D8" i="1933" s="1"/>
  <c r="R6" i="1933"/>
  <c r="L6" i="1933"/>
  <c r="D6" i="1933" s="1"/>
  <c r="R5" i="1933"/>
  <c r="R4" i="1933"/>
  <c r="R52" i="1932"/>
  <c r="R51" i="1932"/>
  <c r="D50" i="1932"/>
  <c r="R49" i="1932"/>
  <c r="G49" i="1932"/>
  <c r="D49" i="1932"/>
  <c r="R48" i="1932"/>
  <c r="D48" i="1932"/>
  <c r="D46" i="1932"/>
  <c r="D45" i="1932"/>
  <c r="R44" i="1932"/>
  <c r="L28" i="1932" s="1"/>
  <c r="D28" i="1932" s="1"/>
  <c r="D44" i="1932"/>
  <c r="R42" i="1932"/>
  <c r="L6" i="1932" s="1"/>
  <c r="D6" i="1932" s="1"/>
  <c r="D42" i="1932"/>
  <c r="R41" i="1932"/>
  <c r="D41" i="1932"/>
  <c r="R40" i="1932"/>
  <c r="D40" i="1932"/>
  <c r="R39" i="1932"/>
  <c r="H39" i="1932"/>
  <c r="D39" i="1932"/>
  <c r="R38" i="1932"/>
  <c r="L9" i="1932" s="1"/>
  <c r="D9" i="1932" s="1"/>
  <c r="H38" i="1932"/>
  <c r="D38" i="1932"/>
  <c r="R37" i="1932"/>
  <c r="H37" i="1932"/>
  <c r="D37" i="1932"/>
  <c r="R36" i="1932"/>
  <c r="L10" i="1932" s="1"/>
  <c r="D10" i="1932" s="1"/>
  <c r="H36" i="1932"/>
  <c r="D36" i="1932"/>
  <c r="R35" i="1932"/>
  <c r="H35" i="1932"/>
  <c r="D35" i="1932"/>
  <c r="R34" i="1932"/>
  <c r="H34" i="1932"/>
  <c r="D34" i="1932"/>
  <c r="D54" i="1932" s="1"/>
  <c r="H14" i="1932" s="1"/>
  <c r="R33" i="1932"/>
  <c r="L23" i="1932" s="1"/>
  <c r="D23" i="1932" s="1"/>
  <c r="R32" i="1932"/>
  <c r="L11" i="1932" s="1"/>
  <c r="D11" i="1932" s="1"/>
  <c r="R31" i="1932"/>
  <c r="R30" i="1932"/>
  <c r="R29" i="1932"/>
  <c r="R28" i="1932"/>
  <c r="L16" i="1932" s="1"/>
  <c r="D16" i="1932" s="1"/>
  <c r="R27" i="1932"/>
  <c r="D27" i="1932"/>
  <c r="R26" i="1932"/>
  <c r="L26" i="1932"/>
  <c r="D26" i="1932"/>
  <c r="R25" i="1932"/>
  <c r="L25" i="1932"/>
  <c r="D25" i="1932" s="1"/>
  <c r="R24" i="1932"/>
  <c r="L24" i="1932"/>
  <c r="D24" i="1932"/>
  <c r="R23" i="1932"/>
  <c r="R22" i="1932"/>
  <c r="L22" i="1932"/>
  <c r="D22" i="1932" s="1"/>
  <c r="R21" i="1932"/>
  <c r="D21" i="1932"/>
  <c r="R20" i="1932"/>
  <c r="L20" i="1932"/>
  <c r="D20" i="1932"/>
  <c r="R19" i="1932"/>
  <c r="L19" i="1932"/>
  <c r="D19" i="1932" s="1"/>
  <c r="R18" i="1932"/>
  <c r="D18" i="1932"/>
  <c r="R17" i="1932"/>
  <c r="L17" i="1932"/>
  <c r="D17" i="1932"/>
  <c r="R16" i="1932"/>
  <c r="R15" i="1932"/>
  <c r="D15" i="1932"/>
  <c r="R14" i="1932"/>
  <c r="D14" i="1932"/>
  <c r="R13" i="1932"/>
  <c r="D13" i="1932"/>
  <c r="R12" i="1932"/>
  <c r="L12" i="1932"/>
  <c r="D12" i="1932"/>
  <c r="R11" i="1932"/>
  <c r="L8" i="1932"/>
  <c r="D8" i="1932"/>
  <c r="L7" i="1932"/>
  <c r="D7" i="1932" s="1"/>
  <c r="R6" i="1932"/>
  <c r="R5" i="1932"/>
  <c r="R4" i="1932"/>
  <c r="R52" i="1931"/>
  <c r="R51" i="1931"/>
  <c r="D50" i="1931"/>
  <c r="R49" i="1931"/>
  <c r="G49" i="1931"/>
  <c r="D49" i="1931"/>
  <c r="R48" i="1931"/>
  <c r="D48" i="1931"/>
  <c r="D46" i="1931"/>
  <c r="D45" i="1931"/>
  <c r="R44" i="1931"/>
  <c r="L28" i="1931" s="1"/>
  <c r="D28" i="1931" s="1"/>
  <c r="D44" i="1931"/>
  <c r="R42" i="1931"/>
  <c r="D42" i="1931"/>
  <c r="R41" i="1931"/>
  <c r="D41" i="1931"/>
  <c r="R40" i="1931"/>
  <c r="D40" i="1931"/>
  <c r="R39" i="1931"/>
  <c r="L20" i="1931" s="1"/>
  <c r="D20" i="1931" s="1"/>
  <c r="H39" i="1931"/>
  <c r="D39" i="1931"/>
  <c r="R38" i="1931"/>
  <c r="H38" i="1931"/>
  <c r="D38" i="1931"/>
  <c r="R37" i="1931"/>
  <c r="H37" i="1931"/>
  <c r="D37" i="1931"/>
  <c r="R36" i="1931"/>
  <c r="H36" i="1931"/>
  <c r="D36" i="1931"/>
  <c r="R35" i="1931"/>
  <c r="H35" i="1931"/>
  <c r="D35" i="1931"/>
  <c r="R34" i="1931"/>
  <c r="L12" i="1931" s="1"/>
  <c r="D12" i="1931" s="1"/>
  <c r="H34" i="1931"/>
  <c r="D34" i="1931"/>
  <c r="D54" i="1931" s="1"/>
  <c r="H14" i="1931" s="1"/>
  <c r="R33" i="1931"/>
  <c r="R32" i="1931"/>
  <c r="L11" i="1931" s="1"/>
  <c r="D11" i="1931" s="1"/>
  <c r="R31" i="1931"/>
  <c r="R30" i="1931"/>
  <c r="R29" i="1931"/>
  <c r="R28" i="1931"/>
  <c r="L16" i="1931" s="1"/>
  <c r="D16" i="1931" s="1"/>
  <c r="R27" i="1931"/>
  <c r="D27" i="1931"/>
  <c r="R26" i="1931"/>
  <c r="L26" i="1931"/>
  <c r="D26" i="1931"/>
  <c r="R25" i="1931"/>
  <c r="L25" i="1931"/>
  <c r="D25" i="1931" s="1"/>
  <c r="R24" i="1931"/>
  <c r="L24" i="1931"/>
  <c r="D24" i="1931" s="1"/>
  <c r="R23" i="1931"/>
  <c r="D23" i="1931"/>
  <c r="R22" i="1931"/>
  <c r="D22" i="1931"/>
  <c r="R21" i="1931"/>
  <c r="D21" i="1931"/>
  <c r="R20" i="1931"/>
  <c r="R19" i="1931"/>
  <c r="D19" i="1931"/>
  <c r="R18" i="1931"/>
  <c r="D18" i="1931"/>
  <c r="R17" i="1931"/>
  <c r="L17" i="1931"/>
  <c r="D17" i="1931" s="1"/>
  <c r="R16" i="1931"/>
  <c r="R15" i="1931"/>
  <c r="D15" i="1931"/>
  <c r="R14" i="1931"/>
  <c r="D14" i="1931"/>
  <c r="R13" i="1931"/>
  <c r="D13" i="1931"/>
  <c r="R12" i="1931"/>
  <c r="R11" i="1931"/>
  <c r="L10" i="1931"/>
  <c r="D10" i="1931" s="1"/>
  <c r="L9" i="1931"/>
  <c r="D9" i="1931" s="1"/>
  <c r="L8" i="1931"/>
  <c r="D8" i="1931" s="1"/>
  <c r="L7" i="1931"/>
  <c r="D7" i="1931"/>
  <c r="R6" i="1931"/>
  <c r="L6" i="1931"/>
  <c r="D6" i="1931" s="1"/>
  <c r="D29" i="1931" s="1"/>
  <c r="H13" i="1931" s="1"/>
  <c r="H15" i="1931" s="1"/>
  <c r="H29" i="1931" s="1"/>
  <c r="R5" i="1931"/>
  <c r="R4" i="1931"/>
  <c r="R52" i="1930"/>
  <c r="R51" i="1930"/>
  <c r="D50" i="1930"/>
  <c r="R49" i="1930"/>
  <c r="G49" i="1930"/>
  <c r="D49" i="1930"/>
  <c r="R48" i="1930"/>
  <c r="D48" i="1930"/>
  <c r="D46" i="1930"/>
  <c r="D45" i="1930"/>
  <c r="D44" i="1930"/>
  <c r="R42" i="1930"/>
  <c r="L6" i="1930" s="1"/>
  <c r="D6" i="1930" s="1"/>
  <c r="D42" i="1930"/>
  <c r="R41" i="1930"/>
  <c r="L7" i="1930" s="1"/>
  <c r="D7" i="1930" s="1"/>
  <c r="D41" i="1930"/>
  <c r="R40" i="1930"/>
  <c r="D40" i="1930"/>
  <c r="R39" i="1930"/>
  <c r="D39" i="1930"/>
  <c r="R38" i="1930"/>
  <c r="L9" i="1930" s="1"/>
  <c r="D9" i="1930" s="1"/>
  <c r="D38" i="1930"/>
  <c r="R37" i="1930"/>
  <c r="D37" i="1930"/>
  <c r="R36" i="1930"/>
  <c r="D36" i="1930"/>
  <c r="R35" i="1930"/>
  <c r="D35" i="1930"/>
  <c r="R34" i="1930"/>
  <c r="L12" i="1930" s="1"/>
  <c r="D12" i="1930" s="1"/>
  <c r="D34" i="1930"/>
  <c r="D54" i="1930" s="1"/>
  <c r="H14" i="1930" s="1"/>
  <c r="R33" i="1930"/>
  <c r="L23" i="1930" s="1"/>
  <c r="D23" i="1930" s="1"/>
  <c r="R32" i="1930"/>
  <c r="R31" i="1930"/>
  <c r="R30" i="1930"/>
  <c r="R29" i="1930"/>
  <c r="R28" i="1930"/>
  <c r="L16" i="1930" s="1"/>
  <c r="D16" i="1930" s="1"/>
  <c r="D28" i="1930"/>
  <c r="R27" i="1930"/>
  <c r="D27" i="1930"/>
  <c r="R26" i="1930"/>
  <c r="L26" i="1930"/>
  <c r="D26" i="1930"/>
  <c r="R25" i="1930"/>
  <c r="L25" i="1930"/>
  <c r="D25" i="1930"/>
  <c r="R24" i="1930"/>
  <c r="D24" i="1930"/>
  <c r="R23" i="1930"/>
  <c r="R22" i="1930"/>
  <c r="L22" i="1930"/>
  <c r="D22" i="1930" s="1"/>
  <c r="R21" i="1930"/>
  <c r="D21" i="1930"/>
  <c r="R20" i="1930"/>
  <c r="L20" i="1930"/>
  <c r="D20" i="1930"/>
  <c r="R19" i="1930"/>
  <c r="L19" i="1930"/>
  <c r="D19" i="1930"/>
  <c r="R18" i="1930"/>
  <c r="D18" i="1930"/>
  <c r="R17" i="1930"/>
  <c r="D17" i="1930"/>
  <c r="R16" i="1930"/>
  <c r="S15" i="1930"/>
  <c r="R15" i="1930"/>
  <c r="D15" i="1930"/>
  <c r="S14" i="1930"/>
  <c r="R14" i="1930"/>
  <c r="D14" i="1930"/>
  <c r="R13" i="1930"/>
  <c r="D13" i="1930"/>
  <c r="R12" i="1930"/>
  <c r="R11" i="1930"/>
  <c r="L11" i="1930"/>
  <c r="D11" i="1930" s="1"/>
  <c r="L10" i="1930"/>
  <c r="D10" i="1930" s="1"/>
  <c r="L8" i="1930"/>
  <c r="D8" i="1930" s="1"/>
  <c r="R6" i="1930"/>
  <c r="R5" i="1930"/>
  <c r="R4" i="1930"/>
  <c r="R52" i="1929"/>
  <c r="L22" i="1929" s="1"/>
  <c r="D22" i="1929" s="1"/>
  <c r="R51" i="1929"/>
  <c r="D50" i="1929"/>
  <c r="R49" i="1929"/>
  <c r="G49" i="1929"/>
  <c r="D49" i="1929"/>
  <c r="R48" i="1929"/>
  <c r="D48" i="1929"/>
  <c r="D46" i="1929"/>
  <c r="D45" i="1929"/>
  <c r="R44" i="1929"/>
  <c r="L28" i="1929" s="1"/>
  <c r="D28" i="1929" s="1"/>
  <c r="D44" i="1929"/>
  <c r="R42" i="1929"/>
  <c r="D42" i="1929"/>
  <c r="R41" i="1929"/>
  <c r="D41" i="1929"/>
  <c r="R40" i="1929"/>
  <c r="D40" i="1929"/>
  <c r="R39" i="1929"/>
  <c r="H39" i="1929"/>
  <c r="D39" i="1929"/>
  <c r="R38" i="1929"/>
  <c r="H38" i="1929"/>
  <c r="D38" i="1929"/>
  <c r="R37" i="1929"/>
  <c r="H37" i="1929"/>
  <c r="D37" i="1929"/>
  <c r="R36" i="1929"/>
  <c r="L10" i="1929" s="1"/>
  <c r="D10" i="1929" s="1"/>
  <c r="H36" i="1929"/>
  <c r="D36" i="1929"/>
  <c r="R35" i="1929"/>
  <c r="H35" i="1929"/>
  <c r="D35" i="1929"/>
  <c r="R34" i="1929"/>
  <c r="H34" i="1929"/>
  <c r="D34" i="1929"/>
  <c r="D54" i="1929" s="1"/>
  <c r="H14" i="1929" s="1"/>
  <c r="R33" i="1929"/>
  <c r="L23" i="1929" s="1"/>
  <c r="D23" i="1929" s="1"/>
  <c r="R32" i="1929"/>
  <c r="R31" i="1929"/>
  <c r="R30" i="1929"/>
  <c r="R29" i="1929"/>
  <c r="R28" i="1929"/>
  <c r="R27" i="1929"/>
  <c r="D27" i="1929"/>
  <c r="R26" i="1929"/>
  <c r="L26" i="1929"/>
  <c r="D26" i="1929"/>
  <c r="R25" i="1929"/>
  <c r="L25" i="1929"/>
  <c r="D25" i="1929" s="1"/>
  <c r="R24" i="1929"/>
  <c r="D24" i="1929"/>
  <c r="R23" i="1929"/>
  <c r="R22" i="1929"/>
  <c r="R21" i="1929"/>
  <c r="D21" i="1929"/>
  <c r="R20" i="1929"/>
  <c r="L20" i="1929"/>
  <c r="D20" i="1929"/>
  <c r="R19" i="1929"/>
  <c r="L19" i="1929"/>
  <c r="D19" i="1929" s="1"/>
  <c r="R18" i="1929"/>
  <c r="D18" i="1929"/>
  <c r="R17" i="1929"/>
  <c r="D17" i="1929"/>
  <c r="R16" i="1929"/>
  <c r="L16" i="1929"/>
  <c r="D16" i="1929" s="1"/>
  <c r="R15" i="1929"/>
  <c r="D15" i="1929"/>
  <c r="R14" i="1929"/>
  <c r="D14" i="1929"/>
  <c r="R13" i="1929"/>
  <c r="D13" i="1929"/>
  <c r="R12" i="1929"/>
  <c r="L12" i="1929"/>
  <c r="D12" i="1929" s="1"/>
  <c r="R11" i="1929"/>
  <c r="L11" i="1929"/>
  <c r="D11" i="1929"/>
  <c r="L9" i="1929"/>
  <c r="D9" i="1929"/>
  <c r="L8" i="1929"/>
  <c r="D8" i="1929"/>
  <c r="L7" i="1929"/>
  <c r="D7" i="1929"/>
  <c r="R6" i="1929"/>
  <c r="L6" i="1929"/>
  <c r="D6" i="1929"/>
  <c r="D29" i="1929" s="1"/>
  <c r="H13" i="1929" s="1"/>
  <c r="H15" i="1929" s="1"/>
  <c r="H29" i="1929" s="1"/>
  <c r="R5" i="1929"/>
  <c r="R4" i="1929"/>
  <c r="R52" i="1928"/>
  <c r="R51" i="1928"/>
  <c r="D50" i="1928"/>
  <c r="R49" i="1928"/>
  <c r="D49" i="1928"/>
  <c r="R48" i="1928"/>
  <c r="D48" i="1928"/>
  <c r="D46" i="1928"/>
  <c r="D45" i="1928"/>
  <c r="R44" i="1928"/>
  <c r="D44" i="1928"/>
  <c r="R42" i="1928"/>
  <c r="L6" i="1928" s="1"/>
  <c r="D6" i="1928" s="1"/>
  <c r="D42" i="1928"/>
  <c r="R41" i="1928"/>
  <c r="D41" i="1928"/>
  <c r="R40" i="1928"/>
  <c r="L8" i="1928" s="1"/>
  <c r="D8" i="1928" s="1"/>
  <c r="D40" i="1928"/>
  <c r="R39" i="1928"/>
  <c r="H39" i="1928"/>
  <c r="D39" i="1928"/>
  <c r="R38" i="1928"/>
  <c r="H38" i="1928"/>
  <c r="D38" i="1928"/>
  <c r="R37" i="1928"/>
  <c r="H37" i="1928"/>
  <c r="D37" i="1928"/>
  <c r="R36" i="1928"/>
  <c r="L10" i="1928" s="1"/>
  <c r="D10" i="1928" s="1"/>
  <c r="H36" i="1928"/>
  <c r="D36" i="1928"/>
  <c r="R35" i="1928"/>
  <c r="L19" i="1928" s="1"/>
  <c r="D19" i="1928" s="1"/>
  <c r="H35" i="1928"/>
  <c r="G49" i="1928" s="1"/>
  <c r="D35" i="1928"/>
  <c r="R34" i="1928"/>
  <c r="L12" i="1928" s="1"/>
  <c r="D12" i="1928" s="1"/>
  <c r="H34" i="1928"/>
  <c r="D34" i="1928"/>
  <c r="D54" i="1928" s="1"/>
  <c r="H14" i="1928" s="1"/>
  <c r="R33" i="1928"/>
  <c r="R32" i="1928"/>
  <c r="R31" i="1928"/>
  <c r="R30" i="1928"/>
  <c r="R29" i="1928"/>
  <c r="R28" i="1928"/>
  <c r="L28" i="1928"/>
  <c r="D28" i="1928"/>
  <c r="R27" i="1928"/>
  <c r="D27" i="1928"/>
  <c r="R26" i="1928"/>
  <c r="L26" i="1928"/>
  <c r="D26" i="1928" s="1"/>
  <c r="R25" i="1928"/>
  <c r="L25" i="1928"/>
  <c r="D25" i="1928" s="1"/>
  <c r="R24" i="1928"/>
  <c r="L24" i="1928"/>
  <c r="D24" i="1928"/>
  <c r="R23" i="1928"/>
  <c r="L23" i="1928"/>
  <c r="D23" i="1928"/>
  <c r="R22" i="1928"/>
  <c r="L22" i="1928"/>
  <c r="D22" i="1928" s="1"/>
  <c r="R21" i="1928"/>
  <c r="D21" i="1928"/>
  <c r="R20" i="1928"/>
  <c r="L20" i="1928"/>
  <c r="D20" i="1928"/>
  <c r="R19" i="1928"/>
  <c r="R18" i="1928"/>
  <c r="D18" i="1928"/>
  <c r="R17" i="1928"/>
  <c r="L17" i="1928"/>
  <c r="D17" i="1928"/>
  <c r="R16" i="1928"/>
  <c r="L16" i="1928"/>
  <c r="D16" i="1928" s="1"/>
  <c r="R15" i="1928"/>
  <c r="D15" i="1928"/>
  <c r="R14" i="1928"/>
  <c r="D14" i="1928"/>
  <c r="R13" i="1928"/>
  <c r="D13" i="1928"/>
  <c r="R12" i="1928"/>
  <c r="R11" i="1928"/>
  <c r="L11" i="1928"/>
  <c r="D11" i="1928"/>
  <c r="L9" i="1928"/>
  <c r="D9" i="1928" s="1"/>
  <c r="L7" i="1928"/>
  <c r="D7" i="1928" s="1"/>
  <c r="R6" i="1928"/>
  <c r="R5" i="1928"/>
  <c r="R4" i="1928"/>
  <c r="D54" i="1927"/>
  <c r="H14" i="1927" s="1"/>
  <c r="R52" i="1927"/>
  <c r="R51" i="1927"/>
  <c r="D50" i="1927"/>
  <c r="R49" i="1927"/>
  <c r="D49" i="1927"/>
  <c r="R48" i="1927"/>
  <c r="D48" i="1927"/>
  <c r="D46" i="1927"/>
  <c r="D45" i="1927"/>
  <c r="R44" i="1927"/>
  <c r="L28" i="1927" s="1"/>
  <c r="D28" i="1927" s="1"/>
  <c r="D44" i="1927"/>
  <c r="R42" i="1927"/>
  <c r="L6" i="1927" s="1"/>
  <c r="D6" i="1927" s="1"/>
  <c r="D42" i="1927"/>
  <c r="R41" i="1927"/>
  <c r="L7" i="1927" s="1"/>
  <c r="D7" i="1927" s="1"/>
  <c r="D41" i="1927"/>
  <c r="R40" i="1927"/>
  <c r="D40" i="1927"/>
  <c r="R39" i="1927"/>
  <c r="L20" i="1927" s="1"/>
  <c r="D20" i="1927" s="1"/>
  <c r="H39" i="1927"/>
  <c r="D39" i="1927"/>
  <c r="R38" i="1927"/>
  <c r="H38" i="1927"/>
  <c r="D38" i="1927"/>
  <c r="R37" i="1927"/>
  <c r="H37" i="1927"/>
  <c r="D37" i="1927"/>
  <c r="R36" i="1927"/>
  <c r="L10" i="1927" s="1"/>
  <c r="D10" i="1927" s="1"/>
  <c r="H36" i="1927"/>
  <c r="D36" i="1927"/>
  <c r="R35" i="1927"/>
  <c r="H35" i="1927"/>
  <c r="D35" i="1927"/>
  <c r="R34" i="1927"/>
  <c r="L12" i="1927" s="1"/>
  <c r="D12" i="1927" s="1"/>
  <c r="H34" i="1927"/>
  <c r="G49" i="1927" s="1"/>
  <c r="D34" i="1927"/>
  <c r="R33" i="1927"/>
  <c r="R32" i="1927"/>
  <c r="R31" i="1927"/>
  <c r="R30" i="1927"/>
  <c r="R29" i="1927"/>
  <c r="R28" i="1927"/>
  <c r="L16" i="1927" s="1"/>
  <c r="D16" i="1927" s="1"/>
  <c r="R27" i="1927"/>
  <c r="D27" i="1927"/>
  <c r="R26" i="1927"/>
  <c r="L26" i="1927"/>
  <c r="D26" i="1927"/>
  <c r="R25" i="1927"/>
  <c r="L25" i="1927"/>
  <c r="D25" i="1927"/>
  <c r="R24" i="1927"/>
  <c r="L24" i="1927"/>
  <c r="D24" i="1927"/>
  <c r="R23" i="1927"/>
  <c r="D23" i="1927"/>
  <c r="R22" i="1927"/>
  <c r="D22" i="1927"/>
  <c r="R21" i="1927"/>
  <c r="D21" i="1927"/>
  <c r="R20" i="1927"/>
  <c r="R19" i="1927"/>
  <c r="D19" i="1927"/>
  <c r="R18" i="1927"/>
  <c r="D18" i="1927"/>
  <c r="R17" i="1927"/>
  <c r="L17" i="1927"/>
  <c r="D17" i="1927"/>
  <c r="R16" i="1927"/>
  <c r="R15" i="1927"/>
  <c r="D15" i="1927"/>
  <c r="R14" i="1927"/>
  <c r="D14" i="1927"/>
  <c r="R13" i="1927"/>
  <c r="D13" i="1927"/>
  <c r="R12" i="1927"/>
  <c r="R11" i="1927"/>
  <c r="L11" i="1927"/>
  <c r="D11" i="1927"/>
  <c r="L9" i="1927"/>
  <c r="D9" i="1927"/>
  <c r="L8" i="1927"/>
  <c r="D8" i="1927"/>
  <c r="R6" i="1927"/>
  <c r="R5" i="1927"/>
  <c r="R4" i="1927"/>
  <c r="R52" i="1926"/>
  <c r="R51" i="1926"/>
  <c r="D50" i="1926"/>
  <c r="R49" i="1926"/>
  <c r="G49" i="1926"/>
  <c r="D49" i="1926"/>
  <c r="R48" i="1926"/>
  <c r="D48" i="1926"/>
  <c r="D46" i="1926"/>
  <c r="D45" i="1926"/>
  <c r="D44" i="1926"/>
  <c r="R42" i="1926"/>
  <c r="L6" i="1926" s="1"/>
  <c r="D6" i="1926" s="1"/>
  <c r="D42" i="1926"/>
  <c r="R41" i="1926"/>
  <c r="L7" i="1926" s="1"/>
  <c r="D7" i="1926" s="1"/>
  <c r="D41" i="1926"/>
  <c r="R40" i="1926"/>
  <c r="D40" i="1926"/>
  <c r="R39" i="1926"/>
  <c r="D39" i="1926"/>
  <c r="R38" i="1926"/>
  <c r="D38" i="1926"/>
  <c r="R37" i="1926"/>
  <c r="D37" i="1926"/>
  <c r="R36" i="1926"/>
  <c r="D36" i="1926"/>
  <c r="R35" i="1926"/>
  <c r="D35" i="1926"/>
  <c r="R34" i="1926"/>
  <c r="L12" i="1926" s="1"/>
  <c r="D12" i="1926" s="1"/>
  <c r="D34" i="1926"/>
  <c r="D54" i="1926" s="1"/>
  <c r="H14" i="1926" s="1"/>
  <c r="R33" i="1926"/>
  <c r="L23" i="1926" s="1"/>
  <c r="D23" i="1926" s="1"/>
  <c r="R32" i="1926"/>
  <c r="R31" i="1926"/>
  <c r="R30" i="1926"/>
  <c r="R29" i="1926"/>
  <c r="R28" i="1926"/>
  <c r="L16" i="1926" s="1"/>
  <c r="D16" i="1926" s="1"/>
  <c r="D28" i="1926"/>
  <c r="R27" i="1926"/>
  <c r="D27" i="1926"/>
  <c r="R26" i="1926"/>
  <c r="L26" i="1926"/>
  <c r="D26" i="1926"/>
  <c r="R25" i="1926"/>
  <c r="L25" i="1926"/>
  <c r="D25" i="1926"/>
  <c r="R24" i="1926"/>
  <c r="D24" i="1926"/>
  <c r="R23" i="1926"/>
  <c r="R22" i="1926"/>
  <c r="L22" i="1926"/>
  <c r="D22" i="1926" s="1"/>
  <c r="R21" i="1926"/>
  <c r="D21" i="1926"/>
  <c r="R20" i="1926"/>
  <c r="L20" i="1926"/>
  <c r="D20" i="1926"/>
  <c r="R19" i="1926"/>
  <c r="L19" i="1926"/>
  <c r="D19" i="1926"/>
  <c r="R18" i="1926"/>
  <c r="D18" i="1926"/>
  <c r="R17" i="1926"/>
  <c r="D17" i="1926"/>
  <c r="R16" i="1926"/>
  <c r="S15" i="1926"/>
  <c r="R15" i="1926"/>
  <c r="D15" i="1926"/>
  <c r="S14" i="1926"/>
  <c r="R14" i="1926"/>
  <c r="D14" i="1926"/>
  <c r="R13" i="1926"/>
  <c r="D13" i="1926"/>
  <c r="R12" i="1926"/>
  <c r="R11" i="1926"/>
  <c r="L11" i="1926"/>
  <c r="D11" i="1926"/>
  <c r="L10" i="1926"/>
  <c r="D10" i="1926"/>
  <c r="L9" i="1926"/>
  <c r="D9" i="1926"/>
  <c r="L8" i="1926"/>
  <c r="D8" i="1926"/>
  <c r="R6" i="1926"/>
  <c r="R5" i="1926"/>
  <c r="R4" i="1926"/>
  <c r="R52" i="1925"/>
  <c r="R51" i="1925"/>
  <c r="D50" i="1925"/>
  <c r="R49" i="1925"/>
  <c r="D49" i="1925"/>
  <c r="R48" i="1925"/>
  <c r="D48" i="1925"/>
  <c r="D46" i="1925"/>
  <c r="D45" i="1925"/>
  <c r="R44" i="1925"/>
  <c r="L28" i="1925" s="1"/>
  <c r="D28" i="1925" s="1"/>
  <c r="D44" i="1925"/>
  <c r="R42" i="1925"/>
  <c r="L6" i="1925" s="1"/>
  <c r="D6" i="1925" s="1"/>
  <c r="D42" i="1925"/>
  <c r="R41" i="1925"/>
  <c r="D41" i="1925"/>
  <c r="R40" i="1925"/>
  <c r="D40" i="1925"/>
  <c r="R39" i="1925"/>
  <c r="H39" i="1925"/>
  <c r="D39" i="1925"/>
  <c r="R38" i="1925"/>
  <c r="L9" i="1925" s="1"/>
  <c r="D9" i="1925" s="1"/>
  <c r="H38" i="1925"/>
  <c r="D38" i="1925"/>
  <c r="R37" i="1925"/>
  <c r="H37" i="1925"/>
  <c r="D37" i="1925"/>
  <c r="R36" i="1925"/>
  <c r="L10" i="1925" s="1"/>
  <c r="D10" i="1925" s="1"/>
  <c r="H36" i="1925"/>
  <c r="D36" i="1925"/>
  <c r="R35" i="1925"/>
  <c r="H35" i="1925"/>
  <c r="D35" i="1925"/>
  <c r="R34" i="1925"/>
  <c r="L12" i="1925" s="1"/>
  <c r="D12" i="1925" s="1"/>
  <c r="H34" i="1925"/>
  <c r="G49" i="1925" s="1"/>
  <c r="D34" i="1925"/>
  <c r="D54" i="1925" s="1"/>
  <c r="H14" i="1925" s="1"/>
  <c r="R33" i="1925"/>
  <c r="R32" i="1925"/>
  <c r="R31" i="1925"/>
  <c r="R30" i="1925"/>
  <c r="R29" i="1925"/>
  <c r="R28" i="1925"/>
  <c r="L16" i="1925" s="1"/>
  <c r="D16" i="1925" s="1"/>
  <c r="R27" i="1925"/>
  <c r="D27" i="1925"/>
  <c r="R26" i="1925"/>
  <c r="L26" i="1925"/>
  <c r="D26" i="1925" s="1"/>
  <c r="R25" i="1925"/>
  <c r="L25" i="1925"/>
  <c r="D25" i="1925"/>
  <c r="R24" i="1925"/>
  <c r="D24" i="1925"/>
  <c r="R23" i="1925"/>
  <c r="L23" i="1925"/>
  <c r="D23" i="1925"/>
  <c r="R22" i="1925"/>
  <c r="L22" i="1925"/>
  <c r="D22" i="1925"/>
  <c r="R21" i="1925"/>
  <c r="D21" i="1925"/>
  <c r="R20" i="1925"/>
  <c r="L20" i="1925"/>
  <c r="D20" i="1925" s="1"/>
  <c r="R19" i="1925"/>
  <c r="L19" i="1925"/>
  <c r="D19" i="1925"/>
  <c r="R18" i="1925"/>
  <c r="D18" i="1925"/>
  <c r="R17" i="1925"/>
  <c r="D17" i="1925"/>
  <c r="R16" i="1925"/>
  <c r="R15" i="1925"/>
  <c r="D15" i="1925"/>
  <c r="R14" i="1925"/>
  <c r="D14" i="1925"/>
  <c r="R13" i="1925"/>
  <c r="D13" i="1925"/>
  <c r="R12" i="1925"/>
  <c r="R11" i="1925"/>
  <c r="L11" i="1925"/>
  <c r="D11" i="1925"/>
  <c r="L8" i="1925"/>
  <c r="D8" i="1925" s="1"/>
  <c r="L7" i="1925"/>
  <c r="D7" i="1925" s="1"/>
  <c r="R6" i="1925"/>
  <c r="R5" i="1925"/>
  <c r="R4" i="1925"/>
  <c r="D54" i="1924"/>
  <c r="H14" i="1924" s="1"/>
  <c r="R52" i="1924"/>
  <c r="R51" i="1924"/>
  <c r="D50" i="1924"/>
  <c r="R49" i="1924"/>
  <c r="D49" i="1924"/>
  <c r="R48" i="1924"/>
  <c r="D48" i="1924"/>
  <c r="D46" i="1924"/>
  <c r="D45" i="1924"/>
  <c r="R44" i="1924"/>
  <c r="D44" i="1924"/>
  <c r="R42" i="1924"/>
  <c r="L6" i="1924" s="1"/>
  <c r="D6" i="1924" s="1"/>
  <c r="D42" i="1924"/>
  <c r="R41" i="1924"/>
  <c r="L7" i="1924" s="1"/>
  <c r="D7" i="1924" s="1"/>
  <c r="D41" i="1924"/>
  <c r="R40" i="1924"/>
  <c r="D40" i="1924"/>
  <c r="R39" i="1924"/>
  <c r="H39" i="1924"/>
  <c r="D39" i="1924"/>
  <c r="R38" i="1924"/>
  <c r="L9" i="1924" s="1"/>
  <c r="D9" i="1924" s="1"/>
  <c r="H38" i="1924"/>
  <c r="D38" i="1924"/>
  <c r="R37" i="1924"/>
  <c r="H37" i="1924"/>
  <c r="D37" i="1924"/>
  <c r="R36" i="1924"/>
  <c r="H36" i="1924"/>
  <c r="D36" i="1924"/>
  <c r="R35" i="1924"/>
  <c r="L19" i="1924" s="1"/>
  <c r="D19" i="1924" s="1"/>
  <c r="H35" i="1924"/>
  <c r="D35" i="1924"/>
  <c r="R34" i="1924"/>
  <c r="H34" i="1924"/>
  <c r="G49" i="1924" s="1"/>
  <c r="D34" i="1924"/>
  <c r="R33" i="1924"/>
  <c r="R32" i="1924"/>
  <c r="R31" i="1924"/>
  <c r="R30" i="1924"/>
  <c r="R29" i="1924"/>
  <c r="R28" i="1924"/>
  <c r="L28" i="1924"/>
  <c r="D28" i="1924"/>
  <c r="R27" i="1924"/>
  <c r="D27" i="1924"/>
  <c r="R26" i="1924"/>
  <c r="L26" i="1924"/>
  <c r="D26" i="1924"/>
  <c r="R25" i="1924"/>
  <c r="L25" i="1924"/>
  <c r="D25" i="1924"/>
  <c r="R24" i="1924"/>
  <c r="L24" i="1924"/>
  <c r="D24" i="1924"/>
  <c r="R23" i="1924"/>
  <c r="L23" i="1924"/>
  <c r="D23" i="1924"/>
  <c r="R22" i="1924"/>
  <c r="L22" i="1924"/>
  <c r="D22" i="1924"/>
  <c r="R21" i="1924"/>
  <c r="D21" i="1924"/>
  <c r="R20" i="1924"/>
  <c r="L20" i="1924"/>
  <c r="D20" i="1924" s="1"/>
  <c r="R19" i="1924"/>
  <c r="R18" i="1924"/>
  <c r="D18" i="1924"/>
  <c r="R17" i="1924"/>
  <c r="L17" i="1924"/>
  <c r="D17" i="1924"/>
  <c r="R16" i="1924"/>
  <c r="L16" i="1924"/>
  <c r="D16" i="1924"/>
  <c r="R15" i="1924"/>
  <c r="D15" i="1924"/>
  <c r="R14" i="1924"/>
  <c r="D14" i="1924"/>
  <c r="R13" i="1924"/>
  <c r="D13" i="1924"/>
  <c r="R12" i="1924"/>
  <c r="L12" i="1924"/>
  <c r="D12" i="1924"/>
  <c r="R11" i="1924"/>
  <c r="L11" i="1924"/>
  <c r="D11" i="1924"/>
  <c r="L10" i="1924"/>
  <c r="D10" i="1924" s="1"/>
  <c r="L8" i="1924"/>
  <c r="D8" i="1924" s="1"/>
  <c r="R6" i="1924"/>
  <c r="R5" i="1924"/>
  <c r="R4" i="1924"/>
  <c r="R52" i="1923"/>
  <c r="R51" i="1923"/>
  <c r="D50" i="1923"/>
  <c r="R49" i="1923"/>
  <c r="D49" i="1923"/>
  <c r="R48" i="1923"/>
  <c r="D48" i="1923"/>
  <c r="D46" i="1923"/>
  <c r="D45" i="1923"/>
  <c r="R44" i="1923"/>
  <c r="D44" i="1923"/>
  <c r="R42" i="1923"/>
  <c r="L6" i="1923" s="1"/>
  <c r="D6" i="1923" s="1"/>
  <c r="D42" i="1923"/>
  <c r="R41" i="1923"/>
  <c r="D41" i="1923"/>
  <c r="R40" i="1923"/>
  <c r="L8" i="1923" s="1"/>
  <c r="D8" i="1923" s="1"/>
  <c r="D40" i="1923"/>
  <c r="R39" i="1923"/>
  <c r="H39" i="1923"/>
  <c r="D39" i="1923"/>
  <c r="R38" i="1923"/>
  <c r="H38" i="1923"/>
  <c r="D38" i="1923"/>
  <c r="R37" i="1923"/>
  <c r="H37" i="1923"/>
  <c r="D37" i="1923"/>
  <c r="R36" i="1923"/>
  <c r="H36" i="1923"/>
  <c r="G49" i="1923" s="1"/>
  <c r="D36" i="1923"/>
  <c r="R35" i="1923"/>
  <c r="H35" i="1923"/>
  <c r="D35" i="1923"/>
  <c r="R34" i="1923"/>
  <c r="H34" i="1923"/>
  <c r="D34" i="1923"/>
  <c r="D54" i="1923" s="1"/>
  <c r="H14" i="1923" s="1"/>
  <c r="R33" i="1923"/>
  <c r="R32" i="1923"/>
  <c r="R31" i="1923"/>
  <c r="R30" i="1923"/>
  <c r="R29" i="1923"/>
  <c r="R28" i="1923"/>
  <c r="L16" i="1923" s="1"/>
  <c r="D16" i="1923" s="1"/>
  <c r="L28" i="1923"/>
  <c r="D28" i="1923"/>
  <c r="R27" i="1923"/>
  <c r="D27" i="1923"/>
  <c r="R26" i="1923"/>
  <c r="L26" i="1923"/>
  <c r="D26" i="1923" s="1"/>
  <c r="R25" i="1923"/>
  <c r="L25" i="1923"/>
  <c r="D25" i="1923"/>
  <c r="R24" i="1923"/>
  <c r="L24" i="1923"/>
  <c r="D24" i="1923"/>
  <c r="R23" i="1923"/>
  <c r="D23" i="1923"/>
  <c r="R22" i="1923"/>
  <c r="D22" i="1923"/>
  <c r="R21" i="1923"/>
  <c r="D21" i="1923"/>
  <c r="R20" i="1923"/>
  <c r="L20" i="1923"/>
  <c r="D20" i="1923"/>
  <c r="R19" i="1923"/>
  <c r="D19" i="1923"/>
  <c r="R18" i="1923"/>
  <c r="D18" i="1923"/>
  <c r="R17" i="1923"/>
  <c r="L17" i="1923"/>
  <c r="D17" i="1923"/>
  <c r="R16" i="1923"/>
  <c r="R15" i="1923"/>
  <c r="D15" i="1923"/>
  <c r="R14" i="1923"/>
  <c r="D14" i="1923"/>
  <c r="R13" i="1923"/>
  <c r="D13" i="1923"/>
  <c r="R12" i="1923"/>
  <c r="L12" i="1923"/>
  <c r="D12" i="1923"/>
  <c r="R11" i="1923"/>
  <c r="L11" i="1923"/>
  <c r="D11" i="1923"/>
  <c r="L10" i="1923"/>
  <c r="D10" i="1923"/>
  <c r="L9" i="1923"/>
  <c r="D9" i="1923" s="1"/>
  <c r="L7" i="1923"/>
  <c r="D7" i="1923" s="1"/>
  <c r="R6" i="1923"/>
  <c r="R5" i="1923"/>
  <c r="R4" i="1923"/>
  <c r="R52" i="1922"/>
  <c r="R51" i="1922"/>
  <c r="D50" i="1922"/>
  <c r="D54" i="1922" s="1"/>
  <c r="H14" i="1922" s="1"/>
  <c r="R49" i="1922"/>
  <c r="G49" i="1922"/>
  <c r="D49" i="1922"/>
  <c r="R48" i="1922"/>
  <c r="D48" i="1922"/>
  <c r="D46" i="1922"/>
  <c r="D45" i="1922"/>
  <c r="D44" i="1922"/>
  <c r="R42" i="1922"/>
  <c r="D42" i="1922"/>
  <c r="R41" i="1922"/>
  <c r="L7" i="1922" s="1"/>
  <c r="D7" i="1922" s="1"/>
  <c r="D41" i="1922"/>
  <c r="R40" i="1922"/>
  <c r="L8" i="1922" s="1"/>
  <c r="D8" i="1922" s="1"/>
  <c r="D40" i="1922"/>
  <c r="R39" i="1922"/>
  <c r="D39" i="1922"/>
  <c r="R38" i="1922"/>
  <c r="D38" i="1922"/>
  <c r="R37" i="1922"/>
  <c r="D37" i="1922"/>
  <c r="R36" i="1922"/>
  <c r="L10" i="1922" s="1"/>
  <c r="D10" i="1922" s="1"/>
  <c r="D36" i="1922"/>
  <c r="R35" i="1922"/>
  <c r="D35" i="1922"/>
  <c r="R34" i="1922"/>
  <c r="L12" i="1922" s="1"/>
  <c r="D12" i="1922" s="1"/>
  <c r="D34" i="1922"/>
  <c r="R33" i="1922"/>
  <c r="L23" i="1922" s="1"/>
  <c r="D23" i="1922" s="1"/>
  <c r="R32" i="1922"/>
  <c r="L11" i="1922" s="1"/>
  <c r="D11" i="1922" s="1"/>
  <c r="R31" i="1922"/>
  <c r="R30" i="1922"/>
  <c r="R29" i="1922"/>
  <c r="R28" i="1922"/>
  <c r="D28" i="1922"/>
  <c r="R27" i="1922"/>
  <c r="D27" i="1922"/>
  <c r="R26" i="1922"/>
  <c r="L26" i="1922"/>
  <c r="D26" i="1922"/>
  <c r="R25" i="1922"/>
  <c r="L25" i="1922"/>
  <c r="D25" i="1922"/>
  <c r="R24" i="1922"/>
  <c r="D24" i="1922"/>
  <c r="R23" i="1922"/>
  <c r="R22" i="1922"/>
  <c r="L22" i="1922"/>
  <c r="D22" i="1922"/>
  <c r="R21" i="1922"/>
  <c r="D21" i="1922"/>
  <c r="R20" i="1922"/>
  <c r="L20" i="1922"/>
  <c r="D20" i="1922"/>
  <c r="R19" i="1922"/>
  <c r="L19" i="1922"/>
  <c r="D19" i="1922"/>
  <c r="R18" i="1922"/>
  <c r="D18" i="1922"/>
  <c r="R17" i="1922"/>
  <c r="D17" i="1922"/>
  <c r="R16" i="1922"/>
  <c r="L16" i="1922"/>
  <c r="D16" i="1922" s="1"/>
  <c r="S15" i="1922"/>
  <c r="R15" i="1922"/>
  <c r="D15" i="1922"/>
  <c r="S14" i="1922"/>
  <c r="R14" i="1922"/>
  <c r="D14" i="1922"/>
  <c r="R13" i="1922"/>
  <c r="D13" i="1922"/>
  <c r="R12" i="1922"/>
  <c r="R11" i="1922"/>
  <c r="L9" i="1922"/>
  <c r="D9" i="1922"/>
  <c r="R6" i="1922"/>
  <c r="L6" i="1922"/>
  <c r="D6" i="1922" s="1"/>
  <c r="D29" i="1922" s="1"/>
  <c r="H13" i="1922" s="1"/>
  <c r="H15" i="1922" s="1"/>
  <c r="H29" i="1922" s="1"/>
  <c r="R5" i="1922"/>
  <c r="R4" i="1922"/>
  <c r="D29" i="1941" l="1"/>
  <c r="H13" i="1941" s="1"/>
  <c r="H15" i="1941" s="1"/>
  <c r="H29" i="1941" s="1"/>
  <c r="G51" i="1941" s="1"/>
  <c r="D29" i="1940"/>
  <c r="H13" i="1940" s="1"/>
  <c r="H15" i="1940" s="1"/>
  <c r="H29" i="1940" s="1"/>
  <c r="G51" i="1940"/>
  <c r="G51" i="1939"/>
  <c r="D29" i="1939"/>
  <c r="H13" i="1939" s="1"/>
  <c r="H15" i="1939" s="1"/>
  <c r="H29" i="1939" s="1"/>
  <c r="D29" i="1938"/>
  <c r="H13" i="1938" s="1"/>
  <c r="H15" i="1938" s="1"/>
  <c r="H29" i="1938" s="1"/>
  <c r="G51" i="1938" s="1"/>
  <c r="G51" i="1937"/>
  <c r="G51" i="1936"/>
  <c r="D29" i="1936"/>
  <c r="H13" i="1936" s="1"/>
  <c r="H15" i="1936" s="1"/>
  <c r="H29" i="1936" s="1"/>
  <c r="D29" i="1935"/>
  <c r="H13" i="1935" s="1"/>
  <c r="H15" i="1935" s="1"/>
  <c r="H29" i="1935" s="1"/>
  <c r="G51" i="1935"/>
  <c r="D29" i="1934"/>
  <c r="H13" i="1934" s="1"/>
  <c r="H15" i="1934" s="1"/>
  <c r="H29" i="1934" s="1"/>
  <c r="G51" i="1934" s="1"/>
  <c r="D29" i="1933"/>
  <c r="H13" i="1933" s="1"/>
  <c r="H15" i="1933" s="1"/>
  <c r="H29" i="1933" s="1"/>
  <c r="G51" i="1933"/>
  <c r="D29" i="1932"/>
  <c r="H13" i="1932" s="1"/>
  <c r="H15" i="1932" s="1"/>
  <c r="H29" i="1932" s="1"/>
  <c r="G51" i="1932" s="1"/>
  <c r="G51" i="1931"/>
  <c r="D29" i="1930"/>
  <c r="H13" i="1930" s="1"/>
  <c r="H15" i="1930" s="1"/>
  <c r="H29" i="1930" s="1"/>
  <c r="G51" i="1930"/>
  <c r="G51" i="1929"/>
  <c r="G51" i="1928"/>
  <c r="D29" i="1928"/>
  <c r="H13" i="1928" s="1"/>
  <c r="H15" i="1928" s="1"/>
  <c r="H29" i="1928" s="1"/>
  <c r="D29" i="1927"/>
  <c r="H13" i="1927" s="1"/>
  <c r="H15" i="1927" s="1"/>
  <c r="H29" i="1927" s="1"/>
  <c r="G51" i="1927" s="1"/>
  <c r="D29" i="1926"/>
  <c r="H13" i="1926" s="1"/>
  <c r="H15" i="1926" s="1"/>
  <c r="H29" i="1926" s="1"/>
  <c r="G51" i="1926" s="1"/>
  <c r="D29" i="1925"/>
  <c r="H13" i="1925" s="1"/>
  <c r="H15" i="1925" s="1"/>
  <c r="H29" i="1925" s="1"/>
  <c r="G51" i="1925"/>
  <c r="G51" i="1924"/>
  <c r="D29" i="1924"/>
  <c r="H13" i="1924" s="1"/>
  <c r="H15" i="1924" s="1"/>
  <c r="H29" i="1924" s="1"/>
  <c r="G51" i="1923"/>
  <c r="D29" i="1923"/>
  <c r="H13" i="1923" s="1"/>
  <c r="H15" i="1923" s="1"/>
  <c r="H29" i="1923" s="1"/>
  <c r="G51" i="1922"/>
  <c r="H16" i="1913"/>
  <c r="H16" i="1912"/>
  <c r="C20" i="1911"/>
  <c r="R52" i="1921"/>
  <c r="L22" i="1921" s="1"/>
  <c r="D22" i="1921" s="1"/>
  <c r="R51" i="1921"/>
  <c r="D50" i="1921"/>
  <c r="R49" i="1921"/>
  <c r="G49" i="1921"/>
  <c r="D49" i="1921"/>
  <c r="R48" i="1921"/>
  <c r="D48" i="1921"/>
  <c r="D46" i="1921"/>
  <c r="D45" i="1921"/>
  <c r="R44" i="1921"/>
  <c r="L28" i="1921" s="1"/>
  <c r="D28" i="1921" s="1"/>
  <c r="D44" i="1921"/>
  <c r="R42" i="1921"/>
  <c r="D42" i="1921"/>
  <c r="R41" i="1921"/>
  <c r="L7" i="1921" s="1"/>
  <c r="D7" i="1921" s="1"/>
  <c r="D41" i="1921"/>
  <c r="R40" i="1921"/>
  <c r="D40" i="1921"/>
  <c r="R39" i="1921"/>
  <c r="H39" i="1921"/>
  <c r="D39" i="1921"/>
  <c r="R38" i="1921"/>
  <c r="H38" i="1921"/>
  <c r="D38" i="1921"/>
  <c r="R37" i="1921"/>
  <c r="H37" i="1921"/>
  <c r="D37" i="1921"/>
  <c r="R36" i="1921"/>
  <c r="L10" i="1921" s="1"/>
  <c r="D10" i="1921" s="1"/>
  <c r="H36" i="1921"/>
  <c r="D36" i="1921"/>
  <c r="R35" i="1921"/>
  <c r="H35" i="1921"/>
  <c r="D35" i="1921"/>
  <c r="R34" i="1921"/>
  <c r="H34" i="1921"/>
  <c r="D34" i="1921"/>
  <c r="D54" i="1921" s="1"/>
  <c r="H14" i="1921" s="1"/>
  <c r="R33" i="1921"/>
  <c r="L23" i="1921" s="1"/>
  <c r="D23" i="1921" s="1"/>
  <c r="R32" i="1921"/>
  <c r="R31" i="1921"/>
  <c r="R30" i="1921"/>
  <c r="R29" i="1921"/>
  <c r="R28" i="1921"/>
  <c r="R27" i="1921"/>
  <c r="D27" i="1921"/>
  <c r="R26" i="1921"/>
  <c r="L26" i="1921"/>
  <c r="D26" i="1921"/>
  <c r="R25" i="1921"/>
  <c r="L25" i="1921"/>
  <c r="D25" i="1921" s="1"/>
  <c r="R24" i="1921"/>
  <c r="D24" i="1921"/>
  <c r="R23" i="1921"/>
  <c r="R22" i="1921"/>
  <c r="R21" i="1921"/>
  <c r="D21" i="1921"/>
  <c r="R20" i="1921"/>
  <c r="L20" i="1921"/>
  <c r="D20" i="1921"/>
  <c r="R19" i="1921"/>
  <c r="L19" i="1921"/>
  <c r="D19" i="1921" s="1"/>
  <c r="R18" i="1921"/>
  <c r="D18" i="1921"/>
  <c r="R17" i="1921"/>
  <c r="D17" i="1921"/>
  <c r="R16" i="1921"/>
  <c r="L16" i="1921"/>
  <c r="D16" i="1921" s="1"/>
  <c r="R15" i="1921"/>
  <c r="D15" i="1921"/>
  <c r="R14" i="1921"/>
  <c r="D14" i="1921"/>
  <c r="R13" i="1921"/>
  <c r="D13" i="1921"/>
  <c r="R12" i="1921"/>
  <c r="L12" i="1921"/>
  <c r="D12" i="1921"/>
  <c r="R11" i="1921"/>
  <c r="L11" i="1921"/>
  <c r="D11" i="1921"/>
  <c r="L9" i="1921"/>
  <c r="D9" i="1921" s="1"/>
  <c r="L8" i="1921"/>
  <c r="D8" i="1921" s="1"/>
  <c r="R6" i="1921"/>
  <c r="L6" i="1921"/>
  <c r="D6" i="1921" s="1"/>
  <c r="D29" i="1921" s="1"/>
  <c r="H13" i="1921" s="1"/>
  <c r="R5" i="1921"/>
  <c r="R4" i="1921"/>
  <c r="R52" i="1920"/>
  <c r="R51" i="1920"/>
  <c r="D50" i="1920"/>
  <c r="R49" i="1920"/>
  <c r="D49" i="1920"/>
  <c r="R48" i="1920"/>
  <c r="D48" i="1920"/>
  <c r="D46" i="1920"/>
  <c r="D45" i="1920"/>
  <c r="R44" i="1920"/>
  <c r="D44" i="1920"/>
  <c r="R42" i="1920"/>
  <c r="D42" i="1920"/>
  <c r="R41" i="1920"/>
  <c r="L7" i="1920" s="1"/>
  <c r="D7" i="1920" s="1"/>
  <c r="D41" i="1920"/>
  <c r="R40" i="1920"/>
  <c r="D40" i="1920"/>
  <c r="R39" i="1920"/>
  <c r="H39" i="1920"/>
  <c r="D39" i="1920"/>
  <c r="R38" i="1920"/>
  <c r="L9" i="1920" s="1"/>
  <c r="D9" i="1920" s="1"/>
  <c r="H38" i="1920"/>
  <c r="D38" i="1920"/>
  <c r="R37" i="1920"/>
  <c r="H37" i="1920"/>
  <c r="D37" i="1920"/>
  <c r="R36" i="1920"/>
  <c r="L10" i="1920" s="1"/>
  <c r="D10" i="1920" s="1"/>
  <c r="H36" i="1920"/>
  <c r="D36" i="1920"/>
  <c r="R35" i="1920"/>
  <c r="L19" i="1920" s="1"/>
  <c r="D19" i="1920" s="1"/>
  <c r="H35" i="1920"/>
  <c r="G49" i="1920" s="1"/>
  <c r="D35" i="1920"/>
  <c r="R34" i="1920"/>
  <c r="H34" i="1920"/>
  <c r="D34" i="1920"/>
  <c r="D54" i="1920" s="1"/>
  <c r="H14" i="1920" s="1"/>
  <c r="R33" i="1920"/>
  <c r="R32" i="1920"/>
  <c r="R31" i="1920"/>
  <c r="R30" i="1920"/>
  <c r="R29" i="1920"/>
  <c r="R28" i="1920"/>
  <c r="L28" i="1920"/>
  <c r="D28" i="1920"/>
  <c r="R27" i="1920"/>
  <c r="D27" i="1920"/>
  <c r="R26" i="1920"/>
  <c r="L26" i="1920"/>
  <c r="D26" i="1920"/>
  <c r="R25" i="1920"/>
  <c r="L25" i="1920"/>
  <c r="D25" i="1920" s="1"/>
  <c r="R24" i="1920"/>
  <c r="L24" i="1920"/>
  <c r="D24" i="1920"/>
  <c r="R23" i="1920"/>
  <c r="L23" i="1920"/>
  <c r="D23" i="1920" s="1"/>
  <c r="R22" i="1920"/>
  <c r="L22" i="1920"/>
  <c r="D22" i="1920" s="1"/>
  <c r="R21" i="1920"/>
  <c r="D21" i="1920"/>
  <c r="R20" i="1920"/>
  <c r="L20" i="1920"/>
  <c r="D20" i="1920"/>
  <c r="R19" i="1920"/>
  <c r="R18" i="1920"/>
  <c r="D18" i="1920"/>
  <c r="R17" i="1920"/>
  <c r="L17" i="1920"/>
  <c r="D17" i="1920" s="1"/>
  <c r="R16" i="1920"/>
  <c r="L16" i="1920"/>
  <c r="D16" i="1920" s="1"/>
  <c r="R15" i="1920"/>
  <c r="D15" i="1920"/>
  <c r="R14" i="1920"/>
  <c r="D14" i="1920"/>
  <c r="R13" i="1920"/>
  <c r="D13" i="1920"/>
  <c r="R12" i="1920"/>
  <c r="L12" i="1920"/>
  <c r="D12" i="1920"/>
  <c r="R11" i="1920"/>
  <c r="L11" i="1920"/>
  <c r="D11" i="1920"/>
  <c r="L8" i="1920"/>
  <c r="D8" i="1920"/>
  <c r="R6" i="1920"/>
  <c r="L6" i="1920"/>
  <c r="D6" i="1920"/>
  <c r="R5" i="1920"/>
  <c r="R4" i="1920"/>
  <c r="R52" i="1919"/>
  <c r="R51" i="1919"/>
  <c r="D50" i="1919"/>
  <c r="R49" i="1919"/>
  <c r="D49" i="1919"/>
  <c r="R48" i="1919"/>
  <c r="D48" i="1919"/>
  <c r="D46" i="1919"/>
  <c r="D45" i="1919"/>
  <c r="R44" i="1919"/>
  <c r="L28" i="1919" s="1"/>
  <c r="D28" i="1919" s="1"/>
  <c r="D44" i="1919"/>
  <c r="R42" i="1919"/>
  <c r="L6" i="1919" s="1"/>
  <c r="D6" i="1919" s="1"/>
  <c r="D42" i="1919"/>
  <c r="R41" i="1919"/>
  <c r="D41" i="1919"/>
  <c r="R40" i="1919"/>
  <c r="L8" i="1919" s="1"/>
  <c r="D8" i="1919" s="1"/>
  <c r="D40" i="1919"/>
  <c r="R39" i="1919"/>
  <c r="H39" i="1919"/>
  <c r="D39" i="1919"/>
  <c r="R38" i="1919"/>
  <c r="H38" i="1919"/>
  <c r="D38" i="1919"/>
  <c r="R37" i="1919"/>
  <c r="H37" i="1919"/>
  <c r="D37" i="1919"/>
  <c r="R36" i="1919"/>
  <c r="L10" i="1919" s="1"/>
  <c r="D10" i="1919" s="1"/>
  <c r="H36" i="1919"/>
  <c r="D36" i="1919"/>
  <c r="R35" i="1919"/>
  <c r="H35" i="1919"/>
  <c r="D35" i="1919"/>
  <c r="D54" i="1919" s="1"/>
  <c r="H14" i="1919" s="1"/>
  <c r="R34" i="1919"/>
  <c r="L12" i="1919" s="1"/>
  <c r="D12" i="1919" s="1"/>
  <c r="H34" i="1919"/>
  <c r="G49" i="1919" s="1"/>
  <c r="D34" i="1919"/>
  <c r="R33" i="1919"/>
  <c r="R32" i="1919"/>
  <c r="L11" i="1919" s="1"/>
  <c r="D11" i="1919" s="1"/>
  <c r="R31" i="1919"/>
  <c r="R30" i="1919"/>
  <c r="R29" i="1919"/>
  <c r="R28" i="1919"/>
  <c r="L16" i="1919" s="1"/>
  <c r="D16" i="1919" s="1"/>
  <c r="R27" i="1919"/>
  <c r="D27" i="1919"/>
  <c r="R26" i="1919"/>
  <c r="L26" i="1919"/>
  <c r="D26" i="1919" s="1"/>
  <c r="R25" i="1919"/>
  <c r="L25" i="1919"/>
  <c r="D25" i="1919"/>
  <c r="R24" i="1919"/>
  <c r="L24" i="1919"/>
  <c r="D24" i="1919"/>
  <c r="R23" i="1919"/>
  <c r="D23" i="1919"/>
  <c r="R22" i="1919"/>
  <c r="D22" i="1919"/>
  <c r="R21" i="1919"/>
  <c r="D21" i="1919"/>
  <c r="R20" i="1919"/>
  <c r="L20" i="1919"/>
  <c r="D20" i="1919"/>
  <c r="R19" i="1919"/>
  <c r="D19" i="1919"/>
  <c r="R18" i="1919"/>
  <c r="D18" i="1919"/>
  <c r="R17" i="1919"/>
  <c r="L17" i="1919"/>
  <c r="D17" i="1919"/>
  <c r="R16" i="1919"/>
  <c r="R15" i="1919"/>
  <c r="D15" i="1919"/>
  <c r="R14" i="1919"/>
  <c r="D14" i="1919"/>
  <c r="R13" i="1919"/>
  <c r="D13" i="1919"/>
  <c r="R12" i="1919"/>
  <c r="R11" i="1919"/>
  <c r="L9" i="1919"/>
  <c r="D9" i="1919"/>
  <c r="L7" i="1919"/>
  <c r="D7" i="1919" s="1"/>
  <c r="R6" i="1919"/>
  <c r="R5" i="1919"/>
  <c r="R4" i="1919"/>
  <c r="D54" i="1918"/>
  <c r="H14" i="1918" s="1"/>
  <c r="R52" i="1918"/>
  <c r="R51" i="1918"/>
  <c r="D50" i="1918"/>
  <c r="R49" i="1918"/>
  <c r="G49" i="1918"/>
  <c r="D49" i="1918"/>
  <c r="R48" i="1918"/>
  <c r="D48" i="1918"/>
  <c r="D46" i="1918"/>
  <c r="D45" i="1918"/>
  <c r="D44" i="1918"/>
  <c r="R42" i="1918"/>
  <c r="L6" i="1918" s="1"/>
  <c r="D6" i="1918" s="1"/>
  <c r="D42" i="1918"/>
  <c r="R41" i="1918"/>
  <c r="L7" i="1918" s="1"/>
  <c r="D7" i="1918" s="1"/>
  <c r="D41" i="1918"/>
  <c r="R40" i="1918"/>
  <c r="D40" i="1918"/>
  <c r="R39" i="1918"/>
  <c r="D39" i="1918"/>
  <c r="R38" i="1918"/>
  <c r="D38" i="1918"/>
  <c r="R37" i="1918"/>
  <c r="D37" i="1918"/>
  <c r="R36" i="1918"/>
  <c r="L10" i="1918" s="1"/>
  <c r="D10" i="1918" s="1"/>
  <c r="D36" i="1918"/>
  <c r="R35" i="1918"/>
  <c r="D35" i="1918"/>
  <c r="R34" i="1918"/>
  <c r="D34" i="1918"/>
  <c r="R33" i="1918"/>
  <c r="L23" i="1918" s="1"/>
  <c r="D23" i="1918" s="1"/>
  <c r="R32" i="1918"/>
  <c r="L11" i="1918" s="1"/>
  <c r="D11" i="1918" s="1"/>
  <c r="R31" i="1918"/>
  <c r="R30" i="1918"/>
  <c r="R29" i="1918"/>
  <c r="R28" i="1918"/>
  <c r="D28" i="1918"/>
  <c r="R27" i="1918"/>
  <c r="D27" i="1918"/>
  <c r="R26" i="1918"/>
  <c r="L26" i="1918"/>
  <c r="D26" i="1918" s="1"/>
  <c r="R25" i="1918"/>
  <c r="L25" i="1918"/>
  <c r="D25" i="1918"/>
  <c r="R24" i="1918"/>
  <c r="D24" i="1918"/>
  <c r="R23" i="1918"/>
  <c r="R22" i="1918"/>
  <c r="L22" i="1918"/>
  <c r="D22" i="1918"/>
  <c r="R21" i="1918"/>
  <c r="D21" i="1918"/>
  <c r="R20" i="1918"/>
  <c r="L20" i="1918"/>
  <c r="D20" i="1918" s="1"/>
  <c r="R19" i="1918"/>
  <c r="L19" i="1918"/>
  <c r="D19" i="1918"/>
  <c r="R18" i="1918"/>
  <c r="D18" i="1918"/>
  <c r="R17" i="1918"/>
  <c r="D17" i="1918"/>
  <c r="R16" i="1918"/>
  <c r="L16" i="1918"/>
  <c r="D16" i="1918" s="1"/>
  <c r="S15" i="1918"/>
  <c r="R15" i="1918"/>
  <c r="D15" i="1918"/>
  <c r="S14" i="1918"/>
  <c r="R14" i="1918"/>
  <c r="D14" i="1918"/>
  <c r="R13" i="1918"/>
  <c r="D13" i="1918"/>
  <c r="R12" i="1918"/>
  <c r="L12" i="1918"/>
  <c r="D12" i="1918" s="1"/>
  <c r="R11" i="1918"/>
  <c r="L9" i="1918"/>
  <c r="D9" i="1918"/>
  <c r="L8" i="1918"/>
  <c r="D8" i="1918" s="1"/>
  <c r="R6" i="1918"/>
  <c r="R5" i="1918"/>
  <c r="R4" i="1918"/>
  <c r="R52" i="1917"/>
  <c r="L22" i="1917" s="1"/>
  <c r="D22" i="1917" s="1"/>
  <c r="R51" i="1917"/>
  <c r="D50" i="1917"/>
  <c r="R49" i="1917"/>
  <c r="D49" i="1917"/>
  <c r="R48" i="1917"/>
  <c r="D48" i="1917"/>
  <c r="D46" i="1917"/>
  <c r="D45" i="1917"/>
  <c r="R44" i="1917"/>
  <c r="D44" i="1917"/>
  <c r="R42" i="1917"/>
  <c r="D42" i="1917"/>
  <c r="R41" i="1917"/>
  <c r="L7" i="1917" s="1"/>
  <c r="D7" i="1917" s="1"/>
  <c r="D41" i="1917"/>
  <c r="R40" i="1917"/>
  <c r="D40" i="1917"/>
  <c r="R39" i="1917"/>
  <c r="H39" i="1917"/>
  <c r="D39" i="1917"/>
  <c r="R38" i="1917"/>
  <c r="L9" i="1917" s="1"/>
  <c r="D9" i="1917" s="1"/>
  <c r="H38" i="1917"/>
  <c r="D38" i="1917"/>
  <c r="R37" i="1917"/>
  <c r="H37" i="1917"/>
  <c r="D37" i="1917"/>
  <c r="R36" i="1917"/>
  <c r="H36" i="1917"/>
  <c r="D36" i="1917"/>
  <c r="R35" i="1917"/>
  <c r="H35" i="1917"/>
  <c r="D35" i="1917"/>
  <c r="R34" i="1917"/>
  <c r="H34" i="1917"/>
  <c r="D34" i="1917"/>
  <c r="R33" i="1917"/>
  <c r="L23" i="1917" s="1"/>
  <c r="D23" i="1917" s="1"/>
  <c r="R32" i="1917"/>
  <c r="L11" i="1917" s="1"/>
  <c r="D11" i="1917" s="1"/>
  <c r="R31" i="1917"/>
  <c r="R30" i="1917"/>
  <c r="R29" i="1917"/>
  <c r="R28" i="1917"/>
  <c r="L28" i="1917"/>
  <c r="D28" i="1917"/>
  <c r="R27" i="1917"/>
  <c r="D27" i="1917"/>
  <c r="R26" i="1917"/>
  <c r="L26" i="1917"/>
  <c r="D26" i="1917"/>
  <c r="R25" i="1917"/>
  <c r="L25" i="1917"/>
  <c r="D25" i="1917"/>
  <c r="R24" i="1917"/>
  <c r="D24" i="1917"/>
  <c r="R23" i="1917"/>
  <c r="R22" i="1917"/>
  <c r="R21" i="1917"/>
  <c r="D21" i="1917"/>
  <c r="R20" i="1917"/>
  <c r="L20" i="1917"/>
  <c r="D20" i="1917"/>
  <c r="R19" i="1917"/>
  <c r="L19" i="1917"/>
  <c r="D19" i="1917"/>
  <c r="R18" i="1917"/>
  <c r="D18" i="1917"/>
  <c r="R17" i="1917"/>
  <c r="D17" i="1917"/>
  <c r="R16" i="1917"/>
  <c r="L16" i="1917"/>
  <c r="D16" i="1917"/>
  <c r="R15" i="1917"/>
  <c r="D15" i="1917"/>
  <c r="R14" i="1917"/>
  <c r="D14" i="1917"/>
  <c r="R13" i="1917"/>
  <c r="D13" i="1917"/>
  <c r="R12" i="1917"/>
  <c r="L12" i="1917"/>
  <c r="D12" i="1917"/>
  <c r="R11" i="1917"/>
  <c r="L10" i="1917"/>
  <c r="D10" i="1917"/>
  <c r="L8" i="1917"/>
  <c r="D8" i="1917"/>
  <c r="R6" i="1917"/>
  <c r="L6" i="1917"/>
  <c r="D6" i="1917"/>
  <c r="R5" i="1917"/>
  <c r="R4" i="1917"/>
  <c r="R52" i="1916"/>
  <c r="R51" i="1916"/>
  <c r="D50" i="1916"/>
  <c r="R49" i="1916"/>
  <c r="D49" i="1916"/>
  <c r="R48" i="1916"/>
  <c r="D48" i="1916"/>
  <c r="D46" i="1916"/>
  <c r="D45" i="1916"/>
  <c r="R44" i="1916"/>
  <c r="D44" i="1916"/>
  <c r="R42" i="1916"/>
  <c r="L6" i="1916" s="1"/>
  <c r="D6" i="1916" s="1"/>
  <c r="D42" i="1916"/>
  <c r="R41" i="1916"/>
  <c r="D41" i="1916"/>
  <c r="R40" i="1916"/>
  <c r="L8" i="1916" s="1"/>
  <c r="D8" i="1916" s="1"/>
  <c r="D40" i="1916"/>
  <c r="R39" i="1916"/>
  <c r="H39" i="1916"/>
  <c r="D39" i="1916"/>
  <c r="R38" i="1916"/>
  <c r="L9" i="1916" s="1"/>
  <c r="D9" i="1916" s="1"/>
  <c r="H38" i="1916"/>
  <c r="D38" i="1916"/>
  <c r="R37" i="1916"/>
  <c r="H37" i="1916"/>
  <c r="D37" i="1916"/>
  <c r="R36" i="1916"/>
  <c r="L10" i="1916" s="1"/>
  <c r="D10" i="1916" s="1"/>
  <c r="H36" i="1916"/>
  <c r="D36" i="1916"/>
  <c r="R35" i="1916"/>
  <c r="H35" i="1916"/>
  <c r="D35" i="1916"/>
  <c r="R34" i="1916"/>
  <c r="H34" i="1916"/>
  <c r="D34" i="1916"/>
  <c r="R33" i="1916"/>
  <c r="R32" i="1916"/>
  <c r="R31" i="1916"/>
  <c r="R30" i="1916"/>
  <c r="R29" i="1916"/>
  <c r="R28" i="1916"/>
  <c r="L28" i="1916"/>
  <c r="D28" i="1916"/>
  <c r="R27" i="1916"/>
  <c r="D27" i="1916"/>
  <c r="R26" i="1916"/>
  <c r="L26" i="1916"/>
  <c r="D26" i="1916"/>
  <c r="R25" i="1916"/>
  <c r="L25" i="1916"/>
  <c r="D25" i="1916"/>
  <c r="R24" i="1916"/>
  <c r="L24" i="1916"/>
  <c r="D24" i="1916"/>
  <c r="R23" i="1916"/>
  <c r="L23" i="1916"/>
  <c r="D23" i="1916"/>
  <c r="R22" i="1916"/>
  <c r="L22" i="1916"/>
  <c r="D22" i="1916" s="1"/>
  <c r="R21" i="1916"/>
  <c r="D21" i="1916"/>
  <c r="R20" i="1916"/>
  <c r="L20" i="1916"/>
  <c r="D20" i="1916"/>
  <c r="R19" i="1916"/>
  <c r="L19" i="1916"/>
  <c r="D19" i="1916" s="1"/>
  <c r="R18" i="1916"/>
  <c r="D18" i="1916"/>
  <c r="R17" i="1916"/>
  <c r="L17" i="1916"/>
  <c r="D17" i="1916"/>
  <c r="R16" i="1916"/>
  <c r="L16" i="1916"/>
  <c r="D16" i="1916" s="1"/>
  <c r="R15" i="1916"/>
  <c r="D15" i="1916"/>
  <c r="R14" i="1916"/>
  <c r="D14" i="1916"/>
  <c r="R13" i="1916"/>
  <c r="D13" i="1916"/>
  <c r="R12" i="1916"/>
  <c r="L12" i="1916"/>
  <c r="D12" i="1916"/>
  <c r="R11" i="1916"/>
  <c r="L11" i="1916"/>
  <c r="D11" i="1916"/>
  <c r="L7" i="1916"/>
  <c r="D7" i="1916"/>
  <c r="R6" i="1916"/>
  <c r="R5" i="1916"/>
  <c r="R4" i="1916"/>
  <c r="R52" i="1915"/>
  <c r="R51" i="1915"/>
  <c r="D50" i="1915"/>
  <c r="R49" i="1915"/>
  <c r="D49" i="1915"/>
  <c r="R48" i="1915"/>
  <c r="D48" i="1915"/>
  <c r="D46" i="1915"/>
  <c r="D45" i="1915"/>
  <c r="R44" i="1915"/>
  <c r="D44" i="1915"/>
  <c r="R42" i="1915"/>
  <c r="D42" i="1915"/>
  <c r="R41" i="1915"/>
  <c r="D41" i="1915"/>
  <c r="R40" i="1915"/>
  <c r="L8" i="1915" s="1"/>
  <c r="D8" i="1915" s="1"/>
  <c r="D40" i="1915"/>
  <c r="R39" i="1915"/>
  <c r="L20" i="1915" s="1"/>
  <c r="D20" i="1915" s="1"/>
  <c r="H39" i="1915"/>
  <c r="D39" i="1915"/>
  <c r="R38" i="1915"/>
  <c r="L9" i="1915" s="1"/>
  <c r="D9" i="1915" s="1"/>
  <c r="H38" i="1915"/>
  <c r="D38" i="1915"/>
  <c r="R37" i="1915"/>
  <c r="H37" i="1915"/>
  <c r="D37" i="1915"/>
  <c r="R36" i="1915"/>
  <c r="H36" i="1915"/>
  <c r="D36" i="1915"/>
  <c r="R35" i="1915"/>
  <c r="H35" i="1915"/>
  <c r="D35" i="1915"/>
  <c r="R34" i="1915"/>
  <c r="H34" i="1915"/>
  <c r="D34" i="1915"/>
  <c r="R33" i="1915"/>
  <c r="R32" i="1915"/>
  <c r="L11" i="1915" s="1"/>
  <c r="D11" i="1915" s="1"/>
  <c r="R31" i="1915"/>
  <c r="R30" i="1915"/>
  <c r="R29" i="1915"/>
  <c r="R28" i="1915"/>
  <c r="L28" i="1915"/>
  <c r="D28" i="1915"/>
  <c r="R27" i="1915"/>
  <c r="D27" i="1915"/>
  <c r="R26" i="1915"/>
  <c r="L26" i="1915"/>
  <c r="D26" i="1915"/>
  <c r="R25" i="1915"/>
  <c r="L25" i="1915"/>
  <c r="D25" i="1915"/>
  <c r="R24" i="1915"/>
  <c r="L24" i="1915"/>
  <c r="D24" i="1915"/>
  <c r="R23" i="1915"/>
  <c r="D23" i="1915"/>
  <c r="R22" i="1915"/>
  <c r="D22" i="1915"/>
  <c r="R21" i="1915"/>
  <c r="D21" i="1915"/>
  <c r="R20" i="1915"/>
  <c r="R19" i="1915"/>
  <c r="D19" i="1915"/>
  <c r="R18" i="1915"/>
  <c r="D18" i="1915"/>
  <c r="R17" i="1915"/>
  <c r="L17" i="1915"/>
  <c r="D17" i="1915"/>
  <c r="R16" i="1915"/>
  <c r="L16" i="1915"/>
  <c r="D16" i="1915" s="1"/>
  <c r="R15" i="1915"/>
  <c r="D15" i="1915"/>
  <c r="R14" i="1915"/>
  <c r="D14" i="1915"/>
  <c r="R13" i="1915"/>
  <c r="D13" i="1915"/>
  <c r="R12" i="1915"/>
  <c r="L12" i="1915"/>
  <c r="D12" i="1915" s="1"/>
  <c r="R11" i="1915"/>
  <c r="L10" i="1915"/>
  <c r="D10" i="1915"/>
  <c r="L7" i="1915"/>
  <c r="D7" i="1915"/>
  <c r="R6" i="1915"/>
  <c r="L6" i="1915"/>
  <c r="D6" i="1915" s="1"/>
  <c r="R5" i="1915"/>
  <c r="R4" i="1915"/>
  <c r="R52" i="1914"/>
  <c r="R51" i="1914"/>
  <c r="D50" i="1914"/>
  <c r="R49" i="1914"/>
  <c r="G49" i="1914"/>
  <c r="D49" i="1914"/>
  <c r="R48" i="1914"/>
  <c r="D48" i="1914"/>
  <c r="D46" i="1914"/>
  <c r="D45" i="1914"/>
  <c r="D44" i="1914"/>
  <c r="R42" i="1914"/>
  <c r="D42" i="1914"/>
  <c r="R41" i="1914"/>
  <c r="L7" i="1914" s="1"/>
  <c r="D7" i="1914" s="1"/>
  <c r="D41" i="1914"/>
  <c r="R40" i="1914"/>
  <c r="L8" i="1914" s="1"/>
  <c r="D8" i="1914" s="1"/>
  <c r="D40" i="1914"/>
  <c r="R39" i="1914"/>
  <c r="D39" i="1914"/>
  <c r="R38" i="1914"/>
  <c r="L9" i="1914" s="1"/>
  <c r="D9" i="1914" s="1"/>
  <c r="D38" i="1914"/>
  <c r="R37" i="1914"/>
  <c r="D37" i="1914"/>
  <c r="R36" i="1914"/>
  <c r="L10" i="1914" s="1"/>
  <c r="D10" i="1914" s="1"/>
  <c r="D36" i="1914"/>
  <c r="D54" i="1914" s="1"/>
  <c r="H14" i="1914" s="1"/>
  <c r="R35" i="1914"/>
  <c r="L19" i="1914" s="1"/>
  <c r="D19" i="1914" s="1"/>
  <c r="D35" i="1914"/>
  <c r="R34" i="1914"/>
  <c r="D34" i="1914"/>
  <c r="R33" i="1914"/>
  <c r="R32" i="1914"/>
  <c r="R31" i="1914"/>
  <c r="R30" i="1914"/>
  <c r="R29" i="1914"/>
  <c r="R28" i="1914"/>
  <c r="D28" i="1914"/>
  <c r="R27" i="1914"/>
  <c r="D27" i="1914"/>
  <c r="R26" i="1914"/>
  <c r="L26" i="1914"/>
  <c r="D26" i="1914"/>
  <c r="R25" i="1914"/>
  <c r="L25" i="1914"/>
  <c r="D25" i="1914"/>
  <c r="R24" i="1914"/>
  <c r="D24" i="1914"/>
  <c r="R23" i="1914"/>
  <c r="L23" i="1914"/>
  <c r="D23" i="1914"/>
  <c r="R22" i="1914"/>
  <c r="L22" i="1914"/>
  <c r="D22" i="1914"/>
  <c r="R21" i="1914"/>
  <c r="D21" i="1914"/>
  <c r="R20" i="1914"/>
  <c r="L20" i="1914"/>
  <c r="D20" i="1914"/>
  <c r="R19" i="1914"/>
  <c r="R18" i="1914"/>
  <c r="D18" i="1914"/>
  <c r="R17" i="1914"/>
  <c r="D17" i="1914"/>
  <c r="R16" i="1914"/>
  <c r="L16" i="1914"/>
  <c r="D16" i="1914" s="1"/>
  <c r="S15" i="1914"/>
  <c r="R15" i="1914"/>
  <c r="D15" i="1914"/>
  <c r="S14" i="1914"/>
  <c r="R14" i="1914"/>
  <c r="D14" i="1914"/>
  <c r="R13" i="1914"/>
  <c r="D13" i="1914"/>
  <c r="R12" i="1914"/>
  <c r="L12" i="1914"/>
  <c r="D12" i="1914"/>
  <c r="R11" i="1914"/>
  <c r="L11" i="1914"/>
  <c r="D11" i="1914"/>
  <c r="R6" i="1914"/>
  <c r="L6" i="1914"/>
  <c r="D6" i="1914"/>
  <c r="R5" i="1914"/>
  <c r="R4" i="1914"/>
  <c r="G49" i="1915" l="1"/>
  <c r="G49" i="1916"/>
  <c r="G49" i="1917"/>
  <c r="D54" i="1917"/>
  <c r="H14" i="1917" s="1"/>
  <c r="D29" i="1917"/>
  <c r="H13" i="1917" s="1"/>
  <c r="D54" i="1915"/>
  <c r="H14" i="1915" s="1"/>
  <c r="D29" i="1915"/>
  <c r="H13" i="1915" s="1"/>
  <c r="D54" i="1916"/>
  <c r="H14" i="1916" s="1"/>
  <c r="H15" i="1921"/>
  <c r="H29" i="1921" s="1"/>
  <c r="G51" i="1921"/>
  <c r="G51" i="1920"/>
  <c r="D29" i="1920"/>
  <c r="H13" i="1920" s="1"/>
  <c r="H15" i="1920" s="1"/>
  <c r="H29" i="1920" s="1"/>
  <c r="D29" i="1919"/>
  <c r="H13" i="1919" s="1"/>
  <c r="H15" i="1919" s="1"/>
  <c r="H29" i="1919" s="1"/>
  <c r="G51" i="1919" s="1"/>
  <c r="D29" i="1918"/>
  <c r="H13" i="1918" s="1"/>
  <c r="H15" i="1918" s="1"/>
  <c r="H29" i="1918" s="1"/>
  <c r="G51" i="1918" s="1"/>
  <c r="D29" i="1916"/>
  <c r="H13" i="1916" s="1"/>
  <c r="H15" i="1916" s="1"/>
  <c r="H29" i="1916" s="1"/>
  <c r="D29" i="1914"/>
  <c r="H13" i="1914" s="1"/>
  <c r="H15" i="1914" s="1"/>
  <c r="H29" i="1914" s="1"/>
  <c r="G51" i="1914" s="1"/>
  <c r="H16" i="1905"/>
  <c r="H16" i="1904"/>
  <c r="C12" i="1904"/>
  <c r="G51" i="1916" l="1"/>
  <c r="H15" i="1917"/>
  <c r="H29" i="1917" s="1"/>
  <c r="G51" i="1917" s="1"/>
  <c r="H15" i="1915"/>
  <c r="H29" i="1915" s="1"/>
  <c r="G51" i="1915" s="1"/>
  <c r="H16" i="1901"/>
  <c r="H16" i="1900"/>
  <c r="L22" i="1899"/>
  <c r="C15" i="1899"/>
  <c r="C12" i="1895" l="1"/>
  <c r="C16" i="1895"/>
  <c r="L22" i="1895"/>
  <c r="C21" i="1895"/>
  <c r="C15" i="1895"/>
  <c r="H16" i="1897" l="1"/>
  <c r="H16" i="1896" l="1"/>
  <c r="L17" i="1895" l="1"/>
  <c r="L26" i="1895"/>
  <c r="L16" i="1893" l="1"/>
  <c r="L27" i="1893"/>
  <c r="L31" i="1893"/>
  <c r="L25" i="1893"/>
  <c r="C12" i="1893"/>
  <c r="C23" i="1893"/>
  <c r="C21" i="1893"/>
  <c r="H16" i="1891"/>
  <c r="H16" i="1892"/>
  <c r="C21" i="1891"/>
  <c r="H16" i="1889" l="1"/>
  <c r="H16" i="1888"/>
  <c r="R52" i="1913" l="1"/>
  <c r="R51" i="1913"/>
  <c r="D50" i="1913"/>
  <c r="R49" i="1913"/>
  <c r="D49" i="1913"/>
  <c r="R48" i="1913"/>
  <c r="D48" i="1913"/>
  <c r="D46" i="1913"/>
  <c r="D45" i="1913"/>
  <c r="R44" i="1913"/>
  <c r="D44" i="1913"/>
  <c r="R42" i="1913"/>
  <c r="D42" i="1913"/>
  <c r="R41" i="1913"/>
  <c r="L7" i="1913" s="1"/>
  <c r="D7" i="1913" s="1"/>
  <c r="D41" i="1913"/>
  <c r="R40" i="1913"/>
  <c r="D40" i="1913"/>
  <c r="R39" i="1913"/>
  <c r="H39" i="1913"/>
  <c r="D39" i="1913"/>
  <c r="R38" i="1913"/>
  <c r="H38" i="1913"/>
  <c r="D38" i="1913"/>
  <c r="R37" i="1913"/>
  <c r="H37" i="1913"/>
  <c r="D37" i="1913"/>
  <c r="R36" i="1913"/>
  <c r="H36" i="1913"/>
  <c r="D36" i="1913"/>
  <c r="R35" i="1913"/>
  <c r="L19" i="1913" s="1"/>
  <c r="D19" i="1913" s="1"/>
  <c r="H35" i="1913"/>
  <c r="D35" i="1913"/>
  <c r="R34" i="1913"/>
  <c r="H34" i="1913"/>
  <c r="D34" i="1913"/>
  <c r="R33" i="1913"/>
  <c r="L23" i="1913" s="1"/>
  <c r="D23" i="1913" s="1"/>
  <c r="R32" i="1913"/>
  <c r="L11" i="1913" s="1"/>
  <c r="D11" i="1913" s="1"/>
  <c r="R31" i="1913"/>
  <c r="R30" i="1913"/>
  <c r="R29" i="1913"/>
  <c r="R28" i="1913"/>
  <c r="L28" i="1913"/>
  <c r="D28" i="1913"/>
  <c r="R27" i="1913"/>
  <c r="D27" i="1913"/>
  <c r="R26" i="1913"/>
  <c r="L26" i="1913"/>
  <c r="D26" i="1913" s="1"/>
  <c r="R25" i="1913"/>
  <c r="L25" i="1913"/>
  <c r="D25" i="1913"/>
  <c r="R24" i="1913"/>
  <c r="D24" i="1913"/>
  <c r="R23" i="1913"/>
  <c r="R22" i="1913"/>
  <c r="L22" i="1913"/>
  <c r="D22" i="1913"/>
  <c r="R21" i="1913"/>
  <c r="D21" i="1913"/>
  <c r="R20" i="1913"/>
  <c r="L20" i="1913"/>
  <c r="D20" i="1913"/>
  <c r="R19" i="1913"/>
  <c r="R18" i="1913"/>
  <c r="D18" i="1913"/>
  <c r="R17" i="1913"/>
  <c r="D17" i="1913"/>
  <c r="R16" i="1913"/>
  <c r="L16" i="1913"/>
  <c r="D16" i="1913"/>
  <c r="R15" i="1913"/>
  <c r="D15" i="1913"/>
  <c r="R14" i="1913"/>
  <c r="D14" i="1913"/>
  <c r="R13" i="1913"/>
  <c r="D13" i="1913"/>
  <c r="R12" i="1913"/>
  <c r="L12" i="1913"/>
  <c r="D12" i="1913"/>
  <c r="R11" i="1913"/>
  <c r="L10" i="1913"/>
  <c r="D10" i="1913"/>
  <c r="L9" i="1913"/>
  <c r="D9" i="1913" s="1"/>
  <c r="L8" i="1913"/>
  <c r="D8" i="1913" s="1"/>
  <c r="R6" i="1913"/>
  <c r="L6" i="1913"/>
  <c r="D6" i="1913"/>
  <c r="R5" i="1913"/>
  <c r="R4" i="1913"/>
  <c r="R52" i="1912"/>
  <c r="R51" i="1912"/>
  <c r="D50" i="1912"/>
  <c r="R49" i="1912"/>
  <c r="D49" i="1912"/>
  <c r="R48" i="1912"/>
  <c r="D48" i="1912"/>
  <c r="D46" i="1912"/>
  <c r="D45" i="1912"/>
  <c r="R44" i="1912"/>
  <c r="L28" i="1912" s="1"/>
  <c r="D28" i="1912" s="1"/>
  <c r="D44" i="1912"/>
  <c r="R42" i="1912"/>
  <c r="D42" i="1912"/>
  <c r="R41" i="1912"/>
  <c r="D41" i="1912"/>
  <c r="R40" i="1912"/>
  <c r="D40" i="1912"/>
  <c r="R39" i="1912"/>
  <c r="H39" i="1912"/>
  <c r="D39" i="1912"/>
  <c r="R38" i="1912"/>
  <c r="L9" i="1912" s="1"/>
  <c r="D9" i="1912" s="1"/>
  <c r="H38" i="1912"/>
  <c r="D38" i="1912"/>
  <c r="R37" i="1912"/>
  <c r="H37" i="1912"/>
  <c r="D37" i="1912"/>
  <c r="R36" i="1912"/>
  <c r="H36" i="1912"/>
  <c r="D36" i="1912"/>
  <c r="R35" i="1912"/>
  <c r="H35" i="1912"/>
  <c r="D35" i="1912"/>
  <c r="R34" i="1912"/>
  <c r="L12" i="1912" s="1"/>
  <c r="D12" i="1912" s="1"/>
  <c r="H34" i="1912"/>
  <c r="D34" i="1912"/>
  <c r="R33" i="1912"/>
  <c r="R32" i="1912"/>
  <c r="L11" i="1912" s="1"/>
  <c r="D11" i="1912" s="1"/>
  <c r="R31" i="1912"/>
  <c r="R30" i="1912"/>
  <c r="R29" i="1912"/>
  <c r="R28" i="1912"/>
  <c r="R27" i="1912"/>
  <c r="D27" i="1912"/>
  <c r="R26" i="1912"/>
  <c r="L26" i="1912"/>
  <c r="D26" i="1912" s="1"/>
  <c r="R25" i="1912"/>
  <c r="L25" i="1912"/>
  <c r="D25" i="1912"/>
  <c r="R24" i="1912"/>
  <c r="L24" i="1912"/>
  <c r="D24" i="1912" s="1"/>
  <c r="R23" i="1912"/>
  <c r="L23" i="1912"/>
  <c r="D23" i="1912" s="1"/>
  <c r="R22" i="1912"/>
  <c r="L22" i="1912"/>
  <c r="D22" i="1912" s="1"/>
  <c r="R21" i="1912"/>
  <c r="D21" i="1912"/>
  <c r="R20" i="1912"/>
  <c r="L20" i="1912"/>
  <c r="D20" i="1912" s="1"/>
  <c r="R19" i="1912"/>
  <c r="L19" i="1912"/>
  <c r="D19" i="1912" s="1"/>
  <c r="R18" i="1912"/>
  <c r="D18" i="1912"/>
  <c r="R17" i="1912"/>
  <c r="L17" i="1912"/>
  <c r="D17" i="1912" s="1"/>
  <c r="R16" i="1912"/>
  <c r="L16" i="1912"/>
  <c r="D16" i="1912" s="1"/>
  <c r="R15" i="1912"/>
  <c r="D15" i="1912"/>
  <c r="R14" i="1912"/>
  <c r="D14" i="1912"/>
  <c r="R13" i="1912"/>
  <c r="D13" i="1912"/>
  <c r="R12" i="1912"/>
  <c r="R11" i="1912"/>
  <c r="L10" i="1912"/>
  <c r="D10" i="1912" s="1"/>
  <c r="L8" i="1912"/>
  <c r="D8" i="1912" s="1"/>
  <c r="L7" i="1912"/>
  <c r="D7" i="1912"/>
  <c r="R6" i="1912"/>
  <c r="L6" i="1912"/>
  <c r="D6" i="1912" s="1"/>
  <c r="R5" i="1912"/>
  <c r="R4" i="1912"/>
  <c r="R52" i="1911"/>
  <c r="R51" i="1911"/>
  <c r="D50" i="1911"/>
  <c r="R49" i="1911"/>
  <c r="D49" i="1911"/>
  <c r="R48" i="1911"/>
  <c r="D48" i="1911"/>
  <c r="D46" i="1911"/>
  <c r="D45" i="1911"/>
  <c r="R44" i="1911"/>
  <c r="L28" i="1911" s="1"/>
  <c r="D28" i="1911" s="1"/>
  <c r="D44" i="1911"/>
  <c r="R42" i="1911"/>
  <c r="D42" i="1911"/>
  <c r="R41" i="1911"/>
  <c r="L7" i="1911" s="1"/>
  <c r="D7" i="1911" s="1"/>
  <c r="D41" i="1911"/>
  <c r="R40" i="1911"/>
  <c r="D40" i="1911"/>
  <c r="R39" i="1911"/>
  <c r="L20" i="1911" s="1"/>
  <c r="D20" i="1911" s="1"/>
  <c r="H39" i="1911"/>
  <c r="D39" i="1911"/>
  <c r="R38" i="1911"/>
  <c r="H38" i="1911"/>
  <c r="D38" i="1911"/>
  <c r="R37" i="1911"/>
  <c r="H37" i="1911"/>
  <c r="D37" i="1911"/>
  <c r="R36" i="1911"/>
  <c r="H36" i="1911"/>
  <c r="D36" i="1911"/>
  <c r="R35" i="1911"/>
  <c r="H35" i="1911"/>
  <c r="D35" i="1911"/>
  <c r="R34" i="1911"/>
  <c r="H34" i="1911"/>
  <c r="D34" i="1911"/>
  <c r="R33" i="1911"/>
  <c r="R32" i="1911"/>
  <c r="L11" i="1911" s="1"/>
  <c r="D11" i="1911" s="1"/>
  <c r="R31" i="1911"/>
  <c r="R30" i="1911"/>
  <c r="R29" i="1911"/>
  <c r="R28" i="1911"/>
  <c r="L16" i="1911" s="1"/>
  <c r="D16" i="1911" s="1"/>
  <c r="R27" i="1911"/>
  <c r="D27" i="1911"/>
  <c r="R26" i="1911"/>
  <c r="L26" i="1911"/>
  <c r="D26" i="1911"/>
  <c r="R25" i="1911"/>
  <c r="L25" i="1911"/>
  <c r="D25" i="1911"/>
  <c r="R24" i="1911"/>
  <c r="L24" i="1911"/>
  <c r="D24" i="1911" s="1"/>
  <c r="R23" i="1911"/>
  <c r="D23" i="1911"/>
  <c r="R22" i="1911"/>
  <c r="D22" i="1911"/>
  <c r="R21" i="1911"/>
  <c r="D21" i="1911"/>
  <c r="R20" i="1911"/>
  <c r="R19" i="1911"/>
  <c r="D19" i="1911"/>
  <c r="R18" i="1911"/>
  <c r="D18" i="1911"/>
  <c r="R17" i="1911"/>
  <c r="L17" i="1911"/>
  <c r="D17" i="1911" s="1"/>
  <c r="R16" i="1911"/>
  <c r="R15" i="1911"/>
  <c r="D15" i="1911"/>
  <c r="R14" i="1911"/>
  <c r="D14" i="1911"/>
  <c r="R13" i="1911"/>
  <c r="D13" i="1911"/>
  <c r="R12" i="1911"/>
  <c r="L12" i="1911"/>
  <c r="D12" i="1911"/>
  <c r="R11" i="1911"/>
  <c r="L10" i="1911"/>
  <c r="D10" i="1911" s="1"/>
  <c r="L9" i="1911"/>
  <c r="D9" i="1911"/>
  <c r="L8" i="1911"/>
  <c r="D8" i="1911" s="1"/>
  <c r="R6" i="1911"/>
  <c r="L6" i="1911"/>
  <c r="D6" i="1911"/>
  <c r="R5" i="1911"/>
  <c r="R4" i="1911"/>
  <c r="R52" i="1910"/>
  <c r="R51" i="1910"/>
  <c r="D50" i="1910"/>
  <c r="R49" i="1910"/>
  <c r="G49" i="1910"/>
  <c r="D49" i="1910"/>
  <c r="R48" i="1910"/>
  <c r="D48" i="1910"/>
  <c r="D46" i="1910"/>
  <c r="D45" i="1910"/>
  <c r="D44" i="1910"/>
  <c r="R42" i="1910"/>
  <c r="D42" i="1910"/>
  <c r="R41" i="1910"/>
  <c r="L7" i="1910" s="1"/>
  <c r="D7" i="1910" s="1"/>
  <c r="D41" i="1910"/>
  <c r="R40" i="1910"/>
  <c r="L8" i="1910" s="1"/>
  <c r="D8" i="1910" s="1"/>
  <c r="D40" i="1910"/>
  <c r="R39" i="1910"/>
  <c r="D39" i="1910"/>
  <c r="R38" i="1910"/>
  <c r="L9" i="1910" s="1"/>
  <c r="D9" i="1910" s="1"/>
  <c r="D38" i="1910"/>
  <c r="R37" i="1910"/>
  <c r="D37" i="1910"/>
  <c r="R36" i="1910"/>
  <c r="D36" i="1910"/>
  <c r="R35" i="1910"/>
  <c r="D35" i="1910"/>
  <c r="R34" i="1910"/>
  <c r="D34" i="1910"/>
  <c r="D54" i="1910" s="1"/>
  <c r="H14" i="1910" s="1"/>
  <c r="R33" i="1910"/>
  <c r="L23" i="1910" s="1"/>
  <c r="D23" i="1910" s="1"/>
  <c r="R32" i="1910"/>
  <c r="R31" i="1910"/>
  <c r="R30" i="1910"/>
  <c r="R29" i="1910"/>
  <c r="R28" i="1910"/>
  <c r="D28" i="1910"/>
  <c r="R27" i="1910"/>
  <c r="D27" i="1910"/>
  <c r="R26" i="1910"/>
  <c r="L26" i="1910"/>
  <c r="D26" i="1910" s="1"/>
  <c r="R25" i="1910"/>
  <c r="L25" i="1910"/>
  <c r="D25" i="1910"/>
  <c r="R24" i="1910"/>
  <c r="D24" i="1910"/>
  <c r="R23" i="1910"/>
  <c r="R22" i="1910"/>
  <c r="L22" i="1910"/>
  <c r="D22" i="1910"/>
  <c r="R21" i="1910"/>
  <c r="D21" i="1910"/>
  <c r="R20" i="1910"/>
  <c r="L20" i="1910"/>
  <c r="D20" i="1910" s="1"/>
  <c r="R19" i="1910"/>
  <c r="L19" i="1910"/>
  <c r="D19" i="1910"/>
  <c r="R18" i="1910"/>
  <c r="D18" i="1910"/>
  <c r="R17" i="1910"/>
  <c r="D17" i="1910"/>
  <c r="R16" i="1910"/>
  <c r="L16" i="1910"/>
  <c r="D16" i="1910" s="1"/>
  <c r="S15" i="1910"/>
  <c r="R15" i="1910"/>
  <c r="D15" i="1910"/>
  <c r="S14" i="1910"/>
  <c r="R14" i="1910"/>
  <c r="D14" i="1910"/>
  <c r="R13" i="1910"/>
  <c r="D13" i="1910"/>
  <c r="R12" i="1910"/>
  <c r="L12" i="1910"/>
  <c r="D12" i="1910" s="1"/>
  <c r="R11" i="1910"/>
  <c r="L11" i="1910"/>
  <c r="D11" i="1910"/>
  <c r="L10" i="1910"/>
  <c r="D10" i="1910" s="1"/>
  <c r="R6" i="1910"/>
  <c r="L6" i="1910"/>
  <c r="D6" i="1910" s="1"/>
  <c r="R5" i="1910"/>
  <c r="R4" i="1910"/>
  <c r="R52" i="1909"/>
  <c r="R51" i="1909"/>
  <c r="D50" i="1909"/>
  <c r="R49" i="1909"/>
  <c r="D49" i="1909"/>
  <c r="R48" i="1909"/>
  <c r="D48" i="1909"/>
  <c r="D46" i="1909"/>
  <c r="D45" i="1909"/>
  <c r="R44" i="1909"/>
  <c r="D44" i="1909"/>
  <c r="R42" i="1909"/>
  <c r="L6" i="1909" s="1"/>
  <c r="D6" i="1909" s="1"/>
  <c r="D42" i="1909"/>
  <c r="R41" i="1909"/>
  <c r="D41" i="1909"/>
  <c r="R40" i="1909"/>
  <c r="D40" i="1909"/>
  <c r="R39" i="1909"/>
  <c r="H39" i="1909"/>
  <c r="D39" i="1909"/>
  <c r="R38" i="1909"/>
  <c r="H38" i="1909"/>
  <c r="D38" i="1909"/>
  <c r="R37" i="1909"/>
  <c r="H37" i="1909"/>
  <c r="D37" i="1909"/>
  <c r="R36" i="1909"/>
  <c r="H36" i="1909"/>
  <c r="D36" i="1909"/>
  <c r="R35" i="1909"/>
  <c r="H35" i="1909"/>
  <c r="D35" i="1909"/>
  <c r="R34" i="1909"/>
  <c r="H34" i="1909"/>
  <c r="G49" i="1909" s="1"/>
  <c r="D34" i="1909"/>
  <c r="D54" i="1909" s="1"/>
  <c r="H14" i="1909" s="1"/>
  <c r="R33" i="1909"/>
  <c r="R32" i="1909"/>
  <c r="R31" i="1909"/>
  <c r="R30" i="1909"/>
  <c r="R29" i="1909"/>
  <c r="R28" i="1909"/>
  <c r="L28" i="1909"/>
  <c r="D28" i="1909"/>
  <c r="R27" i="1909"/>
  <c r="D27" i="1909"/>
  <c r="R26" i="1909"/>
  <c r="L26" i="1909"/>
  <c r="D26" i="1909"/>
  <c r="R25" i="1909"/>
  <c r="L25" i="1909"/>
  <c r="D25" i="1909" s="1"/>
  <c r="R24" i="1909"/>
  <c r="D24" i="1909"/>
  <c r="R23" i="1909"/>
  <c r="L23" i="1909"/>
  <c r="D23" i="1909" s="1"/>
  <c r="R22" i="1909"/>
  <c r="L22" i="1909"/>
  <c r="D22" i="1909"/>
  <c r="R21" i="1909"/>
  <c r="D21" i="1909"/>
  <c r="R20" i="1909"/>
  <c r="L20" i="1909"/>
  <c r="D20" i="1909"/>
  <c r="R19" i="1909"/>
  <c r="L19" i="1909"/>
  <c r="D19" i="1909" s="1"/>
  <c r="R18" i="1909"/>
  <c r="D18" i="1909"/>
  <c r="R17" i="1909"/>
  <c r="D17" i="1909"/>
  <c r="R16" i="1909"/>
  <c r="L16" i="1909"/>
  <c r="D16" i="1909"/>
  <c r="R15" i="1909"/>
  <c r="D15" i="1909"/>
  <c r="R14" i="1909"/>
  <c r="D14" i="1909"/>
  <c r="R13" i="1909"/>
  <c r="D13" i="1909"/>
  <c r="R12" i="1909"/>
  <c r="L12" i="1909"/>
  <c r="D12" i="1909" s="1"/>
  <c r="R11" i="1909"/>
  <c r="L11" i="1909"/>
  <c r="D11" i="1909" s="1"/>
  <c r="L10" i="1909"/>
  <c r="D10" i="1909"/>
  <c r="L9" i="1909"/>
  <c r="D9" i="1909"/>
  <c r="L8" i="1909"/>
  <c r="D8" i="1909" s="1"/>
  <c r="L7" i="1909"/>
  <c r="D7" i="1909"/>
  <c r="R6" i="1909"/>
  <c r="R5" i="1909"/>
  <c r="R4" i="1909"/>
  <c r="R52" i="1908"/>
  <c r="R51" i="1908"/>
  <c r="D50" i="1908"/>
  <c r="R49" i="1908"/>
  <c r="D49" i="1908"/>
  <c r="R48" i="1908"/>
  <c r="D48" i="1908"/>
  <c r="D46" i="1908"/>
  <c r="D45" i="1908"/>
  <c r="R44" i="1908"/>
  <c r="L28" i="1908" s="1"/>
  <c r="D28" i="1908" s="1"/>
  <c r="D44" i="1908"/>
  <c r="R42" i="1908"/>
  <c r="D42" i="1908"/>
  <c r="R41" i="1908"/>
  <c r="L7" i="1908" s="1"/>
  <c r="D7" i="1908" s="1"/>
  <c r="D41" i="1908"/>
  <c r="R40" i="1908"/>
  <c r="D40" i="1908"/>
  <c r="R39" i="1908"/>
  <c r="H39" i="1908"/>
  <c r="D39" i="1908"/>
  <c r="R38" i="1908"/>
  <c r="H38" i="1908"/>
  <c r="D38" i="1908"/>
  <c r="R37" i="1908"/>
  <c r="H37" i="1908"/>
  <c r="D37" i="1908"/>
  <c r="R36" i="1908"/>
  <c r="H36" i="1908"/>
  <c r="D36" i="1908"/>
  <c r="D54" i="1908" s="1"/>
  <c r="H14" i="1908" s="1"/>
  <c r="R35" i="1908"/>
  <c r="L19" i="1908" s="1"/>
  <c r="D19" i="1908" s="1"/>
  <c r="H35" i="1908"/>
  <c r="D35" i="1908"/>
  <c r="R34" i="1908"/>
  <c r="L12" i="1908" s="1"/>
  <c r="D12" i="1908" s="1"/>
  <c r="H34" i="1908"/>
  <c r="G49" i="1908" s="1"/>
  <c r="D34" i="1908"/>
  <c r="R33" i="1908"/>
  <c r="R32" i="1908"/>
  <c r="R31" i="1908"/>
  <c r="R30" i="1908"/>
  <c r="R29" i="1908"/>
  <c r="R28" i="1908"/>
  <c r="R27" i="1908"/>
  <c r="D27" i="1908"/>
  <c r="R26" i="1908"/>
  <c r="L26" i="1908"/>
  <c r="D26" i="1908"/>
  <c r="R25" i="1908"/>
  <c r="L25" i="1908"/>
  <c r="D25" i="1908" s="1"/>
  <c r="R24" i="1908"/>
  <c r="L24" i="1908"/>
  <c r="D24" i="1908" s="1"/>
  <c r="R23" i="1908"/>
  <c r="L23" i="1908"/>
  <c r="D23" i="1908" s="1"/>
  <c r="R22" i="1908"/>
  <c r="L22" i="1908"/>
  <c r="D22" i="1908" s="1"/>
  <c r="R21" i="1908"/>
  <c r="D21" i="1908"/>
  <c r="R20" i="1908"/>
  <c r="L20" i="1908"/>
  <c r="D20" i="1908" s="1"/>
  <c r="R19" i="1908"/>
  <c r="R18" i="1908"/>
  <c r="D18" i="1908"/>
  <c r="R17" i="1908"/>
  <c r="L17" i="1908"/>
  <c r="D17" i="1908" s="1"/>
  <c r="R16" i="1908"/>
  <c r="L16" i="1908"/>
  <c r="D16" i="1908" s="1"/>
  <c r="R15" i="1908"/>
  <c r="D15" i="1908"/>
  <c r="R14" i="1908"/>
  <c r="D14" i="1908"/>
  <c r="R13" i="1908"/>
  <c r="D13" i="1908"/>
  <c r="R12" i="1908"/>
  <c r="R11" i="1908"/>
  <c r="L11" i="1908"/>
  <c r="D11" i="1908"/>
  <c r="L10" i="1908"/>
  <c r="D10" i="1908" s="1"/>
  <c r="L9" i="1908"/>
  <c r="D9" i="1908"/>
  <c r="L8" i="1908"/>
  <c r="D8" i="1908"/>
  <c r="R6" i="1908"/>
  <c r="L6" i="1908"/>
  <c r="D6" i="1908" s="1"/>
  <c r="R5" i="1908"/>
  <c r="R4" i="1908"/>
  <c r="R52" i="1907"/>
  <c r="R51" i="1907"/>
  <c r="D50" i="1907"/>
  <c r="R49" i="1907"/>
  <c r="D49" i="1907"/>
  <c r="R48" i="1907"/>
  <c r="D48" i="1907"/>
  <c r="D46" i="1907"/>
  <c r="D45" i="1907"/>
  <c r="R44" i="1907"/>
  <c r="L28" i="1907" s="1"/>
  <c r="D28" i="1907" s="1"/>
  <c r="D44" i="1907"/>
  <c r="R42" i="1907"/>
  <c r="D42" i="1907"/>
  <c r="R41" i="1907"/>
  <c r="D41" i="1907"/>
  <c r="R40" i="1907"/>
  <c r="L8" i="1907" s="1"/>
  <c r="D8" i="1907" s="1"/>
  <c r="D40" i="1907"/>
  <c r="R39" i="1907"/>
  <c r="H39" i="1907"/>
  <c r="G49" i="1907" s="1"/>
  <c r="D39" i="1907"/>
  <c r="R38" i="1907"/>
  <c r="L9" i="1907" s="1"/>
  <c r="D9" i="1907" s="1"/>
  <c r="H38" i="1907"/>
  <c r="D38" i="1907"/>
  <c r="R37" i="1907"/>
  <c r="H37" i="1907"/>
  <c r="D37" i="1907"/>
  <c r="R36" i="1907"/>
  <c r="H36" i="1907"/>
  <c r="D36" i="1907"/>
  <c r="R35" i="1907"/>
  <c r="H35" i="1907"/>
  <c r="D35" i="1907"/>
  <c r="R34" i="1907"/>
  <c r="H34" i="1907"/>
  <c r="D34" i="1907"/>
  <c r="D54" i="1907" s="1"/>
  <c r="H14" i="1907" s="1"/>
  <c r="R33" i="1907"/>
  <c r="R32" i="1907"/>
  <c r="L11" i="1907" s="1"/>
  <c r="D11" i="1907" s="1"/>
  <c r="R31" i="1907"/>
  <c r="R30" i="1907"/>
  <c r="R29" i="1907"/>
  <c r="R28" i="1907"/>
  <c r="R27" i="1907"/>
  <c r="D27" i="1907"/>
  <c r="R26" i="1907"/>
  <c r="L26" i="1907"/>
  <c r="D26" i="1907"/>
  <c r="R25" i="1907"/>
  <c r="L25" i="1907"/>
  <c r="D25" i="1907" s="1"/>
  <c r="R24" i="1907"/>
  <c r="L24" i="1907"/>
  <c r="D24" i="1907"/>
  <c r="R23" i="1907"/>
  <c r="D23" i="1907"/>
  <c r="R22" i="1907"/>
  <c r="D22" i="1907"/>
  <c r="R21" i="1907"/>
  <c r="D21" i="1907"/>
  <c r="R20" i="1907"/>
  <c r="L20" i="1907"/>
  <c r="D20" i="1907" s="1"/>
  <c r="R19" i="1907"/>
  <c r="D19" i="1907"/>
  <c r="R18" i="1907"/>
  <c r="D18" i="1907"/>
  <c r="R17" i="1907"/>
  <c r="L17" i="1907"/>
  <c r="D17" i="1907"/>
  <c r="R16" i="1907"/>
  <c r="L16" i="1907"/>
  <c r="D16" i="1907" s="1"/>
  <c r="R15" i="1907"/>
  <c r="D15" i="1907"/>
  <c r="R14" i="1907"/>
  <c r="D14" i="1907"/>
  <c r="R13" i="1907"/>
  <c r="D13" i="1907"/>
  <c r="R12" i="1907"/>
  <c r="L12" i="1907"/>
  <c r="D12" i="1907"/>
  <c r="R11" i="1907"/>
  <c r="L10" i="1907"/>
  <c r="D10" i="1907" s="1"/>
  <c r="L7" i="1907"/>
  <c r="D7" i="1907"/>
  <c r="R6" i="1907"/>
  <c r="L6" i="1907"/>
  <c r="D6" i="1907" s="1"/>
  <c r="R5" i="1907"/>
  <c r="R4" i="1907"/>
  <c r="R52" i="1906"/>
  <c r="R51" i="1906"/>
  <c r="D50" i="1906"/>
  <c r="R49" i="1906"/>
  <c r="G49" i="1906"/>
  <c r="D49" i="1906"/>
  <c r="R48" i="1906"/>
  <c r="D48" i="1906"/>
  <c r="D46" i="1906"/>
  <c r="D45" i="1906"/>
  <c r="D44" i="1906"/>
  <c r="R42" i="1906"/>
  <c r="L6" i="1906" s="1"/>
  <c r="D6" i="1906" s="1"/>
  <c r="D42" i="1906"/>
  <c r="R41" i="1906"/>
  <c r="L7" i="1906" s="1"/>
  <c r="D7" i="1906" s="1"/>
  <c r="D41" i="1906"/>
  <c r="R40" i="1906"/>
  <c r="D40" i="1906"/>
  <c r="R39" i="1906"/>
  <c r="D39" i="1906"/>
  <c r="R38" i="1906"/>
  <c r="L9" i="1906" s="1"/>
  <c r="D9" i="1906" s="1"/>
  <c r="D38" i="1906"/>
  <c r="R37" i="1906"/>
  <c r="D37" i="1906"/>
  <c r="R36" i="1906"/>
  <c r="L10" i="1906" s="1"/>
  <c r="D10" i="1906" s="1"/>
  <c r="D36" i="1906"/>
  <c r="R35" i="1906"/>
  <c r="D35" i="1906"/>
  <c r="R34" i="1906"/>
  <c r="L12" i="1906" s="1"/>
  <c r="D12" i="1906" s="1"/>
  <c r="D34" i="1906"/>
  <c r="D54" i="1906" s="1"/>
  <c r="H14" i="1906" s="1"/>
  <c r="R33" i="1906"/>
  <c r="L23" i="1906" s="1"/>
  <c r="D23" i="1906" s="1"/>
  <c r="R32" i="1906"/>
  <c r="R31" i="1906"/>
  <c r="R30" i="1906"/>
  <c r="R29" i="1906"/>
  <c r="R28" i="1906"/>
  <c r="D28" i="1906"/>
  <c r="R27" i="1906"/>
  <c r="D27" i="1906"/>
  <c r="R26" i="1906"/>
  <c r="L26" i="1906"/>
  <c r="D26" i="1906"/>
  <c r="R25" i="1906"/>
  <c r="L25" i="1906"/>
  <c r="D25" i="1906"/>
  <c r="R24" i="1906"/>
  <c r="D24" i="1906"/>
  <c r="R23" i="1906"/>
  <c r="R22" i="1906"/>
  <c r="L22" i="1906"/>
  <c r="D22" i="1906" s="1"/>
  <c r="R21" i="1906"/>
  <c r="D21" i="1906"/>
  <c r="R20" i="1906"/>
  <c r="L20" i="1906"/>
  <c r="D20" i="1906"/>
  <c r="R19" i="1906"/>
  <c r="L19" i="1906"/>
  <c r="D19" i="1906"/>
  <c r="R18" i="1906"/>
  <c r="D18" i="1906"/>
  <c r="R17" i="1906"/>
  <c r="D17" i="1906"/>
  <c r="R16" i="1906"/>
  <c r="L16" i="1906"/>
  <c r="D16" i="1906" s="1"/>
  <c r="S15" i="1906"/>
  <c r="R15" i="1906"/>
  <c r="D15" i="1906"/>
  <c r="S14" i="1906"/>
  <c r="R14" i="1906"/>
  <c r="D14" i="1906"/>
  <c r="R13" i="1906"/>
  <c r="D13" i="1906"/>
  <c r="R12" i="1906"/>
  <c r="R11" i="1906"/>
  <c r="L11" i="1906"/>
  <c r="D11" i="1906" s="1"/>
  <c r="L8" i="1906"/>
  <c r="D8" i="1906"/>
  <c r="R6" i="1906"/>
  <c r="R5" i="1906"/>
  <c r="R4" i="1906"/>
  <c r="R52" i="1905"/>
  <c r="L22" i="1905" s="1"/>
  <c r="D22" i="1905" s="1"/>
  <c r="R51" i="1905"/>
  <c r="D50" i="1905"/>
  <c r="R49" i="1905"/>
  <c r="D49" i="1905"/>
  <c r="R48" i="1905"/>
  <c r="D48" i="1905"/>
  <c r="D46" i="1905"/>
  <c r="D45" i="1905"/>
  <c r="R44" i="1905"/>
  <c r="L28" i="1905" s="1"/>
  <c r="D28" i="1905" s="1"/>
  <c r="D44" i="1905"/>
  <c r="R42" i="1905"/>
  <c r="L6" i="1905" s="1"/>
  <c r="D6" i="1905" s="1"/>
  <c r="D42" i="1905"/>
  <c r="R41" i="1905"/>
  <c r="L7" i="1905" s="1"/>
  <c r="D7" i="1905" s="1"/>
  <c r="D41" i="1905"/>
  <c r="R40" i="1905"/>
  <c r="D40" i="1905"/>
  <c r="R39" i="1905"/>
  <c r="H39" i="1905"/>
  <c r="D39" i="1905"/>
  <c r="R38" i="1905"/>
  <c r="H38" i="1905"/>
  <c r="D38" i="1905"/>
  <c r="R37" i="1905"/>
  <c r="H37" i="1905"/>
  <c r="D37" i="1905"/>
  <c r="R36" i="1905"/>
  <c r="L10" i="1905" s="1"/>
  <c r="D10" i="1905" s="1"/>
  <c r="H36" i="1905"/>
  <c r="D36" i="1905"/>
  <c r="R35" i="1905"/>
  <c r="H35" i="1905"/>
  <c r="D35" i="1905"/>
  <c r="R34" i="1905"/>
  <c r="H34" i="1905"/>
  <c r="D34" i="1905"/>
  <c r="R33" i="1905"/>
  <c r="L23" i="1905" s="1"/>
  <c r="D23" i="1905" s="1"/>
  <c r="R32" i="1905"/>
  <c r="R31" i="1905"/>
  <c r="R30" i="1905"/>
  <c r="R29" i="1905"/>
  <c r="R28" i="1905"/>
  <c r="R27" i="1905"/>
  <c r="D27" i="1905"/>
  <c r="R26" i="1905"/>
  <c r="L26" i="1905"/>
  <c r="D26" i="1905"/>
  <c r="R25" i="1905"/>
  <c r="L25" i="1905"/>
  <c r="D25" i="1905" s="1"/>
  <c r="R24" i="1905"/>
  <c r="D24" i="1905"/>
  <c r="R23" i="1905"/>
  <c r="R22" i="1905"/>
  <c r="R21" i="1905"/>
  <c r="D21" i="1905"/>
  <c r="R20" i="1905"/>
  <c r="L20" i="1905"/>
  <c r="D20" i="1905"/>
  <c r="R19" i="1905"/>
  <c r="L19" i="1905"/>
  <c r="D19" i="1905" s="1"/>
  <c r="R18" i="1905"/>
  <c r="D18" i="1905"/>
  <c r="R17" i="1905"/>
  <c r="D17" i="1905"/>
  <c r="R16" i="1905"/>
  <c r="L16" i="1905"/>
  <c r="D16" i="1905" s="1"/>
  <c r="R15" i="1905"/>
  <c r="D15" i="1905"/>
  <c r="R14" i="1905"/>
  <c r="D14" i="1905"/>
  <c r="R13" i="1905"/>
  <c r="D13" i="1905"/>
  <c r="R12" i="1905"/>
  <c r="L12" i="1905"/>
  <c r="D12" i="1905"/>
  <c r="R11" i="1905"/>
  <c r="L11" i="1905"/>
  <c r="D11" i="1905" s="1"/>
  <c r="L9" i="1905"/>
  <c r="D9" i="1905"/>
  <c r="L8" i="1905"/>
  <c r="D8" i="1905" s="1"/>
  <c r="R6" i="1905"/>
  <c r="R5" i="1905"/>
  <c r="R4" i="1905"/>
  <c r="R52" i="1904"/>
  <c r="R51" i="1904"/>
  <c r="D50" i="1904"/>
  <c r="R49" i="1904"/>
  <c r="D49" i="1904"/>
  <c r="R48" i="1904"/>
  <c r="D48" i="1904"/>
  <c r="D46" i="1904"/>
  <c r="D45" i="1904"/>
  <c r="R44" i="1904"/>
  <c r="D44" i="1904"/>
  <c r="R42" i="1904"/>
  <c r="D42" i="1904"/>
  <c r="R41" i="1904"/>
  <c r="D41" i="1904"/>
  <c r="R40" i="1904"/>
  <c r="D40" i="1904"/>
  <c r="R39" i="1904"/>
  <c r="H39" i="1904"/>
  <c r="D39" i="1904"/>
  <c r="R38" i="1904"/>
  <c r="H38" i="1904"/>
  <c r="D38" i="1904"/>
  <c r="R37" i="1904"/>
  <c r="H37" i="1904"/>
  <c r="D37" i="1904"/>
  <c r="R36" i="1904"/>
  <c r="H36" i="1904"/>
  <c r="D36" i="1904"/>
  <c r="R35" i="1904"/>
  <c r="L19" i="1904" s="1"/>
  <c r="D19" i="1904" s="1"/>
  <c r="H35" i="1904"/>
  <c r="D35" i="1904"/>
  <c r="R34" i="1904"/>
  <c r="L12" i="1904" s="1"/>
  <c r="D12" i="1904" s="1"/>
  <c r="H34" i="1904"/>
  <c r="D34" i="1904"/>
  <c r="R33" i="1904"/>
  <c r="L23" i="1904" s="1"/>
  <c r="D23" i="1904" s="1"/>
  <c r="R32" i="1904"/>
  <c r="L11" i="1904" s="1"/>
  <c r="D11" i="1904" s="1"/>
  <c r="R31" i="1904"/>
  <c r="R30" i="1904"/>
  <c r="R29" i="1904"/>
  <c r="R28" i="1904"/>
  <c r="L28" i="1904"/>
  <c r="D28" i="1904"/>
  <c r="R27" i="1904"/>
  <c r="D27" i="1904"/>
  <c r="R26" i="1904"/>
  <c r="L26" i="1904"/>
  <c r="D26" i="1904" s="1"/>
  <c r="R25" i="1904"/>
  <c r="L25" i="1904"/>
  <c r="D25" i="1904" s="1"/>
  <c r="R24" i="1904"/>
  <c r="L24" i="1904"/>
  <c r="D24" i="1904" s="1"/>
  <c r="R23" i="1904"/>
  <c r="R22" i="1904"/>
  <c r="L22" i="1904"/>
  <c r="D22" i="1904"/>
  <c r="R21" i="1904"/>
  <c r="L17" i="1904" s="1"/>
  <c r="D17" i="1904" s="1"/>
  <c r="D21" i="1904"/>
  <c r="R20" i="1904"/>
  <c r="L20" i="1904"/>
  <c r="D20" i="1904" s="1"/>
  <c r="R19" i="1904"/>
  <c r="R18" i="1904"/>
  <c r="D18" i="1904"/>
  <c r="R17" i="1904"/>
  <c r="R16" i="1904"/>
  <c r="L16" i="1904"/>
  <c r="D16" i="1904"/>
  <c r="R15" i="1904"/>
  <c r="D15" i="1904"/>
  <c r="R14" i="1904"/>
  <c r="D14" i="1904"/>
  <c r="R13" i="1904"/>
  <c r="D13" i="1904"/>
  <c r="R12" i="1904"/>
  <c r="R11" i="1904"/>
  <c r="L10" i="1904"/>
  <c r="D10" i="1904" s="1"/>
  <c r="L9" i="1904"/>
  <c r="D9" i="1904"/>
  <c r="L8" i="1904"/>
  <c r="D8" i="1904"/>
  <c r="L7" i="1904"/>
  <c r="D7" i="1904" s="1"/>
  <c r="R6" i="1904"/>
  <c r="L6" i="1904"/>
  <c r="D6" i="1904" s="1"/>
  <c r="R5" i="1904"/>
  <c r="R4" i="1904"/>
  <c r="R52" i="1903"/>
  <c r="R51" i="1903"/>
  <c r="D50" i="1903"/>
  <c r="R49" i="1903"/>
  <c r="D49" i="1903"/>
  <c r="R48" i="1903"/>
  <c r="D48" i="1903"/>
  <c r="D46" i="1903"/>
  <c r="D45" i="1903"/>
  <c r="R44" i="1903"/>
  <c r="D44" i="1903"/>
  <c r="R42" i="1903"/>
  <c r="D42" i="1903"/>
  <c r="R41" i="1903"/>
  <c r="D41" i="1903"/>
  <c r="R40" i="1903"/>
  <c r="L8" i="1903" s="1"/>
  <c r="D8" i="1903" s="1"/>
  <c r="D40" i="1903"/>
  <c r="R39" i="1903"/>
  <c r="H39" i="1903"/>
  <c r="D39" i="1903"/>
  <c r="R38" i="1903"/>
  <c r="H38" i="1903"/>
  <c r="D38" i="1903"/>
  <c r="R37" i="1903"/>
  <c r="H37" i="1903"/>
  <c r="D37" i="1903"/>
  <c r="R36" i="1903"/>
  <c r="H36" i="1903"/>
  <c r="D36" i="1903"/>
  <c r="R35" i="1903"/>
  <c r="H35" i="1903"/>
  <c r="D35" i="1903"/>
  <c r="R34" i="1903"/>
  <c r="H34" i="1903"/>
  <c r="D34" i="1903"/>
  <c r="R33" i="1903"/>
  <c r="R32" i="1903"/>
  <c r="R31" i="1903"/>
  <c r="R30" i="1903"/>
  <c r="R29" i="1903"/>
  <c r="R28" i="1903"/>
  <c r="L16" i="1903" s="1"/>
  <c r="D16" i="1903" s="1"/>
  <c r="L28" i="1903"/>
  <c r="D28" i="1903"/>
  <c r="R27" i="1903"/>
  <c r="D27" i="1903"/>
  <c r="R26" i="1903"/>
  <c r="L26" i="1903"/>
  <c r="D26" i="1903" s="1"/>
  <c r="R25" i="1903"/>
  <c r="L25" i="1903"/>
  <c r="D25" i="1903" s="1"/>
  <c r="R24" i="1903"/>
  <c r="L24" i="1903"/>
  <c r="D24" i="1903" s="1"/>
  <c r="R23" i="1903"/>
  <c r="D23" i="1903"/>
  <c r="R22" i="1903"/>
  <c r="D22" i="1903"/>
  <c r="R21" i="1903"/>
  <c r="D21" i="1903"/>
  <c r="R20" i="1903"/>
  <c r="L20" i="1903"/>
  <c r="D20" i="1903" s="1"/>
  <c r="R19" i="1903"/>
  <c r="D19" i="1903"/>
  <c r="R18" i="1903"/>
  <c r="D18" i="1903"/>
  <c r="R17" i="1903"/>
  <c r="L17" i="1903"/>
  <c r="D17" i="1903" s="1"/>
  <c r="R16" i="1903"/>
  <c r="R15" i="1903"/>
  <c r="D15" i="1903"/>
  <c r="R14" i="1903"/>
  <c r="D14" i="1903"/>
  <c r="R13" i="1903"/>
  <c r="D13" i="1903"/>
  <c r="R12" i="1903"/>
  <c r="L12" i="1903"/>
  <c r="D12" i="1903"/>
  <c r="R11" i="1903"/>
  <c r="L11" i="1903"/>
  <c r="D11" i="1903" s="1"/>
  <c r="L10" i="1903"/>
  <c r="D10" i="1903"/>
  <c r="L9" i="1903"/>
  <c r="D9" i="1903" s="1"/>
  <c r="L7" i="1903"/>
  <c r="D7" i="1903" s="1"/>
  <c r="R6" i="1903"/>
  <c r="L6" i="1903"/>
  <c r="D6" i="1903" s="1"/>
  <c r="R5" i="1903"/>
  <c r="R4" i="1903"/>
  <c r="R52" i="1902"/>
  <c r="R51" i="1902"/>
  <c r="D50" i="1902"/>
  <c r="R49" i="1902"/>
  <c r="G49" i="1902"/>
  <c r="D49" i="1902"/>
  <c r="R48" i="1902"/>
  <c r="D48" i="1902"/>
  <c r="D46" i="1902"/>
  <c r="D45" i="1902"/>
  <c r="D44" i="1902"/>
  <c r="R42" i="1902"/>
  <c r="L6" i="1902" s="1"/>
  <c r="D6" i="1902" s="1"/>
  <c r="D42" i="1902"/>
  <c r="R41" i="1902"/>
  <c r="D41" i="1902"/>
  <c r="R40" i="1902"/>
  <c r="D40" i="1902"/>
  <c r="R39" i="1902"/>
  <c r="D39" i="1902"/>
  <c r="R38" i="1902"/>
  <c r="D38" i="1902"/>
  <c r="R37" i="1902"/>
  <c r="D37" i="1902"/>
  <c r="R36" i="1902"/>
  <c r="L10" i="1902" s="1"/>
  <c r="D10" i="1902" s="1"/>
  <c r="D36" i="1902"/>
  <c r="R35" i="1902"/>
  <c r="L19" i="1902" s="1"/>
  <c r="D19" i="1902" s="1"/>
  <c r="D35" i="1902"/>
  <c r="R34" i="1902"/>
  <c r="L12" i="1902" s="1"/>
  <c r="D12" i="1902" s="1"/>
  <c r="D34" i="1902"/>
  <c r="D54" i="1902" s="1"/>
  <c r="H14" i="1902" s="1"/>
  <c r="R33" i="1902"/>
  <c r="L23" i="1902" s="1"/>
  <c r="D23" i="1902" s="1"/>
  <c r="R32" i="1902"/>
  <c r="R31" i="1902"/>
  <c r="R30" i="1902"/>
  <c r="R29" i="1902"/>
  <c r="R28" i="1902"/>
  <c r="L16" i="1902" s="1"/>
  <c r="D16" i="1902" s="1"/>
  <c r="D28" i="1902"/>
  <c r="R27" i="1902"/>
  <c r="D27" i="1902"/>
  <c r="R26" i="1902"/>
  <c r="L26" i="1902"/>
  <c r="D26" i="1902" s="1"/>
  <c r="R25" i="1902"/>
  <c r="L25" i="1902"/>
  <c r="D25" i="1902"/>
  <c r="R24" i="1902"/>
  <c r="D24" i="1902"/>
  <c r="R23" i="1902"/>
  <c r="R22" i="1902"/>
  <c r="L22" i="1902"/>
  <c r="D22" i="1902"/>
  <c r="R21" i="1902"/>
  <c r="D21" i="1902"/>
  <c r="R20" i="1902"/>
  <c r="L20" i="1902"/>
  <c r="D20" i="1902" s="1"/>
  <c r="R19" i="1902"/>
  <c r="R18" i="1902"/>
  <c r="D18" i="1902"/>
  <c r="R17" i="1902"/>
  <c r="D17" i="1902"/>
  <c r="R16" i="1902"/>
  <c r="S15" i="1902"/>
  <c r="R15" i="1902"/>
  <c r="D15" i="1902"/>
  <c r="S14" i="1902"/>
  <c r="R14" i="1902"/>
  <c r="D14" i="1902"/>
  <c r="R13" i="1902"/>
  <c r="D13" i="1902"/>
  <c r="R12" i="1902"/>
  <c r="R11" i="1902"/>
  <c r="L11" i="1902"/>
  <c r="D11" i="1902" s="1"/>
  <c r="L9" i="1902"/>
  <c r="D9" i="1902"/>
  <c r="L8" i="1902"/>
  <c r="D8" i="1902"/>
  <c r="L7" i="1902"/>
  <c r="D7" i="1902" s="1"/>
  <c r="R6" i="1902"/>
  <c r="R5" i="1902"/>
  <c r="R4" i="1902"/>
  <c r="R52" i="1901"/>
  <c r="L22" i="1901" s="1"/>
  <c r="D22" i="1901" s="1"/>
  <c r="R51" i="1901"/>
  <c r="D50" i="1901"/>
  <c r="R49" i="1901"/>
  <c r="D49" i="1901"/>
  <c r="R48" i="1901"/>
  <c r="D48" i="1901"/>
  <c r="D46" i="1901"/>
  <c r="D45" i="1901"/>
  <c r="R44" i="1901"/>
  <c r="D44" i="1901"/>
  <c r="R42" i="1901"/>
  <c r="D42" i="1901"/>
  <c r="R41" i="1901"/>
  <c r="L7" i="1901" s="1"/>
  <c r="D7" i="1901" s="1"/>
  <c r="D41" i="1901"/>
  <c r="R40" i="1901"/>
  <c r="D40" i="1901"/>
  <c r="R39" i="1901"/>
  <c r="H39" i="1901"/>
  <c r="D39" i="1901"/>
  <c r="R38" i="1901"/>
  <c r="L9" i="1901" s="1"/>
  <c r="D9" i="1901" s="1"/>
  <c r="H38" i="1901"/>
  <c r="G49" i="1901" s="1"/>
  <c r="D38" i="1901"/>
  <c r="R37" i="1901"/>
  <c r="H37" i="1901"/>
  <c r="D37" i="1901"/>
  <c r="R36" i="1901"/>
  <c r="L10" i="1901" s="1"/>
  <c r="D10" i="1901" s="1"/>
  <c r="H36" i="1901"/>
  <c r="D36" i="1901"/>
  <c r="R35" i="1901"/>
  <c r="H35" i="1901"/>
  <c r="D35" i="1901"/>
  <c r="R34" i="1901"/>
  <c r="H34" i="1901"/>
  <c r="D34" i="1901"/>
  <c r="R33" i="1901"/>
  <c r="L23" i="1901" s="1"/>
  <c r="D23" i="1901" s="1"/>
  <c r="R32" i="1901"/>
  <c r="L11" i="1901" s="1"/>
  <c r="D11" i="1901" s="1"/>
  <c r="R31" i="1901"/>
  <c r="R30" i="1901"/>
  <c r="R29" i="1901"/>
  <c r="R28" i="1901"/>
  <c r="L28" i="1901"/>
  <c r="D28" i="1901"/>
  <c r="R27" i="1901"/>
  <c r="D27" i="1901"/>
  <c r="R26" i="1901"/>
  <c r="L26" i="1901"/>
  <c r="D26" i="1901"/>
  <c r="R25" i="1901"/>
  <c r="L25" i="1901"/>
  <c r="D25" i="1901"/>
  <c r="R24" i="1901"/>
  <c r="D24" i="1901"/>
  <c r="R23" i="1901"/>
  <c r="R22" i="1901"/>
  <c r="R21" i="1901"/>
  <c r="D21" i="1901"/>
  <c r="R20" i="1901"/>
  <c r="L20" i="1901"/>
  <c r="D20" i="1901"/>
  <c r="R19" i="1901"/>
  <c r="L19" i="1901"/>
  <c r="D19" i="1901"/>
  <c r="R18" i="1901"/>
  <c r="D18" i="1901"/>
  <c r="R17" i="1901"/>
  <c r="D17" i="1901"/>
  <c r="R16" i="1901"/>
  <c r="L16" i="1901"/>
  <c r="D16" i="1901" s="1"/>
  <c r="R15" i="1901"/>
  <c r="D15" i="1901"/>
  <c r="R14" i="1901"/>
  <c r="D14" i="1901"/>
  <c r="R13" i="1901"/>
  <c r="D13" i="1901"/>
  <c r="R12" i="1901"/>
  <c r="L12" i="1901"/>
  <c r="D12" i="1901" s="1"/>
  <c r="R11" i="1901"/>
  <c r="L8" i="1901"/>
  <c r="D8" i="1901" s="1"/>
  <c r="R6" i="1901"/>
  <c r="L6" i="1901"/>
  <c r="D6" i="1901"/>
  <c r="R5" i="1901"/>
  <c r="R4" i="1901"/>
  <c r="R52" i="1900"/>
  <c r="R51" i="1900"/>
  <c r="D50" i="1900"/>
  <c r="R49" i="1900"/>
  <c r="D49" i="1900"/>
  <c r="R48" i="1900"/>
  <c r="D48" i="1900"/>
  <c r="D46" i="1900"/>
  <c r="D45" i="1900"/>
  <c r="R44" i="1900"/>
  <c r="D44" i="1900"/>
  <c r="R42" i="1900"/>
  <c r="L6" i="1900" s="1"/>
  <c r="D6" i="1900" s="1"/>
  <c r="D42" i="1900"/>
  <c r="R41" i="1900"/>
  <c r="D41" i="1900"/>
  <c r="R40" i="1900"/>
  <c r="D40" i="1900"/>
  <c r="R39" i="1900"/>
  <c r="L20" i="1900" s="1"/>
  <c r="D20" i="1900" s="1"/>
  <c r="H39" i="1900"/>
  <c r="D39" i="1900"/>
  <c r="R38" i="1900"/>
  <c r="H38" i="1900"/>
  <c r="D38" i="1900"/>
  <c r="R37" i="1900"/>
  <c r="H37" i="1900"/>
  <c r="D37" i="1900"/>
  <c r="R36" i="1900"/>
  <c r="L10" i="1900" s="1"/>
  <c r="D10" i="1900" s="1"/>
  <c r="H36" i="1900"/>
  <c r="D36" i="1900"/>
  <c r="R35" i="1900"/>
  <c r="H35" i="1900"/>
  <c r="D35" i="1900"/>
  <c r="R34" i="1900"/>
  <c r="L12" i="1900" s="1"/>
  <c r="D12" i="1900" s="1"/>
  <c r="H34" i="1900"/>
  <c r="D34" i="1900"/>
  <c r="R33" i="1900"/>
  <c r="L23" i="1900" s="1"/>
  <c r="D23" i="1900" s="1"/>
  <c r="R32" i="1900"/>
  <c r="R31" i="1900"/>
  <c r="R30" i="1900"/>
  <c r="R29" i="1900"/>
  <c r="R28" i="1900"/>
  <c r="L28" i="1900"/>
  <c r="D28" i="1900"/>
  <c r="R27" i="1900"/>
  <c r="D27" i="1900"/>
  <c r="R26" i="1900"/>
  <c r="L26" i="1900"/>
  <c r="D26" i="1900"/>
  <c r="R25" i="1900"/>
  <c r="L25" i="1900"/>
  <c r="D25" i="1900" s="1"/>
  <c r="R24" i="1900"/>
  <c r="L24" i="1900"/>
  <c r="D24" i="1900"/>
  <c r="R23" i="1900"/>
  <c r="R22" i="1900"/>
  <c r="L22" i="1900"/>
  <c r="D22" i="1900" s="1"/>
  <c r="R21" i="1900"/>
  <c r="L17" i="1900" s="1"/>
  <c r="D17" i="1900" s="1"/>
  <c r="D21" i="1900"/>
  <c r="R20" i="1900"/>
  <c r="R19" i="1900"/>
  <c r="L19" i="1900"/>
  <c r="D19" i="1900" s="1"/>
  <c r="R18" i="1900"/>
  <c r="D18" i="1900"/>
  <c r="R17" i="1900"/>
  <c r="R16" i="1900"/>
  <c r="L16" i="1900"/>
  <c r="D16" i="1900" s="1"/>
  <c r="R15" i="1900"/>
  <c r="D15" i="1900"/>
  <c r="R14" i="1900"/>
  <c r="D14" i="1900"/>
  <c r="R13" i="1900"/>
  <c r="D13" i="1900"/>
  <c r="R12" i="1900"/>
  <c r="R11" i="1900"/>
  <c r="L11" i="1900"/>
  <c r="D11" i="1900"/>
  <c r="L9" i="1900"/>
  <c r="D9" i="1900"/>
  <c r="L8" i="1900"/>
  <c r="D8" i="1900" s="1"/>
  <c r="L7" i="1900"/>
  <c r="D7" i="1900" s="1"/>
  <c r="R6" i="1900"/>
  <c r="R5" i="1900"/>
  <c r="R4" i="1900"/>
  <c r="R52" i="1899"/>
  <c r="R51" i="1899"/>
  <c r="D50" i="1899"/>
  <c r="R49" i="1899"/>
  <c r="D49" i="1899"/>
  <c r="R48" i="1899"/>
  <c r="D48" i="1899"/>
  <c r="D46" i="1899"/>
  <c r="D45" i="1899"/>
  <c r="R44" i="1899"/>
  <c r="D44" i="1899"/>
  <c r="R42" i="1899"/>
  <c r="D42" i="1899"/>
  <c r="R41" i="1899"/>
  <c r="D41" i="1899"/>
  <c r="R40" i="1899"/>
  <c r="L8" i="1899" s="1"/>
  <c r="D8" i="1899" s="1"/>
  <c r="D40" i="1899"/>
  <c r="R39" i="1899"/>
  <c r="L20" i="1899" s="1"/>
  <c r="D20" i="1899" s="1"/>
  <c r="H39" i="1899"/>
  <c r="D39" i="1899"/>
  <c r="R38" i="1899"/>
  <c r="L9" i="1899" s="1"/>
  <c r="D9" i="1899" s="1"/>
  <c r="H38" i="1899"/>
  <c r="D38" i="1899"/>
  <c r="R37" i="1899"/>
  <c r="H37" i="1899"/>
  <c r="G49" i="1899" s="1"/>
  <c r="D37" i="1899"/>
  <c r="R36" i="1899"/>
  <c r="H36" i="1899"/>
  <c r="D36" i="1899"/>
  <c r="R35" i="1899"/>
  <c r="H35" i="1899"/>
  <c r="D35" i="1899"/>
  <c r="R34" i="1899"/>
  <c r="H34" i="1899"/>
  <c r="D34" i="1899"/>
  <c r="R33" i="1899"/>
  <c r="R32" i="1899"/>
  <c r="R31" i="1899"/>
  <c r="R30" i="1899"/>
  <c r="R29" i="1899"/>
  <c r="R28" i="1899"/>
  <c r="L16" i="1899" s="1"/>
  <c r="D16" i="1899" s="1"/>
  <c r="L28" i="1899"/>
  <c r="D28" i="1899"/>
  <c r="R27" i="1899"/>
  <c r="D27" i="1899"/>
  <c r="R26" i="1899"/>
  <c r="L26" i="1899"/>
  <c r="D26" i="1899"/>
  <c r="R25" i="1899"/>
  <c r="L25" i="1899"/>
  <c r="D25" i="1899" s="1"/>
  <c r="R24" i="1899"/>
  <c r="L24" i="1899"/>
  <c r="D24" i="1899"/>
  <c r="R23" i="1899"/>
  <c r="D23" i="1899"/>
  <c r="R22" i="1899"/>
  <c r="D22" i="1899"/>
  <c r="R21" i="1899"/>
  <c r="D21" i="1899"/>
  <c r="R20" i="1899"/>
  <c r="R19" i="1899"/>
  <c r="D19" i="1899"/>
  <c r="R18" i="1899"/>
  <c r="D18" i="1899"/>
  <c r="R17" i="1899"/>
  <c r="L17" i="1899"/>
  <c r="D17" i="1899"/>
  <c r="R16" i="1899"/>
  <c r="R15" i="1899"/>
  <c r="D15" i="1899"/>
  <c r="R14" i="1899"/>
  <c r="D14" i="1899"/>
  <c r="R13" i="1899"/>
  <c r="D13" i="1899"/>
  <c r="R12" i="1899"/>
  <c r="L12" i="1899"/>
  <c r="D12" i="1899"/>
  <c r="R11" i="1899"/>
  <c r="L11" i="1899"/>
  <c r="D11" i="1899" s="1"/>
  <c r="L10" i="1899"/>
  <c r="D10" i="1899" s="1"/>
  <c r="L7" i="1899"/>
  <c r="D7" i="1899"/>
  <c r="R6" i="1899"/>
  <c r="L6" i="1899"/>
  <c r="D6" i="1899" s="1"/>
  <c r="R5" i="1899"/>
  <c r="R4" i="1899"/>
  <c r="R52" i="1898"/>
  <c r="R51" i="1898"/>
  <c r="D50" i="1898"/>
  <c r="R49" i="1898"/>
  <c r="G49" i="1898"/>
  <c r="D49" i="1898"/>
  <c r="R48" i="1898"/>
  <c r="D48" i="1898"/>
  <c r="D46" i="1898"/>
  <c r="D45" i="1898"/>
  <c r="D44" i="1898"/>
  <c r="R42" i="1898"/>
  <c r="L6" i="1898" s="1"/>
  <c r="D6" i="1898" s="1"/>
  <c r="D42" i="1898"/>
  <c r="R41" i="1898"/>
  <c r="L7" i="1898" s="1"/>
  <c r="D7" i="1898" s="1"/>
  <c r="D41" i="1898"/>
  <c r="R40" i="1898"/>
  <c r="D40" i="1898"/>
  <c r="R39" i="1898"/>
  <c r="D39" i="1898"/>
  <c r="R38" i="1898"/>
  <c r="L9" i="1898" s="1"/>
  <c r="D9" i="1898" s="1"/>
  <c r="D38" i="1898"/>
  <c r="R37" i="1898"/>
  <c r="D37" i="1898"/>
  <c r="R36" i="1898"/>
  <c r="L10" i="1898" s="1"/>
  <c r="D10" i="1898" s="1"/>
  <c r="D36" i="1898"/>
  <c r="R35" i="1898"/>
  <c r="D35" i="1898"/>
  <c r="R34" i="1898"/>
  <c r="L12" i="1898" s="1"/>
  <c r="D12" i="1898" s="1"/>
  <c r="D34" i="1898"/>
  <c r="D54" i="1898" s="1"/>
  <c r="H14" i="1898" s="1"/>
  <c r="R33" i="1898"/>
  <c r="L23" i="1898" s="1"/>
  <c r="D23" i="1898" s="1"/>
  <c r="R32" i="1898"/>
  <c r="R31" i="1898"/>
  <c r="R30" i="1898"/>
  <c r="R29" i="1898"/>
  <c r="R28" i="1898"/>
  <c r="D28" i="1898"/>
  <c r="R27" i="1898"/>
  <c r="D27" i="1898"/>
  <c r="R26" i="1898"/>
  <c r="L26" i="1898"/>
  <c r="D26" i="1898"/>
  <c r="R25" i="1898"/>
  <c r="L25" i="1898"/>
  <c r="D25" i="1898"/>
  <c r="R24" i="1898"/>
  <c r="D24" i="1898"/>
  <c r="R23" i="1898"/>
  <c r="R22" i="1898"/>
  <c r="L22" i="1898"/>
  <c r="D22" i="1898" s="1"/>
  <c r="R21" i="1898"/>
  <c r="D21" i="1898"/>
  <c r="R20" i="1898"/>
  <c r="L20" i="1898"/>
  <c r="D20" i="1898"/>
  <c r="R19" i="1898"/>
  <c r="L19" i="1898"/>
  <c r="D19" i="1898"/>
  <c r="R18" i="1898"/>
  <c r="D18" i="1898"/>
  <c r="R17" i="1898"/>
  <c r="D17" i="1898"/>
  <c r="R16" i="1898"/>
  <c r="L16" i="1898"/>
  <c r="D16" i="1898" s="1"/>
  <c r="S15" i="1898"/>
  <c r="R15" i="1898"/>
  <c r="D15" i="1898"/>
  <c r="S14" i="1898"/>
  <c r="R14" i="1898"/>
  <c r="D14" i="1898"/>
  <c r="R13" i="1898"/>
  <c r="D13" i="1898"/>
  <c r="R12" i="1898"/>
  <c r="R11" i="1898"/>
  <c r="L11" i="1898"/>
  <c r="D11" i="1898" s="1"/>
  <c r="L8" i="1898"/>
  <c r="D8" i="1898"/>
  <c r="R6" i="1898"/>
  <c r="R5" i="1898"/>
  <c r="R4" i="1898"/>
  <c r="R52" i="1897"/>
  <c r="L22" i="1897" s="1"/>
  <c r="D22" i="1897" s="1"/>
  <c r="R51" i="1897"/>
  <c r="D50" i="1897"/>
  <c r="R49" i="1897"/>
  <c r="D49" i="1897"/>
  <c r="R48" i="1897"/>
  <c r="D48" i="1897"/>
  <c r="D46" i="1897"/>
  <c r="D45" i="1897"/>
  <c r="R44" i="1897"/>
  <c r="D44" i="1897"/>
  <c r="R42" i="1897"/>
  <c r="D42" i="1897"/>
  <c r="R41" i="1897"/>
  <c r="D41" i="1897"/>
  <c r="R40" i="1897"/>
  <c r="D40" i="1897"/>
  <c r="R39" i="1897"/>
  <c r="H39" i="1897"/>
  <c r="D39" i="1897"/>
  <c r="R38" i="1897"/>
  <c r="L9" i="1897" s="1"/>
  <c r="D9" i="1897" s="1"/>
  <c r="H38" i="1897"/>
  <c r="D38" i="1897"/>
  <c r="R37" i="1897"/>
  <c r="H37" i="1897"/>
  <c r="D37" i="1897"/>
  <c r="R36" i="1897"/>
  <c r="L10" i="1897" s="1"/>
  <c r="D10" i="1897" s="1"/>
  <c r="H36" i="1897"/>
  <c r="D36" i="1897"/>
  <c r="R35" i="1897"/>
  <c r="H35" i="1897"/>
  <c r="D35" i="1897"/>
  <c r="R34" i="1897"/>
  <c r="H34" i="1897"/>
  <c r="D34" i="1897"/>
  <c r="R33" i="1897"/>
  <c r="R32" i="1897"/>
  <c r="L11" i="1897" s="1"/>
  <c r="D11" i="1897" s="1"/>
  <c r="R31" i="1897"/>
  <c r="R30" i="1897"/>
  <c r="R29" i="1897"/>
  <c r="R28" i="1897"/>
  <c r="L28" i="1897"/>
  <c r="D28" i="1897"/>
  <c r="R27" i="1897"/>
  <c r="D27" i="1897"/>
  <c r="R26" i="1897"/>
  <c r="L26" i="1897"/>
  <c r="D26" i="1897"/>
  <c r="R25" i="1897"/>
  <c r="L25" i="1897"/>
  <c r="D25" i="1897" s="1"/>
  <c r="R24" i="1897"/>
  <c r="D24" i="1897"/>
  <c r="R23" i="1897"/>
  <c r="L23" i="1897"/>
  <c r="D23" i="1897" s="1"/>
  <c r="R22" i="1897"/>
  <c r="R21" i="1897"/>
  <c r="D21" i="1897"/>
  <c r="R20" i="1897"/>
  <c r="L20" i="1897"/>
  <c r="D20" i="1897"/>
  <c r="R19" i="1897"/>
  <c r="L19" i="1897"/>
  <c r="D19" i="1897" s="1"/>
  <c r="R18" i="1897"/>
  <c r="D18" i="1897"/>
  <c r="R17" i="1897"/>
  <c r="D17" i="1897"/>
  <c r="R16" i="1897"/>
  <c r="L16" i="1897"/>
  <c r="D16" i="1897" s="1"/>
  <c r="R15" i="1897"/>
  <c r="D15" i="1897"/>
  <c r="R14" i="1897"/>
  <c r="D14" i="1897"/>
  <c r="R13" i="1897"/>
  <c r="D13" i="1897"/>
  <c r="R12" i="1897"/>
  <c r="L12" i="1897"/>
  <c r="D12" i="1897"/>
  <c r="R11" i="1897"/>
  <c r="L8" i="1897"/>
  <c r="D8" i="1897"/>
  <c r="L7" i="1897"/>
  <c r="D7" i="1897"/>
  <c r="R6" i="1897"/>
  <c r="L6" i="1897"/>
  <c r="D6" i="1897"/>
  <c r="R5" i="1897"/>
  <c r="R4" i="1897"/>
  <c r="R52" i="1896"/>
  <c r="R51" i="1896"/>
  <c r="D50" i="1896"/>
  <c r="R49" i="1896"/>
  <c r="D49" i="1896"/>
  <c r="R48" i="1896"/>
  <c r="D48" i="1896"/>
  <c r="D46" i="1896"/>
  <c r="D45" i="1896"/>
  <c r="R44" i="1896"/>
  <c r="L28" i="1896" s="1"/>
  <c r="D28" i="1896" s="1"/>
  <c r="D44" i="1896"/>
  <c r="R42" i="1896"/>
  <c r="D42" i="1896"/>
  <c r="R41" i="1896"/>
  <c r="D41" i="1896"/>
  <c r="R40" i="1896"/>
  <c r="D40" i="1896"/>
  <c r="R39" i="1896"/>
  <c r="H39" i="1896"/>
  <c r="D39" i="1896"/>
  <c r="R38" i="1896"/>
  <c r="H38" i="1896"/>
  <c r="D38" i="1896"/>
  <c r="R37" i="1896"/>
  <c r="H37" i="1896"/>
  <c r="D37" i="1896"/>
  <c r="R36" i="1896"/>
  <c r="H36" i="1896"/>
  <c r="D36" i="1896"/>
  <c r="R35" i="1896"/>
  <c r="L19" i="1896" s="1"/>
  <c r="D19" i="1896" s="1"/>
  <c r="H35" i="1896"/>
  <c r="D35" i="1896"/>
  <c r="R34" i="1896"/>
  <c r="H34" i="1896"/>
  <c r="D34" i="1896"/>
  <c r="R33" i="1896"/>
  <c r="L23" i="1896" s="1"/>
  <c r="D23" i="1896" s="1"/>
  <c r="R32" i="1896"/>
  <c r="R31" i="1896"/>
  <c r="R30" i="1896"/>
  <c r="R29" i="1896"/>
  <c r="R28" i="1896"/>
  <c r="L16" i="1896" s="1"/>
  <c r="D16" i="1896" s="1"/>
  <c r="R27" i="1896"/>
  <c r="D27" i="1896"/>
  <c r="R26" i="1896"/>
  <c r="L26" i="1896"/>
  <c r="D26" i="1896"/>
  <c r="R25" i="1896"/>
  <c r="L25" i="1896"/>
  <c r="D25" i="1896" s="1"/>
  <c r="R24" i="1896"/>
  <c r="L24" i="1896"/>
  <c r="D24" i="1896"/>
  <c r="R23" i="1896"/>
  <c r="R22" i="1896"/>
  <c r="L22" i="1896"/>
  <c r="D22" i="1896"/>
  <c r="R21" i="1896"/>
  <c r="L17" i="1896" s="1"/>
  <c r="D17" i="1896" s="1"/>
  <c r="D21" i="1896"/>
  <c r="R20" i="1896"/>
  <c r="L20" i="1896"/>
  <c r="D20" i="1896"/>
  <c r="R19" i="1896"/>
  <c r="R18" i="1896"/>
  <c r="D18" i="1896"/>
  <c r="R17" i="1896"/>
  <c r="R16" i="1896"/>
  <c r="R15" i="1896"/>
  <c r="D15" i="1896"/>
  <c r="R14" i="1896"/>
  <c r="D14" i="1896"/>
  <c r="R13" i="1896"/>
  <c r="D13" i="1896"/>
  <c r="R12" i="1896"/>
  <c r="L12" i="1896"/>
  <c r="D12" i="1896" s="1"/>
  <c r="R11" i="1896"/>
  <c r="L11" i="1896"/>
  <c r="D11" i="1896"/>
  <c r="L10" i="1896"/>
  <c r="D10" i="1896" s="1"/>
  <c r="L9" i="1896"/>
  <c r="D9" i="1896"/>
  <c r="L8" i="1896"/>
  <c r="D8" i="1896"/>
  <c r="L7" i="1896"/>
  <c r="D7" i="1896" s="1"/>
  <c r="R6" i="1896"/>
  <c r="L6" i="1896"/>
  <c r="D6" i="1896"/>
  <c r="R5" i="1896"/>
  <c r="R4" i="1896"/>
  <c r="R52" i="1895"/>
  <c r="R51" i="1895"/>
  <c r="D50" i="1895"/>
  <c r="R49" i="1895"/>
  <c r="D49" i="1895"/>
  <c r="R48" i="1895"/>
  <c r="D48" i="1895"/>
  <c r="D46" i="1895"/>
  <c r="D45" i="1895"/>
  <c r="R44" i="1895"/>
  <c r="L28" i="1895" s="1"/>
  <c r="D28" i="1895" s="1"/>
  <c r="D44" i="1895"/>
  <c r="R42" i="1895"/>
  <c r="D42" i="1895"/>
  <c r="R41" i="1895"/>
  <c r="D41" i="1895"/>
  <c r="R40" i="1895"/>
  <c r="L8" i="1895" s="1"/>
  <c r="D8" i="1895" s="1"/>
  <c r="D40" i="1895"/>
  <c r="R39" i="1895"/>
  <c r="L20" i="1895" s="1"/>
  <c r="D20" i="1895" s="1"/>
  <c r="H39" i="1895"/>
  <c r="D39" i="1895"/>
  <c r="R38" i="1895"/>
  <c r="L9" i="1895" s="1"/>
  <c r="D9" i="1895" s="1"/>
  <c r="H38" i="1895"/>
  <c r="D38" i="1895"/>
  <c r="R37" i="1895"/>
  <c r="H37" i="1895"/>
  <c r="D37" i="1895"/>
  <c r="R36" i="1895"/>
  <c r="H36" i="1895"/>
  <c r="D36" i="1895"/>
  <c r="R35" i="1895"/>
  <c r="H35" i="1895"/>
  <c r="D35" i="1895"/>
  <c r="R34" i="1895"/>
  <c r="H34" i="1895"/>
  <c r="D34" i="1895"/>
  <c r="R33" i="1895"/>
  <c r="R32" i="1895"/>
  <c r="L11" i="1895" s="1"/>
  <c r="D11" i="1895" s="1"/>
  <c r="R31" i="1895"/>
  <c r="R30" i="1895"/>
  <c r="R29" i="1895"/>
  <c r="R28" i="1895"/>
  <c r="L16" i="1895" s="1"/>
  <c r="D16" i="1895" s="1"/>
  <c r="R27" i="1895"/>
  <c r="D27" i="1895"/>
  <c r="R26" i="1895"/>
  <c r="D26" i="1895"/>
  <c r="R25" i="1895"/>
  <c r="L25" i="1895"/>
  <c r="D25" i="1895"/>
  <c r="R24" i="1895"/>
  <c r="L24" i="1895"/>
  <c r="D24" i="1895"/>
  <c r="R23" i="1895"/>
  <c r="D23" i="1895"/>
  <c r="R22" i="1895"/>
  <c r="D22" i="1895"/>
  <c r="R21" i="1895"/>
  <c r="D21" i="1895"/>
  <c r="R20" i="1895"/>
  <c r="R19" i="1895"/>
  <c r="D19" i="1895"/>
  <c r="R18" i="1895"/>
  <c r="D18" i="1895"/>
  <c r="R17" i="1895"/>
  <c r="D17" i="1895"/>
  <c r="R16" i="1895"/>
  <c r="R15" i="1895"/>
  <c r="D15" i="1895"/>
  <c r="R14" i="1895"/>
  <c r="D14" i="1895"/>
  <c r="R13" i="1895"/>
  <c r="D13" i="1895"/>
  <c r="R12" i="1895"/>
  <c r="L12" i="1895"/>
  <c r="D12" i="1895" s="1"/>
  <c r="R11" i="1895"/>
  <c r="L10" i="1895"/>
  <c r="D10" i="1895" s="1"/>
  <c r="L7" i="1895"/>
  <c r="D7" i="1895"/>
  <c r="R6" i="1895"/>
  <c r="L6" i="1895"/>
  <c r="D6" i="1895"/>
  <c r="R5" i="1895"/>
  <c r="R4" i="1895"/>
  <c r="D54" i="1894"/>
  <c r="H14" i="1894" s="1"/>
  <c r="R52" i="1894"/>
  <c r="R51" i="1894"/>
  <c r="D50" i="1894"/>
  <c r="R49" i="1894"/>
  <c r="G49" i="1894"/>
  <c r="D49" i="1894"/>
  <c r="R48" i="1894"/>
  <c r="D48" i="1894"/>
  <c r="D46" i="1894"/>
  <c r="D45" i="1894"/>
  <c r="D44" i="1894"/>
  <c r="R42" i="1894"/>
  <c r="L6" i="1894" s="1"/>
  <c r="D6" i="1894" s="1"/>
  <c r="D42" i="1894"/>
  <c r="R41" i="1894"/>
  <c r="L7" i="1894" s="1"/>
  <c r="D7" i="1894" s="1"/>
  <c r="D41" i="1894"/>
  <c r="R40" i="1894"/>
  <c r="D40" i="1894"/>
  <c r="R39" i="1894"/>
  <c r="D39" i="1894"/>
  <c r="R38" i="1894"/>
  <c r="L9" i="1894" s="1"/>
  <c r="D9" i="1894" s="1"/>
  <c r="D38" i="1894"/>
  <c r="R37" i="1894"/>
  <c r="D37" i="1894"/>
  <c r="R36" i="1894"/>
  <c r="D36" i="1894"/>
  <c r="R35" i="1894"/>
  <c r="D35" i="1894"/>
  <c r="R34" i="1894"/>
  <c r="L12" i="1894" s="1"/>
  <c r="D12" i="1894" s="1"/>
  <c r="D34" i="1894"/>
  <c r="R33" i="1894"/>
  <c r="L23" i="1894" s="1"/>
  <c r="D23" i="1894" s="1"/>
  <c r="R32" i="1894"/>
  <c r="L11" i="1894" s="1"/>
  <c r="D11" i="1894" s="1"/>
  <c r="R31" i="1894"/>
  <c r="R30" i="1894"/>
  <c r="R29" i="1894"/>
  <c r="R28" i="1894"/>
  <c r="D28" i="1894"/>
  <c r="R27" i="1894"/>
  <c r="D27" i="1894"/>
  <c r="R26" i="1894"/>
  <c r="L26" i="1894"/>
  <c r="D26" i="1894"/>
  <c r="R25" i="1894"/>
  <c r="L25" i="1894"/>
  <c r="D25" i="1894"/>
  <c r="R24" i="1894"/>
  <c r="D24" i="1894"/>
  <c r="R23" i="1894"/>
  <c r="R22" i="1894"/>
  <c r="L22" i="1894"/>
  <c r="D22" i="1894"/>
  <c r="R21" i="1894"/>
  <c r="D21" i="1894"/>
  <c r="R20" i="1894"/>
  <c r="L20" i="1894"/>
  <c r="D20" i="1894"/>
  <c r="R19" i="1894"/>
  <c r="L19" i="1894"/>
  <c r="D19" i="1894"/>
  <c r="R18" i="1894"/>
  <c r="D18" i="1894"/>
  <c r="R17" i="1894"/>
  <c r="D17" i="1894"/>
  <c r="R16" i="1894"/>
  <c r="L16" i="1894"/>
  <c r="D16" i="1894" s="1"/>
  <c r="S15" i="1894"/>
  <c r="R15" i="1894"/>
  <c r="D15" i="1894"/>
  <c r="S14" i="1894"/>
  <c r="R14" i="1894"/>
  <c r="D14" i="1894"/>
  <c r="R13" i="1894"/>
  <c r="D13" i="1894"/>
  <c r="R12" i="1894"/>
  <c r="R11" i="1894"/>
  <c r="L10" i="1894"/>
  <c r="D10" i="1894" s="1"/>
  <c r="L8" i="1894"/>
  <c r="D8" i="1894"/>
  <c r="R6" i="1894"/>
  <c r="R5" i="1894"/>
  <c r="R4" i="1894"/>
  <c r="R52" i="1893"/>
  <c r="R51" i="1893"/>
  <c r="D50" i="1893"/>
  <c r="R49" i="1893"/>
  <c r="D49" i="1893"/>
  <c r="R48" i="1893"/>
  <c r="D48" i="1893"/>
  <c r="D46" i="1893"/>
  <c r="D45" i="1893"/>
  <c r="R44" i="1893"/>
  <c r="L28" i="1893" s="1"/>
  <c r="D28" i="1893" s="1"/>
  <c r="D44" i="1893"/>
  <c r="R42" i="1893"/>
  <c r="L6" i="1893" s="1"/>
  <c r="D6" i="1893" s="1"/>
  <c r="D42" i="1893"/>
  <c r="R41" i="1893"/>
  <c r="D41" i="1893"/>
  <c r="R40" i="1893"/>
  <c r="D40" i="1893"/>
  <c r="R39" i="1893"/>
  <c r="H39" i="1893"/>
  <c r="D39" i="1893"/>
  <c r="R38" i="1893"/>
  <c r="L9" i="1893" s="1"/>
  <c r="D9" i="1893" s="1"/>
  <c r="H38" i="1893"/>
  <c r="D38" i="1893"/>
  <c r="R37" i="1893"/>
  <c r="H37" i="1893"/>
  <c r="D37" i="1893"/>
  <c r="R36" i="1893"/>
  <c r="H36" i="1893"/>
  <c r="D36" i="1893"/>
  <c r="R35" i="1893"/>
  <c r="H35" i="1893"/>
  <c r="D35" i="1893"/>
  <c r="R34" i="1893"/>
  <c r="L12" i="1893" s="1"/>
  <c r="D12" i="1893" s="1"/>
  <c r="H34" i="1893"/>
  <c r="D34" i="1893"/>
  <c r="R33" i="1893"/>
  <c r="L23" i="1893" s="1"/>
  <c r="D23" i="1893" s="1"/>
  <c r="R32" i="1893"/>
  <c r="R31" i="1893"/>
  <c r="R30" i="1893"/>
  <c r="R29" i="1893"/>
  <c r="R28" i="1893"/>
  <c r="R27" i="1893"/>
  <c r="D27" i="1893"/>
  <c r="R26" i="1893"/>
  <c r="L26" i="1893"/>
  <c r="D26" i="1893"/>
  <c r="R25" i="1893"/>
  <c r="D25" i="1893"/>
  <c r="R24" i="1893"/>
  <c r="D24" i="1893"/>
  <c r="R23" i="1893"/>
  <c r="R22" i="1893"/>
  <c r="L22" i="1893"/>
  <c r="D22" i="1893"/>
  <c r="R21" i="1893"/>
  <c r="D21" i="1893"/>
  <c r="R20" i="1893"/>
  <c r="L20" i="1893"/>
  <c r="D20" i="1893"/>
  <c r="R19" i="1893"/>
  <c r="L19" i="1893"/>
  <c r="D19" i="1893" s="1"/>
  <c r="R18" i="1893"/>
  <c r="D18" i="1893"/>
  <c r="R17" i="1893"/>
  <c r="D17" i="1893"/>
  <c r="R16" i="1893"/>
  <c r="D16" i="1893"/>
  <c r="R15" i="1893"/>
  <c r="D15" i="1893"/>
  <c r="R14" i="1893"/>
  <c r="D14" i="1893"/>
  <c r="R13" i="1893"/>
  <c r="D13" i="1893"/>
  <c r="R12" i="1893"/>
  <c r="R11" i="1893"/>
  <c r="L11" i="1893"/>
  <c r="D11" i="1893" s="1"/>
  <c r="L10" i="1893"/>
  <c r="D10" i="1893"/>
  <c r="L8" i="1893"/>
  <c r="D8" i="1893"/>
  <c r="L7" i="1893"/>
  <c r="D7" i="1893"/>
  <c r="R6" i="1893"/>
  <c r="R5" i="1893"/>
  <c r="R4" i="1893"/>
  <c r="R52" i="1892"/>
  <c r="R51" i="1892"/>
  <c r="D50" i="1892"/>
  <c r="R49" i="1892"/>
  <c r="D49" i="1892"/>
  <c r="R48" i="1892"/>
  <c r="D48" i="1892"/>
  <c r="D46" i="1892"/>
  <c r="D45" i="1892"/>
  <c r="R44" i="1892"/>
  <c r="L28" i="1892" s="1"/>
  <c r="D28" i="1892" s="1"/>
  <c r="D44" i="1892"/>
  <c r="R42" i="1892"/>
  <c r="L6" i="1892" s="1"/>
  <c r="D6" i="1892" s="1"/>
  <c r="D42" i="1892"/>
  <c r="R41" i="1892"/>
  <c r="L7" i="1892" s="1"/>
  <c r="D7" i="1892" s="1"/>
  <c r="D41" i="1892"/>
  <c r="R40" i="1892"/>
  <c r="L8" i="1892" s="1"/>
  <c r="D8" i="1892" s="1"/>
  <c r="D40" i="1892"/>
  <c r="R39" i="1892"/>
  <c r="H39" i="1892"/>
  <c r="D39" i="1892"/>
  <c r="R38" i="1892"/>
  <c r="H38" i="1892"/>
  <c r="D38" i="1892"/>
  <c r="R37" i="1892"/>
  <c r="H37" i="1892"/>
  <c r="D37" i="1892"/>
  <c r="R36" i="1892"/>
  <c r="H36" i="1892"/>
  <c r="D36" i="1892"/>
  <c r="R35" i="1892"/>
  <c r="L19" i="1892" s="1"/>
  <c r="D19" i="1892" s="1"/>
  <c r="H35" i="1892"/>
  <c r="D35" i="1892"/>
  <c r="R34" i="1892"/>
  <c r="L12" i="1892" s="1"/>
  <c r="D12" i="1892" s="1"/>
  <c r="H34" i="1892"/>
  <c r="D34" i="1892"/>
  <c r="R33" i="1892"/>
  <c r="R32" i="1892"/>
  <c r="R31" i="1892"/>
  <c r="R30" i="1892"/>
  <c r="R29" i="1892"/>
  <c r="R28" i="1892"/>
  <c r="R27" i="1892"/>
  <c r="D27" i="1892"/>
  <c r="R26" i="1892"/>
  <c r="L26" i="1892"/>
  <c r="D26" i="1892" s="1"/>
  <c r="R25" i="1892"/>
  <c r="L25" i="1892"/>
  <c r="D25" i="1892" s="1"/>
  <c r="R24" i="1892"/>
  <c r="L24" i="1892"/>
  <c r="D24" i="1892"/>
  <c r="R23" i="1892"/>
  <c r="L23" i="1892"/>
  <c r="D23" i="1892"/>
  <c r="R22" i="1892"/>
  <c r="L22" i="1892"/>
  <c r="D22" i="1892"/>
  <c r="R21" i="1892"/>
  <c r="L17" i="1892" s="1"/>
  <c r="D17" i="1892" s="1"/>
  <c r="D21" i="1892"/>
  <c r="R20" i="1892"/>
  <c r="L20" i="1892"/>
  <c r="D20" i="1892"/>
  <c r="R19" i="1892"/>
  <c r="R18" i="1892"/>
  <c r="D18" i="1892"/>
  <c r="R17" i="1892"/>
  <c r="R16" i="1892"/>
  <c r="L16" i="1892"/>
  <c r="D16" i="1892"/>
  <c r="R15" i="1892"/>
  <c r="D15" i="1892"/>
  <c r="R14" i="1892"/>
  <c r="D14" i="1892"/>
  <c r="R13" i="1892"/>
  <c r="D13" i="1892"/>
  <c r="R12" i="1892"/>
  <c r="R11" i="1892"/>
  <c r="L11" i="1892"/>
  <c r="D11" i="1892"/>
  <c r="L10" i="1892"/>
  <c r="D10" i="1892"/>
  <c r="L9" i="1892"/>
  <c r="D9" i="1892"/>
  <c r="R6" i="1892"/>
  <c r="R5" i="1892"/>
  <c r="R4" i="1892"/>
  <c r="R52" i="1891"/>
  <c r="R51" i="1891"/>
  <c r="D50" i="1891"/>
  <c r="R49" i="1891"/>
  <c r="D49" i="1891"/>
  <c r="R48" i="1891"/>
  <c r="D48" i="1891"/>
  <c r="D46" i="1891"/>
  <c r="D45" i="1891"/>
  <c r="R44" i="1891"/>
  <c r="D44" i="1891"/>
  <c r="R42" i="1891"/>
  <c r="L6" i="1891" s="1"/>
  <c r="D6" i="1891" s="1"/>
  <c r="D42" i="1891"/>
  <c r="R41" i="1891"/>
  <c r="L7" i="1891" s="1"/>
  <c r="D7" i="1891" s="1"/>
  <c r="D41" i="1891"/>
  <c r="R40" i="1891"/>
  <c r="D40" i="1891"/>
  <c r="R39" i="1891"/>
  <c r="L20" i="1891" s="1"/>
  <c r="D20" i="1891" s="1"/>
  <c r="H39" i="1891"/>
  <c r="D39" i="1891"/>
  <c r="R38" i="1891"/>
  <c r="H38" i="1891"/>
  <c r="D38" i="1891"/>
  <c r="R37" i="1891"/>
  <c r="H37" i="1891"/>
  <c r="D37" i="1891"/>
  <c r="R36" i="1891"/>
  <c r="L10" i="1891" s="1"/>
  <c r="D10" i="1891" s="1"/>
  <c r="H36" i="1891"/>
  <c r="D36" i="1891"/>
  <c r="R35" i="1891"/>
  <c r="H35" i="1891"/>
  <c r="D35" i="1891"/>
  <c r="R34" i="1891"/>
  <c r="H34" i="1891"/>
  <c r="D34" i="1891"/>
  <c r="R33" i="1891"/>
  <c r="R32" i="1891"/>
  <c r="R31" i="1891"/>
  <c r="R30" i="1891"/>
  <c r="R29" i="1891"/>
  <c r="R28" i="1891"/>
  <c r="L16" i="1891" s="1"/>
  <c r="D16" i="1891" s="1"/>
  <c r="L28" i="1891"/>
  <c r="D28" i="1891"/>
  <c r="R27" i="1891"/>
  <c r="D27" i="1891"/>
  <c r="R26" i="1891"/>
  <c r="L26" i="1891"/>
  <c r="D26" i="1891"/>
  <c r="R25" i="1891"/>
  <c r="L25" i="1891"/>
  <c r="D25" i="1891" s="1"/>
  <c r="R24" i="1891"/>
  <c r="L24" i="1891"/>
  <c r="D24" i="1891"/>
  <c r="R23" i="1891"/>
  <c r="D23" i="1891"/>
  <c r="R22" i="1891"/>
  <c r="D22" i="1891"/>
  <c r="R21" i="1891"/>
  <c r="D21" i="1891"/>
  <c r="R20" i="1891"/>
  <c r="R19" i="1891"/>
  <c r="D19" i="1891"/>
  <c r="R18" i="1891"/>
  <c r="D18" i="1891"/>
  <c r="R17" i="1891"/>
  <c r="L17" i="1891"/>
  <c r="D17" i="1891"/>
  <c r="R16" i="1891"/>
  <c r="R15" i="1891"/>
  <c r="D15" i="1891"/>
  <c r="R14" i="1891"/>
  <c r="D14" i="1891"/>
  <c r="R13" i="1891"/>
  <c r="D13" i="1891"/>
  <c r="R12" i="1891"/>
  <c r="L12" i="1891"/>
  <c r="D12" i="1891"/>
  <c r="R11" i="1891"/>
  <c r="L11" i="1891"/>
  <c r="D11" i="1891"/>
  <c r="L9" i="1891"/>
  <c r="D9" i="1891"/>
  <c r="L8" i="1891"/>
  <c r="D8" i="1891" s="1"/>
  <c r="R6" i="1891"/>
  <c r="R5" i="1891"/>
  <c r="R4" i="1891"/>
  <c r="R52" i="1890"/>
  <c r="R51" i="1890"/>
  <c r="D50" i="1890"/>
  <c r="R49" i="1890"/>
  <c r="G49" i="1890"/>
  <c r="D49" i="1890"/>
  <c r="R48" i="1890"/>
  <c r="D48" i="1890"/>
  <c r="D46" i="1890"/>
  <c r="D45" i="1890"/>
  <c r="D44" i="1890"/>
  <c r="R42" i="1890"/>
  <c r="L6" i="1890" s="1"/>
  <c r="D6" i="1890" s="1"/>
  <c r="D42" i="1890"/>
  <c r="R41" i="1890"/>
  <c r="L7" i="1890" s="1"/>
  <c r="D7" i="1890" s="1"/>
  <c r="D41" i="1890"/>
  <c r="R40" i="1890"/>
  <c r="D40" i="1890"/>
  <c r="R39" i="1890"/>
  <c r="D39" i="1890"/>
  <c r="R38" i="1890"/>
  <c r="L9" i="1890" s="1"/>
  <c r="D9" i="1890" s="1"/>
  <c r="D38" i="1890"/>
  <c r="R37" i="1890"/>
  <c r="D37" i="1890"/>
  <c r="R36" i="1890"/>
  <c r="L10" i="1890" s="1"/>
  <c r="D10" i="1890" s="1"/>
  <c r="D36" i="1890"/>
  <c r="R35" i="1890"/>
  <c r="D35" i="1890"/>
  <c r="R34" i="1890"/>
  <c r="L12" i="1890" s="1"/>
  <c r="D12" i="1890" s="1"/>
  <c r="D34" i="1890"/>
  <c r="D54" i="1890" s="1"/>
  <c r="H14" i="1890" s="1"/>
  <c r="R33" i="1890"/>
  <c r="L23" i="1890" s="1"/>
  <c r="D23" i="1890" s="1"/>
  <c r="R32" i="1890"/>
  <c r="R31" i="1890"/>
  <c r="R30" i="1890"/>
  <c r="R29" i="1890"/>
  <c r="R28" i="1890"/>
  <c r="L16" i="1890" s="1"/>
  <c r="D16" i="1890" s="1"/>
  <c r="D28" i="1890"/>
  <c r="R27" i="1890"/>
  <c r="D27" i="1890"/>
  <c r="R26" i="1890"/>
  <c r="L26" i="1890"/>
  <c r="D26" i="1890"/>
  <c r="R25" i="1890"/>
  <c r="L25" i="1890"/>
  <c r="D25" i="1890"/>
  <c r="R24" i="1890"/>
  <c r="D24" i="1890"/>
  <c r="R23" i="1890"/>
  <c r="R22" i="1890"/>
  <c r="L22" i="1890"/>
  <c r="D22" i="1890"/>
  <c r="R21" i="1890"/>
  <c r="D21" i="1890"/>
  <c r="R20" i="1890"/>
  <c r="L20" i="1890"/>
  <c r="D20" i="1890"/>
  <c r="R19" i="1890"/>
  <c r="L19" i="1890"/>
  <c r="D19" i="1890"/>
  <c r="R18" i="1890"/>
  <c r="D18" i="1890"/>
  <c r="R17" i="1890"/>
  <c r="D17" i="1890"/>
  <c r="R16" i="1890"/>
  <c r="S15" i="1890"/>
  <c r="R15" i="1890"/>
  <c r="D15" i="1890"/>
  <c r="S14" i="1890"/>
  <c r="R14" i="1890"/>
  <c r="D14" i="1890"/>
  <c r="R13" i="1890"/>
  <c r="D13" i="1890"/>
  <c r="R12" i="1890"/>
  <c r="R11" i="1890"/>
  <c r="L11" i="1890"/>
  <c r="D11" i="1890"/>
  <c r="L8" i="1890"/>
  <c r="D8" i="1890"/>
  <c r="R6" i="1890"/>
  <c r="R5" i="1890"/>
  <c r="R4" i="1890"/>
  <c r="H16" i="1883"/>
  <c r="H16" i="1885"/>
  <c r="C21" i="1884"/>
  <c r="C12" i="1883"/>
  <c r="G49" i="1913" l="1"/>
  <c r="G49" i="1912"/>
  <c r="G49" i="1911"/>
  <c r="D54" i="1913"/>
  <c r="H14" i="1913" s="1"/>
  <c r="D54" i="1912"/>
  <c r="H14" i="1912" s="1"/>
  <c r="D54" i="1911"/>
  <c r="H14" i="1911" s="1"/>
  <c r="G49" i="1903"/>
  <c r="G49" i="1904"/>
  <c r="G49" i="1905"/>
  <c r="D54" i="1905"/>
  <c r="H14" i="1905" s="1"/>
  <c r="D54" i="1904"/>
  <c r="H14" i="1904" s="1"/>
  <c r="D29" i="1904"/>
  <c r="H13" i="1904" s="1"/>
  <c r="D54" i="1903"/>
  <c r="H14" i="1903" s="1"/>
  <c r="G49" i="1900"/>
  <c r="D54" i="1901"/>
  <c r="H14" i="1901" s="1"/>
  <c r="D54" i="1900"/>
  <c r="H14" i="1900" s="1"/>
  <c r="D54" i="1899"/>
  <c r="H14" i="1899" s="1"/>
  <c r="D54" i="1897"/>
  <c r="H14" i="1897" s="1"/>
  <c r="G49" i="1897"/>
  <c r="G49" i="1896"/>
  <c r="G49" i="1895"/>
  <c r="D54" i="1896"/>
  <c r="H14" i="1896" s="1"/>
  <c r="D54" i="1895"/>
  <c r="H14" i="1895" s="1"/>
  <c r="G49" i="1891"/>
  <c r="G49" i="1892"/>
  <c r="G49" i="1893"/>
  <c r="D54" i="1893"/>
  <c r="H14" i="1893" s="1"/>
  <c r="D54" i="1892"/>
  <c r="H14" i="1892" s="1"/>
  <c r="D54" i="1891"/>
  <c r="H14" i="1891" s="1"/>
  <c r="D29" i="1913"/>
  <c r="H13" i="1913" s="1"/>
  <c r="D29" i="1912"/>
  <c r="H13" i="1912" s="1"/>
  <c r="D29" i="1911"/>
  <c r="H13" i="1911" s="1"/>
  <c r="D29" i="1910"/>
  <c r="H13" i="1910" s="1"/>
  <c r="H15" i="1910" s="1"/>
  <c r="H29" i="1910" s="1"/>
  <c r="G51" i="1910" s="1"/>
  <c r="D29" i="1909"/>
  <c r="H13" i="1909" s="1"/>
  <c r="H15" i="1909" s="1"/>
  <c r="H29" i="1909" s="1"/>
  <c r="G51" i="1909" s="1"/>
  <c r="D29" i="1908"/>
  <c r="H13" i="1908" s="1"/>
  <c r="H15" i="1908" s="1"/>
  <c r="H29" i="1908" s="1"/>
  <c r="G51" i="1908"/>
  <c r="D29" i="1907"/>
  <c r="H13" i="1907" s="1"/>
  <c r="H15" i="1907" s="1"/>
  <c r="H29" i="1907" s="1"/>
  <c r="G51" i="1907" s="1"/>
  <c r="D29" i="1906"/>
  <c r="H13" i="1906" s="1"/>
  <c r="H15" i="1906" s="1"/>
  <c r="H29" i="1906" s="1"/>
  <c r="G51" i="1906" s="1"/>
  <c r="D29" i="1905"/>
  <c r="H13" i="1905" s="1"/>
  <c r="D29" i="1903"/>
  <c r="H13" i="1903" s="1"/>
  <c r="D29" i="1902"/>
  <c r="H13" i="1902" s="1"/>
  <c r="H15" i="1902" s="1"/>
  <c r="H29" i="1902" s="1"/>
  <c r="G51" i="1902" s="1"/>
  <c r="D29" i="1901"/>
  <c r="H13" i="1901" s="1"/>
  <c r="D29" i="1900"/>
  <c r="H13" i="1900" s="1"/>
  <c r="D29" i="1899"/>
  <c r="H13" i="1899" s="1"/>
  <c r="D29" i="1898"/>
  <c r="H13" i="1898" s="1"/>
  <c r="H15" i="1898" s="1"/>
  <c r="H29" i="1898" s="1"/>
  <c r="G51" i="1898"/>
  <c r="D29" i="1897"/>
  <c r="H13" i="1897" s="1"/>
  <c r="H15" i="1897" s="1"/>
  <c r="H29" i="1897" s="1"/>
  <c r="G51" i="1897" s="1"/>
  <c r="D29" i="1896"/>
  <c r="H13" i="1896" s="1"/>
  <c r="D29" i="1895"/>
  <c r="H13" i="1895" s="1"/>
  <c r="D29" i="1894"/>
  <c r="H13" i="1894" s="1"/>
  <c r="H15" i="1894" s="1"/>
  <c r="H29" i="1894" s="1"/>
  <c r="G51" i="1894"/>
  <c r="D29" i="1893"/>
  <c r="H13" i="1893" s="1"/>
  <c r="D29" i="1892"/>
  <c r="H13" i="1892" s="1"/>
  <c r="D29" i="1891"/>
  <c r="H13" i="1891" s="1"/>
  <c r="D29" i="1890"/>
  <c r="H13" i="1890" s="1"/>
  <c r="H15" i="1890" s="1"/>
  <c r="H29" i="1890" s="1"/>
  <c r="G51" i="1890"/>
  <c r="H16" i="1877"/>
  <c r="H16" i="1876"/>
  <c r="H16" i="1875"/>
  <c r="C21" i="1877"/>
  <c r="H16" i="1873"/>
  <c r="H16" i="1872"/>
  <c r="H16" i="1871"/>
  <c r="C12" i="1873"/>
  <c r="C21" i="1873"/>
  <c r="H16" i="1869"/>
  <c r="H16" i="1868"/>
  <c r="L27" i="1868"/>
  <c r="C21" i="1867"/>
  <c r="H15" i="1913" l="1"/>
  <c r="H29" i="1913" s="1"/>
  <c r="G51" i="1913" s="1"/>
  <c r="H15" i="1912"/>
  <c r="H29" i="1912" s="1"/>
  <c r="G51" i="1912" s="1"/>
  <c r="H15" i="1911"/>
  <c r="H29" i="1911" s="1"/>
  <c r="G51" i="1911" s="1"/>
  <c r="H15" i="1905"/>
  <c r="H29" i="1905" s="1"/>
  <c r="G51" i="1905" s="1"/>
  <c r="H15" i="1904"/>
  <c r="H29" i="1904" s="1"/>
  <c r="G51" i="1904" s="1"/>
  <c r="H15" i="1903"/>
  <c r="H29" i="1903" s="1"/>
  <c r="G51" i="1903" s="1"/>
  <c r="H15" i="1901"/>
  <c r="H29" i="1901" s="1"/>
  <c r="G51" i="1901" s="1"/>
  <c r="H15" i="1900"/>
  <c r="H29" i="1900" s="1"/>
  <c r="G51" i="1900" s="1"/>
  <c r="H15" i="1899"/>
  <c r="H29" i="1899" s="1"/>
  <c r="G51" i="1899" s="1"/>
  <c r="H15" i="1896"/>
  <c r="H29" i="1896" s="1"/>
  <c r="G51" i="1896" s="1"/>
  <c r="H15" i="1895"/>
  <c r="H29" i="1895" s="1"/>
  <c r="G51" i="1895" s="1"/>
  <c r="H15" i="1893"/>
  <c r="H29" i="1893" s="1"/>
  <c r="G51" i="1893" s="1"/>
  <c r="H15" i="1892"/>
  <c r="H29" i="1892" s="1"/>
  <c r="G51" i="1892" s="1"/>
  <c r="H15" i="1891"/>
  <c r="H29" i="1891" s="1"/>
  <c r="G51" i="1891" s="1"/>
  <c r="H16" i="1864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 s="1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 s="1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L20" i="1888" s="1"/>
  <c r="D20" i="1888" s="1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 s="1"/>
  <c r="R21" i="1888"/>
  <c r="L17" i="1888" s="1"/>
  <c r="D17" i="1888" s="1"/>
  <c r="D21" i="1888"/>
  <c r="R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 s="1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L10" i="1886" s="1"/>
  <c r="D10" i="1886" s="1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D34" i="1885"/>
  <c r="R33" i="1885"/>
  <c r="L23" i="1885" s="1"/>
  <c r="D23" i="1885" s="1"/>
  <c r="R32" i="1885"/>
  <c r="R31" i="1885"/>
  <c r="R30" i="1885"/>
  <c r="R29" i="1885"/>
  <c r="R28" i="1885"/>
  <c r="L16" i="1885" s="1"/>
  <c r="D16" i="1885" s="1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L7" i="1884" s="1"/>
  <c r="D7" i="1884" s="1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L23" i="1884" s="1"/>
  <c r="D23" i="1884" s="1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 s="1"/>
  <c r="R25" i="1884"/>
  <c r="L25" i="1884"/>
  <c r="D25" i="1884" s="1"/>
  <c r="R24" i="1884"/>
  <c r="L24" i="1884"/>
  <c r="D24" i="1884" s="1"/>
  <c r="R23" i="1884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L28" i="1883" s="1"/>
  <c r="D28" i="1883" s="1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L11" i="1883" s="1"/>
  <c r="D11" i="1883" s="1"/>
  <c r="R31" i="1883"/>
  <c r="R30" i="1883"/>
  <c r="R29" i="1883"/>
  <c r="R28" i="1883"/>
  <c r="L16" i="1883" s="1"/>
  <c r="D16" i="1883" s="1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L10" i="1882" s="1"/>
  <c r="D10" i="1882" s="1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L19" i="1881" s="1"/>
  <c r="D19" i="1881" s="1"/>
  <c r="H35" i="1881"/>
  <c r="D35" i="1881"/>
  <c r="R34" i="1881"/>
  <c r="L12" i="1881" s="1"/>
  <c r="D12" i="1881" s="1"/>
  <c r="H34" i="1881"/>
  <c r="D34" i="1881"/>
  <c r="R33" i="1881"/>
  <c r="L23" i="1881" s="1"/>
  <c r="D23" i="1881" s="1"/>
  <c r="R32" i="1881"/>
  <c r="L11" i="1881" s="1"/>
  <c r="D11" i="1881" s="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R34" i="1880"/>
  <c r="H34" i="1880"/>
  <c r="D34" i="1880"/>
  <c r="R33" i="1880"/>
  <c r="L23" i="1880" s="1"/>
  <c r="D23" i="1880" s="1"/>
  <c r="R32" i="1880"/>
  <c r="L11" i="1880" s="1"/>
  <c r="D11" i="1880" s="1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 s="1"/>
  <c r="R24" i="1880"/>
  <c r="L24" i="1880"/>
  <c r="D24" i="1880" s="1"/>
  <c r="R23" i="1880"/>
  <c r="R22" i="1880"/>
  <c r="L22" i="1880"/>
  <c r="D22" i="1880" s="1"/>
  <c r="R21" i="1880"/>
  <c r="L17" i="1880" s="1"/>
  <c r="D17" i="1880" s="1"/>
  <c r="D21" i="1880"/>
  <c r="R20" i="1880"/>
  <c r="L20" i="1880"/>
  <c r="D20" i="1880" s="1"/>
  <c r="R19" i="1880"/>
  <c r="R18" i="1880"/>
  <c r="D18" i="1880"/>
  <c r="R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L7" i="1879" s="1"/>
  <c r="D7" i="1879" s="1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 s="1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 s="1"/>
  <c r="R16" i="1879"/>
  <c r="R15" i="1879"/>
  <c r="D15" i="1879"/>
  <c r="R14" i="1879"/>
  <c r="D14" i="1879"/>
  <c r="R13" i="1879"/>
  <c r="D13" i="1879"/>
  <c r="R12" i="1879"/>
  <c r="R11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L9" i="1877" s="1"/>
  <c r="D9" i="1877" s="1"/>
  <c r="H38" i="1877"/>
  <c r="D38" i="1877"/>
  <c r="R37" i="1877"/>
  <c r="H37" i="1877"/>
  <c r="D37" i="1877"/>
  <c r="R36" i="1877"/>
  <c r="L10" i="1877" s="1"/>
  <c r="D10" i="1877" s="1"/>
  <c r="H36" i="1877"/>
  <c r="D36" i="1877"/>
  <c r="R35" i="1877"/>
  <c r="L19" i="1877" s="1"/>
  <c r="D19" i="1877" s="1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L16" i="1877" s="1"/>
  <c r="D16" i="1877" s="1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 s="1"/>
  <c r="R19" i="1877"/>
  <c r="R18" i="1877"/>
  <c r="D18" i="1877"/>
  <c r="R17" i="1877"/>
  <c r="D17" i="1877"/>
  <c r="R16" i="1877"/>
  <c r="R15" i="1877"/>
  <c r="D15" i="1877"/>
  <c r="R14" i="1877"/>
  <c r="D14" i="1877"/>
  <c r="R13" i="1877"/>
  <c r="D13" i="1877"/>
  <c r="R12" i="1877"/>
  <c r="R11" i="1877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L20" i="1876" s="1"/>
  <c r="D20" i="1876" s="1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 s="1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L28" i="1875" s="1"/>
  <c r="D28" i="1875" s="1"/>
  <c r="D44" i="1875"/>
  <c r="R42" i="1875"/>
  <c r="L6" i="1875" s="1"/>
  <c r="D6" i="1875" s="1"/>
  <c r="D42" i="1875"/>
  <c r="R41" i="1875"/>
  <c r="L7" i="1875" s="1"/>
  <c r="D7" i="1875" s="1"/>
  <c r="D41" i="1875"/>
  <c r="R40" i="1875"/>
  <c r="L8" i="1875" s="1"/>
  <c r="D8" i="1875" s="1"/>
  <c r="D40" i="1875"/>
  <c r="R39" i="1875"/>
  <c r="L20" i="1875" s="1"/>
  <c r="D20" i="1875" s="1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 s="1"/>
  <c r="R19" i="1874"/>
  <c r="L19" i="1874"/>
  <c r="D19" i="1874" s="1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 s="1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L7" i="1872" s="1"/>
  <c r="D7" i="1872" s="1"/>
  <c r="D41" i="1872"/>
  <c r="R40" i="1872"/>
  <c r="L8" i="1872" s="1"/>
  <c r="D8" i="1872" s="1"/>
  <c r="D40" i="1872"/>
  <c r="R39" i="1872"/>
  <c r="H39" i="1872"/>
  <c r="D39" i="1872"/>
  <c r="R38" i="1872"/>
  <c r="L9" i="1872" s="1"/>
  <c r="D9" i="1872" s="1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L19" i="1872" s="1"/>
  <c r="D19" i="1872" s="1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 s="1"/>
  <c r="R25" i="1872"/>
  <c r="L25" i="1872"/>
  <c r="D25" i="1872" s="1"/>
  <c r="R24" i="1872"/>
  <c r="L24" i="1872"/>
  <c r="D24" i="1872" s="1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L20" i="1871" s="1"/>
  <c r="D20" i="1871" s="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R19" i="1871"/>
  <c r="D19" i="1871"/>
  <c r="R18" i="1871"/>
  <c r="D18" i="1871"/>
  <c r="R17" i="1871"/>
  <c r="L17" i="1871"/>
  <c r="D17" i="1871" s="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L8" i="1870" s="1"/>
  <c r="D8" i="1870" s="1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 s="1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R6" i="1870"/>
  <c r="R5" i="1870"/>
  <c r="R4" i="1870"/>
  <c r="R52" i="1869"/>
  <c r="L22" i="1869" s="1"/>
  <c r="D22" i="1869" s="1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L10" i="1869" s="1"/>
  <c r="D10" i="1869" s="1"/>
  <c r="H36" i="1869"/>
  <c r="D36" i="1869"/>
  <c r="R35" i="1869"/>
  <c r="H35" i="1869"/>
  <c r="D35" i="1869"/>
  <c r="R34" i="1869"/>
  <c r="L12" i="1869" s="1"/>
  <c r="D12" i="1869" s="1"/>
  <c r="H34" i="1869"/>
  <c r="D34" i="1869"/>
  <c r="R33" i="1869"/>
  <c r="L23" i="1869" s="1"/>
  <c r="D23" i="1869" s="1"/>
  <c r="R32" i="1869"/>
  <c r="L11" i="1869" s="1"/>
  <c r="D11" i="1869" s="1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R21" i="1869"/>
  <c r="D21" i="1869"/>
  <c r="R20" i="1869"/>
  <c r="L20" i="1869"/>
  <c r="D20" i="1869" s="1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L6" i="1868" s="1"/>
  <c r="D6" i="1868" s="1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L9" i="1868" s="1"/>
  <c r="D9" i="1868" s="1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R6" i="1868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L20" i="1867" s="1"/>
  <c r="D20" i="1867" s="1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 s="1"/>
  <c r="R24" i="1867"/>
  <c r="L24" i="1867"/>
  <c r="D24" i="1867" s="1"/>
  <c r="R23" i="1867"/>
  <c r="D23" i="1867"/>
  <c r="R22" i="1867"/>
  <c r="D22" i="1867"/>
  <c r="R21" i="1867"/>
  <c r="D21" i="1867"/>
  <c r="R20" i="1867"/>
  <c r="R19" i="1867"/>
  <c r="D19" i="1867"/>
  <c r="R18" i="1867"/>
  <c r="D18" i="1867"/>
  <c r="R17" i="1867"/>
  <c r="L17" i="1867"/>
  <c r="D17" i="1867" s="1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L8" i="1866" s="1"/>
  <c r="D8" i="1866" s="1"/>
  <c r="D40" i="1866"/>
  <c r="R39" i="1866"/>
  <c r="D39" i="1866"/>
  <c r="R38" i="1866"/>
  <c r="L9" i="1866" s="1"/>
  <c r="D9" i="1866" s="1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L12" i="1866" s="1"/>
  <c r="D12" i="1866" s="1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 s="1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R11" i="1866"/>
  <c r="R6" i="1866"/>
  <c r="R5" i="1866"/>
  <c r="R4" i="1866"/>
  <c r="G49" i="1889" l="1"/>
  <c r="D54" i="1869"/>
  <c r="H14" i="1869" s="1"/>
  <c r="G49" i="1885"/>
  <c r="G49" i="1868"/>
  <c r="D54" i="1880"/>
  <c r="H14" i="1880" s="1"/>
  <c r="D54" i="1881"/>
  <c r="H14" i="1881" s="1"/>
  <c r="G49" i="1877"/>
  <c r="D54" i="1879"/>
  <c r="H14" i="1879" s="1"/>
  <c r="G49" i="1881"/>
  <c r="D54" i="1867"/>
  <c r="H14" i="1867" s="1"/>
  <c r="D29" i="188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D29" i="1888"/>
  <c r="H13" i="1888" s="1"/>
  <c r="H15" i="1888" s="1"/>
  <c r="H29" i="1888" s="1"/>
  <c r="D29" i="1886"/>
  <c r="H13" i="1886" s="1"/>
  <c r="D29" i="1885"/>
  <c r="H13" i="1885" s="1"/>
  <c r="D29" i="1884"/>
  <c r="H13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D29" i="1878"/>
  <c r="H13" i="1878" s="1"/>
  <c r="H15" i="1878" s="1"/>
  <c r="H29" i="1878" s="1"/>
  <c r="G51" i="1878" s="1"/>
  <c r="D29" i="1877"/>
  <c r="H13" i="1877" s="1"/>
  <c r="D29" i="1876"/>
  <c r="H13" i="1876" s="1"/>
  <c r="D29" i="1875"/>
  <c r="H13" i="1875" s="1"/>
  <c r="D29" i="1874"/>
  <c r="H13" i="1874" s="1"/>
  <c r="D29" i="1873"/>
  <c r="H13" i="1873" s="1"/>
  <c r="D29" i="1872"/>
  <c r="H13" i="1872" s="1"/>
  <c r="D29" i="1871"/>
  <c r="H13" i="1871" s="1"/>
  <c r="D29" i="1870"/>
  <c r="H13" i="1870" s="1"/>
  <c r="H15" i="1870" s="1"/>
  <c r="H29" i="1870" s="1"/>
  <c r="G51" i="1870" s="1"/>
  <c r="D29" i="1868"/>
  <c r="H13" i="1868" s="1"/>
  <c r="D29" i="1867"/>
  <c r="H13" i="1867" s="1"/>
  <c r="H16" i="1861"/>
  <c r="C21" i="1859"/>
  <c r="G51" i="1888" l="1"/>
  <c r="H15" i="1889"/>
  <c r="H29" i="1889" s="1"/>
  <c r="G51" i="1889" s="1"/>
  <c r="H15" i="1885"/>
  <c r="H29" i="1885" s="1"/>
  <c r="G51" i="1885" s="1"/>
  <c r="H15" i="1876"/>
  <c r="H29" i="1876" s="1"/>
  <c r="G51" i="1876" s="1"/>
  <c r="H15" i="1873"/>
  <c r="H29" i="1873" s="1"/>
  <c r="G51" i="1873" s="1"/>
  <c r="H15" i="1868"/>
  <c r="H29" i="1868" s="1"/>
  <c r="G51" i="1868" s="1"/>
  <c r="H15" i="1879"/>
  <c r="H29" i="1879" s="1"/>
  <c r="G51" i="1879" s="1"/>
  <c r="H15" i="1871"/>
  <c r="H29" i="1871" s="1"/>
  <c r="G51" i="1871" s="1"/>
  <c r="H15" i="1884"/>
  <c r="H29" i="1884" s="1"/>
  <c r="G51" i="1884" s="1"/>
  <c r="H15" i="1869"/>
  <c r="H29" i="1869" s="1"/>
  <c r="G51" i="1869" s="1"/>
  <c r="H15" i="1867"/>
  <c r="H29" i="1867" s="1"/>
  <c r="G51" i="1867" s="1"/>
  <c r="H15" i="1872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 s="1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L9" i="1861" s="1"/>
  <c r="D9" i="1861" s="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L12" i="1861" s="1"/>
  <c r="D12" i="1861" s="1"/>
  <c r="H34" i="1861"/>
  <c r="D34" i="1861"/>
  <c r="R33" i="1861"/>
  <c r="L23" i="1861" s="1"/>
  <c r="D23" i="1861" s="1"/>
  <c r="R32" i="1861"/>
  <c r="L11" i="1861" s="1"/>
  <c r="D11" i="1861" s="1"/>
  <c r="R31" i="1861"/>
  <c r="R30" i="1861"/>
  <c r="R29" i="1861"/>
  <c r="R28" i="1861"/>
  <c r="L16" i="1861" s="1"/>
  <c r="D16" i="1861" s="1"/>
  <c r="R27" i="1861"/>
  <c r="D27" i="1861"/>
  <c r="R26" i="1861"/>
  <c r="L26" i="1861"/>
  <c r="D26" i="1861" s="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R11" i="186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L12" i="1859" s="1"/>
  <c r="D12" i="1859" s="1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L9" i="1858" s="1"/>
  <c r="D9" i="1858" s="1"/>
  <c r="D38" i="1858"/>
  <c r="R37" i="1858"/>
  <c r="D37" i="1858"/>
  <c r="R36" i="1858"/>
  <c r="L10" i="1858" s="1"/>
  <c r="D10" i="1858" s="1"/>
  <c r="D36" i="1858"/>
  <c r="R35" i="1858"/>
  <c r="L19" i="1858" s="1"/>
  <c r="D19" i="1858" s="1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L8" i="1856" s="1"/>
  <c r="D8" i="1856" s="1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L11" i="1855" s="1"/>
  <c r="D11" i="1855" s="1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 s="1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L22" i="1853" s="1"/>
  <c r="D22" i="1853" s="1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L7" i="1853" s="1"/>
  <c r="D7" i="1853" s="1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 s="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L9" i="1850" s="1"/>
  <c r="D9" i="1850" s="1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 s="1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L11" i="1849" s="1"/>
  <c r="D11" i="1849" s="1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 s="1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L20" i="1847" s="1"/>
  <c r="D20" i="1847" s="1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R19" i="1847"/>
  <c r="D19" i="1847"/>
  <c r="R18" i="1847"/>
  <c r="D18" i="1847"/>
  <c r="R17" i="1847"/>
  <c r="L17" i="1847"/>
  <c r="D17" i="1847" s="1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 s="1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 s="1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 s="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L8" i="1820" s="1"/>
  <c r="D8" i="1820" s="1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L11" i="1820" s="1"/>
  <c r="D11" i="1820" s="1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L20" i="1819" s="1"/>
  <c r="D20" i="1819" s="1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3" l="1"/>
  <c r="H29" i="1853" s="1"/>
  <c r="G51" i="1853" s="1"/>
  <c r="H15" i="1846"/>
  <c r="H29" i="1846" s="1"/>
  <c r="G51" i="1846" s="1"/>
  <c r="H15" i="1850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<sst xmlns="http://schemas.openxmlformats.org/spreadsheetml/2006/main" count="14065" uniqueCount="227">
  <si>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</si>
  <si>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</si>
  <si>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</si>
  <si>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</si>
  <si>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</si>
  <si>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</si>
  <si>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</si>
  <si>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</si>
  <si>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</si>
  <si>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</si>
  <si>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</si>
  <si>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</si>
  <si>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</si>
  <si>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</si>
  <si>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</si>
  <si>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</si>
  <si>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</si>
  <si>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</si>
  <si>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</si>
  <si>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</si>
  <si>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</si>
  <si>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</si>
  <si>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</si>
  <si>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</si>
  <si>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</si>
  <si>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</si>
  <si>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</si>
  <si>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</si>
  <si>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</si>
  <si>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</si>
  <si>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</si>
  <si>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</si>
  <si>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</si>
  <si>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</si>
  <si>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</si>
  <si>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</si>
  <si>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</si>
  <si>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</si>
  <si>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</si>
  <si>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</si>
  <si>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</si>
  <si>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</si>
  <si>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</si>
  <si>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</si>
  <si>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</si>
  <si>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</si>
  <si>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</si>
  <si>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</si>
  <si>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</si>
  <si>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</si>
  <si>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</si>
  <si>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</si>
  <si>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</si>
  <si>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</si>
  <si>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</si>
  <si>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</si>
  <si>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</si>
  <si>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</si>
  <si>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</si>
  <si>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</si>
  <si>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</si>
  <si>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</si>
  <si>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</si>
  <si>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</si>
  <si>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</si>
  <si>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</si>
  <si>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</si>
  <si>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</si>
  <si>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</si>
  <si>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</si>
  <si>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</si>
  <si>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</si>
  <si>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</si>
  <si>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</si>
  <si>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</si>
  <si>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</si>
  <si>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</si>
  <si>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</si>
  <si>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</si>
  <si>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</si>
  <si>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</si>
  <si>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</si>
  <si>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</si>
  <si>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</si>
  <si>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</si>
  <si>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</si>
  <si>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</si>
  <si>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</si>
  <si>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</si>
  <si>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</si>
  <si>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</si>
  <si>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</si>
  <si>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</si>
  <si>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</si>
  <si>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</si>
  <si>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</si>
  <si>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</si>
  <si>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</si>
  <si>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</si>
  <si>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</si>
  <si>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</si>
  <si>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</si>
  <si>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</si>
  <si>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</si>
  <si>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</si>
  <si>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</si>
  <si>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</si>
  <si>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</si>
  <si>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</si>
  <si>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</si>
  <si>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</si>
  <si>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</si>
  <si>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</si>
  <si>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</si>
  <si>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</si>
  <si>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</si>
  <si>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</si>
  <si>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</si>
  <si>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</si>
  <si>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</si>
  <si>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</si>
  <si>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</si>
  <si>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</si>
  <si>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</si>
  <si>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</si>
  <si>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</si>
  <si>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</si>
  <si>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</si>
  <si>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</si>
  <si>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</si>
  <si>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</si>
  <si>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</si>
  <si>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</si>
  <si>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</si>
  <si>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</si>
  <si>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</si>
  <si>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</si>
  <si>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</si>
  <si>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</si>
  <si>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</si>
  <si>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</si>
  <si>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</si>
  <si>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</si>
  <si>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</si>
  <si>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</si>
  <si>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</si>
  <si>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</si>
  <si>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</si>
  <si>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</si>
  <si>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</si>
  <si>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</si>
  <si>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</si>
  <si>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</si>
  <si>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</si>
  <si>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</si>
  <si>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</si>
  <si>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</si>
  <si>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</si>
  <si>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</si>
  <si>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</si>
  <si>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</si>
  <si>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</si>
  <si>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</si>
  <si>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</si>
  <si>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</si>
  <si>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</si>
  <si>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</si>
  <si>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</si>
  <si>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</si>
  <si>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</si>
  <si>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</si>
  <si>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</si>
  <si>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</si>
  <si>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</si>
  <si>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</si>
  <si>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</si>
  <si>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</si>
  <si>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</si>
  <si>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</si>
  <si>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</si>
  <si>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</si>
  <si>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</si>
  <si>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</si>
  <si>
    <t>2130020805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</si>
  <si>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</si>
  <si>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2968</t>
  </si>
  <si>
    <t>2971</t>
  </si>
  <si>
    <t>147357</t>
  </si>
  <si>
    <t>43002</t>
  </si>
  <si>
    <t>132736</t>
  </si>
  <si>
    <t>5872</t>
  </si>
  <si>
    <t>52525</t>
  </si>
  <si>
    <t>2000007786</t>
  </si>
  <si>
    <t>2000002985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</si>
  <si>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</si>
  <si>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43006</t>
  </si>
  <si>
    <t>1VB</t>
  </si>
  <si>
    <t>5089389</t>
  </si>
  <si>
    <t xml:space="preserve">                            RONNEL DANDAYO</t>
  </si>
  <si>
    <t>SMLC/RHC/PPC</t>
  </si>
  <si>
    <t>43811</t>
  </si>
  <si>
    <t>147624</t>
  </si>
  <si>
    <t>2130020819</t>
  </si>
  <si>
    <t>146699</t>
  </si>
  <si>
    <t>147697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</si>
  <si>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</si>
  <si>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142268</t>
  </si>
  <si>
    <t>52548</t>
  </si>
  <si>
    <t>CB/CIB</t>
  </si>
  <si>
    <t>PAMB/CBB</t>
  </si>
  <si>
    <t>PAMB/CBB/SDB/CNB</t>
  </si>
  <si>
    <t>LANI SUERTE</t>
  </si>
  <si>
    <t>SIR NEIL</t>
  </si>
  <si>
    <t>2000008001</t>
  </si>
  <si>
    <t>2000003004</t>
  </si>
  <si>
    <t>43009</t>
  </si>
  <si>
    <t>2130020828</t>
  </si>
  <si>
    <t>ALEJANDRO PIZON</t>
  </si>
  <si>
    <t>2120042929</t>
  </si>
  <si>
    <t>PIZON ALEJANDRO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</si>
  <si>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</si>
  <si>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147725</t>
  </si>
  <si>
    <t>2000008006</t>
  </si>
  <si>
    <t>RACAZA, ALEXANDER</t>
  </si>
  <si>
    <t>2000003015</t>
  </si>
  <si>
    <t>147648</t>
  </si>
  <si>
    <t>LOPEZ, GINA GRACE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</si>
</sst>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/>
    <xf numFmtId="0" fontId="4" fillId="0" borderId="16" xfId="0" applyFont="1" applyFill="1" applyBorder="1"/>
    <xf numFmtId="0" fontId="23" fillId="0" borderId="21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9" fillId="0" borderId="16" xfId="0" applyNumberFormat="1" applyFont="1" applyBorder="1" applyAlignment="1">
      <alignment horizontal="right"/>
    </xf>
    <xf numFmtId="0" fontId="0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tyles" Target="style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sharedStrings" Target="sharedString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calcChain" Target="calcChain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53</xdr:row>
      <xdr:rowOff>184507</xdr:rowOff>
    </xdr:from>
    <xdr:to>
      <xdr:col>3</xdr:col>
      <xdr:colOff>695325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93FD80-E471-42BD-AA22-9DA493F2D3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23850" y="10547707"/>
          <a:ext cx="2181225" cy="777518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BFB0D5-CEFA-4469-BFB7-9BAD726F8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30BB3-8600-4779-A63F-93381C635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FDCC58-74F6-49B1-AEDC-91212E536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31E1DC-8DA0-4B7B-95C4-4FB441BC8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E02F49-1AC9-4BF2-97C2-E40B012CF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04C7D-25ED-4589-AAC0-0A3CB299E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14F2F3-83E5-473D-BA89-36599B681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4DE639-3326-4F48-BCC1-2B6BB5DFF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9AFCA7-2455-4C73-BE7E-A84C323B3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DFB59D-9075-464B-829B-918C1B443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A2A098-8F40-400F-8EF7-3DE465B0C6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9C8DAA-50D2-4AB9-849F-8EAA8B7B3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9A8F36-C38A-432E-8B53-000B78EE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B7BD2B-12F2-4AF7-B747-2FE3995CD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2DE797-3A44-4553-BAFC-FDE9591113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E7725B-0384-41FE-B8FC-CEE78F7CE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90A543-6FF1-4E42-B2FA-61071D6929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F5BF6A-B24B-4898-A1EA-6EC879A888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179EE4-3B4B-4119-8814-0BA185F13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799E8B-D58D-465A-9388-680B7002F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339BBC-5236-420E-9AB9-F244C6A3B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22B87-5837-4F94-9C1B-711889D86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686FF4-5E1C-497A-8278-B6381617D1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6124FF-185E-4622-90F4-2F352F255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8A00A-6A09-40C0-9567-6A2E50C21E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15CBB3-71E7-4FB6-9EAD-18A630C13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A5002E-D318-48B4-AB6D-27A7112909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A9DB48-92EE-4AC2-9D12-6C263D8C4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8F2AD5-A322-4B18-A5A1-AABC207FA1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08DB1F-FA86-4E07-8F0C-18E857517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D44F91-9C5A-400A-BA98-F24EA5E01E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3AFC75-74A1-419A-B0D6-3CF175F0B9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8B4311-95F9-4301-BE34-664E4DC8F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F6F4E-96C6-4D0E-A732-1FBC5B3959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E7AA2-EF7F-4B1F-8031-C6B3809A9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92D910-DAC7-4347-BB8A-C35391F12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69979-7B75-451A-BA8B-6C568EA0A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157CAB-16CA-4831-8A00-E32F68A72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E42C06-73F1-48CF-8C92-6CDA75C0A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5CE09D-7E65-4AC1-BC9C-9E5B8E3AE7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F61849-0740-4C36-B270-48FE3F9F9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3D4D41-9C2E-449D-BE34-8C05AA47D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A0D812-3DB2-490E-B645-5C4319DFC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0956C8-11C2-423F-AA6C-37958D75EA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B71AF6-9270-47D6-A366-8AA99AFE6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18B8B-FD83-41CB-AFE3-19030044C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52F89E-04F7-42B6-8205-737C18898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2BC85E-6A59-4629-B7BF-7F0877FF78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8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46083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308</v>
      </c>
      <c r="D6" s="13">
        <f t="shared" ref="D6:D28" si="1">C6*L6</f>
        <v>234388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12</v>
      </c>
      <c r="D7" s="13">
        <f t="shared" si="1"/>
        <v>9372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>
        <v>1</v>
      </c>
      <c r="D8" s="13">
        <f t="shared" si="1"/>
        <v>1093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18</v>
      </c>
      <c r="D9" s="13">
        <f t="shared" si="1"/>
        <v>13194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2</v>
      </c>
      <c r="D10" s="13">
        <f t="shared" si="1"/>
        <v>2064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2</v>
      </c>
      <c r="D12" s="48">
        <f t="shared" si="1"/>
        <v>1984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6</v>
      </c>
      <c r="D13" s="48">
        <f t="shared" si="1"/>
        <v>1842</v>
      </c>
      <c r="F13" s="151" t="s">
        <v>36</v>
      </c>
      <c r="G13" s="152"/>
      <c r="H13" s="153">
        <f>D29</f>
        <v>265882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5</v>
      </c>
      <c r="D14" s="31">
        <f t="shared" si="1"/>
        <v>55</v>
      </c>
      <c r="F14" s="156" t="s">
        <v>39</v>
      </c>
      <c r="G14" s="157"/>
      <c r="H14" s="158">
        <f>D54</f>
        <v>30599.25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>
        <v>1</v>
      </c>
      <c r="D15" s="31">
        <f t="shared" si="1"/>
        <v>620</v>
      </c>
      <c r="F15" s="161" t="s">
        <v>40</v>
      </c>
      <c r="G15" s="152"/>
      <c r="H15" s="162">
        <f>H13-H14</f>
        <v>235282.75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216*6+10*6</f>
        <v>1356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89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265882</v>
      </c>
      <c r="F29" s="174" t="s">
        <v>55</v>
      </c>
      <c r="G29" s="175"/>
      <c r="H29" s="178">
        <f>H15-H16-H17-H18-H19-H20-H22-H23-H24+H26+H27+H28</f>
        <v>233926.75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206">
        <f t="shared" ref="H34:H39" si="2">F34*G34</f>
        <v>64000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206">
        <f t="shared" si="2"/>
        <v>6500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206">
        <f t="shared" si="2"/>
        <v>400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206">
        <f t="shared" si="2"/>
        <v>4300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206">
        <f t="shared" si="2"/>
        <v>1100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6">
        <v>30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90">
        <v>150017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90">
        <v>7564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11</v>
      </c>
      <c r="D46" s="12">
        <f>C46*1.5</f>
        <v>16.5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233911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3</v>
      </c>
      <c r="D50" s="12">
        <f>C50*1.5</f>
        <v>4.5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-15.75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46083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351</v>
      </c>
      <c r="D6" s="13">
        <f t="shared" ref="D6:D28" si="1">C6*L6</f>
        <v>267111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</v>
      </c>
      <c r="D7" s="13">
        <f t="shared" si="1"/>
        <v>781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40</v>
      </c>
      <c r="D9" s="13">
        <f t="shared" si="1"/>
        <v>29320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10</v>
      </c>
      <c r="D10" s="13">
        <f t="shared" si="1"/>
        <v>10320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9</v>
      </c>
      <c r="D13" s="48">
        <f t="shared" si="1"/>
        <v>2763</v>
      </c>
      <c r="F13" s="151" t="s">
        <v>36</v>
      </c>
      <c r="G13" s="152"/>
      <c r="H13" s="153">
        <f>D29</f>
        <v>313708.5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3</v>
      </c>
      <c r="D14" s="31">
        <f t="shared" si="1"/>
        <v>33</v>
      </c>
      <c r="F14" s="156" t="s">
        <v>39</v>
      </c>
      <c r="G14" s="157"/>
      <c r="H14" s="158">
        <f>D54</f>
        <v>55225.5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258483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230*6</f>
        <v>1380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150</v>
      </c>
      <c r="C24" s="10">
        <v>12</v>
      </c>
      <c r="D24" s="48">
        <f t="shared" si="1"/>
        <v>474</v>
      </c>
      <c r="F24" s="38"/>
      <c r="G24" s="37"/>
      <c r="H24" s="189"/>
      <c r="I24" s="190"/>
      <c r="J24" s="190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313708.5</v>
      </c>
      <c r="F29" s="174" t="s">
        <v>55</v>
      </c>
      <c r="G29" s="175"/>
      <c r="H29" s="178">
        <f>H15-H16-H17-H18-H19-H20-H22-H23-H24+H26+H27</f>
        <v>257103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206">
        <f>F34*G34</f>
        <v>101000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06">
        <f t="shared" ref="H35:H39" si="2">F35*G35</f>
        <v>11000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206">
        <f t="shared" si="2"/>
        <v>100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206">
        <f t="shared" si="2"/>
        <v>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2</v>
      </c>
      <c r="D42" s="12">
        <f>C42*2.25</f>
        <v>4.5</v>
      </c>
      <c r="F42" s="39" t="s">
        <v>79</v>
      </c>
      <c r="G42" s="206">
        <v>136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90">
        <v>144193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1</v>
      </c>
      <c r="D45" s="12">
        <f>C45*84</f>
        <v>84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36</v>
      </c>
      <c r="D46" s="12">
        <f>C46*1.5</f>
        <v>54</v>
      </c>
      <c r="F46" s="37"/>
      <c r="G46" s="8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22</v>
      </c>
      <c r="D49" s="12">
        <f>C49*42</f>
        <v>924</v>
      </c>
      <c r="F49" s="231" t="s">
        <v>86</v>
      </c>
      <c r="G49" s="178">
        <f>H34+H35+H36+H37+H38+H39+H40+H41+G42+H44+H45+H46</f>
        <v>256479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5</v>
      </c>
      <c r="D50" s="12">
        <f>C50*1.5</f>
        <v>7.5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153</v>
      </c>
      <c r="G51" s="245">
        <f>G49-H29</f>
        <v>-624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46083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266</v>
      </c>
      <c r="D6" s="13">
        <f t="shared" ref="D6:D28" si="1">C6*L6</f>
        <v>202426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9</v>
      </c>
      <c r="D7" s="13">
        <f t="shared" si="1"/>
        <v>7029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57</v>
      </c>
      <c r="D9" s="13">
        <f t="shared" si="1"/>
        <v>41781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1</v>
      </c>
      <c r="D10" s="13">
        <f t="shared" si="1"/>
        <v>1032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2</v>
      </c>
      <c r="D12" s="48">
        <f t="shared" si="1"/>
        <v>1984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12</v>
      </c>
      <c r="D13" s="48">
        <f t="shared" si="1"/>
        <v>3684</v>
      </c>
      <c r="F13" s="151" t="s">
        <v>36</v>
      </c>
      <c r="G13" s="152"/>
      <c r="H13" s="153">
        <f>D29</f>
        <v>259606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8</v>
      </c>
      <c r="D14" s="31">
        <f t="shared" si="1"/>
        <v>88</v>
      </c>
      <c r="F14" s="156" t="s">
        <v>39</v>
      </c>
      <c r="G14" s="157"/>
      <c r="H14" s="158">
        <f>D54</f>
        <v>36129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223477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115*6</f>
        <v>690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>
        <v>50</v>
      </c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259606</v>
      </c>
      <c r="F29" s="174" t="s">
        <v>55</v>
      </c>
      <c r="G29" s="175"/>
      <c r="H29" s="178">
        <f>H15-H16-H17-H18-H19-H20-H22-H23-H24+H26+H27</f>
        <v>222737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06">
        <f>F34*G34</f>
        <v>41000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206">
        <f>F35*G35</f>
        <v>3500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206">
        <f t="shared" si="2"/>
        <v>100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206">
        <f t="shared" si="2"/>
        <v>100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6">
        <v>88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90">
        <v>75280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90">
        <v>101194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215">
        <v>1582</v>
      </c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222844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</v>
      </c>
      <c r="D50" s="12">
        <f>C50*1.5</f>
        <v>1.5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107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8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46084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382</v>
      </c>
      <c r="D6" s="13">
        <f t="shared" ref="D6:D28" si="1">C6*L6</f>
        <v>290702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7</v>
      </c>
      <c r="D7" s="13">
        <f t="shared" si="1"/>
        <v>5467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31</v>
      </c>
      <c r="D9" s="13">
        <f t="shared" si="1"/>
        <v>22723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322724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9</v>
      </c>
      <c r="D14" s="31">
        <f t="shared" si="1"/>
        <v>99</v>
      </c>
      <c r="F14" s="156" t="s">
        <v>39</v>
      </c>
      <c r="G14" s="157"/>
      <c r="H14" s="158">
        <f>D54</f>
        <v>44362.5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278361.5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89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>
        <v>3</v>
      </c>
      <c r="D28" s="48">
        <f t="shared" si="1"/>
        <v>2433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322724</v>
      </c>
      <c r="F29" s="174" t="s">
        <v>55</v>
      </c>
      <c r="G29" s="175"/>
      <c r="H29" s="178">
        <f>H15-H16-H17-H18-H19-H20-H22-H23-H24+H26+H27+H28</f>
        <v>278361.5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206">
        <f t="shared" ref="H34:H39" si="2">F34*G34</f>
        <v>212000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206">
        <f t="shared" si="2"/>
        <v>18000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6">
        <f t="shared" si="2"/>
        <v>400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206">
        <f t="shared" si="2"/>
        <v>2700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206">
        <f t="shared" si="2"/>
        <v>1150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06">
        <f t="shared" si="2"/>
        <v>40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2</v>
      </c>
      <c r="D42" s="12">
        <f>C42*2.25</f>
        <v>4.5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90">
        <v>10000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90">
        <v>35000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279290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8</v>
      </c>
      <c r="D50" s="12">
        <f>C50*1.5</f>
        <v>12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928.5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46084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224</v>
      </c>
      <c r="D6" s="13">
        <f t="shared" ref="D6:D28" si="1">C6*L6</f>
        <v>170464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2</v>
      </c>
      <c r="D7" s="13">
        <f t="shared" si="1"/>
        <v>1562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71</v>
      </c>
      <c r="D9" s="13">
        <f t="shared" si="1"/>
        <v>52043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7</v>
      </c>
      <c r="D13" s="48">
        <f t="shared" si="1"/>
        <v>2149</v>
      </c>
      <c r="F13" s="151" t="s">
        <v>36</v>
      </c>
      <c r="G13" s="152"/>
      <c r="H13" s="153">
        <f>D29</f>
        <v>228774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14</v>
      </c>
      <c r="D14" s="31">
        <f t="shared" si="1"/>
        <v>154</v>
      </c>
      <c r="F14" s="156" t="s">
        <v>39</v>
      </c>
      <c r="G14" s="157"/>
      <c r="H14" s="158">
        <f>D54</f>
        <v>35040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193734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122*6</f>
        <v>732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88">
        <v>265</v>
      </c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228774</v>
      </c>
      <c r="F29" s="174" t="s">
        <v>55</v>
      </c>
      <c r="G29" s="175"/>
      <c r="H29" s="178">
        <f>H15-H16-H17-H18-H19-H20-H22-H23-H24+H26+H27</f>
        <v>192737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206">
        <f>F34*G34</f>
        <v>140000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206">
        <f t="shared" ref="H35:H39" si="2">F35*G35</f>
        <v>46500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6">
        <f>F36*G36</f>
        <v>400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206">
        <f t="shared" si="2"/>
        <v>4300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206">
        <f t="shared" si="2"/>
        <v>1350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>
        <v>45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1</v>
      </c>
      <c r="D46" s="12">
        <f>C46*1.5</f>
        <v>1.5</v>
      </c>
      <c r="F46" s="37"/>
      <c r="G46" s="8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3</v>
      </c>
      <c r="D49" s="12">
        <f>C49*42</f>
        <v>126</v>
      </c>
      <c r="F49" s="231" t="s">
        <v>86</v>
      </c>
      <c r="G49" s="178">
        <f>H34+H35+H36+H37+H38+H39+H40+H41+G42+H44+H45+H46</f>
        <v>192595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19</v>
      </c>
      <c r="D50" s="12">
        <f>C50*1.5</f>
        <v>28.5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162</v>
      </c>
      <c r="G51" s="245">
        <f>G49-H29</f>
        <v>-142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46084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291</v>
      </c>
      <c r="D6" s="13">
        <f t="shared" ref="D6:D28" si="1">C6*L6</f>
        <v>221451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20</v>
      </c>
      <c r="D7" s="13">
        <f t="shared" si="1"/>
        <v>15620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>
        <v>1</v>
      </c>
      <c r="D8" s="13">
        <f t="shared" si="1"/>
        <v>1093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36</v>
      </c>
      <c r="D9" s="13">
        <f t="shared" si="1"/>
        <v>26388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3</v>
      </c>
      <c r="D12" s="48">
        <f t="shared" si="1"/>
        <v>2976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15</v>
      </c>
      <c r="D13" s="48">
        <f t="shared" si="1"/>
        <v>4605</v>
      </c>
      <c r="F13" s="151" t="s">
        <v>36</v>
      </c>
      <c r="G13" s="152"/>
      <c r="H13" s="153">
        <f>D29</f>
        <v>273403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40279.5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>
        <v>1</v>
      </c>
      <c r="D15" s="31">
        <f t="shared" si="1"/>
        <v>620</v>
      </c>
      <c r="F15" s="161" t="s">
        <v>40</v>
      </c>
      <c r="G15" s="152"/>
      <c r="H15" s="162">
        <f>H13-H14</f>
        <v>233123.5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153*6</f>
        <v>918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273403</v>
      </c>
      <c r="F29" s="174" t="s">
        <v>55</v>
      </c>
      <c r="G29" s="175"/>
      <c r="H29" s="178">
        <f>H15-H16-H17-H18-H19-H20-H22-H23-H24+H26+H27</f>
        <v>232205.5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206">
        <f>F34*G34</f>
        <v>75000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206">
        <f>F35*G35</f>
        <v>48500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206">
        <f t="shared" si="2"/>
        <v>6000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206">
        <f t="shared" si="2"/>
        <v>2150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12</v>
      </c>
      <c r="D42" s="12">
        <f>C42*2.25</f>
        <v>27</v>
      </c>
      <c r="F42" s="39" t="s">
        <v>79</v>
      </c>
      <c r="G42" s="206">
        <v>74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90">
        <v>100483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64</v>
      </c>
      <c r="D46" s="12">
        <f>C46*1.5</f>
        <v>96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3</v>
      </c>
      <c r="D49" s="12">
        <f>C49*42</f>
        <v>126</v>
      </c>
      <c r="F49" s="231" t="s">
        <v>86</v>
      </c>
      <c r="G49" s="178">
        <f>H34+H35+H36+H37+H38+H39+H40+H41+G42+H44+H45+H46</f>
        <v>232207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22</v>
      </c>
      <c r="D50" s="12">
        <f>C50*1.5</f>
        <v>33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1.5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8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46085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359</v>
      </c>
      <c r="D6" s="13">
        <f t="shared" ref="D6:D28" si="1">C6*L6</f>
        <v>273199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6</v>
      </c>
      <c r="D7" s="13">
        <f t="shared" si="1"/>
        <v>4686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117</v>
      </c>
      <c r="D9" s="13">
        <f t="shared" si="1"/>
        <v>85761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10</v>
      </c>
      <c r="D10" s="13">
        <f t="shared" si="1"/>
        <v>10320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>
        <v>2</v>
      </c>
      <c r="D11" s="13">
        <f t="shared" si="1"/>
        <v>2340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3</v>
      </c>
      <c r="D12" s="48">
        <f t="shared" si="1"/>
        <v>2976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18</v>
      </c>
      <c r="D13" s="48">
        <f t="shared" si="1"/>
        <v>5526</v>
      </c>
      <c r="F13" s="151" t="s">
        <v>36</v>
      </c>
      <c r="G13" s="152"/>
      <c r="H13" s="153">
        <f>D29</f>
        <v>387395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14</v>
      </c>
      <c r="D14" s="31">
        <f t="shared" si="1"/>
        <v>154</v>
      </c>
      <c r="F14" s="156" t="s">
        <v>39</v>
      </c>
      <c r="G14" s="157"/>
      <c r="H14" s="158">
        <f>D54</f>
        <v>43563.75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343831.25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334*6</f>
        <v>2004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88">
        <v>100339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90">
        <v>98532</v>
      </c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89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>
        <v>3</v>
      </c>
      <c r="D28" s="48">
        <f t="shared" si="1"/>
        <v>2433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387395</v>
      </c>
      <c r="F29" s="174" t="s">
        <v>55</v>
      </c>
      <c r="G29" s="175"/>
      <c r="H29" s="178">
        <f>H15-H16-H17-H18-H19-H20-H22-H23-H24+H26+H27+H28</f>
        <v>340020.25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206">
        <f t="shared" ref="H34:H39" si="2">F34*G34</f>
        <v>10000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206">
        <f t="shared" si="2"/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206">
        <f t="shared" si="2"/>
        <v>100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206">
        <f t="shared" si="2"/>
        <v>100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6">
        <v>10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90">
        <v>230441.5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90">
        <v>98532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2</v>
      </c>
      <c r="D46" s="12">
        <f>C46*1.5</f>
        <v>3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7</v>
      </c>
      <c r="D49" s="12">
        <f>C49*42</f>
        <v>294</v>
      </c>
      <c r="F49" s="231" t="s">
        <v>86</v>
      </c>
      <c r="G49" s="178">
        <f>H34+H35+H36+H37+H38+H39+H40+H41+G42+H44+H45+H46</f>
        <v>339183.5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17</v>
      </c>
      <c r="D50" s="12">
        <f>C50*1.5</f>
        <v>25.5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-836.75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46085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326</v>
      </c>
      <c r="D6" s="13">
        <f t="shared" ref="D6:D28" si="1">C6*L6</f>
        <v>248086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14</v>
      </c>
      <c r="D13" s="48">
        <f t="shared" si="1"/>
        <v>4298</v>
      </c>
      <c r="F13" s="151" t="s">
        <v>36</v>
      </c>
      <c r="G13" s="152"/>
      <c r="H13" s="153">
        <f>D29</f>
        <v>253739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5</v>
      </c>
      <c r="D14" s="31">
        <f t="shared" si="1"/>
        <v>55</v>
      </c>
      <c r="F14" s="156" t="s">
        <v>39</v>
      </c>
      <c r="G14" s="157"/>
      <c r="H14" s="158">
        <f>D54</f>
        <v>36819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216920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324*6</f>
        <v>1944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5">
        <v>50</v>
      </c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253739</v>
      </c>
      <c r="F29" s="174" t="s">
        <v>55</v>
      </c>
      <c r="G29" s="175"/>
      <c r="H29" s="178">
        <f>H15-H16-H17-H18-H19-H20-H22-H23-H24+H26+H27</f>
        <v>214926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206">
        <f>F34*G34</f>
        <v>214000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06">
        <f t="shared" ref="H35:H39" si="2">F35*G35</f>
        <v>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206">
        <f t="shared" si="2"/>
        <v>300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06">
        <f t="shared" si="2"/>
        <v>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>
        <v>32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8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10</v>
      </c>
      <c r="D49" s="12">
        <f>C49*42</f>
        <v>420</v>
      </c>
      <c r="F49" s="231" t="s">
        <v>86</v>
      </c>
      <c r="G49" s="178">
        <f>H34+H35+H36+H37+H38+H39+H40+H41+G42+H44+H45+H46</f>
        <v>214882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</v>
      </c>
      <c r="D50" s="12">
        <f>C50*1.5</f>
        <v>1.5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162</v>
      </c>
      <c r="G51" s="245">
        <f>G49-H29</f>
        <v>-44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46085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270</v>
      </c>
      <c r="D6" s="13">
        <f t="shared" ref="D6:D28" si="1">C6*L6</f>
        <v>205470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29</v>
      </c>
      <c r="D9" s="13">
        <f t="shared" si="1"/>
        <v>21257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8</v>
      </c>
      <c r="D13" s="48">
        <f t="shared" si="1"/>
        <v>2456</v>
      </c>
      <c r="F13" s="151" t="s">
        <v>36</v>
      </c>
      <c r="G13" s="152"/>
      <c r="H13" s="153">
        <f>D29</f>
        <v>236285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7</v>
      </c>
      <c r="D14" s="31">
        <f t="shared" si="1"/>
        <v>77</v>
      </c>
      <c r="F14" s="156" t="s">
        <v>39</v>
      </c>
      <c r="G14" s="157"/>
      <c r="H14" s="158">
        <f>D54</f>
        <v>33749.25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202535.75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50*6+80*6+63*6</f>
        <v>1158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5">
        <v>50</v>
      </c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>
        <v>1</v>
      </c>
      <c r="D23" s="48">
        <f t="shared" si="1"/>
        <v>1175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236285</v>
      </c>
      <c r="F29" s="174" t="s">
        <v>55</v>
      </c>
      <c r="G29" s="175"/>
      <c r="H29" s="178">
        <f>H15-H16-H17-H18-H19-H20-H22-H23-H24+H26+H27</f>
        <v>201327.75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206">
        <f>F34*G34</f>
        <v>94000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206">
        <f>F35*G35</f>
        <v>54000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206">
        <f t="shared" si="2"/>
        <v>12400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206">
        <f t="shared" si="2"/>
        <v>100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17</v>
      </c>
      <c r="D42" s="12">
        <f>C42*2.25</f>
        <v>38.25</v>
      </c>
      <c r="F42" s="39" t="s">
        <v>79</v>
      </c>
      <c r="G42" s="206">
        <v>94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90">
        <v>40666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4</v>
      </c>
      <c r="D49" s="12">
        <f>C49*42</f>
        <v>168</v>
      </c>
      <c r="F49" s="231" t="s">
        <v>86</v>
      </c>
      <c r="G49" s="178">
        <f>H34+H35+H36+H37+H38+H39+H40+H41+G42+H44+H45+H46</f>
        <v>201260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6</v>
      </c>
      <c r="D50" s="12">
        <f>C50*1.5</f>
        <v>9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-67.75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8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46086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377</v>
      </c>
      <c r="D6" s="13">
        <f t="shared" ref="D6:D28" si="1">C6*L6</f>
        <v>286897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10</v>
      </c>
      <c r="D9" s="13">
        <f t="shared" si="1"/>
        <v>7330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>
        <v>1</v>
      </c>
      <c r="D11" s="13">
        <f t="shared" si="1"/>
        <v>1170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10</v>
      </c>
      <c r="D13" s="48">
        <f t="shared" si="1"/>
        <v>3070</v>
      </c>
      <c r="F13" s="151" t="s">
        <v>36</v>
      </c>
      <c r="G13" s="152"/>
      <c r="H13" s="153">
        <f>D29</f>
        <v>301631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55843.5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245787.5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325*6</f>
        <v>1950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90" t="s">
        <v>167</v>
      </c>
      <c r="C22" s="10">
        <v>2</v>
      </c>
      <c r="D22" s="48">
        <f t="shared" si="1"/>
        <v>3164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89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301631</v>
      </c>
      <c r="F29" s="174" t="s">
        <v>55</v>
      </c>
      <c r="G29" s="175"/>
      <c r="H29" s="178">
        <f>H15-H16-H17-H18-H19-H20-H22-H23-H24+H26+H27+H28</f>
        <v>243837.5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206">
        <f t="shared" ref="H34:H39" si="2">F34*G34</f>
        <v>34000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206">
        <f t="shared" si="2"/>
        <v>209500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206">
        <f t="shared" si="2"/>
        <v>200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06">
        <f t="shared" si="2"/>
        <v>20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>
        <v>26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84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1</v>
      </c>
      <c r="D45" s="12">
        <f>C45*84</f>
        <v>84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6</v>
      </c>
      <c r="D46" s="12">
        <f>C46*1.5</f>
        <v>9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10</v>
      </c>
      <c r="D49" s="12">
        <f>C49*42</f>
        <v>420</v>
      </c>
      <c r="F49" s="231" t="s">
        <v>86</v>
      </c>
      <c r="G49" s="178">
        <f>H34+H35+H36+H37+H38+H39+H40+H41+G42+H44+H45+H46</f>
        <v>243746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18</v>
      </c>
      <c r="D50" s="12">
        <f>C50*1.5</f>
        <v>27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-91.5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46086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246</v>
      </c>
      <c r="D6" s="13">
        <f t="shared" ref="D6:D28" si="1">C6*L6</f>
        <v>187206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</v>
      </c>
      <c r="D7" s="13">
        <f t="shared" si="1"/>
        <v>781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24</v>
      </c>
      <c r="D9" s="13">
        <f t="shared" si="1"/>
        <v>17592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2</v>
      </c>
      <c r="D12" s="48">
        <f t="shared" si="1"/>
        <v>1984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7</v>
      </c>
      <c r="D13" s="48">
        <f t="shared" si="1"/>
        <v>2149</v>
      </c>
      <c r="F13" s="151" t="s">
        <v>36</v>
      </c>
      <c r="G13" s="152"/>
      <c r="H13" s="153">
        <f>D29</f>
        <v>264640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34920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229720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197*6</f>
        <v>1182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>
        <v>4</v>
      </c>
      <c r="D23" s="48">
        <f t="shared" si="1"/>
        <v>6668</v>
      </c>
      <c r="F23" s="25"/>
      <c r="G23" s="37"/>
      <c r="H23" s="189"/>
      <c r="I23" s="190"/>
      <c r="J23" s="19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168</v>
      </c>
      <c r="C27" s="10">
        <v>1</v>
      </c>
      <c r="D27" s="44">
        <f t="shared" si="1"/>
        <v>1582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264640</v>
      </c>
      <c r="F29" s="174" t="s">
        <v>55</v>
      </c>
      <c r="G29" s="175"/>
      <c r="H29" s="178">
        <f>H15-H16-H17-H18-H19-H20-H22-H23-H24+H26+H27</f>
        <v>228538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06">
        <f>F34*G34</f>
        <v>44000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06">
        <f t="shared" ref="H35:H39" si="2">F35*G35</f>
        <v>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206">
        <f t="shared" si="2"/>
        <v>400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06">
        <f t="shared" si="2"/>
        <v>150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06">
        <f t="shared" si="2"/>
        <v>40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2</v>
      </c>
      <c r="D42" s="12">
        <f>C42*2.25</f>
        <v>4.5</v>
      </c>
      <c r="F42" s="39" t="s">
        <v>79</v>
      </c>
      <c r="G42" s="206">
        <v>69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90">
        <v>179826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8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10</v>
      </c>
      <c r="D49" s="12">
        <f>C49*42</f>
        <v>420</v>
      </c>
      <c r="F49" s="231" t="s">
        <v>86</v>
      </c>
      <c r="G49" s="178">
        <f>H34+H35+H36+H37+H38+H39+H40+H41+G42+H44+H45+H46</f>
        <v>224985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162</v>
      </c>
      <c r="G51" s="245">
        <f>G49-H29</f>
        <v>-3553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46086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8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46087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89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H15-H16-H17-H18-H19-H20-H22-H23-H24+H26+H27+H28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6">
        <f t="shared" ref="H34:H39" si="2"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si="2"/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84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46087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ref="H35:H39" si="2"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8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46087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355</v>
      </c>
      <c r="D6" s="13">
        <f t="shared" ref="D6:D28" si="1">C6*L6</f>
        <v>270155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10</v>
      </c>
      <c r="D7" s="13">
        <f t="shared" si="1"/>
        <v>7810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111</v>
      </c>
      <c r="D9" s="13">
        <f t="shared" si="1"/>
        <v>81363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13</v>
      </c>
      <c r="D13" s="48">
        <f t="shared" si="1"/>
        <v>3991</v>
      </c>
      <c r="F13" s="151" t="s">
        <v>36</v>
      </c>
      <c r="G13" s="152"/>
      <c r="H13" s="153">
        <f>D29</f>
        <v>363462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13</v>
      </c>
      <c r="D14" s="31">
        <f t="shared" si="1"/>
        <v>143</v>
      </c>
      <c r="F14" s="156" t="s">
        <v>39</v>
      </c>
      <c r="G14" s="157"/>
      <c r="H14" s="158">
        <f>D54</f>
        <v>54750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308712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v>2472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>
        <v>50</v>
      </c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363462</v>
      </c>
      <c r="F29" s="174" t="s">
        <v>55</v>
      </c>
      <c r="G29" s="175"/>
      <c r="H29" s="178">
        <f>H15-H16-H17-H18-H19-H20-H22-H23-H24+H26+H27</f>
        <v>306190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206">
        <f>F34*G34</f>
        <v>63000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206">
        <f>F35*G35</f>
        <v>15500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06">
        <f t="shared" si="2"/>
        <v>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206">
        <f t="shared" si="2"/>
        <v>300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2</v>
      </c>
      <c r="D42" s="12">
        <f>C42*2.25</f>
        <v>4.5</v>
      </c>
      <c r="F42" s="39" t="s">
        <v>79</v>
      </c>
      <c r="G42" s="206">
        <v>3162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90">
        <v>225117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4</v>
      </c>
      <c r="D49" s="12">
        <f>C49*42</f>
        <v>168</v>
      </c>
      <c r="F49" s="231" t="s">
        <v>86</v>
      </c>
      <c r="G49" s="178">
        <f>H34+H35+H36+H37+H38+H39+H40+H41+G42+H44+H45+H46</f>
        <v>307129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9</v>
      </c>
      <c r="D50" s="12">
        <f>C50*1.5</f>
        <v>13.5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939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8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46088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319</v>
      </c>
      <c r="D6" s="13">
        <f t="shared" ref="D6:D28" si="1">C6*L6</f>
        <v>242759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>
        <v>50</v>
      </c>
      <c r="D8" s="13">
        <f t="shared" si="1"/>
        <v>54650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17</v>
      </c>
      <c r="D9" s="13">
        <f t="shared" si="1"/>
        <v>12461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>
        <v>2</v>
      </c>
      <c r="D11" s="13">
        <f t="shared" si="1"/>
        <v>2340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1</v>
      </c>
      <c r="D12" s="48">
        <f t="shared" si="1"/>
        <v>992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</v>
      </c>
      <c r="D13" s="48">
        <f t="shared" si="1"/>
        <v>307</v>
      </c>
      <c r="F13" s="151" t="s">
        <v>36</v>
      </c>
      <c r="G13" s="152"/>
      <c r="H13" s="153">
        <f>D29</f>
        <v>319434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42474.75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276959.25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88">
        <v>51622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89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>
        <v>1</v>
      </c>
      <c r="D28" s="48">
        <f t="shared" si="1"/>
        <v>811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319434</v>
      </c>
      <c r="F29" s="174" t="s">
        <v>55</v>
      </c>
      <c r="G29" s="175"/>
      <c r="H29" s="178">
        <f>H15-H16-H17-H18-H19-H20-H22-H23-H24+H26+H27+H28</f>
        <v>225337.25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206">
        <f t="shared" ref="H34:H39" si="2">F34*G34</f>
        <v>82000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si="2"/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206">
        <f t="shared" si="2"/>
        <v>200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06">
        <f t="shared" si="2"/>
        <v>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6">
        <v>106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90">
        <v>141334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3</v>
      </c>
      <c r="D46" s="12">
        <f>C46*1.5</f>
        <v>4.5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223690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8</v>
      </c>
      <c r="D50" s="12">
        <f>C50*1.5</f>
        <v>12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-1647.25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46088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385</v>
      </c>
      <c r="D6" s="13">
        <f t="shared" ref="D6:D28" si="1">C6*L6</f>
        <v>292985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4</v>
      </c>
      <c r="D7" s="13">
        <f t="shared" si="1"/>
        <v>3124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68</v>
      </c>
      <c r="D9" s="13">
        <f t="shared" si="1"/>
        <v>49844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2</v>
      </c>
      <c r="D12" s="48">
        <f t="shared" si="1"/>
        <v>1984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10</v>
      </c>
      <c r="D13" s="48">
        <f t="shared" si="1"/>
        <v>3070</v>
      </c>
      <c r="F13" s="151" t="s">
        <v>36</v>
      </c>
      <c r="G13" s="152"/>
      <c r="H13" s="153">
        <f>D29</f>
        <v>351657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33426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318231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v>1200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351657</v>
      </c>
      <c r="F29" s="174" t="s">
        <v>55</v>
      </c>
      <c r="G29" s="175"/>
      <c r="H29" s="178">
        <f>H15-H16-H17-H18-H19-H20-H22-H23-H24+H26+H27</f>
        <v>317031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206">
        <f>F34*G34</f>
        <v>131000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06">
        <f t="shared" ref="H35:H39" si="2">F35*G35</f>
        <v>40000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206">
        <f t="shared" si="2"/>
        <v>400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206">
        <f t="shared" si="2"/>
        <v>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206">
        <f t="shared" si="2"/>
        <v>20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12</v>
      </c>
      <c r="D42" s="12">
        <f>C42*2.25</f>
        <v>27</v>
      </c>
      <c r="F42" s="39" t="s">
        <v>79</v>
      </c>
      <c r="G42" s="206">
        <v>18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90">
        <v>145531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2</v>
      </c>
      <c r="D45" s="12">
        <f>C45*84</f>
        <v>168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8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</v>
      </c>
      <c r="D49" s="12">
        <f>C49*42</f>
        <v>42</v>
      </c>
      <c r="F49" s="231" t="s">
        <v>86</v>
      </c>
      <c r="G49" s="178">
        <f>H34+H35+H36+H37+H38+H39+H40+H41+G42+H44+H45+H46</f>
        <v>317019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73</v>
      </c>
      <c r="D50" s="12">
        <f>C50*1.5</f>
        <v>109.5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162</v>
      </c>
      <c r="G51" s="245">
        <f>G49-H29</f>
        <v>-12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46088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432</v>
      </c>
      <c r="D6" s="13">
        <f t="shared" ref="D6:D28" si="1">C6*L6</f>
        <v>328752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12</v>
      </c>
      <c r="D7" s="13">
        <f t="shared" si="1"/>
        <v>9372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59</v>
      </c>
      <c r="D9" s="13">
        <f t="shared" si="1"/>
        <v>43247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2</v>
      </c>
      <c r="D12" s="48">
        <f t="shared" si="1"/>
        <v>1984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19</v>
      </c>
      <c r="D13" s="48">
        <f t="shared" si="1"/>
        <v>5833</v>
      </c>
      <c r="F13" s="151" t="s">
        <v>36</v>
      </c>
      <c r="G13" s="152"/>
      <c r="H13" s="153">
        <f>D29</f>
        <v>412474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58906.5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353567.5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2736</f>
        <v>2736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412474</v>
      </c>
      <c r="F29" s="174" t="s">
        <v>55</v>
      </c>
      <c r="G29" s="175"/>
      <c r="H29" s="178">
        <f>H15-H16-H17-H18-H19-H20-H22-H23-H24+H26+H27</f>
        <v>350831.5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206">
        <f>F34*G34</f>
        <v>100000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206">
        <f>F35*G35</f>
        <v>15500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206">
        <f t="shared" si="2"/>
        <v>4100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2</v>
      </c>
      <c r="D42" s="12">
        <f>C42*2.25</f>
        <v>4.5</v>
      </c>
      <c r="F42" s="39" t="s">
        <v>79</v>
      </c>
      <c r="G42" s="206">
        <v>24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90">
        <v>70468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90">
        <v>162086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2</v>
      </c>
      <c r="D46" s="12">
        <f>C46*1.5</f>
        <v>3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18</v>
      </c>
      <c r="D49" s="12">
        <f>C49*42</f>
        <v>756</v>
      </c>
      <c r="F49" s="231" t="s">
        <v>86</v>
      </c>
      <c r="G49" s="178">
        <f>H34+H35+H36+H37+H38+H39+H40+H41+G42+H44+H45+H46</f>
        <v>352178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19</v>
      </c>
      <c r="D50" s="12">
        <f>C50*1.5</f>
        <v>28.5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1346.5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8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46090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558</v>
      </c>
      <c r="D6" s="13">
        <f t="shared" ref="D6:D28" si="1">C6*L6</f>
        <v>424638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55</v>
      </c>
      <c r="D7" s="13">
        <f t="shared" si="1"/>
        <v>42955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67</v>
      </c>
      <c r="D9" s="13">
        <f t="shared" si="1"/>
        <v>49111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1</v>
      </c>
      <c r="D10" s="13">
        <f t="shared" si="1"/>
        <v>1032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1</v>
      </c>
      <c r="D12" s="48">
        <f t="shared" si="1"/>
        <v>992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20</v>
      </c>
      <c r="D13" s="48">
        <f t="shared" si="1"/>
        <v>6140</v>
      </c>
      <c r="F13" s="151" t="s">
        <v>36</v>
      </c>
      <c r="G13" s="152"/>
      <c r="H13" s="153">
        <f>D29</f>
        <v>529181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5</v>
      </c>
      <c r="D14" s="31">
        <f t="shared" si="1"/>
        <v>55</v>
      </c>
      <c r="F14" s="156" t="s">
        <v>39</v>
      </c>
      <c r="G14" s="157"/>
      <c r="H14" s="158">
        <f>D54</f>
        <v>67908.75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>
        <v>1</v>
      </c>
      <c r="D15" s="31">
        <f t="shared" si="1"/>
        <v>620</v>
      </c>
      <c r="F15" s="161" t="s">
        <v>40</v>
      </c>
      <c r="G15" s="152"/>
      <c r="H15" s="162">
        <f>H13-H14</f>
        <v>461272.25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534*6</f>
        <v>3204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179</v>
      </c>
      <c r="C24" s="10">
        <v>12</v>
      </c>
      <c r="D24" s="48">
        <f t="shared" si="1"/>
        <v>474</v>
      </c>
      <c r="F24" s="77"/>
      <c r="G24" s="79"/>
      <c r="H24" s="241"/>
      <c r="I24" s="242"/>
      <c r="J24" s="242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90">
        <v>51622</v>
      </c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89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529181</v>
      </c>
      <c r="F29" s="174" t="s">
        <v>55</v>
      </c>
      <c r="G29" s="175"/>
      <c r="H29" s="178">
        <f>H15-H16-H17-H18-H19-H20-H22-H23-H24+H26+H27+H28</f>
        <v>509690.25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206">
        <f t="shared" ref="H34:H39" si="2">F34*G34</f>
        <v>129000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206">
        <f t="shared" si="2"/>
        <v>19500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206">
        <f t="shared" si="2"/>
        <v>500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206">
        <f t="shared" si="2"/>
        <v>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90">
        <v>359981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1</v>
      </c>
      <c r="D45" s="12">
        <f>C45*84</f>
        <v>84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509031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19</v>
      </c>
      <c r="D50" s="12">
        <f>C50*1.5</f>
        <v>28.5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-659.25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46090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538</v>
      </c>
      <c r="D6" s="13">
        <f t="shared" ref="D6:D28" si="1">C6*L6</f>
        <v>409418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</v>
      </c>
      <c r="D7" s="13">
        <f t="shared" si="1"/>
        <v>781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118</v>
      </c>
      <c r="D9" s="13">
        <f t="shared" si="1"/>
        <v>86494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20</v>
      </c>
      <c r="D13" s="48">
        <f t="shared" si="1"/>
        <v>6140</v>
      </c>
      <c r="F13" s="151" t="s">
        <v>36</v>
      </c>
      <c r="G13" s="152"/>
      <c r="H13" s="153">
        <f>D29</f>
        <v>502921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8</v>
      </c>
      <c r="D14" s="31">
        <f t="shared" si="1"/>
        <v>88</v>
      </c>
      <c r="F14" s="156" t="s">
        <v>39</v>
      </c>
      <c r="G14" s="157"/>
      <c r="H14" s="158">
        <f>D54</f>
        <v>75838.5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427082.5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900+1824+648</f>
        <v>3372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502921</v>
      </c>
      <c r="F29" s="174" t="s">
        <v>55</v>
      </c>
      <c r="G29" s="175"/>
      <c r="H29" s="178">
        <f>H15-H16-H17-H18-H19-H20-H22-H23-H24+H26+H27</f>
        <v>423710.5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206">
        <f>F34*G34</f>
        <v>340000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206">
        <f t="shared" ref="H35:H39" si="2">F35*G35</f>
        <v>12500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206">
        <f t="shared" si="2"/>
        <v>400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206">
        <f t="shared" si="2"/>
        <v>40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>
        <v>100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172</v>
      </c>
      <c r="G44" s="76" t="s">
        <v>182</v>
      </c>
      <c r="H44" s="190">
        <v>70473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8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14</v>
      </c>
      <c r="D49" s="12">
        <f>C49*42</f>
        <v>588</v>
      </c>
      <c r="F49" s="231" t="s">
        <v>86</v>
      </c>
      <c r="G49" s="178">
        <f>H34+H35+H36+H37+H38+H39+H40+H41+G42+H44+H45+H46</f>
        <v>423513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21</v>
      </c>
      <c r="D50" s="12">
        <f>C50*1.5</f>
        <v>31.5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162</v>
      </c>
      <c r="G51" s="245">
        <f>G49-H29</f>
        <v>-197.5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46090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369</v>
      </c>
      <c r="D6" s="13">
        <f t="shared" ref="D6:D28" si="1">C6*L6</f>
        <v>280809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11</v>
      </c>
      <c r="D7" s="13">
        <f t="shared" si="1"/>
        <v>8591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>
        <v>1</v>
      </c>
      <c r="D8" s="13">
        <f t="shared" si="1"/>
        <v>1093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63</v>
      </c>
      <c r="D9" s="13">
        <f t="shared" si="1"/>
        <v>46179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2</v>
      </c>
      <c r="D12" s="48">
        <f t="shared" si="1"/>
        <v>1984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15</v>
      </c>
      <c r="D13" s="48">
        <f t="shared" si="1"/>
        <v>4605</v>
      </c>
      <c r="F13" s="151" t="s">
        <v>36</v>
      </c>
      <c r="G13" s="152"/>
      <c r="H13" s="153">
        <f>D29</f>
        <v>344843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25784.25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319058.75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300</f>
        <v>300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>
        <v>1</v>
      </c>
      <c r="D27" s="44">
        <f t="shared" si="1"/>
        <v>1582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344843</v>
      </c>
      <c r="F29" s="174" t="s">
        <v>55</v>
      </c>
      <c r="G29" s="175"/>
      <c r="H29" s="178">
        <f>H15-H16-H17-H18-H19-H20-H22-H23-H24+H26+H27</f>
        <v>318758.75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206">
        <f>F34*G34</f>
        <v>114000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206">
        <f>F35*G35</f>
        <v>33000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206">
        <f t="shared" si="2"/>
        <v>1700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206">
        <f t="shared" si="2"/>
        <v>1550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6">
        <v>43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90">
        <v>168245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</v>
      </c>
      <c r="D49" s="12">
        <f>C49*42</f>
        <v>42</v>
      </c>
      <c r="F49" s="231" t="s">
        <v>86</v>
      </c>
      <c r="G49" s="178">
        <f>H34+H35+H36+H37+H38+H39+H40+H41+G42+H44+H45+H46</f>
        <v>318538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9</v>
      </c>
      <c r="D50" s="12">
        <f>C50*1.5</f>
        <v>13.5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-220.75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8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46091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324</v>
      </c>
      <c r="D6" s="13">
        <f t="shared" ref="D6:D28" si="1">C6*L6</f>
        <v>246564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3</v>
      </c>
      <c r="D7" s="13">
        <f t="shared" si="1"/>
        <v>2343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20</v>
      </c>
      <c r="D9" s="13">
        <f t="shared" si="1"/>
        <v>14660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5</v>
      </c>
      <c r="D13" s="48">
        <f t="shared" si="1"/>
        <v>1535</v>
      </c>
      <c r="F13" s="151" t="s">
        <v>36</v>
      </c>
      <c r="G13" s="152"/>
      <c r="H13" s="153">
        <f>D29</f>
        <v>267570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6</v>
      </c>
      <c r="D14" s="31">
        <f t="shared" si="1"/>
        <v>66</v>
      </c>
      <c r="F14" s="156" t="s">
        <v>39</v>
      </c>
      <c r="G14" s="157"/>
      <c r="H14" s="158">
        <f>D54</f>
        <v>39540.75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228029.25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65">
        <v>50</v>
      </c>
      <c r="I19" s="165"/>
      <c r="J19" s="165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89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267570</v>
      </c>
      <c r="F29" s="174" t="s">
        <v>55</v>
      </c>
      <c r="G29" s="175"/>
      <c r="H29" s="178">
        <f>H15-H16-H17-H18-H19-H20-H22-H23-H24+H26+H27+H28</f>
        <v>227979.25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206">
        <f t="shared" ref="H34:H39" si="2">F34*G34</f>
        <v>195000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206">
        <f t="shared" si="2"/>
        <v>27000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206">
        <f t="shared" si="2"/>
        <v>800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42</v>
      </c>
      <c r="H37" s="206">
        <f t="shared" si="2"/>
        <v>4200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24</v>
      </c>
      <c r="H38" s="206">
        <f t="shared" si="2"/>
        <v>1200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2</v>
      </c>
      <c r="H39" s="206">
        <f t="shared" si="2"/>
        <v>40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5</v>
      </c>
      <c r="D42" s="12">
        <f>C42*2.25</f>
        <v>11.25</v>
      </c>
      <c r="F42" s="39" t="s">
        <v>79</v>
      </c>
      <c r="G42" s="206">
        <v>217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84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</v>
      </c>
      <c r="D49" s="12">
        <f>C49*42</f>
        <v>42</v>
      </c>
      <c r="F49" s="231" t="s">
        <v>86</v>
      </c>
      <c r="G49" s="178">
        <f>H34+H35+H36+H37+H38+H39+H40+H41+G42+H44+H45+H46</f>
        <v>228457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4</v>
      </c>
      <c r="D50" s="12">
        <f>C50*1.5</f>
        <v>6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53" t="s">
        <v>184</v>
      </c>
      <c r="G51" s="255">
        <f>G49-H29</f>
        <v>477.75</v>
      </c>
      <c r="H51" s="256"/>
      <c r="I51" s="256"/>
      <c r="J51" s="25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54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39540.75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46091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311</v>
      </c>
      <c r="D6" s="13">
        <f t="shared" ref="D6:D28" si="1">C6*L6</f>
        <v>236671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6</v>
      </c>
      <c r="D7" s="13">
        <f t="shared" si="1"/>
        <v>4686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29</v>
      </c>
      <c r="D9" s="13">
        <f t="shared" si="1"/>
        <v>21257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11</v>
      </c>
      <c r="D13" s="48">
        <f t="shared" si="1"/>
        <v>3377</v>
      </c>
      <c r="F13" s="151" t="s">
        <v>36</v>
      </c>
      <c r="G13" s="152"/>
      <c r="H13" s="153">
        <f>D29</f>
        <v>266386.58333333331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6</v>
      </c>
      <c r="D14" s="31">
        <f t="shared" si="1"/>
        <v>66</v>
      </c>
      <c r="F14" s="156" t="s">
        <v>39</v>
      </c>
      <c r="G14" s="157"/>
      <c r="H14" s="158">
        <f>D54</f>
        <v>52669.5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213717.08333333331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108*6</f>
        <v>648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>
        <v>5</v>
      </c>
      <c r="D27" s="44">
        <f t="shared" si="1"/>
        <v>329.58333333333337</v>
      </c>
      <c r="F27" s="14"/>
      <c r="G27" s="14"/>
      <c r="H27" s="197"/>
      <c r="I27" s="198"/>
      <c r="J27" s="199"/>
      <c r="L27" s="7">
        <f>1582/24</f>
        <v>65.916666666666671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266386.58333333331</v>
      </c>
      <c r="F29" s="174" t="s">
        <v>55</v>
      </c>
      <c r="G29" s="175"/>
      <c r="H29" s="178">
        <f>H15-H16-H17-H18-H19-H20-H22-H23-H24+H26+H27</f>
        <v>213069.08333333331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127</v>
      </c>
      <c r="H34" s="206">
        <f>F34*G34</f>
        <v>127000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206">
        <f t="shared" ref="H35:H39" si="2">F35*G35</f>
        <v>25500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449</v>
      </c>
      <c r="D37" s="12">
        <f>C37*111</f>
        <v>49839</v>
      </c>
      <c r="F37" s="12">
        <v>100</v>
      </c>
      <c r="G37" s="39">
        <v>37</v>
      </c>
      <c r="H37" s="206">
        <f t="shared" si="2"/>
        <v>3700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5</v>
      </c>
      <c r="H38" s="206">
        <f t="shared" si="2"/>
        <v>250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6">
        <v>80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172</v>
      </c>
      <c r="G44" s="76" t="s">
        <v>183</v>
      </c>
      <c r="H44" s="190">
        <v>56579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1</v>
      </c>
      <c r="D46" s="12">
        <f>C46*1.5</f>
        <v>1.5</v>
      </c>
      <c r="F46" s="37"/>
      <c r="G46" s="8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</v>
      </c>
      <c r="D49" s="12">
        <f>C49*42</f>
        <v>42</v>
      </c>
      <c r="F49" s="231" t="s">
        <v>86</v>
      </c>
      <c r="G49" s="178">
        <f>H34+H35+H36+H37+H38+H39+H40+H41+G42+H44+H45+H46</f>
        <v>213109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22</v>
      </c>
      <c r="D50" s="12">
        <f>C50*1.5</f>
        <v>33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39.916666666686069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52669.5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46091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329</v>
      </c>
      <c r="D6" s="13">
        <f t="shared" ref="D6:D28" si="1">C6*L6</f>
        <v>250369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5</v>
      </c>
      <c r="D7" s="13">
        <f t="shared" si="1"/>
        <v>3905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>
        <v>1</v>
      </c>
      <c r="D8" s="13">
        <f t="shared" si="1"/>
        <v>1093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21</v>
      </c>
      <c r="D9" s="13">
        <f t="shared" si="1"/>
        <v>15393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2</v>
      </c>
      <c r="D10" s="13">
        <f t="shared" si="1"/>
        <v>2064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2</v>
      </c>
      <c r="D12" s="48">
        <f t="shared" si="1"/>
        <v>1984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14</v>
      </c>
      <c r="D13" s="48">
        <f t="shared" si="1"/>
        <v>4298</v>
      </c>
      <c r="F13" s="151" t="s">
        <v>36</v>
      </c>
      <c r="G13" s="152"/>
      <c r="H13" s="153">
        <f>D29</f>
        <v>281186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20</v>
      </c>
      <c r="D14" s="31">
        <f t="shared" si="1"/>
        <v>220</v>
      </c>
      <c r="F14" s="156" t="s">
        <v>39</v>
      </c>
      <c r="G14" s="157"/>
      <c r="H14" s="158">
        <f>D54</f>
        <v>42842.25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>
        <v>1</v>
      </c>
      <c r="D15" s="31">
        <f t="shared" si="1"/>
        <v>620</v>
      </c>
      <c r="F15" s="161" t="s">
        <v>40</v>
      </c>
      <c r="G15" s="152"/>
      <c r="H15" s="162">
        <f>H13-H14</f>
        <v>238343.75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108*6+80*6</f>
        <v>1128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281186</v>
      </c>
      <c r="F29" s="174" t="s">
        <v>55</v>
      </c>
      <c r="G29" s="175"/>
      <c r="H29" s="178">
        <f>H15-H16-H17-H18-H19-H20-H22-H23-H24+H26+H27</f>
        <v>237215.75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88</v>
      </c>
      <c r="H34" s="206">
        <f>F34*G34</f>
        <v>88000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06">
        <f>F35*G35</f>
        <v>16000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06">
        <f t="shared" ref="H36:H39" si="2">F36*G36</f>
        <v>600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354</v>
      </c>
      <c r="D37" s="12">
        <f>C37*111</f>
        <v>39294</v>
      </c>
      <c r="F37" s="12">
        <v>100</v>
      </c>
      <c r="G37" s="39">
        <v>66</v>
      </c>
      <c r="H37" s="206">
        <f t="shared" si="2"/>
        <v>6600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>
        <v>14</v>
      </c>
      <c r="H38" s="206">
        <f t="shared" si="2"/>
        <v>700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4</v>
      </c>
      <c r="H39" s="206">
        <f t="shared" si="2"/>
        <v>80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3</v>
      </c>
      <c r="D42" s="12">
        <f>C42*2.25</f>
        <v>6.75</v>
      </c>
      <c r="F42" s="39" t="s">
        <v>79</v>
      </c>
      <c r="G42" s="206">
        <v>911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6</v>
      </c>
      <c r="D44" s="12">
        <f>C44*120</f>
        <v>720</v>
      </c>
      <c r="F44" s="37" t="s">
        <v>146</v>
      </c>
      <c r="G44" s="62" t="s">
        <v>185</v>
      </c>
      <c r="H44" s="190">
        <v>71968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 t="s">
        <v>146</v>
      </c>
      <c r="G45" s="62" t="s">
        <v>186</v>
      </c>
      <c r="H45" s="190">
        <v>52207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45</v>
      </c>
      <c r="D46" s="12">
        <f>C46*1.5</f>
        <v>67.5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8</v>
      </c>
      <c r="D49" s="12">
        <f>C49*42</f>
        <v>336</v>
      </c>
      <c r="F49" s="231" t="s">
        <v>86</v>
      </c>
      <c r="G49" s="178">
        <f>H34+H35+H36+H37+H38+H39+H40+H41+G42+H44+H45+H46</f>
        <v>237066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16</v>
      </c>
      <c r="D50" s="12">
        <f>C50*1.5</f>
        <v>24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-149.75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42842.25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8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46092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411</v>
      </c>
      <c r="D6" s="13">
        <f t="shared" ref="D6:D28" si="1">C6*L6</f>
        <v>312771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2</v>
      </c>
      <c r="D7" s="13">
        <f t="shared" si="1"/>
        <v>1562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15</v>
      </c>
      <c r="D13" s="48">
        <f t="shared" si="1"/>
        <v>4605</v>
      </c>
      <c r="F13" s="151" t="s">
        <v>36</v>
      </c>
      <c r="G13" s="152"/>
      <c r="H13" s="153">
        <f>D29</f>
        <v>320439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21</v>
      </c>
      <c r="D14" s="31">
        <f t="shared" si="1"/>
        <v>231</v>
      </c>
      <c r="F14" s="156" t="s">
        <v>39</v>
      </c>
      <c r="G14" s="157"/>
      <c r="H14" s="158">
        <f>D54</f>
        <v>55105.5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>
        <v>1</v>
      </c>
      <c r="D15" s="31">
        <f t="shared" si="1"/>
        <v>620</v>
      </c>
      <c r="F15" s="161" t="s">
        <v>40</v>
      </c>
      <c r="G15" s="152"/>
      <c r="H15" s="162">
        <f>H13-H14</f>
        <v>265333.5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1938</f>
        <v>1938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89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320439</v>
      </c>
      <c r="F29" s="174" t="s">
        <v>55</v>
      </c>
      <c r="G29" s="175"/>
      <c r="H29" s="178">
        <f>H15-H16-H17-H18-H19-H20-H22-H23-H24+H26+H27+H28</f>
        <v>263395.5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55</v>
      </c>
      <c r="H34" s="206">
        <f t="shared" ref="H34:H39" si="2">F34*G34</f>
        <v>55000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206">
        <f t="shared" si="2"/>
        <v>5000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468</v>
      </c>
      <c r="D37" s="12">
        <f>C37*111</f>
        <v>51948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4</v>
      </c>
      <c r="D38" s="12">
        <f>C38*84</f>
        <v>336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2</v>
      </c>
      <c r="D42" s="12">
        <f>C42*2.25</f>
        <v>4.5</v>
      </c>
      <c r="F42" s="39" t="s">
        <v>79</v>
      </c>
      <c r="G42" s="206">
        <v>13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187</v>
      </c>
      <c r="H44" s="190">
        <v>203085.5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1</v>
      </c>
      <c r="D45" s="12">
        <f>C45*84</f>
        <v>84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16</v>
      </c>
      <c r="D46" s="12">
        <f>C46*1.5</f>
        <v>24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</v>
      </c>
      <c r="D49" s="12">
        <f>C49*42</f>
        <v>42</v>
      </c>
      <c r="F49" s="231" t="s">
        <v>86</v>
      </c>
      <c r="G49" s="178">
        <f>H34+H35+H36+H37+H38+H39+H40+H41+G42+H44+H45+H46</f>
        <v>263098.5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34</v>
      </c>
      <c r="D50" s="12">
        <f>C50*1.5</f>
        <v>51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-297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55105.5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46092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348</v>
      </c>
      <c r="D6" s="13">
        <f t="shared" ref="D6:D28" si="1">C6*L6</f>
        <v>264828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10</v>
      </c>
      <c r="D13" s="48">
        <f t="shared" si="1"/>
        <v>3070</v>
      </c>
      <c r="F13" s="151" t="s">
        <v>36</v>
      </c>
      <c r="G13" s="152"/>
      <c r="H13" s="153">
        <f>D29</f>
        <v>268786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7</v>
      </c>
      <c r="D14" s="31">
        <f t="shared" si="1"/>
        <v>77</v>
      </c>
      <c r="F14" s="156" t="s">
        <v>39</v>
      </c>
      <c r="G14" s="157"/>
      <c r="H14" s="158">
        <f>D54</f>
        <v>44764.5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224021.5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1296+480</f>
        <v>1776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5">
        <v>50</v>
      </c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>
        <v>1</v>
      </c>
      <c r="D28" s="48">
        <f t="shared" si="1"/>
        <v>811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268786</v>
      </c>
      <c r="F29" s="174" t="s">
        <v>55</v>
      </c>
      <c r="G29" s="175"/>
      <c r="H29" s="178">
        <f>H15-H16-H17-H18-H19-H20-H22-H23-H24+H26+H27</f>
        <v>222195.5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206">
        <f>F34*G34</f>
        <v>142000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91</v>
      </c>
      <c r="H35" s="206">
        <f t="shared" ref="H35:H39" si="2">F35*G35</f>
        <v>45500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300</v>
      </c>
      <c r="H37" s="206">
        <f t="shared" si="2"/>
        <v>30000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65</v>
      </c>
      <c r="D38" s="12">
        <f>C38*84</f>
        <v>5460</v>
      </c>
      <c r="F38" s="30">
        <v>50</v>
      </c>
      <c r="G38" s="39">
        <v>69</v>
      </c>
      <c r="H38" s="206">
        <f t="shared" si="2"/>
        <v>3450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>
        <v>72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8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16</v>
      </c>
      <c r="D49" s="12">
        <f>C49*42</f>
        <v>672</v>
      </c>
      <c r="F49" s="231" t="s">
        <v>86</v>
      </c>
      <c r="G49" s="178">
        <f>H34+H35+H36+H37+H38+H39+H40+H41+G42+H44+H45+H46</f>
        <v>221022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3</v>
      </c>
      <c r="D50" s="12">
        <f>C50*1.5</f>
        <v>4.5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162</v>
      </c>
      <c r="G51" s="245">
        <f>G49-H29</f>
        <v>-1173.5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44764.5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46092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418</v>
      </c>
      <c r="D6" s="13">
        <f t="shared" ref="D6:D28" si="1">C6*L6</f>
        <v>318098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15</v>
      </c>
      <c r="D7" s="13">
        <f t="shared" si="1"/>
        <v>11715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>
        <v>2</v>
      </c>
      <c r="D8" s="13">
        <f t="shared" si="1"/>
        <v>2186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5</v>
      </c>
      <c r="D9" s="13">
        <f t="shared" si="1"/>
        <v>3665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4</v>
      </c>
      <c r="D10" s="13">
        <f t="shared" si="1"/>
        <v>4128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f>1+2+2</f>
        <v>5</v>
      </c>
      <c r="D12" s="48">
        <f t="shared" si="1"/>
        <v>4960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11</v>
      </c>
      <c r="D13" s="48">
        <f t="shared" si="1"/>
        <v>3377</v>
      </c>
      <c r="F13" s="151" t="s">
        <v>36</v>
      </c>
      <c r="G13" s="152"/>
      <c r="H13" s="153">
        <f>D29</f>
        <v>349583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14</v>
      </c>
      <c r="D14" s="31">
        <f t="shared" si="1"/>
        <v>154</v>
      </c>
      <c r="F14" s="156" t="s">
        <v>39</v>
      </c>
      <c r="G14" s="157"/>
      <c r="H14" s="158">
        <f>D54</f>
        <v>60138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289445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678+1350+360</f>
        <v>2388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5">
        <v>50</v>
      </c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349583</v>
      </c>
      <c r="F29" s="174" t="s">
        <v>55</v>
      </c>
      <c r="G29" s="175"/>
      <c r="H29" s="178">
        <f>H15-H16-H17-H18-H19-H20-H22-H23-H24+H26+H27</f>
        <v>287007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116</v>
      </c>
      <c r="H34" s="206">
        <f>F34*G34</f>
        <v>116000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206">
        <f>F35*G35</f>
        <v>10500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59</v>
      </c>
      <c r="H37" s="206">
        <f t="shared" si="2"/>
        <v>5900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206">
        <f t="shared" si="2"/>
        <v>1150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6</v>
      </c>
      <c r="D42" s="12">
        <f>C42*2.25</f>
        <v>13.5</v>
      </c>
      <c r="F42" s="39" t="s">
        <v>79</v>
      </c>
      <c r="G42" s="206">
        <v>160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11</v>
      </c>
      <c r="D44" s="12">
        <f>C44*120</f>
        <v>1320</v>
      </c>
      <c r="F44" s="37" t="s">
        <v>145</v>
      </c>
      <c r="G44" s="62" t="s">
        <v>188</v>
      </c>
      <c r="H44" s="190">
        <v>153409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31</v>
      </c>
      <c r="D46" s="12">
        <f>C46*1.5</f>
        <v>46.5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3</v>
      </c>
      <c r="D49" s="12">
        <f>C49*42</f>
        <v>126</v>
      </c>
      <c r="F49" s="231" t="s">
        <v>86</v>
      </c>
      <c r="G49" s="178">
        <f>H34+H35+H36+H37+H38+H39+H40+H41+G42+H44+H45+H46</f>
        <v>287119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19</v>
      </c>
      <c r="D50" s="12">
        <f>C50*1.5</f>
        <v>28.5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112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60138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8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46093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431</v>
      </c>
      <c r="D6" s="13">
        <f t="shared" ref="D6:D28" si="1">C6*L6</f>
        <v>327991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4</v>
      </c>
      <c r="D9" s="13">
        <f t="shared" si="1"/>
        <v>2932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15</v>
      </c>
      <c r="D13" s="48">
        <f t="shared" si="1"/>
        <v>4605</v>
      </c>
      <c r="F13" s="151" t="s">
        <v>36</v>
      </c>
      <c r="G13" s="152"/>
      <c r="H13" s="153">
        <f>D29</f>
        <v>335528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78331.5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257196.5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378*6</f>
        <v>2268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89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335528</v>
      </c>
      <c r="F29" s="174" t="s">
        <v>55</v>
      </c>
      <c r="G29" s="175"/>
      <c r="H29" s="178">
        <f>H15-H16-H17-H18-H19-H20-H22-H23-H24+H26+H27+H28</f>
        <v>254928.5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206">
        <f t="shared" ref="H34:H39" si="2">F34*G34</f>
        <v>191000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69</v>
      </c>
      <c r="H35" s="206">
        <f t="shared" si="2"/>
        <v>34500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688</v>
      </c>
      <c r="D37" s="12">
        <f>C37*111</f>
        <v>76368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146</v>
      </c>
      <c r="G44" s="84" t="s">
        <v>148</v>
      </c>
      <c r="H44" s="190">
        <v>24050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90">
        <v>5200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4</v>
      </c>
      <c r="D49" s="12">
        <f>C49*42</f>
        <v>168</v>
      </c>
      <c r="F49" s="231" t="s">
        <v>86</v>
      </c>
      <c r="G49" s="178">
        <f>H34+H35+H36+H37+H38+H39+H40+H41+G42+H44+H45+H46</f>
        <v>254750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-178.5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78331.5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46093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395</v>
      </c>
      <c r="D6" s="13">
        <f t="shared" ref="D6:D28" si="1">C6*L6</f>
        <v>300595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90</v>
      </c>
      <c r="D9" s="13">
        <f t="shared" si="1"/>
        <v>65970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10</v>
      </c>
      <c r="D10" s="13">
        <f t="shared" si="1"/>
        <v>10320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16</v>
      </c>
      <c r="D13" s="48">
        <f t="shared" si="1"/>
        <v>4912</v>
      </c>
      <c r="F13" s="151" t="s">
        <v>36</v>
      </c>
      <c r="G13" s="152"/>
      <c r="H13" s="153">
        <f>D29</f>
        <v>383159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17</v>
      </c>
      <c r="D14" s="31">
        <f t="shared" si="1"/>
        <v>187</v>
      </c>
      <c r="F14" s="156" t="s">
        <v>39</v>
      </c>
      <c r="G14" s="157"/>
      <c r="H14" s="158">
        <f>D54</f>
        <v>38395.5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344763.5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360*6</f>
        <v>2160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383159</v>
      </c>
      <c r="F29" s="174" t="s">
        <v>55</v>
      </c>
      <c r="G29" s="175"/>
      <c r="H29" s="178">
        <f>H15-H16-H17-H18-H19-H20-H22-H23-H24+H26+H27</f>
        <v>342603.5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77</v>
      </c>
      <c r="H34" s="206">
        <f>F34*G34</f>
        <v>77000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25</v>
      </c>
      <c r="H35" s="206">
        <f t="shared" ref="H35:H39" si="2">F35*G35</f>
        <v>12500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303</v>
      </c>
      <c r="D37" s="12">
        <f>C37*111</f>
        <v>33633</v>
      </c>
      <c r="F37" s="12">
        <v>100</v>
      </c>
      <c r="G37" s="39">
        <v>4</v>
      </c>
      <c r="H37" s="206">
        <f t="shared" si="2"/>
        <v>400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206">
        <f t="shared" si="2"/>
        <v>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>
        <v>21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145</v>
      </c>
      <c r="G44" s="62" t="s">
        <v>189</v>
      </c>
      <c r="H44" s="190">
        <v>253213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5</v>
      </c>
      <c r="D45" s="12">
        <f>C45*84</f>
        <v>420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4</v>
      </c>
      <c r="D46" s="12">
        <f>C46*1.5</f>
        <v>6</v>
      </c>
      <c r="F46" s="37"/>
      <c r="G46" s="8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8</v>
      </c>
      <c r="D49" s="12">
        <f>C49*42</f>
        <v>336</v>
      </c>
      <c r="F49" s="231" t="s">
        <v>86</v>
      </c>
      <c r="G49" s="178">
        <f>H34+H35+H36+H37+H38+H39+H40+H41+G42+H44+H45+H46</f>
        <v>343184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20</v>
      </c>
      <c r="D50" s="12">
        <f>C50*1.5</f>
        <v>30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580.5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38395.5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46093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363</v>
      </c>
      <c r="D6" s="13">
        <f t="shared" ref="D6:D28" si="1">C6*L6</f>
        <v>276243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15</v>
      </c>
      <c r="D7" s="13">
        <f t="shared" si="1"/>
        <v>11715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30</v>
      </c>
      <c r="D9" s="13">
        <f t="shared" si="1"/>
        <v>21990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2</v>
      </c>
      <c r="D10" s="13">
        <f t="shared" si="1"/>
        <v>2064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3</v>
      </c>
      <c r="D12" s="48">
        <f t="shared" si="1"/>
        <v>2976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14</v>
      </c>
      <c r="D13" s="48">
        <f t="shared" si="1"/>
        <v>4298</v>
      </c>
      <c r="F13" s="151" t="s">
        <v>36</v>
      </c>
      <c r="G13" s="152"/>
      <c r="H13" s="153">
        <f>D29</f>
        <v>320630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4</v>
      </c>
      <c r="D14" s="31">
        <f t="shared" si="1"/>
        <v>44</v>
      </c>
      <c r="F14" s="156" t="s">
        <v>39</v>
      </c>
      <c r="G14" s="157"/>
      <c r="H14" s="158">
        <f>D54</f>
        <v>52599.75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268030.25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942+648+300</f>
        <v>1890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320630</v>
      </c>
      <c r="F29" s="174" t="s">
        <v>55</v>
      </c>
      <c r="G29" s="175"/>
      <c r="H29" s="178">
        <f>H15-H16-H17-H18-H19-H20-H22-H23-H24+H26+H27</f>
        <v>266140.25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81</v>
      </c>
      <c r="H34" s="206">
        <f>F34*G34</f>
        <v>81000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21</v>
      </c>
      <c r="H35" s="206">
        <f>F35*G35</f>
        <v>10500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206">
        <f t="shared" ref="H36:H39" si="2">F36*G36</f>
        <v>200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446</v>
      </c>
      <c r="D37" s="12">
        <f>C37*111</f>
        <v>49506</v>
      </c>
      <c r="F37" s="12">
        <v>100</v>
      </c>
      <c r="G37" s="39">
        <v>49</v>
      </c>
      <c r="H37" s="206">
        <f t="shared" si="2"/>
        <v>4900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6</v>
      </c>
      <c r="H38" s="206">
        <f t="shared" si="2"/>
        <v>300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6">
        <v>19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190</v>
      </c>
      <c r="H44" s="190">
        <v>65078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1</v>
      </c>
      <c r="D45" s="12">
        <f>C45*84</f>
        <v>84</v>
      </c>
      <c r="F45" s="37" t="s">
        <v>145</v>
      </c>
      <c r="G45" s="76" t="s">
        <v>191</v>
      </c>
      <c r="H45" s="190">
        <v>103706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21</v>
      </c>
      <c r="D46" s="12">
        <f>C46*1.5</f>
        <v>31.5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</v>
      </c>
      <c r="D49" s="12">
        <f>C49*42</f>
        <v>42</v>
      </c>
      <c r="F49" s="231" t="s">
        <v>86</v>
      </c>
      <c r="G49" s="178">
        <f>H34+H35+H36+H37+H38+H39+H40+H41+G42+H44+H45+H46</f>
        <v>265703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4</v>
      </c>
      <c r="D50" s="12">
        <f>C50*1.5</f>
        <v>6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-437.25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52599.75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8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46094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89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H15-H16-H17-H18-H19-H20-H22-H23-H24+H26+H27+H28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6">
        <f t="shared" ref="H34:H39" si="2"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si="2"/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84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46094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ref="H35:H39" si="2"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8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46094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8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46095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676</v>
      </c>
      <c r="D6" s="13">
        <f t="shared" ref="D6:D28" si="1">C6*L6</f>
        <v>514436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4</v>
      </c>
      <c r="D7" s="13">
        <f t="shared" si="1"/>
        <v>3124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36</v>
      </c>
      <c r="D9" s="13">
        <f t="shared" si="1"/>
        <v>26388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3</v>
      </c>
      <c r="D10" s="13">
        <f t="shared" si="1"/>
        <v>3096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>
        <v>1</v>
      </c>
      <c r="D11" s="13">
        <f t="shared" si="1"/>
        <v>1170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f>1</f>
        <v>1</v>
      </c>
      <c r="D12" s="48">
        <f t="shared" si="1"/>
        <v>992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20</v>
      </c>
      <c r="D13" s="48">
        <f t="shared" si="1"/>
        <v>6140</v>
      </c>
      <c r="F13" s="151" t="s">
        <v>36</v>
      </c>
      <c r="G13" s="152"/>
      <c r="H13" s="153">
        <f>D29</f>
        <v>561365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4</v>
      </c>
      <c r="D14" s="31">
        <f t="shared" si="1"/>
        <v>44</v>
      </c>
      <c r="F14" s="156" t="s">
        <v>39</v>
      </c>
      <c r="G14" s="157"/>
      <c r="H14" s="158">
        <f>D54</f>
        <v>101851.5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>
        <v>1</v>
      </c>
      <c r="D15" s="31">
        <f t="shared" si="1"/>
        <v>620</v>
      </c>
      <c r="F15" s="161" t="s">
        <v>40</v>
      </c>
      <c r="G15" s="152"/>
      <c r="H15" s="162">
        <f>H13-H14</f>
        <v>459513.5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54+1944</f>
        <v>1998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5">
        <v>50</v>
      </c>
      <c r="I19" s="165"/>
      <c r="J19" s="165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 t="s">
        <v>164</v>
      </c>
      <c r="G22" s="73">
        <v>9573</v>
      </c>
      <c r="H22" s="188">
        <v>102166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 t="s">
        <v>164</v>
      </c>
      <c r="G26" s="65">
        <v>9425</v>
      </c>
      <c r="H26" s="190">
        <v>100339</v>
      </c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89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>
        <v>5</v>
      </c>
      <c r="D28" s="48">
        <f t="shared" si="1"/>
        <v>4055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561365</v>
      </c>
      <c r="F29" s="174" t="s">
        <v>55</v>
      </c>
      <c r="G29" s="175"/>
      <c r="H29" s="178">
        <f>H15-H16-H17-H18-H19-H20-H22-H23-H24+H26+H27+H28</f>
        <v>455638.5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281</v>
      </c>
      <c r="H34" s="206">
        <f t="shared" ref="H34:H39" si="2">F34*G34</f>
        <v>281000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90</v>
      </c>
      <c r="H35" s="206">
        <f t="shared" si="2"/>
        <v>45000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887</v>
      </c>
      <c r="D37" s="12">
        <f>C37*111</f>
        <v>98457</v>
      </c>
      <c r="F37" s="12">
        <v>100</v>
      </c>
      <c r="G37" s="39">
        <v>8</v>
      </c>
      <c r="H37" s="206">
        <f t="shared" si="2"/>
        <v>800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206">
        <f t="shared" si="2"/>
        <v>100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206">
        <f t="shared" si="2"/>
        <v>60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16</v>
      </c>
      <c r="D42" s="12">
        <f>C42*2.25</f>
        <v>36</v>
      </c>
      <c r="F42" s="39" t="s">
        <v>79</v>
      </c>
      <c r="G42" s="206">
        <v>50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5</v>
      </c>
      <c r="D44" s="12">
        <f>C44*120</f>
        <v>600</v>
      </c>
      <c r="F44" s="37" t="s">
        <v>146</v>
      </c>
      <c r="G44" s="84" t="s">
        <v>148</v>
      </c>
      <c r="H44" s="190">
        <v>90000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3</v>
      </c>
      <c r="D45" s="12">
        <f>C45*84</f>
        <v>252</v>
      </c>
      <c r="F45" s="37" t="s">
        <v>146</v>
      </c>
      <c r="G45" s="84" t="s">
        <v>148</v>
      </c>
      <c r="H45" s="190">
        <v>38720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3</v>
      </c>
      <c r="D46" s="12">
        <f>C46*1.5</f>
        <v>4.5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16</v>
      </c>
      <c r="D49" s="12">
        <f>C49*42</f>
        <v>672</v>
      </c>
      <c r="F49" s="231" t="s">
        <v>86</v>
      </c>
      <c r="G49" s="178">
        <f>H34+H35+H36+H37+H38+H39+H40+H41+G42+H44+H45+H46</f>
        <v>455730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23</v>
      </c>
      <c r="D50" s="12">
        <f>C50*1.5</f>
        <v>34.5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61" t="s">
        <v>194</v>
      </c>
      <c r="G51" s="255">
        <f>G49-H29</f>
        <v>91.5</v>
      </c>
      <c r="H51" s="256"/>
      <c r="I51" s="256"/>
      <c r="J51" s="25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62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101851.5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46095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314</v>
      </c>
      <c r="D6" s="13">
        <f t="shared" ref="D6:D28" si="1">C6*L6</f>
        <v>238954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12</v>
      </c>
      <c r="D7" s="13">
        <f t="shared" si="1"/>
        <v>9372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33</v>
      </c>
      <c r="D9" s="13">
        <f t="shared" si="1"/>
        <v>24189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1</v>
      </c>
      <c r="D12" s="48">
        <f t="shared" si="1"/>
        <v>992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8</v>
      </c>
      <c r="D13" s="48">
        <f t="shared" si="1"/>
        <v>2456</v>
      </c>
      <c r="F13" s="151" t="s">
        <v>36</v>
      </c>
      <c r="G13" s="152"/>
      <c r="H13" s="153">
        <f>D29</f>
        <v>279612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7</v>
      </c>
      <c r="D14" s="31">
        <f t="shared" si="1"/>
        <v>77</v>
      </c>
      <c r="F14" s="156" t="s">
        <v>39</v>
      </c>
      <c r="G14" s="157"/>
      <c r="H14" s="158">
        <f>D54</f>
        <v>43846.5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235765.5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>
        <v>2</v>
      </c>
      <c r="D28" s="48">
        <f t="shared" si="1"/>
        <v>1622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279612</v>
      </c>
      <c r="F29" s="174" t="s">
        <v>55</v>
      </c>
      <c r="G29" s="175"/>
      <c r="H29" s="178">
        <f>H15-H16-H17-H18-H19-H20-H22-H23-H24+H26+H27</f>
        <v>235765.5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152</v>
      </c>
      <c r="H34" s="206">
        <f>F34*G34</f>
        <v>152000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206">
        <f t="shared" ref="H35:H39" si="2">F35*G35</f>
        <v>61500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>
        <v>203</v>
      </c>
      <c r="H37" s="206">
        <f t="shared" si="2"/>
        <v>20300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42</v>
      </c>
      <c r="H38" s="206">
        <f t="shared" si="2"/>
        <v>2100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8</v>
      </c>
      <c r="D42" s="12">
        <f>C42*2.25</f>
        <v>18</v>
      </c>
      <c r="F42" s="39" t="s">
        <v>79</v>
      </c>
      <c r="G42" s="206">
        <v>14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1</v>
      </c>
      <c r="D44" s="12">
        <f>C44*120</f>
        <v>120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1</v>
      </c>
      <c r="D45" s="12">
        <f>C45*84</f>
        <v>84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10</v>
      </c>
      <c r="D46" s="12">
        <f>C46*1.5</f>
        <v>15</v>
      </c>
      <c r="F46" s="37"/>
      <c r="G46" s="8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</v>
      </c>
      <c r="D49" s="12">
        <f>C49*42</f>
        <v>42</v>
      </c>
      <c r="F49" s="231" t="s">
        <v>86</v>
      </c>
      <c r="G49" s="178">
        <f>H34+H35+H36+H37+H38+H39+H40+H41+G42+H44+H45+H46</f>
        <v>235914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2</v>
      </c>
      <c r="D50" s="12">
        <f>C50*1.5</f>
        <v>3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148.5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43846.5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46095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316</v>
      </c>
      <c r="D6" s="13">
        <f t="shared" ref="D6:D28" si="1">C6*L6</f>
        <v>240476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16</v>
      </c>
      <c r="D7" s="13">
        <f t="shared" si="1"/>
        <v>12496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16</v>
      </c>
      <c r="D9" s="13">
        <f t="shared" si="1"/>
        <v>11728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10</v>
      </c>
      <c r="D13" s="48">
        <f t="shared" si="1"/>
        <v>3070</v>
      </c>
      <c r="F13" s="151" t="s">
        <v>36</v>
      </c>
      <c r="G13" s="152"/>
      <c r="H13" s="153">
        <f>D29</f>
        <v>267902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12</v>
      </c>
      <c r="D14" s="31">
        <f t="shared" si="1"/>
        <v>132</v>
      </c>
      <c r="F14" s="156" t="s">
        <v>39</v>
      </c>
      <c r="G14" s="157"/>
      <c r="H14" s="158">
        <f>D54</f>
        <v>40562.25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227339.75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300+648+318</f>
        <v>1266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267902</v>
      </c>
      <c r="F29" s="174" t="s">
        <v>55</v>
      </c>
      <c r="G29" s="175"/>
      <c r="H29" s="178">
        <f>H15-H16-H17-H18-H19-H20-H22-H23-H24+H26+H27</f>
        <v>226073.75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206">
        <f>F34*G34</f>
        <v>103000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40</v>
      </c>
      <c r="H35" s="206">
        <f>F35*G35</f>
        <v>20000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336</v>
      </c>
      <c r="D37" s="12">
        <f>C37*111</f>
        <v>37296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1</v>
      </c>
      <c r="D42" s="12">
        <f>C42*2.25</f>
        <v>2.25</v>
      </c>
      <c r="F42" s="39" t="s">
        <v>79</v>
      </c>
      <c r="G42" s="206">
        <v>78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146</v>
      </c>
      <c r="G44" s="76" t="s">
        <v>192</v>
      </c>
      <c r="H44" s="190">
        <v>32658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 t="s">
        <v>146</v>
      </c>
      <c r="G45" s="76" t="s">
        <v>193</v>
      </c>
      <c r="H45" s="190">
        <v>70531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2</v>
      </c>
      <c r="D49" s="12">
        <f>C49*42</f>
        <v>84</v>
      </c>
      <c r="F49" s="231" t="s">
        <v>86</v>
      </c>
      <c r="G49" s="178">
        <f>H34+H35+H36+H37+H38+H39+H40+H41+G42+H44+H45+H46</f>
        <v>226267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8</v>
      </c>
      <c r="D50" s="12">
        <f>C50*1.5</f>
        <v>12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193.25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40562.25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8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46097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89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H15-H16-H17-H18-H19-H20-H22-H23-H24+H26+H27+H28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6">
        <f t="shared" ref="H34:H39" si="2"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si="2"/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84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46097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527</v>
      </c>
      <c r="D6" s="13">
        <f t="shared" ref="D6:D28" si="1">C6*L6</f>
        <v>401047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5</v>
      </c>
      <c r="D7" s="13">
        <f t="shared" si="1"/>
        <v>3905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50</v>
      </c>
      <c r="D9" s="13">
        <f t="shared" si="1"/>
        <v>36650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3</v>
      </c>
      <c r="D12" s="48">
        <f t="shared" si="1"/>
        <v>2976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16</v>
      </c>
      <c r="D13" s="48">
        <f t="shared" si="1"/>
        <v>4912</v>
      </c>
      <c r="F13" s="151" t="s">
        <v>36</v>
      </c>
      <c r="G13" s="152"/>
      <c r="H13" s="153">
        <f>D29</f>
        <v>451583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13</v>
      </c>
      <c r="D14" s="31">
        <f t="shared" si="1"/>
        <v>143</v>
      </c>
      <c r="F14" s="156" t="s">
        <v>39</v>
      </c>
      <c r="G14" s="157"/>
      <c r="H14" s="158">
        <f>D54</f>
        <v>66073.5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385509.5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150*6+347*6</f>
        <v>2982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451583</v>
      </c>
      <c r="F29" s="174" t="s">
        <v>55</v>
      </c>
      <c r="G29" s="175"/>
      <c r="H29" s="178">
        <f>H15-H16-H17-H18-H19-H20-H22-H23-H24+H26+H27</f>
        <v>382527.5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334</v>
      </c>
      <c r="H34" s="206">
        <f>F34*G34</f>
        <v>334000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206">
        <f t="shared" ref="H35:H39" si="2">F35*G35</f>
        <v>43000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582</v>
      </c>
      <c r="D37" s="12">
        <f>C37*111</f>
        <v>64602</v>
      </c>
      <c r="F37" s="12">
        <v>100</v>
      </c>
      <c r="G37" s="39">
        <v>27</v>
      </c>
      <c r="H37" s="206">
        <f t="shared" si="2"/>
        <v>2700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52</v>
      </c>
      <c r="H38" s="206">
        <f t="shared" si="2"/>
        <v>2600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206">
        <f t="shared" si="2"/>
        <v>20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>
        <v>49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1</v>
      </c>
      <c r="D45" s="12">
        <f>C45*84</f>
        <v>84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8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18</v>
      </c>
      <c r="D49" s="12">
        <f>C49*42</f>
        <v>756</v>
      </c>
      <c r="F49" s="231" t="s">
        <v>86</v>
      </c>
      <c r="G49" s="178">
        <f>H34+H35+H36+H37+H38+H39+H40+H41+G42+H44+H45+H46</f>
        <v>382369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10</v>
      </c>
      <c r="D50" s="12">
        <f>C50*1.5</f>
        <v>15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162</v>
      </c>
      <c r="G51" s="245">
        <f>G49-H29</f>
        <v>-158.5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66073.5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46097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520</v>
      </c>
      <c r="D6" s="13">
        <f t="shared" ref="D6:D28" si="1">C6*L6</f>
        <v>395720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2</v>
      </c>
      <c r="D7" s="13">
        <f t="shared" si="1"/>
        <v>1562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23</v>
      </c>
      <c r="D9" s="13">
        <f t="shared" si="1"/>
        <v>16859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5</v>
      </c>
      <c r="D13" s="48">
        <f t="shared" si="1"/>
        <v>1535</v>
      </c>
      <c r="F13" s="151" t="s">
        <v>36</v>
      </c>
      <c r="G13" s="152"/>
      <c r="H13" s="153">
        <f>D29</f>
        <v>415764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8</v>
      </c>
      <c r="D14" s="31">
        <f t="shared" si="1"/>
        <v>88</v>
      </c>
      <c r="F14" s="156" t="s">
        <v>39</v>
      </c>
      <c r="G14" s="157"/>
      <c r="H14" s="158">
        <f>D54</f>
        <v>38598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377166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216*6+61*6</f>
        <v>1662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5">
        <v>50</v>
      </c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86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415764</v>
      </c>
      <c r="F29" s="174" t="s">
        <v>55</v>
      </c>
      <c r="G29" s="175"/>
      <c r="H29" s="178">
        <f>H15-H16-H17-H18-H19-H20-H22-H23-H24+H26+H27</f>
        <v>375454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62</v>
      </c>
      <c r="H34" s="206">
        <f>F34*G34</f>
        <v>62000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06">
        <f>F35*G35</f>
        <v>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>
        <v>3</v>
      </c>
      <c r="H37" s="206">
        <f t="shared" si="2"/>
        <v>300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2</v>
      </c>
      <c r="D42" s="12">
        <f>C42*2.25</f>
        <v>4.5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89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145</v>
      </c>
      <c r="G44" s="76" t="s">
        <v>195</v>
      </c>
      <c r="H44" s="190">
        <v>139824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 t="s">
        <v>196</v>
      </c>
      <c r="G45" s="76" t="s">
        <v>197</v>
      </c>
      <c r="H45" s="190">
        <v>173521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</v>
      </c>
      <c r="D49" s="12">
        <f>C49*42</f>
        <v>42</v>
      </c>
      <c r="F49" s="231" t="s">
        <v>86</v>
      </c>
      <c r="G49" s="178">
        <f>H34+H35+H36+H37+H38+H39+H40+H41+G42+H44+H45+H46</f>
        <v>376145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4</v>
      </c>
      <c r="D50" s="12">
        <f>C50*1.5</f>
        <v>6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691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38598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5478-9F82-4A48-B791-3727CF32A4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94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8E351-3922-4DF1-A8C2-3215065699D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46098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840</v>
      </c>
      <c r="D6" s="13">
        <f t="shared" ref="D6:D28" si="1">C6*L6</f>
        <v>639240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3</v>
      </c>
      <c r="D7" s="13">
        <f t="shared" si="1"/>
        <v>2343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118</v>
      </c>
      <c r="D9" s="13">
        <f t="shared" si="1"/>
        <v>86494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20</v>
      </c>
      <c r="D10" s="13">
        <f t="shared" si="1"/>
        <v>20640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>
        <v>15</v>
      </c>
      <c r="D11" s="13">
        <f t="shared" si="1"/>
        <v>17550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10</v>
      </c>
      <c r="D12" s="48">
        <f t="shared" si="1"/>
        <v>9920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36</v>
      </c>
      <c r="D13" s="48">
        <f t="shared" si="1"/>
        <v>11052</v>
      </c>
      <c r="F13" s="151" t="s">
        <v>36</v>
      </c>
      <c r="G13" s="152"/>
      <c r="H13" s="153">
        <f>D29</f>
        <v>793392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6</v>
      </c>
      <c r="D14" s="31">
        <f t="shared" si="1"/>
        <v>66</v>
      </c>
      <c r="F14" s="156" t="s">
        <v>39</v>
      </c>
      <c r="G14" s="157"/>
      <c r="H14" s="158">
        <f>D54</f>
        <v>105668.25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687723.75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678*6+233*6</f>
        <v>5466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>
        <v>3</v>
      </c>
      <c r="D18" s="48">
        <f t="shared" si="1"/>
        <v>1860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>
        <v>1</v>
      </c>
      <c r="D20" s="13">
        <f t="shared" si="1"/>
        <v>1175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91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793392</v>
      </c>
      <c r="F29" s="174" t="s">
        <v>55</v>
      </c>
      <c r="G29" s="175"/>
      <c r="H29" s="178">
        <f>H15-H16-H17-H18-H19-H20-H22-H23-H24+H26+H27+H28</f>
        <v>682257.75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19</v>
      </c>
      <c r="D34" s="30">
        <f>C34*120</f>
        <v>2280</v>
      </c>
      <c r="F34" s="12">
        <v>1000</v>
      </c>
      <c r="G34" s="40">
        <v>59</v>
      </c>
      <c r="H34" s="206">
        <f t="shared" ref="H34:H39" si="2">F34*G34</f>
        <v>59000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206">
        <f t="shared" si="2"/>
        <v>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882</v>
      </c>
      <c r="D37" s="12">
        <f>C37*111</f>
        <v>97902</v>
      </c>
      <c r="F37" s="12">
        <v>100</v>
      </c>
      <c r="G37" s="39">
        <v>3</v>
      </c>
      <c r="H37" s="206">
        <f t="shared" si="2"/>
        <v>300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06">
        <f t="shared" si="2"/>
        <v>20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17</v>
      </c>
      <c r="D42" s="12">
        <f>C42*2.25</f>
        <v>38.25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13</v>
      </c>
      <c r="D44" s="12">
        <f>C44*120</f>
        <v>1560</v>
      </c>
      <c r="F44" s="37" t="s">
        <v>145</v>
      </c>
      <c r="G44" s="62" t="s">
        <v>203</v>
      </c>
      <c r="H44" s="190">
        <v>473393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 t="s">
        <v>145</v>
      </c>
      <c r="G45" s="62" t="s">
        <v>204</v>
      </c>
      <c r="H45" s="190">
        <v>148170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1</v>
      </c>
      <c r="D46" s="12">
        <f>C46*1.5</f>
        <v>1.5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681383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10</v>
      </c>
      <c r="D50" s="12">
        <f>C50*1.5</f>
        <v>15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-874.75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105668.25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E173-2155-4A75-906D-C593B87FC8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46098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395</v>
      </c>
      <c r="D6" s="13">
        <f t="shared" ref="D6:D28" si="1">C6*L6</f>
        <v>300595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</v>
      </c>
      <c r="D7" s="13">
        <f t="shared" si="1"/>
        <v>781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30</v>
      </c>
      <c r="D9" s="13">
        <f t="shared" si="1"/>
        <v>21990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12</v>
      </c>
      <c r="D13" s="48">
        <f t="shared" si="1"/>
        <v>3684</v>
      </c>
      <c r="F13" s="151" t="s">
        <v>36</v>
      </c>
      <c r="G13" s="152"/>
      <c r="H13" s="153">
        <f>D29</f>
        <v>327138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8</v>
      </c>
      <c r="D14" s="31">
        <f t="shared" si="1"/>
        <v>88</v>
      </c>
      <c r="F14" s="156" t="s">
        <v>39</v>
      </c>
      <c r="G14" s="157"/>
      <c r="H14" s="158">
        <f>D54</f>
        <v>58863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268275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216*6+200*6</f>
        <v>2496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327138</v>
      </c>
      <c r="F29" s="174" t="s">
        <v>55</v>
      </c>
      <c r="G29" s="175"/>
      <c r="H29" s="178">
        <f>H15-H16-H17-H18-H19-H20-H22-H23-H24+H26+H27</f>
        <v>265779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</v>
      </c>
      <c r="H34" s="206">
        <f>F34*G34</f>
        <v>4000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ref="H35:H39" si="2"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501</v>
      </c>
      <c r="D37" s="12">
        <f>C37*111</f>
        <v>55611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7</v>
      </c>
      <c r="H38" s="206">
        <f t="shared" si="2"/>
        <v>350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06">
        <f t="shared" si="2"/>
        <v>40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6">
        <v>820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201</v>
      </c>
      <c r="H44" s="190">
        <v>113992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5</v>
      </c>
      <c r="D45" s="12">
        <f>C45*84</f>
        <v>420</v>
      </c>
      <c r="F45" s="37" t="s">
        <v>172</v>
      </c>
      <c r="G45" s="62" t="s">
        <v>202</v>
      </c>
      <c r="H45" s="190">
        <v>145035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2</v>
      </c>
      <c r="D46" s="12">
        <f>C46*1.5</f>
        <v>3</v>
      </c>
      <c r="F46" s="37"/>
      <c r="G46" s="9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18</v>
      </c>
      <c r="D49" s="12">
        <f>C49*42</f>
        <v>756</v>
      </c>
      <c r="F49" s="231" t="s">
        <v>86</v>
      </c>
      <c r="G49" s="178">
        <f>H34+H35+H36+H37+H38+H39+H40+H41+G42+H44+H45+H46</f>
        <v>264237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20</v>
      </c>
      <c r="D50" s="12">
        <f>C50*1.5</f>
        <v>30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162</v>
      </c>
      <c r="G51" s="245">
        <f>G49-H29</f>
        <v>-1542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58863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91195-A2B0-4212-A049-80AB75E2D8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46098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97">
        <v>320</v>
      </c>
      <c r="D6" s="13">
        <f t="shared" ref="D6:D28" si="1">C6*L6</f>
        <v>243520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97">
        <v>50</v>
      </c>
      <c r="D7" s="13">
        <f t="shared" si="1"/>
        <v>39050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97">
        <v>20</v>
      </c>
      <c r="D8" s="13">
        <f t="shared" si="1"/>
        <v>21860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97">
        <v>105</v>
      </c>
      <c r="D9" s="13">
        <f t="shared" si="1"/>
        <v>76965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97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97">
        <v>5</v>
      </c>
      <c r="D11" s="13">
        <f t="shared" si="1"/>
        <v>5850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97">
        <f>30+6+2</f>
        <v>38</v>
      </c>
      <c r="D12" s="48">
        <f t="shared" si="1"/>
        <v>37696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97"/>
      <c r="D13" s="48">
        <f t="shared" si="1"/>
        <v>0</v>
      </c>
      <c r="F13" s="151" t="s">
        <v>36</v>
      </c>
      <c r="G13" s="152"/>
      <c r="H13" s="153">
        <f>D29</f>
        <v>454572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97"/>
      <c r="D14" s="31">
        <f t="shared" si="1"/>
        <v>0</v>
      </c>
      <c r="F14" s="156" t="s">
        <v>39</v>
      </c>
      <c r="G14" s="157"/>
      <c r="H14" s="158">
        <f>D54</f>
        <v>43967.25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97">
        <v>5</v>
      </c>
      <c r="D15" s="31">
        <f t="shared" si="1"/>
        <v>3100</v>
      </c>
      <c r="F15" s="161" t="s">
        <v>40</v>
      </c>
      <c r="G15" s="152"/>
      <c r="H15" s="162">
        <f>H13-H14</f>
        <v>410604.75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97">
        <v>1</v>
      </c>
      <c r="D16" s="48">
        <f t="shared" si="1"/>
        <v>1702</v>
      </c>
      <c r="F16" s="67" t="s">
        <v>42</v>
      </c>
      <c r="G16" s="66" t="s">
        <v>43</v>
      </c>
      <c r="H16" s="165"/>
      <c r="I16" s="165"/>
      <c r="J16" s="165"/>
      <c r="L16" s="6">
        <f>1582+120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97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97">
        <v>2</v>
      </c>
      <c r="D18" s="48">
        <f t="shared" si="1"/>
        <v>1240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97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97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97">
        <f>5+2+5</f>
        <v>12</v>
      </c>
      <c r="D21" s="48">
        <f t="shared" si="1"/>
        <v>7800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97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96" t="s">
        <v>199</v>
      </c>
      <c r="C23" s="97">
        <f>2+2</f>
        <v>4</v>
      </c>
      <c r="D23" s="48">
        <f t="shared" si="1"/>
        <v>4700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97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97">
        <v>1</v>
      </c>
      <c r="D25" s="48">
        <f t="shared" si="1"/>
        <v>1277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1157+120</f>
        <v>1277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97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93</v>
      </c>
      <c r="C27" s="97">
        <v>1</v>
      </c>
      <c r="D27" s="44">
        <f t="shared" si="1"/>
        <v>1702</v>
      </c>
      <c r="F27" s="25"/>
      <c r="G27" s="80"/>
      <c r="H27" s="197"/>
      <c r="I27" s="198"/>
      <c r="J27" s="199"/>
      <c r="L27" s="7">
        <f>1582+120</f>
        <v>1702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97">
        <v>10</v>
      </c>
      <c r="D28" s="48">
        <f t="shared" si="1"/>
        <v>8110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454572</v>
      </c>
      <c r="F29" s="174" t="s">
        <v>55</v>
      </c>
      <c r="G29" s="175"/>
      <c r="H29" s="178">
        <f>H15-H16-H17-H18-H19-H20-H22-H23-H24+H26+H27</f>
        <v>410604.75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L31">
        <f>332-572</f>
        <v>-240</v>
      </c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206">
        <f>F34*G34</f>
        <v>12000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>
        <v>6</v>
      </c>
      <c r="D35" s="30">
        <f>C35*84</f>
        <v>504</v>
      </c>
      <c r="F35" s="58">
        <v>500</v>
      </c>
      <c r="G35" s="41">
        <v>6</v>
      </c>
      <c r="H35" s="206">
        <f>F35*G35</f>
        <v>3000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14</v>
      </c>
      <c r="D36" s="12">
        <f>C36*1.5</f>
        <v>21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87</v>
      </c>
      <c r="D37" s="12">
        <f>C37*111</f>
        <v>9657</v>
      </c>
      <c r="F37" s="12">
        <v>100</v>
      </c>
      <c r="G37" s="39">
        <v>4</v>
      </c>
      <c r="H37" s="206">
        <f t="shared" si="2"/>
        <v>400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312</v>
      </c>
      <c r="D38" s="12">
        <f>C38*84</f>
        <v>26208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34</v>
      </c>
      <c r="D41" s="12">
        <f>C41*84</f>
        <v>2856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6">
        <v>31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200</v>
      </c>
      <c r="H44" s="190">
        <v>394931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42</v>
      </c>
      <c r="D45" s="12">
        <f>C45*84</f>
        <v>3528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21</v>
      </c>
      <c r="D46" s="12">
        <f>C46*1.5</f>
        <v>31.5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410362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205</v>
      </c>
      <c r="G51" s="245">
        <f>G49-H29</f>
        <v>-242.75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43967.25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7EB1-FF9D-4684-9991-64990779AA9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94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4304F-5ABB-4F35-876E-9A9B663501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46099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314</v>
      </c>
      <c r="D6" s="13">
        <f t="shared" ref="D6:D28" si="1">C6*L6</f>
        <v>238954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21</v>
      </c>
      <c r="D7" s="13">
        <f t="shared" si="1"/>
        <v>16401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>
        <v>12</v>
      </c>
      <c r="D8" s="13">
        <f t="shared" si="1"/>
        <v>13116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8</v>
      </c>
      <c r="D9" s="13">
        <f t="shared" si="1"/>
        <v>5864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10</v>
      </c>
      <c r="D10" s="13">
        <f t="shared" si="1"/>
        <v>10320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>
        <v>40</v>
      </c>
      <c r="D11" s="13">
        <f t="shared" si="1"/>
        <v>46800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f>25+10</f>
        <v>35</v>
      </c>
      <c r="D12" s="48">
        <f t="shared" si="1"/>
        <v>34720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</v>
      </c>
      <c r="D13" s="48">
        <f t="shared" si="1"/>
        <v>307</v>
      </c>
      <c r="F13" s="151" t="s">
        <v>36</v>
      </c>
      <c r="G13" s="152"/>
      <c r="H13" s="153">
        <f>D29</f>
        <v>401678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13</v>
      </c>
      <c r="D14" s="31">
        <f t="shared" si="1"/>
        <v>143</v>
      </c>
      <c r="F14" s="156" t="s">
        <v>39</v>
      </c>
      <c r="G14" s="157"/>
      <c r="H14" s="158">
        <f>D54</f>
        <v>46828.5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208</v>
      </c>
      <c r="C15" s="10">
        <f>10+5</f>
        <v>15</v>
      </c>
      <c r="D15" s="31">
        <f t="shared" si="1"/>
        <v>9300</v>
      </c>
      <c r="F15" s="161" t="s">
        <v>40</v>
      </c>
      <c r="G15" s="152"/>
      <c r="H15" s="162">
        <f>H13-H14</f>
        <v>354849.5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209</v>
      </c>
      <c r="C16" s="10">
        <f>1+1</f>
        <v>2</v>
      </c>
      <c r="D16" s="48">
        <f t="shared" si="1"/>
        <v>3404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>
        <v>1</v>
      </c>
      <c r="D17" s="48">
        <f t="shared" si="1"/>
        <v>1582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>
        <v>5</v>
      </c>
      <c r="D20" s="13">
        <f t="shared" si="1"/>
        <v>5875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f>5+3</f>
        <v>8</v>
      </c>
      <c r="D21" s="48">
        <f t="shared" si="1"/>
        <v>5200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>
        <v>1</v>
      </c>
      <c r="D22" s="48">
        <f t="shared" si="1"/>
        <v>1582</v>
      </c>
      <c r="F22" s="77"/>
      <c r="G22" s="73"/>
      <c r="H22" s="188"/>
      <c r="I22" s="188"/>
      <c r="J22" s="188"/>
      <c r="L22" s="7">
        <f>1582</f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91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>
        <v>10</v>
      </c>
      <c r="D28" s="48">
        <f t="shared" si="1"/>
        <v>8110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401678</v>
      </c>
      <c r="F29" s="174" t="s">
        <v>55</v>
      </c>
      <c r="G29" s="175"/>
      <c r="H29" s="178">
        <f>H15-H16-H17-H18-H19-H20-H22-H23-H24+H26+H27+H28</f>
        <v>354849.5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</v>
      </c>
      <c r="H34" s="206">
        <f t="shared" ref="H34:H39" si="2">F34*G34</f>
        <v>2000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1</v>
      </c>
      <c r="H35" s="206">
        <f t="shared" si="2"/>
        <v>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62</v>
      </c>
      <c r="D37" s="12">
        <f>C37*111</f>
        <v>6882</v>
      </c>
      <c r="F37" s="12">
        <v>100</v>
      </c>
      <c r="G37" s="39">
        <v>1</v>
      </c>
      <c r="H37" s="206">
        <f t="shared" si="2"/>
        <v>100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322</v>
      </c>
      <c r="D38" s="12">
        <f>C38*84</f>
        <v>27048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4</v>
      </c>
      <c r="D42" s="12">
        <f>C42*2.25</f>
        <v>9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206</v>
      </c>
      <c r="H44" s="190">
        <v>351689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98</v>
      </c>
      <c r="D45" s="12">
        <f>C45*84</f>
        <v>8232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3</v>
      </c>
      <c r="D46" s="12">
        <f>C46*1.5</f>
        <v>4.5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354289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8</v>
      </c>
      <c r="D50" s="12">
        <f>C50*1.5</f>
        <v>12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-560.5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46828.5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64CA8-DA72-454D-95AB-62EFCDC2A9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46099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388</v>
      </c>
      <c r="D6" s="13">
        <f t="shared" ref="D6:D28" si="1">C6*L6</f>
        <v>295268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</v>
      </c>
      <c r="D7" s="13">
        <f t="shared" si="1"/>
        <v>781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>
        <v>1</v>
      </c>
      <c r="D8" s="13">
        <f t="shared" si="1"/>
        <v>1093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7</v>
      </c>
      <c r="D9" s="13">
        <f t="shared" si="1"/>
        <v>5131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1</v>
      </c>
      <c r="D10" s="13">
        <f t="shared" si="1"/>
        <v>1032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>
        <v>1</v>
      </c>
      <c r="D11" s="13">
        <f t="shared" si="1"/>
        <v>1170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14</v>
      </c>
      <c r="D13" s="48">
        <f t="shared" si="1"/>
        <v>4298</v>
      </c>
      <c r="F13" s="151" t="s">
        <v>36</v>
      </c>
      <c r="G13" s="152"/>
      <c r="H13" s="153">
        <f>D29</f>
        <v>309448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5</v>
      </c>
      <c r="D14" s="31">
        <f t="shared" si="1"/>
        <v>55</v>
      </c>
      <c r="F14" s="156" t="s">
        <v>39</v>
      </c>
      <c r="G14" s="157"/>
      <c r="H14" s="158">
        <f>D54</f>
        <v>45107.25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>
        <v>1</v>
      </c>
      <c r="D15" s="31">
        <f t="shared" si="1"/>
        <v>620</v>
      </c>
      <c r="F15" s="161" t="s">
        <v>40</v>
      </c>
      <c r="G15" s="152"/>
      <c r="H15" s="162">
        <f>H13-H14</f>
        <v>264340.75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324*6</f>
        <v>1944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309448</v>
      </c>
      <c r="F29" s="174" t="s">
        <v>55</v>
      </c>
      <c r="G29" s="175"/>
      <c r="H29" s="178">
        <f>H15-H16-H17-H18-H19-H20-H22-H23-H24+H26+H27</f>
        <v>262396.75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150</v>
      </c>
      <c r="H34" s="206">
        <f>F34*G34</f>
        <v>150000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223</v>
      </c>
      <c r="H35" s="206">
        <f t="shared" ref="H35:H39" si="2">F35*G35</f>
        <v>111500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392</v>
      </c>
      <c r="D37" s="12">
        <f>C37*111</f>
        <v>43512</v>
      </c>
      <c r="F37" s="12">
        <v>100</v>
      </c>
      <c r="G37" s="39">
        <v>4</v>
      </c>
      <c r="H37" s="206">
        <f t="shared" si="2"/>
        <v>400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</v>
      </c>
      <c r="H38" s="206">
        <f t="shared" si="2"/>
        <v>200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5</v>
      </c>
      <c r="D42" s="12">
        <f>C42*2.25</f>
        <v>11.25</v>
      </c>
      <c r="F42" s="39" t="s">
        <v>79</v>
      </c>
      <c r="G42" s="206">
        <v>18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2</v>
      </c>
      <c r="D44" s="12">
        <f>C44*120</f>
        <v>240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1</v>
      </c>
      <c r="D45" s="12">
        <f>C45*84</f>
        <v>84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9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11</v>
      </c>
      <c r="D49" s="12">
        <f>C49*42</f>
        <v>462</v>
      </c>
      <c r="F49" s="231" t="s">
        <v>86</v>
      </c>
      <c r="G49" s="178">
        <f>H34+H35+H36+H37+H38+H39+H40+H41+G42+H44+H45+H46</f>
        <v>262118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162</v>
      </c>
      <c r="G51" s="245">
        <f>G49-H29</f>
        <v>-278.75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45107.25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DB060-197D-447A-9CC5-8323F7D2FD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46099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332</v>
      </c>
      <c r="D6" s="13">
        <f t="shared" ref="D6:D28" si="1">C6*L6</f>
        <v>252652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</v>
      </c>
      <c r="D7" s="13">
        <f t="shared" si="1"/>
        <v>781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73</v>
      </c>
      <c r="D9" s="13">
        <f t="shared" si="1"/>
        <v>53509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1</v>
      </c>
      <c r="D12" s="48">
        <f t="shared" si="1"/>
        <v>992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12</v>
      </c>
      <c r="D13" s="48">
        <f t="shared" si="1"/>
        <v>3684</v>
      </c>
      <c r="F13" s="151" t="s">
        <v>36</v>
      </c>
      <c r="G13" s="152"/>
      <c r="H13" s="153">
        <f>D29</f>
        <v>311662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4</v>
      </c>
      <c r="D14" s="31">
        <f t="shared" si="1"/>
        <v>44</v>
      </c>
      <c r="F14" s="156" t="s">
        <v>39</v>
      </c>
      <c r="G14" s="157"/>
      <c r="H14" s="158">
        <f>D54</f>
        <v>43362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268300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600+606</f>
        <v>1206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5">
        <v>70</v>
      </c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311662</v>
      </c>
      <c r="F29" s="174" t="s">
        <v>55</v>
      </c>
      <c r="G29" s="175"/>
      <c r="H29" s="178">
        <f>H15-H16-H17-H18-H19-H20-H22-H23-H24+H26+H27</f>
        <v>267024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164</v>
      </c>
      <c r="H34" s="206">
        <f>F34*G34</f>
        <v>164000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06">
        <f>F35*G35</f>
        <v>29000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379</v>
      </c>
      <c r="D37" s="12">
        <f>C37*111</f>
        <v>42069</v>
      </c>
      <c r="F37" s="12">
        <v>100</v>
      </c>
      <c r="G37" s="39">
        <v>57</v>
      </c>
      <c r="H37" s="206">
        <f t="shared" si="2"/>
        <v>5700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38</v>
      </c>
      <c r="H38" s="206">
        <f t="shared" si="2"/>
        <v>1900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>
        <v>1063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145</v>
      </c>
      <c r="G44" s="76" t="s">
        <v>207</v>
      </c>
      <c r="H44" s="190">
        <v>65622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267285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52</v>
      </c>
      <c r="D50" s="12">
        <f>C50*1.5</f>
        <v>78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261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43362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580AB-C1CA-4662-9C6F-2C3038AF0F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94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9E6C-81A8-41C5-8C07-673EA3962E9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46100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457</v>
      </c>
      <c r="D6" s="13">
        <f t="shared" ref="D6:D28" si="1">C6*L6</f>
        <v>347777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5</v>
      </c>
      <c r="D7" s="13">
        <f t="shared" si="1"/>
        <v>3905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>
        <v>65</v>
      </c>
      <c r="D8" s="13">
        <f t="shared" si="1"/>
        <v>71045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19</v>
      </c>
      <c r="D9" s="13">
        <f t="shared" si="1"/>
        <v>13927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2</v>
      </c>
      <c r="D10" s="13">
        <f t="shared" si="1"/>
        <v>2064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2</v>
      </c>
      <c r="D12" s="48">
        <f t="shared" si="1"/>
        <v>1984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13</v>
      </c>
      <c r="D13" s="48">
        <f t="shared" si="1"/>
        <v>3991</v>
      </c>
      <c r="F13" s="151" t="s">
        <v>36</v>
      </c>
      <c r="G13" s="152"/>
      <c r="H13" s="153">
        <f>D29</f>
        <v>449433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16</v>
      </c>
      <c r="D14" s="31">
        <f t="shared" si="1"/>
        <v>176</v>
      </c>
      <c r="F14" s="156" t="s">
        <v>39</v>
      </c>
      <c r="G14" s="157"/>
      <c r="H14" s="158">
        <f>D54</f>
        <v>82245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>
        <f>1</f>
        <v>1</v>
      </c>
      <c r="D15" s="31">
        <f t="shared" si="1"/>
        <v>620</v>
      </c>
      <c r="F15" s="161" t="s">
        <v>40</v>
      </c>
      <c r="G15" s="152"/>
      <c r="H15" s="162">
        <f>H13-H14</f>
        <v>367188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v>1944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5">
        <v>50</v>
      </c>
      <c r="I19" s="165"/>
      <c r="J19" s="165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98" t="s">
        <v>210</v>
      </c>
      <c r="C22" s="10">
        <v>1</v>
      </c>
      <c r="D22" s="48">
        <f t="shared" si="1"/>
        <v>1702</v>
      </c>
      <c r="F22" s="77" t="s">
        <v>174</v>
      </c>
      <c r="G22" s="73">
        <v>9596</v>
      </c>
      <c r="H22" s="188">
        <v>67313</v>
      </c>
      <c r="I22" s="188"/>
      <c r="J22" s="188"/>
      <c r="L22" s="7">
        <f>1582+120</f>
        <v>1702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91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>
        <v>2</v>
      </c>
      <c r="D28" s="48">
        <f t="shared" si="1"/>
        <v>1622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449433</v>
      </c>
      <c r="F29" s="174" t="s">
        <v>55</v>
      </c>
      <c r="G29" s="175"/>
      <c r="H29" s="178">
        <f>H15-H16-H17-H18-H19-H20-H22-H23-H24+H26+H27+H28</f>
        <v>297881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168</v>
      </c>
      <c r="H34" s="206">
        <f t="shared" ref="H34:H39" si="2">F34*G34</f>
        <v>168000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06">
        <f t="shared" si="2"/>
        <v>39000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569</v>
      </c>
      <c r="D37" s="12">
        <f>C37*111</f>
        <v>63159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95</v>
      </c>
      <c r="D38" s="12">
        <f>C38*84</f>
        <v>7980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4</v>
      </c>
      <c r="D42" s="12">
        <f>C42*2.25</f>
        <v>9</v>
      </c>
      <c r="F42" s="39" t="s">
        <v>79</v>
      </c>
      <c r="G42" s="206">
        <v>154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70</v>
      </c>
      <c r="D44" s="12">
        <f>C44*120</f>
        <v>8400</v>
      </c>
      <c r="F44" s="37" t="s">
        <v>146</v>
      </c>
      <c r="G44" s="84" t="s">
        <v>148</v>
      </c>
      <c r="H44" s="190">
        <v>75000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 t="s">
        <v>155</v>
      </c>
      <c r="G45" s="99" t="s">
        <v>211</v>
      </c>
      <c r="H45" s="190">
        <v>11700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6</v>
      </c>
      <c r="D46" s="12">
        <f>C46*1.5</f>
        <v>9</v>
      </c>
      <c r="F46" s="37" t="s">
        <v>155</v>
      </c>
      <c r="G46" s="62" t="s">
        <v>212</v>
      </c>
      <c r="H46" s="190">
        <v>3944</v>
      </c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10</v>
      </c>
      <c r="D49" s="12">
        <f>C49*42</f>
        <v>420</v>
      </c>
      <c r="F49" s="231" t="s">
        <v>86</v>
      </c>
      <c r="G49" s="178">
        <f>H34+H35+H36+H37+H38+H39+H40+H41+G42+H44+H45+H46</f>
        <v>297798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14</v>
      </c>
      <c r="D50" s="12">
        <f>C50*1.5</f>
        <v>21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-83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82245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8492C-02B1-49EF-AB2C-2BA97E78FFB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46100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326</v>
      </c>
      <c r="D6" s="13">
        <f t="shared" ref="D6:D28" si="1">C6*L6</f>
        <v>248086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4</v>
      </c>
      <c r="D7" s="13">
        <f t="shared" si="1"/>
        <v>3124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>
        <v>1</v>
      </c>
      <c r="D8" s="13">
        <f t="shared" si="1"/>
        <v>1093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17</v>
      </c>
      <c r="D9" s="13">
        <f t="shared" si="1"/>
        <v>12461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10</v>
      </c>
      <c r="D13" s="48">
        <f t="shared" si="1"/>
        <v>3070</v>
      </c>
      <c r="F13" s="151" t="s">
        <v>36</v>
      </c>
      <c r="G13" s="152"/>
      <c r="H13" s="153">
        <f>D29</f>
        <v>267889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5</v>
      </c>
      <c r="D14" s="31">
        <f t="shared" si="1"/>
        <v>55</v>
      </c>
      <c r="F14" s="156" t="s">
        <v>39</v>
      </c>
      <c r="G14" s="157"/>
      <c r="H14" s="158">
        <f>D54</f>
        <v>40076.25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227812.75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104*6</f>
        <v>624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267889</v>
      </c>
      <c r="F29" s="174" t="s">
        <v>55</v>
      </c>
      <c r="G29" s="175"/>
      <c r="H29" s="178">
        <f>H15-H16-H17-H18-H19-H20-H22-H23-H24+H26+H27</f>
        <v>227188.75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187</v>
      </c>
      <c r="H34" s="206">
        <f>F34*G34</f>
        <v>187000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06">
        <f t="shared" ref="H35:H39" si="2">F35*G35</f>
        <v>40000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8</v>
      </c>
      <c r="D36" s="12">
        <f>C36*1.5</f>
        <v>12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335</v>
      </c>
      <c r="D37" s="12">
        <f>C37*111</f>
        <v>37185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3</v>
      </c>
      <c r="H38" s="206">
        <f t="shared" si="2"/>
        <v>150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6">
        <v>61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2</v>
      </c>
      <c r="D44" s="12">
        <f>C44*120</f>
        <v>240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2</v>
      </c>
      <c r="D45" s="12">
        <f>C45*84</f>
        <v>168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16</v>
      </c>
      <c r="D46" s="12">
        <f>C46*1.5</f>
        <v>24</v>
      </c>
      <c r="F46" s="37"/>
      <c r="G46" s="9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6</v>
      </c>
      <c r="D49" s="12">
        <f>C49*42</f>
        <v>252</v>
      </c>
      <c r="F49" s="231" t="s">
        <v>86</v>
      </c>
      <c r="G49" s="178">
        <f>H34+H35+H36+H37+H38+H39+H40+H41+G42+H44+H45+H46</f>
        <v>227211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14</v>
      </c>
      <c r="D50" s="12">
        <f>C50*1.5</f>
        <v>21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22.25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40076.25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08F16-5BB7-45E1-919A-DB6FB2A17D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46100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430</v>
      </c>
      <c r="D6" s="13">
        <f t="shared" ref="D6:D28" si="1">C6*L6</f>
        <v>327230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7</v>
      </c>
      <c r="D7" s="13">
        <f t="shared" si="1"/>
        <v>5467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112</v>
      </c>
      <c r="D9" s="13">
        <f t="shared" si="1"/>
        <v>82096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>
        <v>10</v>
      </c>
      <c r="D11" s="13">
        <f t="shared" si="1"/>
        <v>11700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20</v>
      </c>
      <c r="D13" s="48">
        <f t="shared" si="1"/>
        <v>6140</v>
      </c>
      <c r="F13" s="151" t="s">
        <v>36</v>
      </c>
      <c r="G13" s="152"/>
      <c r="H13" s="153">
        <f>D29</f>
        <v>432743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10</v>
      </c>
      <c r="D14" s="31">
        <f t="shared" si="1"/>
        <v>110</v>
      </c>
      <c r="F14" s="156" t="s">
        <v>39</v>
      </c>
      <c r="G14" s="157"/>
      <c r="H14" s="158">
        <f>D54</f>
        <v>88158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344585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648+450+2130</f>
        <v>3228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432743</v>
      </c>
      <c r="F29" s="174" t="s">
        <v>55</v>
      </c>
      <c r="G29" s="175"/>
      <c r="H29" s="178">
        <f>H15-H16-H17-H18-H19-H20-H22-H23-H24+H26+H27</f>
        <v>341357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46</v>
      </c>
      <c r="H34" s="206">
        <f>F34*G34</f>
        <v>46000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206">
        <f>F35*G35</f>
        <v>10500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6">
        <f t="shared" ref="H36:H39" si="2">F36*G36</f>
        <v>200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742</v>
      </c>
      <c r="D37" s="12">
        <f>C37*111</f>
        <v>82362</v>
      </c>
      <c r="F37" s="12">
        <v>100</v>
      </c>
      <c r="G37" s="39">
        <v>18</v>
      </c>
      <c r="H37" s="206">
        <f t="shared" si="2"/>
        <v>1800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06">
        <f t="shared" si="2"/>
        <v>100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4</v>
      </c>
      <c r="D42" s="12">
        <f>C42*2.25</f>
        <v>9</v>
      </c>
      <c r="F42" s="39" t="s">
        <v>79</v>
      </c>
      <c r="G42" s="206">
        <v>79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10</v>
      </c>
      <c r="D44" s="12">
        <f>C44*120</f>
        <v>1200</v>
      </c>
      <c r="F44" s="37" t="s">
        <v>146</v>
      </c>
      <c r="G44" s="76" t="s">
        <v>213</v>
      </c>
      <c r="H44" s="190">
        <v>48987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 t="s">
        <v>146</v>
      </c>
      <c r="G45" s="76" t="s">
        <v>214</v>
      </c>
      <c r="H45" s="190">
        <v>233269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9</v>
      </c>
      <c r="D49" s="12">
        <f>C49*42</f>
        <v>378</v>
      </c>
      <c r="F49" s="231" t="s">
        <v>86</v>
      </c>
      <c r="G49" s="178">
        <f>H34+H35+H36+H37+H38+H39+H40+H41+G42+H44+H45+H46</f>
        <v>340935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13</v>
      </c>
      <c r="D50" s="12">
        <f>C50*1.5</f>
        <v>19.5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-422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88158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B76BD-8156-400B-82B5-D8701319A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94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819BF-BC69-44FA-9772-A8E3210C72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46101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436</v>
      </c>
      <c r="D6" s="13">
        <f t="shared" ref="D6:D28" si="1">C6*L6</f>
        <v>331796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10</v>
      </c>
      <c r="D9" s="13">
        <f t="shared" si="1"/>
        <v>7330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>
        <v>1</v>
      </c>
      <c r="D11" s="13">
        <f t="shared" si="1"/>
        <v>1170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1</v>
      </c>
      <c r="D12" s="48">
        <f t="shared" si="1"/>
        <v>992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7</v>
      </c>
      <c r="D13" s="48">
        <f t="shared" si="1"/>
        <v>2149</v>
      </c>
      <c r="F13" s="151" t="s">
        <v>36</v>
      </c>
      <c r="G13" s="152"/>
      <c r="H13" s="153">
        <f>D29</f>
        <v>343569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12</v>
      </c>
      <c r="D14" s="31">
        <f t="shared" si="1"/>
        <v>132</v>
      </c>
      <c r="F14" s="156" t="s">
        <v>39</v>
      </c>
      <c r="G14" s="157"/>
      <c r="H14" s="158">
        <f>D54</f>
        <v>53209.5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290359.5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5">
        <v>50</v>
      </c>
      <c r="I19" s="165"/>
      <c r="J19" s="165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 t="s">
        <v>217</v>
      </c>
      <c r="G22" s="73">
        <v>9803</v>
      </c>
      <c r="H22" s="188">
        <v>141854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91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343569</v>
      </c>
      <c r="F29" s="174" t="s">
        <v>55</v>
      </c>
      <c r="G29" s="175"/>
      <c r="H29" s="178">
        <f>H15-H16-H17-H18-H19-H20-H22-H23-H24+H26+H27+H28</f>
        <v>148455.5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126</v>
      </c>
      <c r="H34" s="206">
        <f t="shared" ref="H34:H39" si="2">F34*G34</f>
        <v>126000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206">
        <f t="shared" si="2"/>
        <v>19000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6">
        <f t="shared" si="2"/>
        <v>400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29</v>
      </c>
      <c r="H37" s="206">
        <f t="shared" si="2"/>
        <v>2900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06">
        <f t="shared" si="2"/>
        <v>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>
        <v>68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1</v>
      </c>
      <c r="D44" s="12">
        <f>C44*120</f>
        <v>120</v>
      </c>
      <c r="F44" s="37"/>
      <c r="G44" s="84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13</v>
      </c>
      <c r="D48" s="12">
        <f>C48*78</f>
        <v>1014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148418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5</v>
      </c>
      <c r="D50" s="12">
        <f>C50*1.5</f>
        <v>7.5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-37.5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53209.5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E1A4-85EB-45B9-BE01-DDAEE7CFE4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46101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398</v>
      </c>
      <c r="D6" s="13">
        <f t="shared" ref="D6:D28" si="1">C6*L6</f>
        <v>302878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9</v>
      </c>
      <c r="D7" s="13">
        <f t="shared" si="1"/>
        <v>7029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36</v>
      </c>
      <c r="D9" s="13">
        <f t="shared" si="1"/>
        <v>26388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>
        <v>1</v>
      </c>
      <c r="D11" s="13">
        <f t="shared" si="1"/>
        <v>1170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f>2+1</f>
        <v>3</v>
      </c>
      <c r="D12" s="48">
        <f t="shared" si="1"/>
        <v>2976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12</v>
      </c>
      <c r="D13" s="48">
        <f t="shared" si="1"/>
        <v>3684</v>
      </c>
      <c r="F13" s="151" t="s">
        <v>36</v>
      </c>
      <c r="G13" s="152"/>
      <c r="H13" s="153">
        <f>D29</f>
        <v>348180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51591.75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296588.25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108*6</f>
        <v>648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 t="s">
        <v>164</v>
      </c>
      <c r="G22" s="73">
        <v>9736</v>
      </c>
      <c r="H22" s="188">
        <v>94558</v>
      </c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106" t="s">
        <v>164</v>
      </c>
      <c r="G26" s="59">
        <v>9573</v>
      </c>
      <c r="H26" s="194">
        <v>102166</v>
      </c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>
        <v>5</v>
      </c>
      <c r="D28" s="48">
        <f t="shared" si="1"/>
        <v>4055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348180</v>
      </c>
      <c r="F29" s="174" t="s">
        <v>55</v>
      </c>
      <c r="G29" s="175"/>
      <c r="H29" s="178">
        <f>H15-H16-H17-H18-H19-H20-H22-H23-H24+H26+H27</f>
        <v>303548.25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106</v>
      </c>
      <c r="H34" s="206">
        <f>F34*G34</f>
        <v>106000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</v>
      </c>
      <c r="H35" s="206">
        <f t="shared" ref="H35:H39" si="2">F35*G35</f>
        <v>22000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33</v>
      </c>
      <c r="H37" s="206">
        <f t="shared" si="2"/>
        <v>3300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89</v>
      </c>
      <c r="D38" s="12">
        <f>C38*84</f>
        <v>7476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06">
        <f t="shared" si="2"/>
        <v>20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6">
        <v>68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4</v>
      </c>
      <c r="D44" s="12">
        <f>C44*120</f>
        <v>480</v>
      </c>
      <c r="F44" s="37" t="s">
        <v>172</v>
      </c>
      <c r="G44" s="99" t="s">
        <v>216</v>
      </c>
      <c r="H44" s="190">
        <v>70347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90">
        <v>102166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4</v>
      </c>
      <c r="D46" s="12">
        <f>C46*1.5</f>
        <v>6</v>
      </c>
      <c r="F46" s="37"/>
      <c r="G46" s="9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4</v>
      </c>
      <c r="D49" s="12">
        <f>C49*42</f>
        <v>168</v>
      </c>
      <c r="F49" s="231" t="s">
        <v>86</v>
      </c>
      <c r="G49" s="178">
        <f>H34+H35+H36+H37+H38+H39+H40+H41+G42+H44+H45+H46</f>
        <v>303901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21</v>
      </c>
      <c r="D50" s="12">
        <f>C50*1.5</f>
        <v>31.5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352.75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51591.75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E3A81-6BDF-477E-AF31-84444C386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46101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372</v>
      </c>
      <c r="D6" s="13">
        <f t="shared" ref="D6:D28" si="1">C6*L6</f>
        <v>283092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7</v>
      </c>
      <c r="D7" s="13">
        <f t="shared" si="1"/>
        <v>5467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25</v>
      </c>
      <c r="D9" s="13">
        <f t="shared" si="1"/>
        <v>18325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3</v>
      </c>
      <c r="D12" s="48">
        <f t="shared" si="1"/>
        <v>2976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12</v>
      </c>
      <c r="D13" s="48">
        <f t="shared" si="1"/>
        <v>3684</v>
      </c>
      <c r="F13" s="151" t="s">
        <v>36</v>
      </c>
      <c r="G13" s="152"/>
      <c r="H13" s="153">
        <f>D29</f>
        <v>313665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11</v>
      </c>
      <c r="D14" s="31">
        <f t="shared" si="1"/>
        <v>121</v>
      </c>
      <c r="F14" s="156" t="s">
        <v>39</v>
      </c>
      <c r="G14" s="157"/>
      <c r="H14" s="158">
        <f>D54</f>
        <v>47919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265746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300+690+1032+30</f>
        <v>2052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5">
        <v>50</v>
      </c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313665</v>
      </c>
      <c r="F29" s="174" t="s">
        <v>55</v>
      </c>
      <c r="G29" s="175"/>
      <c r="H29" s="178">
        <f>H15-H16-H17-H18-H19-H20-H22-H23-H24+H26+H27</f>
        <v>263644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206">
        <f>F34*G34</f>
        <v>116000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206">
        <f>F35*G35</f>
        <v>30500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418</v>
      </c>
      <c r="D37" s="12">
        <f>C37*111</f>
        <v>46398</v>
      </c>
      <c r="F37" s="12">
        <v>100</v>
      </c>
      <c r="G37" s="39">
        <v>23</v>
      </c>
      <c r="H37" s="206">
        <f t="shared" si="2"/>
        <v>2300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>
        <v>4</v>
      </c>
      <c r="H38" s="206">
        <f t="shared" si="2"/>
        <v>200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6">
        <v>2294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215</v>
      </c>
      <c r="H44" s="190">
        <v>112255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11</v>
      </c>
      <c r="D46" s="12">
        <f>C46*1.5</f>
        <v>16.5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7</v>
      </c>
      <c r="D49" s="12">
        <f>C49*42</f>
        <v>294</v>
      </c>
      <c r="F49" s="231" t="s">
        <v>86</v>
      </c>
      <c r="G49" s="178">
        <f>H34+H35+H36+H37+H38+H39+H40+H41+G42+H44+H45+H46</f>
        <v>263549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10</v>
      </c>
      <c r="D50" s="12">
        <f>C50*1.5</f>
        <v>15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-95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47919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C6C14-9753-4B1A-9729-A5963877FC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94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18ED4-FD93-482A-8126-6BDE177D3E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46102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 t="s">
        <v>174</v>
      </c>
      <c r="G26" s="65">
        <v>9596</v>
      </c>
      <c r="H26" s="190">
        <v>67313</v>
      </c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 t="s">
        <v>219</v>
      </c>
      <c r="G27" s="91">
        <v>9803</v>
      </c>
      <c r="H27" s="243">
        <v>141854</v>
      </c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H15-H16-H17-H18-H19-H20-H22-H23-H24+H26+H27+H28</f>
        <v>209167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67</v>
      </c>
      <c r="H34" s="206">
        <f t="shared" ref="H34:H39" si="2">F34*G34</f>
        <v>67000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si="2"/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>
        <v>2</v>
      </c>
      <c r="H37" s="206">
        <f t="shared" si="2"/>
        <v>200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206">
        <f t="shared" si="2"/>
        <v>100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>
        <v>13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172</v>
      </c>
      <c r="G44" s="105" t="s">
        <v>218</v>
      </c>
      <c r="H44" s="190">
        <v>141854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209167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220</v>
      </c>
      <c r="G51" s="255">
        <f>G49-H29</f>
        <v>0</v>
      </c>
      <c r="H51" s="256"/>
      <c r="I51" s="256"/>
      <c r="J51" s="25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58"/>
      <c r="H52" s="259"/>
      <c r="I52" s="259"/>
      <c r="J52" s="26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21217-B9DA-452D-B3E8-1C08BB2FC4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46102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ref="H35:H39" si="2"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9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182-41BD-4A09-9615-002426066E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46102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9CF0C-D899-4B59-B928-0F59DF5D283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94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ECDEA-92CC-4000-B99A-4684DB32FC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46104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480</v>
      </c>
      <c r="D6" s="13">
        <f t="shared" ref="D6:D28" si="1">C6*L6</f>
        <v>365280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10</v>
      </c>
      <c r="D7" s="13">
        <f t="shared" si="1"/>
        <v>7810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>
        <v>2</v>
      </c>
      <c r="D8" s="13">
        <f t="shared" si="1"/>
        <v>2186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72</v>
      </c>
      <c r="D9" s="13">
        <f t="shared" si="1"/>
        <v>52776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3</v>
      </c>
      <c r="D10" s="13">
        <f t="shared" si="1"/>
        <v>3096</v>
      </c>
      <c r="F10" s="129" t="s">
        <v>26</v>
      </c>
      <c r="G10" s="145" t="s">
        <v>223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>
        <v>2</v>
      </c>
      <c r="D11" s="13">
        <f t="shared" si="1"/>
        <v>2340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3</v>
      </c>
      <c r="D12" s="48">
        <f t="shared" si="1"/>
        <v>2976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</v>
      </c>
      <c r="D13" s="48">
        <f t="shared" si="1"/>
        <v>307</v>
      </c>
      <c r="F13" s="151" t="s">
        <v>36</v>
      </c>
      <c r="G13" s="152"/>
      <c r="H13" s="153">
        <f>D29</f>
        <v>441683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2</v>
      </c>
      <c r="D14" s="31">
        <f t="shared" si="1"/>
        <v>22</v>
      </c>
      <c r="F14" s="156" t="s">
        <v>39</v>
      </c>
      <c r="G14" s="157"/>
      <c r="H14" s="158">
        <f>D54</f>
        <v>51233.25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>
        <v>1</v>
      </c>
      <c r="D15" s="31">
        <f t="shared" si="1"/>
        <v>620</v>
      </c>
      <c r="F15" s="161" t="s">
        <v>40</v>
      </c>
      <c r="G15" s="152"/>
      <c r="H15" s="162">
        <f>H13-H14</f>
        <v>390449.75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>
        <f>1+1</f>
        <v>2</v>
      </c>
      <c r="D20" s="13">
        <f t="shared" si="1"/>
        <v>2350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91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441683</v>
      </c>
      <c r="F29" s="174" t="s">
        <v>55</v>
      </c>
      <c r="G29" s="175"/>
      <c r="H29" s="178">
        <f>H15-H16-H17-H18-H19-H20-H22-H23-H24+H26+H27+H28</f>
        <v>390449.75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90</v>
      </c>
      <c r="H34" s="206">
        <f t="shared" ref="H34:H39" si="2">F34*G34</f>
        <v>90000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06">
        <f t="shared" si="2"/>
        <v>16000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>
        <v>43</v>
      </c>
      <c r="D36" s="12">
        <f>C36*1.5</f>
        <v>64.5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437</v>
      </c>
      <c r="D37" s="12">
        <f>C37*111</f>
        <v>48507</v>
      </c>
      <c r="F37" s="12">
        <v>100</v>
      </c>
      <c r="G37" s="39">
        <v>27</v>
      </c>
      <c r="H37" s="206">
        <f t="shared" si="2"/>
        <v>2700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10</v>
      </c>
      <c r="H38" s="206">
        <f t="shared" si="2"/>
        <v>500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221</v>
      </c>
      <c r="H44" s="190">
        <v>266891.5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9</v>
      </c>
      <c r="D45" s="12">
        <f>C45*84</f>
        <v>756</v>
      </c>
      <c r="F45" s="37" t="s">
        <v>146</v>
      </c>
      <c r="G45" s="84" t="s">
        <v>148</v>
      </c>
      <c r="H45" s="190">
        <v>13879</v>
      </c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23</v>
      </c>
      <c r="D46" s="12">
        <f>C46*1.5</f>
        <v>34.5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389970.5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72</v>
      </c>
      <c r="D50" s="12">
        <f>C50*1.5</f>
        <v>108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-479.25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51233.25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5F3B5-8564-4EFC-8BBA-851EEE9F85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46104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349</v>
      </c>
      <c r="D6" s="13">
        <f t="shared" ref="D6:D28" si="1">C6*L6</f>
        <v>265589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1</v>
      </c>
      <c r="D7" s="13">
        <f t="shared" si="1"/>
        <v>781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110</v>
      </c>
      <c r="D9" s="13">
        <f t="shared" si="1"/>
        <v>80630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1</v>
      </c>
      <c r="D12" s="48">
        <f t="shared" si="1"/>
        <v>992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18</v>
      </c>
      <c r="D13" s="48">
        <f t="shared" si="1"/>
        <v>5526</v>
      </c>
      <c r="F13" s="151" t="s">
        <v>36</v>
      </c>
      <c r="G13" s="152"/>
      <c r="H13" s="153">
        <f>D29</f>
        <v>356198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10</v>
      </c>
      <c r="D14" s="31">
        <f t="shared" si="1"/>
        <v>110</v>
      </c>
      <c r="F14" s="156" t="s">
        <v>39</v>
      </c>
      <c r="G14" s="157"/>
      <c r="H14" s="158">
        <f>D54</f>
        <v>52395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>
        <v>1</v>
      </c>
      <c r="D15" s="31">
        <f t="shared" si="1"/>
        <v>620</v>
      </c>
      <c r="F15" s="161" t="s">
        <v>40</v>
      </c>
      <c r="G15" s="152"/>
      <c r="H15" s="162">
        <f>H13-H14</f>
        <v>303803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433*6</f>
        <v>2598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356198</v>
      </c>
      <c r="F29" s="174" t="s">
        <v>55</v>
      </c>
      <c r="G29" s="175"/>
      <c r="H29" s="178">
        <f>H15-H16-H17-H18-H19-H20-H22-H23-H24+H26+H27</f>
        <v>301205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210</v>
      </c>
      <c r="H34" s="206">
        <f>F34*G34</f>
        <v>210000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206">
        <f t="shared" ref="H35:H39" si="2">F35*G35</f>
        <v>61500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201</v>
      </c>
      <c r="H37" s="206">
        <f t="shared" si="2"/>
        <v>20100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>
        <v>197</v>
      </c>
      <c r="H38" s="206">
        <f t="shared" si="2"/>
        <v>9850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2</v>
      </c>
      <c r="D44" s="12">
        <f>C44*120</f>
        <v>240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9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14</v>
      </c>
      <c r="D49" s="12">
        <f>C49*42</f>
        <v>588</v>
      </c>
      <c r="F49" s="231" t="s">
        <v>86</v>
      </c>
      <c r="G49" s="178">
        <f>H34+H35+H36+H37+H38+H39+H40+H41+G42+H44+H45+H46</f>
        <v>301450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5</v>
      </c>
      <c r="D50" s="12">
        <f>C50*1.5</f>
        <v>7.5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245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52395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61148-FE3D-486F-8025-F137684369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46104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451</v>
      </c>
      <c r="D6" s="13">
        <f t="shared" ref="D6:D28" si="1">C6*L6</f>
        <v>343211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9</v>
      </c>
      <c r="D7" s="13">
        <f t="shared" si="1"/>
        <v>7029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28</v>
      </c>
      <c r="D9" s="13">
        <f t="shared" si="1"/>
        <v>20524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1</v>
      </c>
      <c r="D10" s="13">
        <f t="shared" si="1"/>
        <v>1032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13</v>
      </c>
      <c r="D13" s="48">
        <f t="shared" si="1"/>
        <v>3991</v>
      </c>
      <c r="F13" s="151" t="s">
        <v>36</v>
      </c>
      <c r="G13" s="152"/>
      <c r="H13" s="153">
        <f>D29</f>
        <v>376448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1</v>
      </c>
      <c r="D14" s="31">
        <f t="shared" si="1"/>
        <v>11</v>
      </c>
      <c r="F14" s="156" t="s">
        <v>39</v>
      </c>
      <c r="G14" s="157"/>
      <c r="H14" s="158">
        <f>D54</f>
        <v>62977.5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313470.5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1296+300+708</f>
        <v>2304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94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376448</v>
      </c>
      <c r="F29" s="174" t="s">
        <v>55</v>
      </c>
      <c r="G29" s="175"/>
      <c r="H29" s="178">
        <f>H15-H16-H17-H18-H19-H20-H22-H23-H24+H26+H27</f>
        <v>311166.5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137</v>
      </c>
      <c r="H34" s="206">
        <f>F34*G34</f>
        <v>137000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63</v>
      </c>
      <c r="H35" s="206">
        <f>F35*G35</f>
        <v>31500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206">
        <f t="shared" ref="H36:H39" si="2">F36*G36</f>
        <v>1400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531</v>
      </c>
      <c r="D37" s="12">
        <f>C37*111</f>
        <v>58941</v>
      </c>
      <c r="F37" s="12">
        <v>100</v>
      </c>
      <c r="G37" s="39">
        <v>98</v>
      </c>
      <c r="H37" s="206">
        <f t="shared" si="2"/>
        <v>9800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206">
        <f t="shared" si="2"/>
        <v>100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06">
        <f t="shared" si="2"/>
        <v>40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>
        <v>36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91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3</v>
      </c>
      <c r="D44" s="12">
        <f>C44*120</f>
        <v>360</v>
      </c>
      <c r="F44" s="37" t="s">
        <v>146</v>
      </c>
      <c r="G44" s="76" t="s">
        <v>222</v>
      </c>
      <c r="H44" s="190">
        <v>131211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>
        <v>1</v>
      </c>
      <c r="D45" s="12">
        <f>C45*84</f>
        <v>84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311087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17</v>
      </c>
      <c r="D50" s="12">
        <f>C50*1.5</f>
        <v>25.5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-79.5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62977.5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63432-4C58-4651-B203-5118A08B7E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10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4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030A0-AEA0-41AB-806A-0E9B4538D1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46105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458</v>
      </c>
      <c r="D6" s="13">
        <f t="shared" ref="D6:D28" si="1">C6*L6</f>
        <v>348538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5</v>
      </c>
      <c r="D7" s="13">
        <f t="shared" si="1"/>
        <v>3905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223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13</v>
      </c>
      <c r="D13" s="48">
        <f t="shared" si="1"/>
        <v>3991</v>
      </c>
      <c r="F13" s="151" t="s">
        <v>36</v>
      </c>
      <c r="G13" s="152"/>
      <c r="H13" s="153">
        <f>D29</f>
        <v>356654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20</v>
      </c>
      <c r="D14" s="31">
        <f t="shared" si="1"/>
        <v>220</v>
      </c>
      <c r="F14" s="156" t="s">
        <v>39</v>
      </c>
      <c r="G14" s="157"/>
      <c r="H14" s="158">
        <f>D54</f>
        <v>51967.5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304686.5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432*6</f>
        <v>2592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104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01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356654</v>
      </c>
      <c r="F29" s="174" t="s">
        <v>55</v>
      </c>
      <c r="G29" s="175"/>
      <c r="H29" s="178">
        <f>H15-H16-H17-H18-H19-H20-H22-H23-H24+H26+H27+H28</f>
        <v>302094.5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254</v>
      </c>
      <c r="H34" s="206">
        <f t="shared" ref="H34:H39" si="2">F34*G34</f>
        <v>254000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74</v>
      </c>
      <c r="H35" s="206">
        <f t="shared" si="2"/>
        <v>37000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447</v>
      </c>
      <c r="D37" s="12">
        <f>C37*111</f>
        <v>49617</v>
      </c>
      <c r="F37" s="12">
        <v>100</v>
      </c>
      <c r="G37" s="39">
        <v>8</v>
      </c>
      <c r="H37" s="206">
        <f t="shared" si="2"/>
        <v>800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>
        <v>12</v>
      </c>
      <c r="D38" s="12">
        <f>C38*84</f>
        <v>1008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6</v>
      </c>
      <c r="D42" s="12">
        <f>C42*2.25</f>
        <v>13.5</v>
      </c>
      <c r="F42" s="39" t="s">
        <v>79</v>
      </c>
      <c r="G42" s="206">
        <v>59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4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155</v>
      </c>
      <c r="G44" s="84"/>
      <c r="H44" s="190">
        <v>10400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8</v>
      </c>
      <c r="D46" s="12">
        <f>C46*1.5</f>
        <v>12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16</v>
      </c>
      <c r="D49" s="12">
        <f>C49*42</f>
        <v>672</v>
      </c>
      <c r="F49" s="231" t="s">
        <v>86</v>
      </c>
      <c r="G49" s="178">
        <f>H34+H35+H36+H37+H38+H39+H40+H41+G42+H44+H45+H46</f>
        <v>302259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22</v>
      </c>
      <c r="D50" s="12">
        <f>C50*1.5</f>
        <v>33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164.5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51967.5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5AAD9-601E-44C4-9D82-98CE6E10CD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46105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350</v>
      </c>
      <c r="D6" s="13">
        <f t="shared" ref="D6:D28" si="1">C6*L6</f>
        <v>266350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4</v>
      </c>
      <c r="D7" s="13">
        <f t="shared" si="1"/>
        <v>3124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23</v>
      </c>
      <c r="D9" s="13">
        <f t="shared" si="1"/>
        <v>16859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>
        <v>1</v>
      </c>
      <c r="D12" s="48">
        <f t="shared" si="1"/>
        <v>992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9</v>
      </c>
      <c r="D13" s="48">
        <f t="shared" si="1"/>
        <v>2763</v>
      </c>
      <c r="F13" s="151" t="s">
        <v>36</v>
      </c>
      <c r="G13" s="152"/>
      <c r="H13" s="153">
        <f>D29</f>
        <v>291721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1</v>
      </c>
      <c r="D14" s="31">
        <f t="shared" si="1"/>
        <v>11</v>
      </c>
      <c r="F14" s="156" t="s">
        <v>39</v>
      </c>
      <c r="G14" s="157"/>
      <c r="H14" s="158">
        <f>D54</f>
        <v>47277.75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244443.25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>
        <f>144*6+200*6</f>
        <v>2064</v>
      </c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>
        <v>2</v>
      </c>
      <c r="D28" s="48">
        <f t="shared" si="1"/>
        <v>1622</v>
      </c>
      <c r="F28" s="101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291721</v>
      </c>
      <c r="F29" s="174" t="s">
        <v>55</v>
      </c>
      <c r="G29" s="175"/>
      <c r="H29" s="178">
        <f>H15-H16-H17-H18-H19-H20-H22-H23-H24+H26+H27</f>
        <v>242379.25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85</v>
      </c>
      <c r="H34" s="206">
        <f>F34*G34</f>
        <v>85000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55</v>
      </c>
      <c r="H35" s="206">
        <f t="shared" ref="H35:H39" si="2">F35*G35</f>
        <v>27500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415</v>
      </c>
      <c r="D37" s="12">
        <f>C37*111</f>
        <v>46065</v>
      </c>
      <c r="F37" s="12">
        <v>100</v>
      </c>
      <c r="G37" s="39">
        <v>35</v>
      </c>
      <c r="H37" s="206">
        <f t="shared" si="2"/>
        <v>3500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>
        <v>6</v>
      </c>
      <c r="H38" s="206">
        <f t="shared" si="2"/>
        <v>300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1</v>
      </c>
      <c r="D42" s="12">
        <f>C42*2.25</f>
        <v>2.25</v>
      </c>
      <c r="F42" s="39" t="s">
        <v>79</v>
      </c>
      <c r="G42" s="206">
        <v>110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4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 t="s">
        <v>145</v>
      </c>
      <c r="G44" s="62" t="s">
        <v>225</v>
      </c>
      <c r="H44" s="190">
        <v>125594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103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10</v>
      </c>
      <c r="D49" s="12">
        <f>C49*42</f>
        <v>420</v>
      </c>
      <c r="F49" s="231" t="s">
        <v>86</v>
      </c>
      <c r="G49" s="178">
        <f>H34+H35+H36+H37+H38+H39+H40+H41+G42+H44+H45+H46</f>
        <v>242004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1</v>
      </c>
      <c r="D50" s="12">
        <f>C50*1.5</f>
        <v>1.5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162</v>
      </c>
      <c r="G51" s="245">
        <f>G49-H29</f>
        <v>-375.25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47277.75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CE60F-D9FC-44C9-BD53-9497EACA63AC}">
  <dimension ref="A1:R59"/>
  <sheetViews>
    <sheetView tabSelected="1"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46105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>
        <v>441</v>
      </c>
      <c r="D6" s="13">
        <f t="shared" ref="D6:D28" si="1">C6*L6</f>
        <v>335601</v>
      </c>
      <c r="F6" s="129" t="s">
        <v>16</v>
      </c>
      <c r="G6" s="131" t="s">
        <v>226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>
        <v>5</v>
      </c>
      <c r="D7" s="13">
        <f t="shared" si="1"/>
        <v>3905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>
        <v>2</v>
      </c>
      <c r="D8" s="13">
        <f t="shared" si="1"/>
        <v>2186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>
        <v>15</v>
      </c>
      <c r="D9" s="13">
        <f t="shared" si="1"/>
        <v>10995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>
        <v>1</v>
      </c>
      <c r="D10" s="13">
        <f t="shared" si="1"/>
        <v>1032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>
        <v>2</v>
      </c>
      <c r="D11" s="13">
        <f t="shared" si="1"/>
        <v>2340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>
        <v>18</v>
      </c>
      <c r="D13" s="48">
        <f t="shared" si="1"/>
        <v>5526</v>
      </c>
      <c r="F13" s="151" t="s">
        <v>36</v>
      </c>
      <c r="G13" s="152"/>
      <c r="H13" s="153">
        <f>D29</f>
        <v>362847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>
        <v>2</v>
      </c>
      <c r="D14" s="31">
        <f t="shared" si="1"/>
        <v>22</v>
      </c>
      <c r="F14" s="156" t="s">
        <v>39</v>
      </c>
      <c r="G14" s="157"/>
      <c r="H14" s="158">
        <f>D54</f>
        <v>52308.75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310538.25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01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362847</v>
      </c>
      <c r="F29" s="174" t="s">
        <v>55</v>
      </c>
      <c r="G29" s="175"/>
      <c r="H29" s="178">
        <f>H15-H16-H17-H18-H19-H20-H22-H23-H24+H26+H27</f>
        <v>310538.25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47</v>
      </c>
      <c r="H34" s="206">
        <f>F34*G34</f>
        <v>47000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206">
        <f>F35*G35</f>
        <v>30500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206">
        <f t="shared" ref="H36:H39" si="2">F36*G36</f>
        <v>800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>
        <v>437</v>
      </c>
      <c r="D37" s="12">
        <f>C37*111</f>
        <v>48507</v>
      </c>
      <c r="F37" s="12">
        <v>100</v>
      </c>
      <c r="G37" s="39">
        <v>166</v>
      </c>
      <c r="H37" s="206">
        <f t="shared" si="2"/>
        <v>16600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>
        <v>38</v>
      </c>
      <c r="H38" s="206">
        <f t="shared" si="2"/>
        <v>1900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>
        <v>60</v>
      </c>
      <c r="D39" s="31">
        <f>C39*4.5</f>
        <v>270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6">
        <v>58</v>
      </c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4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>
        <v>6</v>
      </c>
      <c r="D44" s="12">
        <f>C44*120</f>
        <v>720</v>
      </c>
      <c r="F44" s="37" t="s">
        <v>146</v>
      </c>
      <c r="G44" s="76" t="s">
        <v>224</v>
      </c>
      <c r="H44" s="190">
        <v>213577</v>
      </c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>
        <v>13</v>
      </c>
      <c r="D46" s="12">
        <f>C46*1.5</f>
        <v>19.5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>
        <v>25</v>
      </c>
      <c r="D49" s="12">
        <f>C49*42</f>
        <v>1050</v>
      </c>
      <c r="F49" s="231" t="s">
        <v>86</v>
      </c>
      <c r="G49" s="178">
        <f>H34+H35+H36+H37+H38+H39+H40+H41+G42+H44+H45+H46</f>
        <v>310435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>
        <v>23</v>
      </c>
      <c r="D50" s="12">
        <f>C50*1.5</f>
        <v>34.5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-103.25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52308.75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1BCE-F45A-4166-B607-F64E4F63E7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10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4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80CE1-8A0E-4B52-8339-74921893267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46106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104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01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H15-H16-H17-H18-H19-H20-H22-H23-H24+H26+H27+H28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6">
        <f t="shared" ref="H34:H39" si="2"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si="2"/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4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84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7A204-ED77-4E5C-BAAE-A75F117A3AB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46106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01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ref="H35:H39" si="2"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4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103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743C3-75D3-4AAE-B5DB-A0365E0F4D3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46106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01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4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909D-6CDD-482C-B153-74A80CE29FE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110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E67A-D898-443B-A85B-C015399365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46107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107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H15-H16-H17-H18-H19-H20-H22-H23-H24+H26+H27+H28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6">
        <f t="shared" ref="H34:H39" si="2"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si="2"/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84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F6A7B-2109-44BA-9E64-265B3B3F57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46107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ref="H35:H39" si="2"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10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FF356-2FE4-46A6-94B2-BE4D8D1B28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46107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65FEE-B8DA-4732-94CA-64CA1116B10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110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1339C-4EFF-43E3-92C2-4F219833CF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46108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107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H15-H16-H17-H18-H19-H20-H22-H23-H24+H26+H27+H28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6">
        <f t="shared" ref="H34:H39" si="2"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si="2"/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84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74B51-1A04-4239-AE54-2A0F7D852D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46108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ref="H35:H39" si="2"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10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4B1D-4832-4812-A289-D242873E142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46108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BD88A-7EEE-4ACC-A523-2936457E87C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110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8722F-EF72-4699-AD3A-F36D017D5D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46109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107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H15-H16-H17-H18-H19-H20-H22-H23-H24+H26+H27+H28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6">
        <f t="shared" ref="H34:H39" si="2"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si="2"/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84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BD2D7-E72E-4055-9E63-2403982653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46109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ref="H35:H39" si="2"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10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1E05-8989-413E-811F-0DE6C543E4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46109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3D335-D3A5-4E0D-A090-174D010EC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110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A87E3-852E-4B6C-A069-5312CAB501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46111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107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H15-H16-H17-H18-H19-H20-H22-H23-H24+H26+H27+H28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6">
        <f t="shared" ref="H34:H39" si="2"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si="2"/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84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6FF0E-4307-45AE-862E-EFB651BA96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46111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ref="H35:H39" si="2"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10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1AFB1-B3A9-4E1E-90CC-133F27BEC1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46111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3" t="s">
        <v>7</v>
      </c>
      <c r="B4" s="114"/>
      <c r="C4" s="114"/>
      <c r="D4" s="115"/>
      <c r="F4" s="116" t="s">
        <v>8</v>
      </c>
      <c r="G4" s="118"/>
      <c r="H4" s="120" t="s">
        <v>9</v>
      </c>
      <c r="I4" s="122"/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7"/>
      <c r="B6" s="16"/>
      <c r="C6" s="10"/>
      <c r="D6" s="13">
        <f t="shared" ref="D6:D28" si="1">C6*L6</f>
        <v>0</v>
      </c>
      <c r="F6" s="129" t="s">
        <v>16</v>
      </c>
      <c r="G6" s="131"/>
      <c r="H6" s="132"/>
      <c r="I6" s="132"/>
      <c r="J6" s="13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7"/>
      <c r="B7" s="16"/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7"/>
      <c r="B8" s="16"/>
      <c r="C8" s="10"/>
      <c r="D8" s="13">
        <f t="shared" si="1"/>
        <v>0</v>
      </c>
      <c r="F8" s="137" t="s">
        <v>21</v>
      </c>
      <c r="G8" s="139"/>
      <c r="H8" s="140"/>
      <c r="I8" s="140"/>
      <c r="J8" s="1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7"/>
      <c r="B9" s="16"/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7"/>
      <c r="C10" s="10"/>
      <c r="D10" s="13">
        <f t="shared" si="1"/>
        <v>0</v>
      </c>
      <c r="F10" s="129" t="s">
        <v>26</v>
      </c>
      <c r="G10" s="145"/>
      <c r="H10" s="146"/>
      <c r="I10" s="146"/>
      <c r="J10" s="147"/>
      <c r="K10" s="8"/>
      <c r="L10" s="6">
        <f>R36</f>
        <v>972</v>
      </c>
      <c r="P10" s="4"/>
      <c r="Q10" s="4"/>
      <c r="R10" s="5"/>
    </row>
    <row r="11" spans="1:19" ht="15.75" x14ac:dyDescent="0.25">
      <c r="A11" s="127"/>
      <c r="B11" s="17"/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7"/>
      <c r="B12" s="17"/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7"/>
      <c r="B13" s="17"/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7"/>
      <c r="B14" s="14"/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7"/>
      <c r="B15" s="14"/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/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/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7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/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/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7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/>
      <c r="C28" s="10"/>
      <c r="D28" s="48">
        <f t="shared" si="1"/>
        <v>0</v>
      </c>
      <c r="F28" s="110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/>
      <c r="I34" s="207"/>
      <c r="J34" s="20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/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/>
      <c r="I36" s="207"/>
      <c r="J36" s="20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/>
      <c r="I37" s="207"/>
      <c r="J37" s="20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/>
      <c r="I38" s="207"/>
      <c r="J38" s="20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/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P43" s="4"/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P44" s="4"/>
      <c r="Q44" s="4"/>
      <c r="R44" s="5"/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P50" s="4"/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1</v>
      </c>
      <c r="H4" s="120" t="s">
        <v>9</v>
      </c>
      <c r="I4" s="122">
        <v>46112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111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144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139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133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38"/>
      <c r="I19" s="138"/>
      <c r="J19" s="138"/>
      <c r="L19" s="6">
        <v>1102</v>
      </c>
      <c r="Q19" s="4"/>
      <c r="R19" s="5">
        <f t="shared" si="0"/>
        <v>0</v>
      </c>
    </row>
    <row r="20" spans="1:18" ht="15.75" x14ac:dyDescent="0.25">
      <c r="A20" s="127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124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101</v>
      </c>
      <c r="C23" s="10"/>
      <c r="D23" s="48">
        <f t="shared" si="1"/>
        <v>0</v>
      </c>
      <c r="F23" s="77"/>
      <c r="G23" s="79"/>
      <c r="H23" s="241"/>
      <c r="I23" s="242"/>
      <c r="J23" s="24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118</v>
      </c>
      <c r="C24" s="10"/>
      <c r="D24" s="48">
        <f t="shared" si="1"/>
        <v>0</v>
      </c>
      <c r="F24" s="77"/>
      <c r="G24" s="79"/>
      <c r="H24" s="241"/>
      <c r="I24" s="242"/>
      <c r="J24" s="24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132</v>
      </c>
      <c r="C26" s="10"/>
      <c r="D26" s="48">
        <f t="shared" si="1"/>
        <v>0</v>
      </c>
      <c r="F26" s="75"/>
      <c r="G26" s="65"/>
      <c r="H26" s="190"/>
      <c r="I26" s="190"/>
      <c r="J26" s="19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110</v>
      </c>
      <c r="C27" s="10"/>
      <c r="D27" s="44">
        <f t="shared" si="1"/>
        <v>0</v>
      </c>
      <c r="F27" s="71"/>
      <c r="G27" s="107"/>
      <c r="H27" s="243"/>
      <c r="I27" s="244"/>
      <c r="J27" s="24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H15-H16-H17-H18-H19-H20-H22-H23-H24+H26+H27+H28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6">
        <f t="shared" ref="H34:H39" si="2"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si="2"/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si="2"/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84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190"/>
      <c r="I46" s="190"/>
      <c r="J46" s="190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2</v>
      </c>
      <c r="H4" s="120" t="s">
        <v>9</v>
      </c>
      <c r="I4" s="122">
        <v>46112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126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113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114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93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38"/>
      <c r="I20" s="138"/>
      <c r="J20" s="13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25"/>
      <c r="G23" s="37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120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 t="shared" ref="H35:H39" si="2"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62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62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108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135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2" t="s">
        <v>1</v>
      </c>
      <c r="O1" s="112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3" t="s">
        <v>7</v>
      </c>
      <c r="B4" s="114"/>
      <c r="C4" s="114"/>
      <c r="D4" s="115"/>
      <c r="F4" s="116" t="s">
        <v>8</v>
      </c>
      <c r="G4" s="118">
        <v>3</v>
      </c>
      <c r="H4" s="120" t="s">
        <v>9</v>
      </c>
      <c r="I4" s="122">
        <v>46112</v>
      </c>
      <c r="J4" s="1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6" t="s">
        <v>7</v>
      </c>
      <c r="B5" s="15" t="s">
        <v>11</v>
      </c>
      <c r="C5" s="9" t="s">
        <v>12</v>
      </c>
      <c r="D5" s="25" t="s">
        <v>13</v>
      </c>
      <c r="F5" s="117"/>
      <c r="G5" s="119"/>
      <c r="H5" s="121"/>
      <c r="I5" s="124"/>
      <c r="J5" s="1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7"/>
      <c r="B6" s="16" t="s">
        <v>15</v>
      </c>
      <c r="C6" s="10"/>
      <c r="D6" s="13">
        <f t="shared" ref="D6:D28" si="1">C6*L6</f>
        <v>0</v>
      </c>
      <c r="F6" s="129" t="s">
        <v>16</v>
      </c>
      <c r="G6" s="131" t="s">
        <v>141</v>
      </c>
      <c r="H6" s="132"/>
      <c r="I6" s="132"/>
      <c r="J6" s="13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7"/>
      <c r="B7" s="16" t="s">
        <v>18</v>
      </c>
      <c r="C7" s="10"/>
      <c r="D7" s="13">
        <f t="shared" si="1"/>
        <v>0</v>
      </c>
      <c r="F7" s="130"/>
      <c r="G7" s="134"/>
      <c r="H7" s="135"/>
      <c r="I7" s="135"/>
      <c r="J7" s="13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7"/>
      <c r="B8" s="16" t="s">
        <v>20</v>
      </c>
      <c r="C8" s="10"/>
      <c r="D8" s="13">
        <f t="shared" si="1"/>
        <v>0</v>
      </c>
      <c r="F8" s="137" t="s">
        <v>21</v>
      </c>
      <c r="G8" s="139" t="s">
        <v>130</v>
      </c>
      <c r="H8" s="140"/>
      <c r="I8" s="140"/>
      <c r="J8" s="1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7"/>
      <c r="B9" s="16" t="s">
        <v>23</v>
      </c>
      <c r="C9" s="10"/>
      <c r="D9" s="13">
        <f t="shared" si="1"/>
        <v>0</v>
      </c>
      <c r="F9" s="130"/>
      <c r="G9" s="142"/>
      <c r="H9" s="143"/>
      <c r="I9" s="143"/>
      <c r="J9" s="1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7"/>
      <c r="B10" t="s">
        <v>25</v>
      </c>
      <c r="C10" s="10"/>
      <c r="D10" s="13">
        <f t="shared" si="1"/>
        <v>0</v>
      </c>
      <c r="F10" s="129" t="s">
        <v>26</v>
      </c>
      <c r="G10" s="145" t="s">
        <v>127</v>
      </c>
      <c r="H10" s="146"/>
      <c r="I10" s="146"/>
      <c r="J10" s="147"/>
      <c r="K10" s="8"/>
      <c r="L10" s="6">
        <f>R36</f>
        <v>1032</v>
      </c>
      <c r="P10" s="4"/>
      <c r="Q10" s="4"/>
      <c r="R10" s="5"/>
    </row>
    <row r="11" spans="1:18" ht="15.75" x14ac:dyDescent="0.25">
      <c r="A11" s="127"/>
      <c r="B11" s="17" t="s">
        <v>28</v>
      </c>
      <c r="C11" s="10"/>
      <c r="D11" s="13">
        <f t="shared" si="1"/>
        <v>0</v>
      </c>
      <c r="F11" s="130"/>
      <c r="G11" s="142"/>
      <c r="H11" s="143"/>
      <c r="I11" s="143"/>
      <c r="J11" s="1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7"/>
      <c r="B12" s="17" t="s">
        <v>30</v>
      </c>
      <c r="C12" s="10"/>
      <c r="D12" s="48">
        <f t="shared" si="1"/>
        <v>0</v>
      </c>
      <c r="F12" s="148" t="s">
        <v>33</v>
      </c>
      <c r="G12" s="149"/>
      <c r="H12" s="149"/>
      <c r="I12" s="149"/>
      <c r="J12" s="1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7"/>
      <c r="B13" s="17" t="s">
        <v>32</v>
      </c>
      <c r="C13" s="10"/>
      <c r="D13" s="48">
        <f t="shared" si="1"/>
        <v>0</v>
      </c>
      <c r="F13" s="151" t="s">
        <v>36</v>
      </c>
      <c r="G13" s="152"/>
      <c r="H13" s="153">
        <f>D29</f>
        <v>0</v>
      </c>
      <c r="I13" s="154"/>
      <c r="J13" s="15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7"/>
      <c r="B14" s="14" t="s">
        <v>35</v>
      </c>
      <c r="C14" s="10"/>
      <c r="D14" s="31">
        <f t="shared" si="1"/>
        <v>0</v>
      </c>
      <c r="F14" s="156" t="s">
        <v>39</v>
      </c>
      <c r="G14" s="157"/>
      <c r="H14" s="158">
        <f>D54</f>
        <v>0</v>
      </c>
      <c r="I14" s="159"/>
      <c r="J14" s="16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7"/>
      <c r="B15" s="14" t="s">
        <v>38</v>
      </c>
      <c r="C15" s="10"/>
      <c r="D15" s="31">
        <f t="shared" si="1"/>
        <v>0</v>
      </c>
      <c r="F15" s="161" t="s">
        <v>40</v>
      </c>
      <c r="G15" s="152"/>
      <c r="H15" s="162">
        <f>H13-H14</f>
        <v>0</v>
      </c>
      <c r="I15" s="163"/>
      <c r="J15" s="16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5"/>
      <c r="I16" s="165"/>
      <c r="J16" s="16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7"/>
      <c r="B17" t="s">
        <v>112</v>
      </c>
      <c r="C17" s="10"/>
      <c r="D17" s="48">
        <f t="shared" si="1"/>
        <v>0</v>
      </c>
      <c r="F17" s="56"/>
      <c r="G17" s="66" t="s">
        <v>45</v>
      </c>
      <c r="H17" s="138"/>
      <c r="I17" s="138"/>
      <c r="J17" s="13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8"/>
      <c r="I18" s="138"/>
      <c r="J18" s="13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7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7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5"/>
      <c r="I20" s="165"/>
      <c r="J20" s="16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7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7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7"/>
      <c r="B23" s="14" t="s">
        <v>107</v>
      </c>
      <c r="C23" s="10"/>
      <c r="D23" s="48">
        <f t="shared" si="1"/>
        <v>0</v>
      </c>
      <c r="F23" s="78"/>
      <c r="G23" s="79"/>
      <c r="H23" s="189"/>
      <c r="I23" s="190"/>
      <c r="J23" s="19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7"/>
      <c r="B24" s="14" t="s">
        <v>101</v>
      </c>
      <c r="C24" s="10"/>
      <c r="D24" s="48">
        <f t="shared" si="1"/>
        <v>0</v>
      </c>
      <c r="F24" s="38"/>
      <c r="G24" s="37"/>
      <c r="H24" s="189"/>
      <c r="I24" s="190"/>
      <c r="J24" s="19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7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7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7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8"/>
      <c r="B28" s="46" t="s">
        <v>97</v>
      </c>
      <c r="C28" s="10"/>
      <c r="D28" s="48">
        <f t="shared" si="1"/>
        <v>0</v>
      </c>
      <c r="F28" s="110"/>
      <c r="G28" s="61"/>
      <c r="H28" s="200"/>
      <c r="I28" s="201"/>
      <c r="J28" s="202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6" t="s">
        <v>36</v>
      </c>
      <c r="B29" s="167"/>
      <c r="C29" s="168"/>
      <c r="D29" s="172">
        <f>SUM(D6:D28)</f>
        <v>0</v>
      </c>
      <c r="F29" s="174" t="s">
        <v>55</v>
      </c>
      <c r="G29" s="175"/>
      <c r="H29" s="178">
        <f>H15-H16-H17-H18-H19-H20-H22-H23-H24+H26+H27</f>
        <v>0</v>
      </c>
      <c r="I29" s="179"/>
      <c r="J29" s="18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9"/>
      <c r="B30" s="170"/>
      <c r="C30" s="171"/>
      <c r="D30" s="173"/>
      <c r="F30" s="176"/>
      <c r="G30" s="177"/>
      <c r="H30" s="181"/>
      <c r="I30" s="182"/>
      <c r="J30" s="183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3" t="s">
        <v>58</v>
      </c>
      <c r="B32" s="114"/>
      <c r="C32" s="114"/>
      <c r="D32" s="115"/>
      <c r="F32" s="203" t="s">
        <v>59</v>
      </c>
      <c r="G32" s="204"/>
      <c r="H32" s="204"/>
      <c r="I32" s="204"/>
      <c r="J32" s="205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03" t="s">
        <v>13</v>
      </c>
      <c r="I33" s="204"/>
      <c r="J33" s="20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6">
        <f>F34*G34</f>
        <v>0</v>
      </c>
      <c r="I34" s="207"/>
      <c r="J34" s="20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7"/>
      <c r="B35" s="27" t="s">
        <v>68</v>
      </c>
      <c r="C35" s="52"/>
      <c r="D35" s="30">
        <f>C35*84</f>
        <v>0</v>
      </c>
      <c r="F35" s="58">
        <v>500</v>
      </c>
      <c r="G35" s="41"/>
      <c r="H35" s="206">
        <f>F35*G35</f>
        <v>0</v>
      </c>
      <c r="I35" s="207"/>
      <c r="J35" s="20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8"/>
      <c r="B36" s="26" t="s">
        <v>70</v>
      </c>
      <c r="C36" s="10"/>
      <c r="D36" s="12">
        <f>C36*1.5</f>
        <v>0</v>
      </c>
      <c r="F36" s="12">
        <v>200</v>
      </c>
      <c r="G36" s="37"/>
      <c r="H36" s="206">
        <f t="shared" ref="H36:H39" si="2">F36*G36</f>
        <v>0</v>
      </c>
      <c r="I36" s="207"/>
      <c r="J36" s="20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6">
        <f t="shared" si="2"/>
        <v>0</v>
      </c>
      <c r="I37" s="207"/>
      <c r="J37" s="20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7"/>
      <c r="B38" s="29" t="s">
        <v>68</v>
      </c>
      <c r="C38" s="54"/>
      <c r="D38" s="12">
        <f>C38*84</f>
        <v>0</v>
      </c>
      <c r="F38" s="30">
        <v>50</v>
      </c>
      <c r="G38" s="39"/>
      <c r="H38" s="206">
        <f t="shared" si="2"/>
        <v>0</v>
      </c>
      <c r="I38" s="207"/>
      <c r="J38" s="20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8"/>
      <c r="B39" s="29" t="s">
        <v>70</v>
      </c>
      <c r="C39" s="52"/>
      <c r="D39" s="31">
        <f>C39*4.5</f>
        <v>0</v>
      </c>
      <c r="F39" s="12">
        <v>20</v>
      </c>
      <c r="G39" s="37"/>
      <c r="H39" s="206">
        <f t="shared" si="2"/>
        <v>0</v>
      </c>
      <c r="I39" s="207"/>
      <c r="J39" s="20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6"/>
      <c r="I40" s="207"/>
      <c r="J40" s="20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7"/>
      <c r="B41" s="27" t="s">
        <v>68</v>
      </c>
      <c r="C41" s="10"/>
      <c r="D41" s="12">
        <f>C41*84</f>
        <v>0</v>
      </c>
      <c r="F41" s="12">
        <v>5</v>
      </c>
      <c r="G41" s="42"/>
      <c r="H41" s="206"/>
      <c r="I41" s="207"/>
      <c r="J41" s="20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8"/>
      <c r="B42" s="27" t="s">
        <v>70</v>
      </c>
      <c r="C42" s="11"/>
      <c r="D42" s="12">
        <f>C42*2.25</f>
        <v>0</v>
      </c>
      <c r="F42" s="39" t="s">
        <v>79</v>
      </c>
      <c r="G42" s="206"/>
      <c r="H42" s="207"/>
      <c r="I42" s="207"/>
      <c r="J42" s="20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9" t="s">
        <v>81</v>
      </c>
      <c r="C43" s="11"/>
      <c r="D43" s="12"/>
      <c r="F43" s="59" t="s">
        <v>82</v>
      </c>
      <c r="G43" s="107" t="s">
        <v>83</v>
      </c>
      <c r="H43" s="212" t="s">
        <v>13</v>
      </c>
      <c r="I43" s="213"/>
      <c r="J43" s="21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0"/>
      <c r="B44" s="27" t="s">
        <v>66</v>
      </c>
      <c r="C44" s="10"/>
      <c r="D44" s="12">
        <f>C44*120</f>
        <v>0</v>
      </c>
      <c r="F44" s="37"/>
      <c r="G44" s="76"/>
      <c r="H44" s="190"/>
      <c r="I44" s="190"/>
      <c r="J44" s="19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0"/>
      <c r="B45" s="27" t="s">
        <v>68</v>
      </c>
      <c r="C45" s="33"/>
      <c r="D45" s="12">
        <f>C45*84</f>
        <v>0</v>
      </c>
      <c r="F45" s="37"/>
      <c r="G45" s="76"/>
      <c r="H45" s="190"/>
      <c r="I45" s="190"/>
      <c r="J45" s="190"/>
      <c r="K45" s="21"/>
      <c r="P45" s="4"/>
      <c r="Q45" s="4"/>
      <c r="R45" s="5"/>
    </row>
    <row r="46" spans="1:18" ht="15.75" x14ac:dyDescent="0.25">
      <c r="A46" s="210"/>
      <c r="B46" s="49" t="s">
        <v>70</v>
      </c>
      <c r="C46" s="81"/>
      <c r="D46" s="12">
        <f>C46*1.5</f>
        <v>0</v>
      </c>
      <c r="F46" s="37"/>
      <c r="G46" s="62"/>
      <c r="H46" s="215"/>
      <c r="I46" s="215"/>
      <c r="J46" s="215"/>
      <c r="K46" s="21"/>
      <c r="P46" s="4"/>
      <c r="Q46" s="4"/>
      <c r="R46" s="5"/>
    </row>
    <row r="47" spans="1:18" ht="15.75" x14ac:dyDescent="0.25">
      <c r="A47" s="211"/>
      <c r="B47" s="27"/>
      <c r="C47" s="11"/>
      <c r="D47" s="12"/>
      <c r="F47" s="59"/>
      <c r="G47" s="59"/>
      <c r="H47" s="216"/>
      <c r="I47" s="217"/>
      <c r="J47" s="218"/>
      <c r="K47" s="21"/>
      <c r="P47" s="4"/>
      <c r="Q47" s="4"/>
      <c r="R47" s="5"/>
    </row>
    <row r="48" spans="1:18" ht="15" customHeight="1" x14ac:dyDescent="0.25">
      <c r="A48" s="209" t="s">
        <v>32</v>
      </c>
      <c r="B48" s="27" t="s">
        <v>66</v>
      </c>
      <c r="C48" s="10"/>
      <c r="D48" s="12">
        <f>C48*78</f>
        <v>0</v>
      </c>
      <c r="F48" s="59"/>
      <c r="G48" s="59"/>
      <c r="H48" s="216"/>
      <c r="I48" s="217"/>
      <c r="J48" s="2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0"/>
      <c r="B49" s="29" t="s">
        <v>68</v>
      </c>
      <c r="C49" s="33"/>
      <c r="D49" s="12">
        <f>C49*42</f>
        <v>0</v>
      </c>
      <c r="F49" s="231" t="s">
        <v>86</v>
      </c>
      <c r="G49" s="178">
        <f>H34+H35+H36+H37+H38+H39+H40+H41+G42+H44+H45+H46</f>
        <v>0</v>
      </c>
      <c r="H49" s="179"/>
      <c r="I49" s="179"/>
      <c r="J49" s="18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0"/>
      <c r="B50" s="32" t="s">
        <v>70</v>
      </c>
      <c r="C50" s="11"/>
      <c r="D50" s="12">
        <f>C50*1.5</f>
        <v>0</v>
      </c>
      <c r="F50" s="232"/>
      <c r="G50" s="181"/>
      <c r="H50" s="182"/>
      <c r="I50" s="182"/>
      <c r="J50" s="183"/>
      <c r="O50" t="s">
        <v>137</v>
      </c>
      <c r="P50" s="4">
        <v>1204</v>
      </c>
      <c r="Q50" s="4"/>
      <c r="R50" s="5"/>
    </row>
    <row r="51" spans="1:18" ht="15" customHeight="1" x14ac:dyDescent="0.25">
      <c r="A51" s="210"/>
      <c r="B51" s="27"/>
      <c r="C51" s="10"/>
      <c r="D51" s="31"/>
      <c r="F51" s="233" t="s">
        <v>138</v>
      </c>
      <c r="G51" s="235">
        <f>G49-H29</f>
        <v>0</v>
      </c>
      <c r="H51" s="236"/>
      <c r="I51" s="236"/>
      <c r="J51" s="237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0"/>
      <c r="B52" s="29"/>
      <c r="C52" s="33"/>
      <c r="D52" s="45"/>
      <c r="F52" s="234"/>
      <c r="G52" s="238"/>
      <c r="H52" s="239"/>
      <c r="I52" s="239"/>
      <c r="J52" s="24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4" t="s">
        <v>90</v>
      </c>
      <c r="B54" s="219"/>
      <c r="C54" s="220"/>
      <c r="D54" s="22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6"/>
      <c r="B55" s="221"/>
      <c r="C55" s="222"/>
      <c r="D55" s="22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25" t="s">
        <v>91</v>
      </c>
      <c r="B58" s="226"/>
      <c r="C58" s="226"/>
      <c r="D58" s="227"/>
      <c r="F58" s="225" t="s">
        <v>92</v>
      </c>
      <c r="G58" s="226"/>
      <c r="H58" s="226"/>
      <c r="I58" s="226"/>
      <c r="J58" s="227"/>
    </row>
    <row r="59" spans="1:18" x14ac:dyDescent="0.25">
      <c r="A59" s="228"/>
      <c r="B59" s="229"/>
      <c r="C59" s="229"/>
      <c r="D59" s="230"/>
      <c r="F59" s="228"/>
      <c r="G59" s="229"/>
      <c r="H59" s="229"/>
      <c r="I59" s="229"/>
      <c r="J59" s="23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105</vt:i4>
      </vt:variant>
      <vt:variant>
        <vt:lpstr>Named Ranges</vt:lpstr>
      </vt:variant>
      <vt:variant>
        <vt:i4>104</vt:i4>
      </vt:variant>
    </vt:vector>
  </HeadingPairs>
  <TitlesOfParts>
    <vt:vector size="209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 NO TRIP</vt:lpstr>
      <vt:lpstr>13,03 R2 NO TRIP</vt:lpstr>
      <vt:lpstr>13,03 R3 NO TRIP</vt:lpstr>
      <vt:lpstr>(14)</vt:lpstr>
      <vt:lpstr>14,03 R1</vt:lpstr>
      <vt:lpstr>14,03 R2</vt:lpstr>
      <vt:lpstr>14,03 R3</vt:lpstr>
      <vt:lpstr>(16)</vt:lpstr>
      <vt:lpstr>16,03 R1 NO TRIP</vt:lpstr>
      <vt:lpstr>16,03 R2</vt:lpstr>
      <vt:lpstr>16,03 R3</vt:lpstr>
      <vt:lpstr>(17)</vt:lpstr>
      <vt:lpstr>17,03 R1</vt:lpstr>
      <vt:lpstr>17,03 R2</vt:lpstr>
      <vt:lpstr>17,03 R3</vt:lpstr>
      <vt:lpstr>(18)</vt:lpstr>
      <vt:lpstr>18,03 R1</vt:lpstr>
      <vt:lpstr>18,03 R2</vt:lpstr>
      <vt:lpstr>18,03 R3</vt:lpstr>
      <vt:lpstr>(19)</vt:lpstr>
      <vt:lpstr>19,03 R1</vt:lpstr>
      <vt:lpstr>19,03 R2</vt:lpstr>
      <vt:lpstr>19,03 R3</vt:lpstr>
      <vt:lpstr>(20)</vt:lpstr>
      <vt:lpstr>20,03 R1</vt:lpstr>
      <vt:lpstr>20,03 R2</vt:lpstr>
      <vt:lpstr>20,03 R3</vt:lpstr>
      <vt:lpstr>(21)</vt:lpstr>
      <vt:lpstr>21,03 R1 NO TRIP</vt:lpstr>
      <vt:lpstr>21,03 R2 NO TRIP</vt:lpstr>
      <vt:lpstr>21,03 R3 NO TRIP</vt:lpstr>
      <vt:lpstr>(23)</vt:lpstr>
      <vt:lpstr>23,03 R1</vt:lpstr>
      <vt:lpstr>23,03 R2</vt:lpstr>
      <vt:lpstr>23,03 R3</vt:lpstr>
      <vt:lpstr>(24)</vt:lpstr>
      <vt:lpstr>24,03 R1</vt:lpstr>
      <vt:lpstr>24,03 R2</vt:lpstr>
      <vt:lpstr>24,03 R3</vt:lpstr>
      <vt:lpstr>(25)</vt:lpstr>
      <vt:lpstr>25,03 R1</vt:lpstr>
      <vt:lpstr>25,03 R2</vt:lpstr>
      <vt:lpstr>25,03 R3</vt:lpstr>
      <vt:lpstr>(26)</vt:lpstr>
      <vt:lpstr>26,03 R1</vt:lpstr>
      <vt:lpstr>26,03 R2</vt:lpstr>
      <vt:lpstr>26,03 R3</vt:lpstr>
      <vt:lpstr>(27)</vt:lpstr>
      <vt:lpstr>27,03 R1</vt:lpstr>
      <vt:lpstr>27,03 R2</vt:lpstr>
      <vt:lpstr>27,03 R3</vt:lpstr>
      <vt:lpstr>(28)</vt:lpstr>
      <vt:lpstr>28,03 R1</vt:lpstr>
      <vt:lpstr>28,03 R2</vt:lpstr>
      <vt:lpstr>28,03 R3</vt:lpstr>
      <vt:lpstr>(30)</vt:lpstr>
      <vt:lpstr>30,03 R1</vt:lpstr>
      <vt:lpstr>30,03 R2</vt:lpstr>
      <vt:lpstr>30,03 R3</vt:lpstr>
      <vt:lpstr>(31)</vt:lpstr>
      <vt:lpstr>31,03 R1</vt:lpstr>
      <vt:lpstr>31,03 R2</vt:lpstr>
      <vt:lpstr>31,03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 NO TRIP'!Print_Area</vt:lpstr>
      <vt:lpstr>'13,03 R2 NO TRIP'!Print_Area</vt:lpstr>
      <vt:lpstr>'13,03 R3 NO TRIP'!Print_Area</vt:lpstr>
      <vt:lpstr>'14,03 R1'!Print_Area</vt:lpstr>
      <vt:lpstr>'14,03 R2'!Print_Area</vt:lpstr>
      <vt:lpstr>'14,03 R3'!Print_Area</vt:lpstr>
      <vt:lpstr>'16,03 R1 NO TRIP'!Print_Area</vt:lpstr>
      <vt:lpstr>'16,03 R2'!Print_Area</vt:lpstr>
      <vt:lpstr>'16,03 R3'!Print_Area</vt:lpstr>
      <vt:lpstr>'17,03 R1'!Print_Area</vt:lpstr>
      <vt:lpstr>'17,03 R2'!Print_Area</vt:lpstr>
      <vt:lpstr>'17,03 R3'!Print_Area</vt:lpstr>
      <vt:lpstr>'18,03 R1'!Print_Area</vt:lpstr>
      <vt:lpstr>'18,03 R2'!Print_Area</vt:lpstr>
      <vt:lpstr>'18,03 R3'!Print_Area</vt:lpstr>
      <vt:lpstr>'19,03 R1'!Print_Area</vt:lpstr>
      <vt:lpstr>'19,03 R2'!Print_Area</vt:lpstr>
      <vt:lpstr>'19,03 R3'!Print_Area</vt:lpstr>
      <vt:lpstr>'20,03 R1'!Print_Area</vt:lpstr>
      <vt:lpstr>'20,03 R2'!Print_Area</vt:lpstr>
      <vt:lpstr>'20,03 R3'!Print_Area</vt:lpstr>
      <vt:lpstr>'21,03 R1 NO TRIP'!Print_Area</vt:lpstr>
      <vt:lpstr>'21,03 R2 NO TRIP'!Print_Area</vt:lpstr>
      <vt:lpstr>'21,03 R3 NO TRIP'!Print_Area</vt:lpstr>
      <vt:lpstr>'23,03 R1'!Print_Area</vt:lpstr>
      <vt:lpstr>'23,03 R2'!Print_Area</vt:lpstr>
      <vt:lpstr>'23,03 R3'!Print_Area</vt:lpstr>
      <vt:lpstr>'24,03 R1'!Print_Area</vt:lpstr>
      <vt:lpstr>'24,03 R2'!Print_Area</vt:lpstr>
      <vt:lpstr>'24,03 R3'!Print_Area</vt:lpstr>
      <vt:lpstr>'25,03 R1'!Print_Area</vt:lpstr>
      <vt:lpstr>'25,03 R2'!Print_Area</vt:lpstr>
      <vt:lpstr>'25,03 R3'!Print_Area</vt:lpstr>
      <vt:lpstr>'26,03 R1'!Print_Area</vt:lpstr>
      <vt:lpstr>'26,03 R2'!Print_Area</vt:lpstr>
      <vt:lpstr>'26,03 R3'!Print_Area</vt:lpstr>
      <vt:lpstr>'27,03 R1'!Print_Area</vt:lpstr>
      <vt:lpstr>'27,03 R2'!Print_Area</vt:lpstr>
      <vt:lpstr>'27,03 R3'!Print_Area</vt:lpstr>
      <vt:lpstr>'28,03 R1'!Print_Area</vt:lpstr>
      <vt:lpstr>'28,03 R2'!Print_Area</vt:lpstr>
      <vt:lpstr>'28,03 R3'!Print_Area</vt:lpstr>
      <vt:lpstr>'30,03 R1'!Print_Area</vt:lpstr>
      <vt:lpstr>'30,03 R2'!Print_Area</vt:lpstr>
      <vt:lpstr>'30,03 R3'!Print_Area</vt:lpstr>
      <vt:lpstr>'31,03 R1'!Print_Area</vt:lpstr>
      <vt:lpstr>'31,03 R2'!Print_Area</vt:lpstr>
      <vt:lpstr>'31,03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2026-03-25T00:53:09Z</cp:lastPrinted>
  <dcterms:created xsi:type="dcterms:W3CDTF">2024-09-01T23:36:50Z</dcterms:created>
  <dcterms:modified xsi:type="dcterms:W3CDTF">2026-03-25T00:53:14Z</dcterms:modified>
</cp:coreProperties>
</file>