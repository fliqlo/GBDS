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08B8678-B760-41B1-9878-74C8C269892E}" xr6:coauthVersionLast="45" xr6:coauthVersionMax="47" xr10:uidLastSave="{00000000-0000-0000-0000-000000000000}"/>
  <bookViews>
    <workbookView xWindow="-120" yWindow="-120" windowWidth="29040" windowHeight="15840" firstSheet="80" activeTab="91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G49" i="1928" s="1"/>
  <c r="D35" i="1928"/>
  <c r="R34" i="1928"/>
  <c r="L12" i="1928" s="1"/>
  <c r="D12" i="1928" s="1"/>
  <c r="H34" i="1928"/>
  <c r="D34" i="1928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G49" i="1927" s="1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D54" i="1928" l="1"/>
  <c r="H14" i="1928" s="1"/>
  <c r="G49" i="1924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D29" i="1928"/>
  <c r="H13" i="1928" s="1"/>
  <c r="D29" i="1927"/>
  <c r="H13" i="1927" s="1"/>
  <c r="H15" i="1927" s="1"/>
  <c r="H29" i="1927" s="1"/>
  <c r="G51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28" l="1"/>
  <c r="H29" i="1928" s="1"/>
  <c r="G51" i="1928" s="1"/>
  <c r="H15" i="1924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<sst xmlns="http://schemas.openxmlformats.org/spreadsheetml/2006/main" count="14073" uniqueCount="233">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</sst>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308</v>
      </c>
      <c r="D6" s="13">
        <f t="shared" ref="D6:D28" si="1">C6*L6</f>
        <v>234388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</v>
      </c>
      <c r="D9" s="13">
        <f t="shared" si="1"/>
        <v>13194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265882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30599.25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235282.75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75" t="s">
        <v>55</v>
      </c>
      <c r="G29" s="176"/>
      <c r="H29" s="179">
        <f>H15-H16-H17-H18-H19-H20-H22-H23-H24+H26+H27+H28</f>
        <v>233926.75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7">
        <f t="shared" ref="H34:H39" si="2">F34*G34</f>
        <v>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7">
        <f t="shared" si="2"/>
        <v>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1">
        <v>150017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1">
        <v>7564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233911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-15.75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351</v>
      </c>
      <c r="D6" s="13">
        <f t="shared" ref="D6:D28" si="1">C6*L6</f>
        <v>267111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29320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313708.5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55225.5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258483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150</v>
      </c>
      <c r="C24" s="10">
        <v>12</v>
      </c>
      <c r="D24" s="48">
        <f t="shared" si="1"/>
        <v>474</v>
      </c>
      <c r="F24" s="38"/>
      <c r="G24" s="37"/>
      <c r="H24" s="190"/>
      <c r="I24" s="191"/>
      <c r="J24" s="19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75" t="s">
        <v>55</v>
      </c>
      <c r="G29" s="176"/>
      <c r="H29" s="179">
        <f>H15-H16-H17-H18-H19-H20-H22-H23-H24+H26+H27</f>
        <v>257103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7">
        <f>F34*G34</f>
        <v>101000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7">
        <f t="shared" ref="H35:H39" si="2">F35*G35</f>
        <v>11000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1">
        <v>144193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36</v>
      </c>
      <c r="D46" s="12">
        <f>C46*1.5</f>
        <v>54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22</v>
      </c>
      <c r="D49" s="12">
        <f>C49*42</f>
        <v>924</v>
      </c>
      <c r="F49" s="232" t="s">
        <v>86</v>
      </c>
      <c r="G49" s="179">
        <f>H34+H35+H36+H37+H38+H39+H40+H41+G42+H44+H45+H46</f>
        <v>256479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153</v>
      </c>
      <c r="G51" s="246">
        <f>G49-H29</f>
        <v>-624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266</v>
      </c>
      <c r="D6" s="13">
        <f t="shared" ref="D6:D28" si="1">C6*L6</f>
        <v>202426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57</v>
      </c>
      <c r="D9" s="13">
        <f t="shared" si="1"/>
        <v>41781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259606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36129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223477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75" t="s">
        <v>55</v>
      </c>
      <c r="G29" s="176"/>
      <c r="H29" s="179">
        <f>H15-H16-H17-H18-H19-H20-H22-H23-H24+H26+H27</f>
        <v>222737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7">
        <f>F34*G34</f>
        <v>41000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7">
        <f>F35*G35</f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1">
        <v>75280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1">
        <v>101194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6">
        <v>1582</v>
      </c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222844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382</v>
      </c>
      <c r="D6" s="13">
        <f t="shared" ref="D6:D28" si="1">C6*L6</f>
        <v>290702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31</v>
      </c>
      <c r="D9" s="13">
        <f t="shared" si="1"/>
        <v>22723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322724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44362.5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278361.5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75" t="s">
        <v>55</v>
      </c>
      <c r="G29" s="176"/>
      <c r="H29" s="179">
        <f>H15-H16-H17-H18-H19-H20-H22-H23-H24+H26+H27+H28</f>
        <v>278361.5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7">
        <f t="shared" ref="H34:H39" si="2">F34*G34</f>
        <v>212000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 t="shared" si="2"/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1">
        <v>10000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1">
        <v>35000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279290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928.5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224</v>
      </c>
      <c r="D6" s="13">
        <f t="shared" ref="D6:D28" si="1">C6*L6</f>
        <v>170464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71</v>
      </c>
      <c r="D9" s="13">
        <f t="shared" si="1"/>
        <v>52043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228774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35040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193734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9">
        <v>265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75" t="s">
        <v>55</v>
      </c>
      <c r="G29" s="176"/>
      <c r="H29" s="179">
        <f>H15-H16-H17-H18-H19-H20-H22-H23-H24+H26+H27</f>
        <v>192737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7">
        <f>F34*G34</f>
        <v>140000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7">
        <f t="shared" ref="H35:H39" si="2">F35*G35</f>
        <v>46500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45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192595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291</v>
      </c>
      <c r="D6" s="13">
        <f t="shared" ref="D6:D28" si="1">C6*L6</f>
        <v>221451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15620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273403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40279.5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233123.5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75" t="s">
        <v>55</v>
      </c>
      <c r="G29" s="176"/>
      <c r="H29" s="179">
        <f>H15-H16-H17-H18-H19-H20-H22-H23-H24+H26+H27</f>
        <v>232205.5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7">
        <f>F34*G34</f>
        <v>75000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7">
        <f>F35*G35</f>
        <v>48500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7">
        <f t="shared" si="2"/>
        <v>6000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7">
        <f t="shared" si="2"/>
        <v>2150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74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1">
        <v>100483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64</v>
      </c>
      <c r="D46" s="12">
        <f>C46*1.5</f>
        <v>96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232207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359</v>
      </c>
      <c r="D6" s="13">
        <f t="shared" ref="D6:D28" si="1">C6*L6</f>
        <v>273199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117</v>
      </c>
      <c r="D9" s="13">
        <f t="shared" si="1"/>
        <v>85761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387395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43563.75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343831.25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9">
        <v>100339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1">
        <v>98532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75" t="s">
        <v>55</v>
      </c>
      <c r="G29" s="176"/>
      <c r="H29" s="179">
        <f>H15-H16-H17-H18-H19-H20-H22-H23-H24+H26+H27+H28</f>
        <v>340020.25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7">
        <f t="shared" ref="H34:H39" si="2">F34*G34</f>
        <v>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1">
        <v>230441.5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1">
        <v>98532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339183.5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-836.75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253739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36819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216920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75" t="s">
        <v>55</v>
      </c>
      <c r="G29" s="176"/>
      <c r="H29" s="179">
        <f>H15-H16-H17-H18-H19-H20-H22-H23-H24+H26+H27</f>
        <v>214926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7">
        <f>F34*G34</f>
        <v>214000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214882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-44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270</v>
      </c>
      <c r="D6" s="13">
        <f t="shared" ref="D6:D28" si="1">C6*L6</f>
        <v>205470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236285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33749.25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202535.75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>
        <v>1</v>
      </c>
      <c r="D23" s="48">
        <f t="shared" si="1"/>
        <v>1175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75" t="s">
        <v>55</v>
      </c>
      <c r="G29" s="176"/>
      <c r="H29" s="179">
        <f>H15-H16-H17-H18-H19-H20-H22-H23-H24+H26+H27</f>
        <v>201327.75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7">
        <f>F35*G35</f>
        <v>54000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7">
        <f t="shared" si="2"/>
        <v>12400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>
        <v>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1">
        <v>40666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201260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-67.75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377</v>
      </c>
      <c r="D6" s="13">
        <f t="shared" ref="D6:D28" si="1">C6*L6</f>
        <v>286897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301631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55843.5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245787.5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0" t="s">
        <v>167</v>
      </c>
      <c r="C22" s="10">
        <v>2</v>
      </c>
      <c r="D22" s="48">
        <f t="shared" si="1"/>
        <v>3164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75" t="s">
        <v>55</v>
      </c>
      <c r="G29" s="176"/>
      <c r="H29" s="179">
        <f>H15-H16-H17-H18-H19-H20-H22-H23-H24+H26+H27+H28</f>
        <v>243837.5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7">
        <f t="shared" ref="H34:H39" si="2">F34*G34</f>
        <v>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7">
        <f t="shared" si="2"/>
        <v>209500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243746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18</v>
      </c>
      <c r="D50" s="12">
        <f>C50*1.5</f>
        <v>27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-91.5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246</v>
      </c>
      <c r="D6" s="13">
        <f t="shared" ref="D6:D28" si="1">C6*L6</f>
        <v>187206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17592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264640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34920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229720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>
        <v>4</v>
      </c>
      <c r="D23" s="48">
        <f t="shared" si="1"/>
        <v>6668</v>
      </c>
      <c r="F23" s="25"/>
      <c r="G23" s="37"/>
      <c r="H23" s="190"/>
      <c r="I23" s="191"/>
      <c r="J23" s="19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168</v>
      </c>
      <c r="C27" s="10">
        <v>1</v>
      </c>
      <c r="D27" s="44">
        <f t="shared" si="1"/>
        <v>1582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75" t="s">
        <v>55</v>
      </c>
      <c r="G29" s="176"/>
      <c r="H29" s="179">
        <f>H15-H16-H17-H18-H19-H20-H22-H23-H24+H26+H27</f>
        <v>228538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69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1">
        <v>179826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224985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-3553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355</v>
      </c>
      <c r="D6" s="13">
        <f t="shared" ref="D6:D28" si="1">C6*L6</f>
        <v>270155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111</v>
      </c>
      <c r="D9" s="13">
        <f t="shared" si="1"/>
        <v>81363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363462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54750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308712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75" t="s">
        <v>55</v>
      </c>
      <c r="G29" s="176"/>
      <c r="H29" s="179">
        <f>H15-H16-H17-H18-H19-H20-H22-H23-H24+H26+H27</f>
        <v>306190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7">
        <f>F34*G34</f>
        <v>63000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7">
        <f t="shared" si="2"/>
        <v>300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3162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1">
        <v>225117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307129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319</v>
      </c>
      <c r="D6" s="13">
        <f t="shared" ref="D6:D28" si="1">C6*L6</f>
        <v>242759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50</v>
      </c>
      <c r="D8" s="13">
        <f t="shared" si="1"/>
        <v>54650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319434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42474.75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276959.25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9">
        <v>51622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75" t="s">
        <v>55</v>
      </c>
      <c r="G29" s="176"/>
      <c r="H29" s="179">
        <f>H15-H16-H17-H18-H19-H20-H22-H23-H24+H26+H27+H28</f>
        <v>225337.25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7">
        <f t="shared" ref="H34:H39" si="2">F34*G34</f>
        <v>82000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106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1">
        <v>141334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223690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-1647.25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385</v>
      </c>
      <c r="D6" s="13">
        <f t="shared" ref="D6:D28" si="1">C6*L6</f>
        <v>292985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68</v>
      </c>
      <c r="D9" s="13">
        <f t="shared" si="1"/>
        <v>49844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351657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33426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318231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75" t="s">
        <v>55</v>
      </c>
      <c r="G29" s="176"/>
      <c r="H29" s="179">
        <f>H15-H16-H17-H18-H19-H20-H22-H23-H24+H26+H27</f>
        <v>317031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7">
        <f>F34*G34</f>
        <v>131000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1">
        <v>145531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317019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73</v>
      </c>
      <c r="D50" s="12">
        <f>C50*1.5</f>
        <v>109.5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432</v>
      </c>
      <c r="D6" s="13">
        <f t="shared" ref="D6:D28" si="1">C6*L6</f>
        <v>328752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43247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19</v>
      </c>
      <c r="D13" s="48">
        <f t="shared" si="1"/>
        <v>5833</v>
      </c>
      <c r="F13" s="152" t="s">
        <v>36</v>
      </c>
      <c r="G13" s="153"/>
      <c r="H13" s="154">
        <f>D29</f>
        <v>412474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58906.5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353567.5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75" t="s">
        <v>55</v>
      </c>
      <c r="G29" s="176"/>
      <c r="H29" s="179">
        <f>H15-H16-H17-H18-H19-H20-H22-H23-H24+H26+H27</f>
        <v>350831.5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7">
        <f>F34*G34</f>
        <v>100000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7">
        <f t="shared" si="2"/>
        <v>4100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24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1">
        <v>70468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1">
        <v>162086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352178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1346.5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558</v>
      </c>
      <c r="D6" s="13">
        <f t="shared" ref="D6:D28" si="1">C6*L6</f>
        <v>424638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55</v>
      </c>
      <c r="D7" s="13">
        <f t="shared" si="1"/>
        <v>42955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67</v>
      </c>
      <c r="D9" s="13">
        <f t="shared" si="1"/>
        <v>49111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529181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67908.75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461272.25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179</v>
      </c>
      <c r="C24" s="10">
        <v>12</v>
      </c>
      <c r="D24" s="48">
        <f t="shared" si="1"/>
        <v>474</v>
      </c>
      <c r="F24" s="77"/>
      <c r="G24" s="79"/>
      <c r="H24" s="242"/>
      <c r="I24" s="243"/>
      <c r="J24" s="24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1">
        <v>51622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75" t="s">
        <v>55</v>
      </c>
      <c r="G29" s="176"/>
      <c r="H29" s="179">
        <f>H15-H16-H17-H18-H19-H20-H22-H23-H24+H26+H27+H28</f>
        <v>509690.25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7">
        <f t="shared" ref="H34:H39" si="2">F34*G34</f>
        <v>129000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 t="shared" si="2"/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1">
        <v>359981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509031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-659.25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538</v>
      </c>
      <c r="D6" s="13">
        <f t="shared" ref="D6:D28" si="1">C6*L6</f>
        <v>409418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502921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75838.5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427082.5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75" t="s">
        <v>55</v>
      </c>
      <c r="G29" s="176"/>
      <c r="H29" s="179">
        <f>H15-H16-H17-H18-H19-H20-H22-H23-H24+H26+H27</f>
        <v>423710.5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7">
        <f>F34*G34</f>
        <v>340000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1">
        <v>70473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423513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-197.5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369</v>
      </c>
      <c r="D6" s="13">
        <f t="shared" ref="D6:D28" si="1">C6*L6</f>
        <v>280809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63</v>
      </c>
      <c r="D9" s="13">
        <f t="shared" si="1"/>
        <v>46179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344843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25784.25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319058.75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75" t="s">
        <v>55</v>
      </c>
      <c r="G29" s="176"/>
      <c r="H29" s="179">
        <f>H15-H16-H17-H18-H19-H20-H22-H23-H24+H26+H27</f>
        <v>318758.75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7">
        <f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7">
        <f>F35*G35</f>
        <v>33000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7">
        <f t="shared" si="2"/>
        <v>1550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43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1">
        <v>168245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318538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324</v>
      </c>
      <c r="D6" s="13">
        <f t="shared" ref="D6:D28" si="1">C6*L6</f>
        <v>246564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20</v>
      </c>
      <c r="D9" s="13">
        <f t="shared" si="1"/>
        <v>14660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267570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39540.75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228029.25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75" t="s">
        <v>55</v>
      </c>
      <c r="G29" s="176"/>
      <c r="H29" s="179">
        <f>H15-H16-H17-H18-H19-H20-H22-H23-H24+H26+H27+H28</f>
        <v>227979.25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7">
        <f t="shared" ref="H34:H39" si="2">F34*G34</f>
        <v>195000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7">
        <f t="shared" si="2"/>
        <v>27000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si="2"/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7">
        <f t="shared" si="2"/>
        <v>4200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7">
        <f t="shared" si="2"/>
        <v>1200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217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228457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311</v>
      </c>
      <c r="D6" s="13">
        <f t="shared" ref="D6:D28" si="1">C6*L6</f>
        <v>236671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266386.58333333331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52669.5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213717.08333333331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8"/>
      <c r="I27" s="199"/>
      <c r="J27" s="20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75" t="s">
        <v>55</v>
      </c>
      <c r="G29" s="176"/>
      <c r="H29" s="179">
        <f>H15-H16-H17-H18-H19-H20-H22-H23-H24+H26+H27</f>
        <v>213069.08333333331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7">
        <f>F34*G34</f>
        <v>127000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7">
        <f t="shared" ref="H35:H39" si="2">F35*G35</f>
        <v>25500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7">
        <f t="shared" si="2"/>
        <v>3700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1">
        <v>56579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213109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39.916666666686069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250369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21</v>
      </c>
      <c r="D9" s="13">
        <f t="shared" si="1"/>
        <v>15393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281186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42842.25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238343.75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75" t="s">
        <v>55</v>
      </c>
      <c r="G29" s="176"/>
      <c r="H29" s="179">
        <f>H15-H16-H17-H18-H19-H20-H22-H23-H24+H26+H27</f>
        <v>237215.75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7">
        <f>F34*G34</f>
        <v>88000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>F35*G35</f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 t="shared" ref="H36:H39" si="2"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7">
        <f t="shared" si="2"/>
        <v>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911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1">
        <v>71968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1">
        <v>52207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45</v>
      </c>
      <c r="D46" s="12">
        <f>C46*1.5</f>
        <v>67.5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237066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-149.75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411</v>
      </c>
      <c r="D6" s="13">
        <f t="shared" ref="D6:D28" si="1">C6*L6</f>
        <v>312771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320439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55105.5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265333.5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75" t="s">
        <v>55</v>
      </c>
      <c r="G29" s="176"/>
      <c r="H29" s="179">
        <f>H15-H16-H17-H18-H19-H20-H22-H23-H24+H26+H27+H28</f>
        <v>263395.5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7">
        <f t="shared" ref="H34:H39" si="2">F34*G34</f>
        <v>55000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1">
        <v>203085.5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263098.5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34</v>
      </c>
      <c r="D50" s="12">
        <f>C50*1.5</f>
        <v>51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-297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348</v>
      </c>
      <c r="D6" s="13">
        <f t="shared" ref="D6:D28" si="1">C6*L6</f>
        <v>264828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268786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44764.5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224021.5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75" t="s">
        <v>55</v>
      </c>
      <c r="G29" s="176"/>
      <c r="H29" s="179">
        <f>H15-H16-H17-H18-H19-H20-H22-H23-H24+H26+H27</f>
        <v>222195.5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7">
        <f>F34*G34</f>
        <v>142000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7">
        <f t="shared" ref="H35:H39" si="2">F35*G35</f>
        <v>45500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7">
        <f t="shared" si="2"/>
        <v>30000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7">
        <f t="shared" si="2"/>
        <v>3450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72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221022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-1173.5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418</v>
      </c>
      <c r="D6" s="13">
        <f t="shared" ref="D6:D28" si="1">C6*L6</f>
        <v>318098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</v>
      </c>
      <c r="D9" s="13">
        <f t="shared" si="1"/>
        <v>3665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4</v>
      </c>
      <c r="D10" s="13">
        <f t="shared" si="1"/>
        <v>4128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1+2+2</f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349583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60138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289445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75" t="s">
        <v>55</v>
      </c>
      <c r="G29" s="176"/>
      <c r="H29" s="179">
        <f>H15-H16-H17-H18-H19-H20-H22-H23-H24+H26+H27</f>
        <v>287007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7">
        <f t="shared" si="2"/>
        <v>5900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160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1">
        <v>153409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31</v>
      </c>
      <c r="D46" s="12">
        <f>C46*1.5</f>
        <v>46.5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287119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112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431</v>
      </c>
      <c r="D6" s="13">
        <f t="shared" ref="D6:D28" si="1">C6*L6</f>
        <v>327991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</v>
      </c>
      <c r="D9" s="13">
        <f t="shared" si="1"/>
        <v>2932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335528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78331.5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257196.5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75" t="s">
        <v>55</v>
      </c>
      <c r="G29" s="176"/>
      <c r="H29" s="179">
        <f>H15-H16-H17-H18-H19-H20-H22-H23-H24+H26+H27+H28</f>
        <v>254928.5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7">
        <f t="shared" ref="H34:H39" si="2">F34*G34</f>
        <v>191000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7">
        <f t="shared" si="2"/>
        <v>34500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1">
        <v>24050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5200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254750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-178.5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90</v>
      </c>
      <c r="D9" s="13">
        <f t="shared" si="1"/>
        <v>65970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383159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38395.5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344763.5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75" t="s">
        <v>55</v>
      </c>
      <c r="G29" s="176"/>
      <c r="H29" s="179">
        <f>H15-H16-H17-H18-H19-H20-H22-H23-H24+H26+H27</f>
        <v>342603.5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1">
        <v>253213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343184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580.5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363</v>
      </c>
      <c r="D6" s="13">
        <f t="shared" ref="D6:D28" si="1">C6*L6</f>
        <v>276243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320630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52599.75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268030.25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75" t="s">
        <v>55</v>
      </c>
      <c r="G29" s="176"/>
      <c r="H29" s="179">
        <f>H15-H16-H17-H18-H19-H20-H22-H23-H24+H26+H27</f>
        <v>266140.25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7">
        <f>F34*G34</f>
        <v>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7">
        <f t="shared" si="2"/>
        <v>4900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1">
        <v>65078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1">
        <v>103706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265703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-437.25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676</v>
      </c>
      <c r="D6" s="13">
        <f t="shared" ref="D6:D28" si="1">C6*L6</f>
        <v>514436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561365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101851.5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459513.5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9">
        <v>102166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1">
        <v>100339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75" t="s">
        <v>55</v>
      </c>
      <c r="G29" s="176"/>
      <c r="H29" s="179">
        <f>H15-H16-H17-H18-H19-H20-H22-H23-H24+H26+H27+H28</f>
        <v>455638.5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7">
        <f t="shared" ref="H34:H39" si="2">F34*G34</f>
        <v>281000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7">
        <f t="shared" si="2"/>
        <v>45000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7">
        <f t="shared" si="2"/>
        <v>60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16</v>
      </c>
      <c r="D42" s="12">
        <f>C42*2.25</f>
        <v>36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1">
        <v>90000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1">
        <v>38720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455730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279612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43846.5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235765.5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75" t="s">
        <v>55</v>
      </c>
      <c r="G29" s="176"/>
      <c r="H29" s="179">
        <f>H15-H16-H17-H18-H19-H20-H22-H23-H24+H26+H27</f>
        <v>235765.5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7">
        <f>F34*G34</f>
        <v>152000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7">
        <f t="shared" si="2"/>
        <v>20300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7">
        <f t="shared" si="2"/>
        <v>2100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14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235914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148.5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316</v>
      </c>
      <c r="D6" s="13">
        <f t="shared" ref="D6:D28" si="1">C6*L6</f>
        <v>240476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12496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16</v>
      </c>
      <c r="D9" s="13">
        <f t="shared" si="1"/>
        <v>11728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267902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40562.25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227339.75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75" t="s">
        <v>55</v>
      </c>
      <c r="G29" s="176"/>
      <c r="H29" s="179">
        <f>H15-H16-H17-H18-H19-H20-H22-H23-H24+H26+H27</f>
        <v>226073.75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7">
        <f>F35*G35</f>
        <v>20000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78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1">
        <v>32658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1">
        <v>70531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226267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193.25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527</v>
      </c>
      <c r="D6" s="13">
        <f t="shared" ref="D6:D28" si="1">C6*L6</f>
        <v>401047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36650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451583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66073.5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385509.5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75" t="s">
        <v>55</v>
      </c>
      <c r="G29" s="176"/>
      <c r="H29" s="179">
        <f>H15-H16-H17-H18-H19-H20-H22-H23-H24+H26+H27</f>
        <v>382527.5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7">
        <f>F34*G34</f>
        <v>334000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7">
        <f t="shared" si="2"/>
        <v>2600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382369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520</v>
      </c>
      <c r="D6" s="13">
        <f t="shared" ref="D6:D28" si="1">C6*L6</f>
        <v>395720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415764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38598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377166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75" t="s">
        <v>55</v>
      </c>
      <c r="G29" s="176"/>
      <c r="H29" s="179">
        <f>H15-H16-H17-H18-H19-H20-H22-H23-H24+H26+H27</f>
        <v>375454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7">
        <f>F34*G34</f>
        <v>62000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1">
        <v>139824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1">
        <v>173521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376145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691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840</v>
      </c>
      <c r="D6" s="13">
        <f t="shared" ref="D6:D28" si="1">C6*L6</f>
        <v>639240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20</v>
      </c>
      <c r="D10" s="13">
        <f t="shared" si="1"/>
        <v>20640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15</v>
      </c>
      <c r="D11" s="13">
        <f t="shared" si="1"/>
        <v>17550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10</v>
      </c>
      <c r="D12" s="48">
        <f t="shared" si="1"/>
        <v>9920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36</v>
      </c>
      <c r="D13" s="48">
        <f t="shared" si="1"/>
        <v>11052</v>
      </c>
      <c r="F13" s="152" t="s">
        <v>36</v>
      </c>
      <c r="G13" s="153"/>
      <c r="H13" s="154">
        <f>D29</f>
        <v>793392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105668.25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687723.75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75" t="s">
        <v>55</v>
      </c>
      <c r="G29" s="176"/>
      <c r="H29" s="179">
        <f>H15-H16-H17-H18-H19-H20-H22-H23-H24+H26+H27+H28</f>
        <v>682257.75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7">
        <f t="shared" ref="H34:H39" si="2">F34*G34</f>
        <v>59000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1">
        <v>473393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1">
        <v>148170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681383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-874.75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327138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58863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268275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75" t="s">
        <v>55</v>
      </c>
      <c r="G29" s="176"/>
      <c r="H29" s="179">
        <f>H15-H16-H17-H18-H19-H20-H22-H23-H24+H26+H27</f>
        <v>265779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7">
        <f>F34*G34</f>
        <v>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820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1">
        <v>113992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1">
        <v>145035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264237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97">
        <v>320</v>
      </c>
      <c r="D6" s="13">
        <f t="shared" ref="D6:D28" si="1">C6*L6</f>
        <v>243520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97">
        <v>50</v>
      </c>
      <c r="D7" s="13">
        <f t="shared" si="1"/>
        <v>39050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97">
        <v>20</v>
      </c>
      <c r="D8" s="13">
        <f t="shared" si="1"/>
        <v>21860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97">
        <v>105</v>
      </c>
      <c r="D9" s="13">
        <f t="shared" si="1"/>
        <v>76965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97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97">
        <v>5</v>
      </c>
      <c r="D11" s="13">
        <f t="shared" si="1"/>
        <v>5850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97">
        <f>30+6+2</f>
        <v>38</v>
      </c>
      <c r="D12" s="48">
        <f t="shared" si="1"/>
        <v>37696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97"/>
      <c r="D13" s="48">
        <f t="shared" si="1"/>
        <v>0</v>
      </c>
      <c r="F13" s="152" t="s">
        <v>36</v>
      </c>
      <c r="G13" s="153"/>
      <c r="H13" s="154">
        <f>D29</f>
        <v>454572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97"/>
      <c r="D14" s="31">
        <f t="shared" si="1"/>
        <v>0</v>
      </c>
      <c r="F14" s="157" t="s">
        <v>39</v>
      </c>
      <c r="G14" s="158"/>
      <c r="H14" s="159">
        <f>D54</f>
        <v>43967.25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97">
        <v>5</v>
      </c>
      <c r="D15" s="31">
        <f t="shared" si="1"/>
        <v>3100</v>
      </c>
      <c r="F15" s="162" t="s">
        <v>40</v>
      </c>
      <c r="G15" s="153"/>
      <c r="H15" s="163">
        <f>H13-H14</f>
        <v>410604.75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97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97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97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97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93</v>
      </c>
      <c r="C27" s="97">
        <v>1</v>
      </c>
      <c r="D27" s="44">
        <f t="shared" si="1"/>
        <v>1702</v>
      </c>
      <c r="F27" s="25"/>
      <c r="G27" s="80"/>
      <c r="H27" s="198"/>
      <c r="I27" s="199"/>
      <c r="J27" s="200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97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75" t="s">
        <v>55</v>
      </c>
      <c r="G29" s="176"/>
      <c r="H29" s="179">
        <f>H15-H16-H17-H18-H19-H20-H22-H23-H24+H26+H27</f>
        <v>410604.75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7">
        <f>F34*G34</f>
        <v>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7">
        <f>F35*G35</f>
        <v>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1">
        <v>394931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42</v>
      </c>
      <c r="D45" s="12">
        <f>C45*84</f>
        <v>3528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410362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205</v>
      </c>
      <c r="G51" s="246">
        <f>G49-H29</f>
        <v>-242.75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21</v>
      </c>
      <c r="D7" s="13">
        <f t="shared" si="1"/>
        <v>16401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12</v>
      </c>
      <c r="D8" s="13">
        <f t="shared" si="1"/>
        <v>13116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5864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40</v>
      </c>
      <c r="D11" s="13">
        <f t="shared" si="1"/>
        <v>46800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25+10</f>
        <v>35</v>
      </c>
      <c r="D12" s="48">
        <f t="shared" si="1"/>
        <v>34720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401678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46828.5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208</v>
      </c>
      <c r="C15" s="10">
        <f>10+5</f>
        <v>15</v>
      </c>
      <c r="D15" s="31">
        <f t="shared" si="1"/>
        <v>9300</v>
      </c>
      <c r="F15" s="162" t="s">
        <v>40</v>
      </c>
      <c r="G15" s="153"/>
      <c r="H15" s="163">
        <f>H13-H14</f>
        <v>354849.5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>
        <v>1</v>
      </c>
      <c r="D22" s="48">
        <f t="shared" si="1"/>
        <v>1582</v>
      </c>
      <c r="F22" s="77"/>
      <c r="G22" s="73"/>
      <c r="H22" s="189"/>
      <c r="I22" s="189"/>
      <c r="J22" s="189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75" t="s">
        <v>55</v>
      </c>
      <c r="G29" s="176"/>
      <c r="H29" s="179">
        <f>H15-H16-H17-H18-H19-H20-H22-H23-H24+H26+H27+H28</f>
        <v>354849.5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7">
        <f t="shared" ref="H34:H39" si="2">F34*G34</f>
        <v>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1">
        <v>351689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98</v>
      </c>
      <c r="D45" s="12">
        <f>C45*84</f>
        <v>8232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354289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-560.5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388</v>
      </c>
      <c r="D6" s="13">
        <f t="shared" ref="D6:D28" si="1">C6*L6</f>
        <v>295268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5131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309448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45107.25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264340.75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75" t="s">
        <v>55</v>
      </c>
      <c r="G29" s="176"/>
      <c r="H29" s="179">
        <f>H15-H16-H17-H18-H19-H20-H22-H23-H24+H26+H27</f>
        <v>262396.75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7">
        <f>F34*G34</f>
        <v>150000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7">
        <f t="shared" ref="H35:H39" si="2">F35*G35</f>
        <v>111500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262118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-278.75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332</v>
      </c>
      <c r="D6" s="13">
        <f t="shared" ref="D6:D28" si="1">C6*L6</f>
        <v>252652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73</v>
      </c>
      <c r="D9" s="13">
        <f t="shared" si="1"/>
        <v>53509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311662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43362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268300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75" t="s">
        <v>55</v>
      </c>
      <c r="G29" s="176"/>
      <c r="H29" s="179">
        <f>H15-H16-H17-H18-H19-H20-H22-H23-H24+H26+H27</f>
        <v>267024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7">
        <f>F34*G34</f>
        <v>164000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7">
        <f>F35*G35</f>
        <v>29000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7">
        <f t="shared" si="2"/>
        <v>5700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1063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1">
        <v>65622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267285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52</v>
      </c>
      <c r="D50" s="12">
        <f>C50*1.5</f>
        <v>78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261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457</v>
      </c>
      <c r="D6" s="13">
        <f t="shared" ref="D6:D28" si="1">C6*L6</f>
        <v>347777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65</v>
      </c>
      <c r="D8" s="13">
        <f t="shared" si="1"/>
        <v>71045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449433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82245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f>1</f>
        <v>1</v>
      </c>
      <c r="D15" s="31">
        <f t="shared" si="1"/>
        <v>620</v>
      </c>
      <c r="F15" s="162" t="s">
        <v>40</v>
      </c>
      <c r="G15" s="153"/>
      <c r="H15" s="163">
        <f>H13-H14</f>
        <v>367188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9">
        <v>67313</v>
      </c>
      <c r="I22" s="189"/>
      <c r="J22" s="189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75" t="s">
        <v>55</v>
      </c>
      <c r="G29" s="176"/>
      <c r="H29" s="179">
        <f>H15-H16-H17-H18-H19-H20-H22-H23-H24+H26+H27+H28</f>
        <v>297881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7">
        <f t="shared" ref="H34:H39" si="2">F34*G34</f>
        <v>168000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 t="shared" si="2"/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154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1">
        <v>75000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1">
        <v>11700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1">
        <v>3944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297798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267889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40076.25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227812.75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75" t="s">
        <v>55</v>
      </c>
      <c r="G29" s="176"/>
      <c r="H29" s="179">
        <f>H15-H16-H17-H18-H19-H20-H22-H23-H24+H26+H27</f>
        <v>227188.75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7">
        <f>F34*G34</f>
        <v>187000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61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227211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22.25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430</v>
      </c>
      <c r="D6" s="13">
        <f t="shared" ref="D6:D28" si="1">C6*L6</f>
        <v>327230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82096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10</v>
      </c>
      <c r="D11" s="13">
        <f t="shared" si="1"/>
        <v>11700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432743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88158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344585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75" t="s">
        <v>55</v>
      </c>
      <c r="G29" s="176"/>
      <c r="H29" s="179">
        <f>H15-H16-H17-H18-H19-H20-H22-H23-H24+H26+H27</f>
        <v>341357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7">
        <f>F34*G34</f>
        <v>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7">
        <f t="shared" si="2"/>
        <v>1800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79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1">
        <v>48987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1">
        <v>233269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340935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-422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436</v>
      </c>
      <c r="D6" s="13">
        <f t="shared" ref="D6:D28" si="1">C6*L6</f>
        <v>331796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343569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53209.5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290359.5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9">
        <v>141854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75" t="s">
        <v>55</v>
      </c>
      <c r="G29" s="176"/>
      <c r="H29" s="179">
        <f>H15-H16-H17-H18-H19-H20-H22-H23-H24+H26+H27+H28</f>
        <v>148455.5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7">
        <f t="shared" ref="H34:H39" si="2">F34*G34</f>
        <v>126000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si="2"/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7">
        <f t="shared" si="2"/>
        <v>2900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148418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-37.5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398</v>
      </c>
      <c r="D6" s="13">
        <f t="shared" ref="D6:D28" si="1">C6*L6</f>
        <v>302878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348180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51591.75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296588.25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9">
        <v>94558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5">
        <v>102166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75" t="s">
        <v>55</v>
      </c>
      <c r="G29" s="176"/>
      <c r="H29" s="179">
        <f>H15-H16-H17-H18-H19-H20-H22-H23-H24+H26+H27</f>
        <v>303548.25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7">
        <f>F34*G34</f>
        <v>106000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7">
        <f t="shared" ref="H35:H39" si="2">F35*G35</f>
        <v>22000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1">
        <v>70347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102166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303901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352.75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372</v>
      </c>
      <c r="D6" s="13">
        <f t="shared" ref="D6:D28" si="1">C6*L6</f>
        <v>283092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313665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47919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265746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75" t="s">
        <v>55</v>
      </c>
      <c r="G29" s="176"/>
      <c r="H29" s="179">
        <f>H15-H16-H17-H18-H19-H20-H22-H23-H24+H26+H27</f>
        <v>263644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7">
        <f t="shared" si="2"/>
        <v>2300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2294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1">
        <v>112255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263549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1">
        <v>67313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4">
        <v>141854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209167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7">
        <f t="shared" ref="H34:H39" si="2">F34*G34</f>
        <v>67000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1">
        <v>141854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209167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480</v>
      </c>
      <c r="D6" s="13">
        <f t="shared" ref="D6:D28" si="1">C6*L6</f>
        <v>365280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52776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441683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51233.25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390449.75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75" t="s">
        <v>55</v>
      </c>
      <c r="G29" s="176"/>
      <c r="H29" s="179">
        <f>H15-H16-H17-H18-H19-H20-H22-H23-H24+H26+H27+H28</f>
        <v>390449.75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7">
        <f t="shared" ref="H34:H39" si="2">F34*G34</f>
        <v>90000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 t="shared" si="2"/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7">
        <f t="shared" si="2"/>
        <v>500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1">
        <v>266891.5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1">
        <v>13879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389970.5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72</v>
      </c>
      <c r="D50" s="12">
        <f>C50*1.5</f>
        <v>108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-479.25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349</v>
      </c>
      <c r="D6" s="13">
        <f t="shared" ref="D6:D28" si="1">C6*L6</f>
        <v>265589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110</v>
      </c>
      <c r="D9" s="13">
        <f t="shared" si="1"/>
        <v>80630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356198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52395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303803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75" t="s">
        <v>55</v>
      </c>
      <c r="G29" s="176"/>
      <c r="H29" s="179">
        <f>H15-H16-H17-H18-H19-H20-H22-H23-H24+H26+H27</f>
        <v>301205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7">
        <f>F34*G34</f>
        <v>210000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7">
        <f t="shared" si="2"/>
        <v>20100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7">
        <f t="shared" si="2"/>
        <v>9850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301450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245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451</v>
      </c>
      <c r="D6" s="13">
        <f t="shared" ref="D6:D28" si="1">C6*L6</f>
        <v>343211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28</v>
      </c>
      <c r="D9" s="13">
        <f t="shared" si="1"/>
        <v>20524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376448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62977.5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313470.5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75" t="s">
        <v>55</v>
      </c>
      <c r="G29" s="176"/>
      <c r="H29" s="179">
        <f>H15-H16-H17-H18-H19-H20-H22-H23-H24+H26+H27</f>
        <v>311166.5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7">
        <f>F34*G34</f>
        <v>137000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7">
        <f>F35*G35</f>
        <v>31500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7">
        <f t="shared" ref="H36:H39" si="2">F36*G36</f>
        <v>1400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7">
        <f t="shared" si="2"/>
        <v>9800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1">
        <v>131211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311087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-79.5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458</v>
      </c>
      <c r="D6" s="13">
        <f t="shared" ref="D6:D28" si="1">C6*L6</f>
        <v>348538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356654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51967.5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304686.5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75" t="s">
        <v>55</v>
      </c>
      <c r="G29" s="176"/>
      <c r="H29" s="179">
        <f>H15-H16-H17-H18-H19-H20-H22-H23-H24+H26+H27+H28</f>
        <v>302094.5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207">
        <f t="shared" ref="H34:H39" si="2">F34*G34</f>
        <v>254000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207">
        <f t="shared" si="2"/>
        <v>37000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59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84"/>
      <c r="H44" s="191">
        <v>10400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302259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164.5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350</v>
      </c>
      <c r="D6" s="13">
        <f t="shared" ref="D6:D28" si="1">C6*L6</f>
        <v>266350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291721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47277.75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244443.25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75" t="s">
        <v>55</v>
      </c>
      <c r="G29" s="176"/>
      <c r="H29" s="179">
        <f>H15-H16-H17-H18-H19-H20-H22-H23-H24+H26+H27</f>
        <v>242379.25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07">
        <f>F34*G34</f>
        <v>85000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07">
        <f t="shared" ref="H35:H39" si="2">F35*G35</f>
        <v>27500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110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91">
        <v>125594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242004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-375.25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441</v>
      </c>
      <c r="D6" s="13">
        <f t="shared" ref="D6:D28" si="1">C6*L6</f>
        <v>335601</v>
      </c>
      <c r="F6" s="130" t="s">
        <v>16</v>
      </c>
      <c r="G6" s="132" t="s">
        <v>226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10995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362847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52308.75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310538.25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75" t="s">
        <v>55</v>
      </c>
      <c r="G29" s="176"/>
      <c r="H29" s="179">
        <f>H15-H16-H17-H18-H19-H20-H22-H23-H24+H26+H27</f>
        <v>310538.25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207">
        <f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207">
        <f t="shared" si="2"/>
        <v>16600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58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91">
        <v>213577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25</v>
      </c>
      <c r="D49" s="12">
        <f>C49*42</f>
        <v>1050</v>
      </c>
      <c r="F49" s="232" t="s">
        <v>86</v>
      </c>
      <c r="G49" s="179">
        <f>H34+H35+H36+H37+H38+H39+H40+H41+G42+H44+H45+H46</f>
        <v>310435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-103.25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298</v>
      </c>
      <c r="D6" s="13">
        <f t="shared" ref="D6:D28" si="1">C6*L6</f>
        <v>226778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232411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27734.25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204676.75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75" t="s">
        <v>55</v>
      </c>
      <c r="G29" s="176"/>
      <c r="H29" s="179">
        <f>H15-H16-H17-H18-H19-H20-H22-H23-H24+H26+H27</f>
        <v>203380.75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07">
        <f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07">
        <f t="shared" ref="H35:H39" si="2">F35*G35</f>
        <v>56000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07">
        <f>F36*G36</f>
        <v>1000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203040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-340.75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479</v>
      </c>
      <c r="D6" s="13">
        <f t="shared" ref="D6:D28" si="1">C6*L6</f>
        <v>364519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75</v>
      </c>
      <c r="D9" s="13">
        <f t="shared" si="1"/>
        <v>54975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17</v>
      </c>
      <c r="D13" s="48">
        <f t="shared" si="1"/>
        <v>5219</v>
      </c>
      <c r="F13" s="152" t="s">
        <v>36</v>
      </c>
      <c r="G13" s="153"/>
      <c r="H13" s="154">
        <f>D29</f>
        <v>429981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58497.75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371483.25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75" t="s">
        <v>55</v>
      </c>
      <c r="G29" s="176"/>
      <c r="H29" s="179">
        <f>H15-H16-H17-H18-H19-H20-H22-H23-H24+H26+H27</f>
        <v>369753.25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207">
        <f>F34*G34</f>
        <v>28000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>F35*G35</f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207">
        <f t="shared" si="2"/>
        <v>400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91">
        <v>175030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91">
        <v>147971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369850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508</v>
      </c>
      <c r="D6" s="13">
        <f t="shared" ref="D6:D28" si="1">C6*L6</f>
        <v>386588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40</v>
      </c>
      <c r="D7" s="13">
        <f t="shared" si="1"/>
        <v>31240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</v>
      </c>
      <c r="D9" s="13">
        <f t="shared" si="1"/>
        <v>4398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11</v>
      </c>
      <c r="D10" s="13">
        <f t="shared" si="1"/>
        <v>11352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441829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69174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372655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75" t="s">
        <v>55</v>
      </c>
      <c r="G29" s="176"/>
      <c r="H29" s="179">
        <f>H15-H16-H17-H18-H19-H20-H22-H23-H24+H26+H27+H28</f>
        <v>369769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207">
        <f t="shared" ref="H34:H39" si="2"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207">
        <f t="shared" si="2"/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207">
        <f t="shared" si="2"/>
        <v>1400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91">
        <v>317894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369822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53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307</v>
      </c>
      <c r="D6" s="13">
        <f t="shared" ref="D6:D28" si="1">C6*L6</f>
        <v>233627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255036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34270.5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220765.5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230</v>
      </c>
      <c r="C24" s="10">
        <v>12</v>
      </c>
      <c r="D24" s="48">
        <f t="shared" si="1"/>
        <v>543</v>
      </c>
      <c r="F24" s="38"/>
      <c r="G24" s="37"/>
      <c r="H24" s="190"/>
      <c r="I24" s="191"/>
      <c r="J24" s="191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454</v>
      </c>
      <c r="F26" s="64"/>
      <c r="G26" s="10"/>
      <c r="H26" s="195"/>
      <c r="I26" s="196"/>
      <c r="J26" s="197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75" t="s">
        <v>55</v>
      </c>
      <c r="G29" s="176"/>
      <c r="H29" s="179">
        <f>H15-H16-H17-H18-H19-H20-H22-H23-H24+H26+H27</f>
        <v>219469.5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207">
        <f>F34*G34</f>
        <v>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07">
        <f t="shared" ref="H35:H39" si="2">F35*G35</f>
        <v>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91">
        <v>142516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218787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-682.5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tabSelected="1" topLeftCell="A17" zoomScaleNormal="100" zoomScaleSheetLayoutView="85" workbookViewId="0">
      <selection activeCell="C49" sqref="C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437</v>
      </c>
      <c r="D6" s="13">
        <f t="shared" ref="D6:D28" si="1">C6*L6</f>
        <v>332557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45</v>
      </c>
      <c r="D9" s="13">
        <f t="shared" si="1"/>
        <v>32985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377835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50940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326895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377835</v>
      </c>
      <c r="F29" s="175" t="s">
        <v>55</v>
      </c>
      <c r="G29" s="176"/>
      <c r="H29" s="179">
        <f>H15-H16-H17-H18-H19-H20-H22-H23-H24+H26+H27</f>
        <v>326895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-326895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50940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2026-03-27T00:01:51Z</cp:lastPrinted>
  <dcterms:created xsi:type="dcterms:W3CDTF">2024-09-01T23:36:50Z</dcterms:created>
  <dcterms:modified xsi:type="dcterms:W3CDTF">2026-03-27T08:21:54Z</dcterms:modified>
</cp:coreProperties>
</file>