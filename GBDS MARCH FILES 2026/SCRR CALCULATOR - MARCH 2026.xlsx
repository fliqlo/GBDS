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1D1F633F-F17D-4E5B-AE4F-9D2F635E72BA}" xr6:coauthVersionLast="45" xr6:coauthVersionMax="47" xr10:uidLastSave="{00000000-0000-0000-0000-000000000000}"/>
  <bookViews>
    <workbookView xWindow="-120" yWindow="-120" windowWidth="29040" windowHeight="15840" firstSheet="17" activeTab="22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21" i="1859" l="1"/>
  <c r="H16" i="1851" l="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D44" i="1865"/>
  <c r="R42" i="1865"/>
  <c r="L6" i="1865" s="1"/>
  <c r="D6" i="1865" s="1"/>
  <c r="D29" i="1865" s="1"/>
  <c r="H13" i="1865" s="1"/>
  <c r="H15" i="1865" s="1"/>
  <c r="H29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H38" i="1865"/>
  <c r="D38" i="1865"/>
  <c r="R37" i="1865"/>
  <c r="H37" i="1865"/>
  <c r="D37" i="1865"/>
  <c r="R36" i="1865"/>
  <c r="H36" i="1865"/>
  <c r="G49" i="1865" s="1"/>
  <c r="D36" i="1865"/>
  <c r="D54" i="1865" s="1"/>
  <c r="H14" i="1865" s="1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R32" i="1865"/>
  <c r="R31" i="1865"/>
  <c r="R30" i="1865"/>
  <c r="R29" i="1865"/>
  <c r="R28" i="1865"/>
  <c r="L28" i="1865"/>
  <c r="D28" i="1865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L23" i="1865"/>
  <c r="D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L16" i="1865"/>
  <c r="D16" i="1865"/>
  <c r="R15" i="1865"/>
  <c r="D15" i="1865"/>
  <c r="R14" i="1865"/>
  <c r="D14" i="1865"/>
  <c r="R13" i="1865"/>
  <c r="D13" i="1865"/>
  <c r="R12" i="1865"/>
  <c r="R11" i="1865"/>
  <c r="L11" i="1865"/>
  <c r="D11" i="1865"/>
  <c r="L10" i="1865"/>
  <c r="D10" i="1865"/>
  <c r="L9" i="1865"/>
  <c r="D9" i="1865" s="1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D41" i="1864"/>
  <c r="R40" i="1864"/>
  <c r="D40" i="1864"/>
  <c r="R39" i="1864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H34" i="1864"/>
  <c r="G49" i="1864" s="1"/>
  <c r="D34" i="1864"/>
  <c r="D54" i="1864" s="1"/>
  <c r="H14" i="1864" s="1"/>
  <c r="R33" i="1864"/>
  <c r="R32" i="1864"/>
  <c r="R31" i="1864"/>
  <c r="R30" i="1864"/>
  <c r="R29" i="1864"/>
  <c r="R28" i="1864"/>
  <c r="L28" i="1864"/>
  <c r="D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/>
  <c r="R23" i="1864"/>
  <c r="L23" i="1864"/>
  <c r="D23" i="1864" s="1"/>
  <c r="R22" i="1864"/>
  <c r="L22" i="1864"/>
  <c r="D22" i="1864" s="1"/>
  <c r="R21" i="1864"/>
  <c r="D21" i="1864"/>
  <c r="R20" i="1864"/>
  <c r="L20" i="1864"/>
  <c r="D20" i="1864" s="1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L12" i="1864"/>
  <c r="D12" i="1864" s="1"/>
  <c r="R11" i="1864"/>
  <c r="L11" i="1864"/>
  <c r="D11" i="1864"/>
  <c r="L8" i="1864"/>
  <c r="D8" i="1864" s="1"/>
  <c r="L7" i="1864"/>
  <c r="D7" i="1864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D41" i="1863"/>
  <c r="R40" i="1863"/>
  <c r="L8" i="1863" s="1"/>
  <c r="D8" i="1863" s="1"/>
  <c r="D40" i="1863"/>
  <c r="R39" i="1863"/>
  <c r="H39" i="1863"/>
  <c r="D39" i="1863"/>
  <c r="R38" i="1863"/>
  <c r="H38" i="1863"/>
  <c r="D38" i="1863"/>
  <c r="R37" i="1863"/>
  <c r="H37" i="1863"/>
  <c r="D37" i="1863"/>
  <c r="R36" i="1863"/>
  <c r="L10" i="1863" s="1"/>
  <c r="D10" i="1863" s="1"/>
  <c r="H36" i="1863"/>
  <c r="G49" i="1863" s="1"/>
  <c r="D36" i="1863"/>
  <c r="R35" i="1863"/>
  <c r="H35" i="1863"/>
  <c r="D35" i="1863"/>
  <c r="R34" i="1863"/>
  <c r="H34" i="1863"/>
  <c r="D34" i="1863"/>
  <c r="D54" i="1863" s="1"/>
  <c r="H14" i="1863" s="1"/>
  <c r="R33" i="1863"/>
  <c r="R32" i="1863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/>
  <c r="R16" i="1863"/>
  <c r="R15" i="1863"/>
  <c r="D15" i="1863"/>
  <c r="R14" i="1863"/>
  <c r="D14" i="1863"/>
  <c r="R13" i="1863"/>
  <c r="D13" i="1863"/>
  <c r="R12" i="1863"/>
  <c r="L12" i="1863"/>
  <c r="D12" i="1863"/>
  <c r="R11" i="1863"/>
  <c r="L11" i="1863"/>
  <c r="D11" i="1863"/>
  <c r="L9" i="1863"/>
  <c r="D9" i="1863" s="1"/>
  <c r="L7" i="1863"/>
  <c r="D7" i="1863" s="1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D42" i="1862"/>
  <c r="R41" i="1862"/>
  <c r="L7" i="1862" s="1"/>
  <c r="D7" i="1862" s="1"/>
  <c r="D41" i="1862"/>
  <c r="R40" i="1862"/>
  <c r="D40" i="1862"/>
  <c r="R39" i="1862"/>
  <c r="D39" i="1862"/>
  <c r="R38" i="1862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D54" i="1862" s="1"/>
  <c r="H14" i="1862" s="1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/>
  <c r="R19" i="1862"/>
  <c r="L19" i="1862"/>
  <c r="D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9" i="1862"/>
  <c r="D9" i="1862" s="1"/>
  <c r="L8" i="1862"/>
  <c r="D8" i="1862" s="1"/>
  <c r="R6" i="1862"/>
  <c r="L6" i="1862"/>
  <c r="D6" i="1862" s="1"/>
  <c r="D29" i="1862" s="1"/>
  <c r="H13" i="1862" s="1"/>
  <c r="H15" i="1862" s="1"/>
  <c r="H29" i="1862" s="1"/>
  <c r="R5" i="1862"/>
  <c r="R4" i="1862"/>
  <c r="R52" i="186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29" i="1861" s="1"/>
  <c r="H13" i="1861" s="1"/>
  <c r="H15" i="1861" s="1"/>
  <c r="H29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D54" i="1861" s="1"/>
  <c r="H14" i="1861" s="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G49" i="1861" s="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/>
  <c r="R24" i="1861"/>
  <c r="D24" i="1861"/>
  <c r="R23" i="1861"/>
  <c r="L23" i="1861"/>
  <c r="D23" i="1861"/>
  <c r="R22" i="1861"/>
  <c r="L22" i="1861"/>
  <c r="D22" i="1861" s="1"/>
  <c r="R21" i="1861"/>
  <c r="D21" i="1861"/>
  <c r="R20" i="1861"/>
  <c r="L20" i="1861"/>
  <c r="D20" i="186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/>
  <c r="L9" i="1861"/>
  <c r="D9" i="1861" s="1"/>
  <c r="L8" i="1861"/>
  <c r="D8" i="186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D42" i="1860"/>
  <c r="R41" i="1860"/>
  <c r="L7" i="1860" s="1"/>
  <c r="D7" i="1860" s="1"/>
  <c r="D41" i="1860"/>
  <c r="R40" i="1860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G49" i="1860" s="1"/>
  <c r="D34" i="1860"/>
  <c r="R33" i="1860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/>
  <c r="R25" i="1860"/>
  <c r="L25" i="1860"/>
  <c r="D25" i="1860"/>
  <c r="R24" i="1860"/>
  <c r="L24" i="1860"/>
  <c r="D24" i="1860" s="1"/>
  <c r="R23" i="1860"/>
  <c r="L23" i="1860"/>
  <c r="D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/>
  <c r="R16" i="1860"/>
  <c r="R15" i="1860"/>
  <c r="D15" i="1860"/>
  <c r="R14" i="1860"/>
  <c r="D14" i="1860"/>
  <c r="R13" i="1860"/>
  <c r="D13" i="1860"/>
  <c r="R12" i="1860"/>
  <c r="L12" i="1860"/>
  <c r="D12" i="1860"/>
  <c r="R11" i="1860"/>
  <c r="L8" i="1860"/>
  <c r="D8" i="1860"/>
  <c r="R6" i="1860"/>
  <c r="L6" i="1860"/>
  <c r="D6" i="1860" s="1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H34" i="1859"/>
  <c r="D34" i="1859"/>
  <c r="R33" i="1859"/>
  <c r="R32" i="1859"/>
  <c r="R31" i="1859"/>
  <c r="R30" i="1859"/>
  <c r="R29" i="1859"/>
  <c r="R28" i="1859"/>
  <c r="L28" i="1859"/>
  <c r="D28" i="1859"/>
  <c r="R27" i="1859"/>
  <c r="D27" i="1859"/>
  <c r="R26" i="1859"/>
  <c r="L26" i="1859"/>
  <c r="D26" i="1859"/>
  <c r="R25" i="1859"/>
  <c r="L25" i="1859"/>
  <c r="D25" i="1859" s="1"/>
  <c r="R24" i="1859"/>
  <c r="L24" i="1859"/>
  <c r="D24" i="1859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/>
  <c r="R16" i="1859"/>
  <c r="L16" i="1859"/>
  <c r="D16" i="1859" s="1"/>
  <c r="R15" i="1859"/>
  <c r="D15" i="1859"/>
  <c r="R14" i="1859"/>
  <c r="D14" i="1859"/>
  <c r="R13" i="1859"/>
  <c r="D13" i="1859"/>
  <c r="R12" i="1859"/>
  <c r="L12" i="1859"/>
  <c r="D12" i="1859" s="1"/>
  <c r="R11" i="1859"/>
  <c r="L11" i="1859"/>
  <c r="D11" i="1859" s="1"/>
  <c r="L10" i="1859"/>
  <c r="D10" i="1859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D54" i="1858" s="1"/>
  <c r="H14" i="1858" s="1"/>
  <c r="R33" i="1858"/>
  <c r="L23" i="1858" s="1"/>
  <c r="D23" i="1858" s="1"/>
  <c r="R32" i="1858"/>
  <c r="R31" i="1858"/>
  <c r="R30" i="1858"/>
  <c r="R29" i="1858"/>
  <c r="R28" i="1858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/>
  <c r="R21" i="1858"/>
  <c r="D21" i="1858"/>
  <c r="R20" i="1858"/>
  <c r="L20" i="1858"/>
  <c r="D20" i="1858"/>
  <c r="R19" i="1858"/>
  <c r="L19" i="1858"/>
  <c r="D19" i="1858"/>
  <c r="R18" i="1858"/>
  <c r="D18" i="1858"/>
  <c r="R17" i="1858"/>
  <c r="D17" i="1858"/>
  <c r="R16" i="1858"/>
  <c r="L16" i="1858"/>
  <c r="D16" i="1858" s="1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/>
  <c r="L9" i="1858"/>
  <c r="D9" i="1858" s="1"/>
  <c r="R6" i="1858"/>
  <c r="R5" i="1858"/>
  <c r="R4" i="1858"/>
  <c r="R52" i="1857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R32" i="1857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L23" i="1857"/>
  <c r="D23" i="1857" s="1"/>
  <c r="R22" i="1857"/>
  <c r="L22" i="1857"/>
  <c r="D22" i="1857"/>
  <c r="R21" i="1857"/>
  <c r="D21" i="1857"/>
  <c r="R20" i="1857"/>
  <c r="L20" i="1857"/>
  <c r="D20" i="1857" s="1"/>
  <c r="R19" i="1857"/>
  <c r="L19" i="1857"/>
  <c r="D19" i="1857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11" i="1857"/>
  <c r="D11" i="1857"/>
  <c r="L10" i="1857"/>
  <c r="D10" i="1857"/>
  <c r="L8" i="1857"/>
  <c r="D8" i="1857"/>
  <c r="L7" i="1857"/>
  <c r="D7" i="1857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D41" i="1856"/>
  <c r="R40" i="1856"/>
  <c r="D40" i="1856"/>
  <c r="R39" i="1856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H34" i="1856"/>
  <c r="G49" i="1856" s="1"/>
  <c r="D34" i="1856"/>
  <c r="D54" i="1856" s="1"/>
  <c r="H14" i="1856" s="1"/>
  <c r="R33" i="1856"/>
  <c r="R32" i="1856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/>
  <c r="R22" i="1856"/>
  <c r="L22" i="1856"/>
  <c r="D22" i="1856" s="1"/>
  <c r="R21" i="1856"/>
  <c r="D21" i="1856"/>
  <c r="R20" i="1856"/>
  <c r="L20" i="1856"/>
  <c r="D20" i="1856" s="1"/>
  <c r="R19" i="1856"/>
  <c r="L19" i="1856"/>
  <c r="D19" i="1856" s="1"/>
  <c r="R18" i="1856"/>
  <c r="D18" i="1856"/>
  <c r="R17" i="1856"/>
  <c r="L17" i="1856"/>
  <c r="D17" i="1856"/>
  <c r="R16" i="1856"/>
  <c r="R15" i="1856"/>
  <c r="D15" i="1856"/>
  <c r="R14" i="1856"/>
  <c r="D14" i="1856"/>
  <c r="R13" i="1856"/>
  <c r="D13" i="1856"/>
  <c r="R12" i="1856"/>
  <c r="L12" i="1856"/>
  <c r="D12" i="1856"/>
  <c r="R11" i="1856"/>
  <c r="L11" i="1856"/>
  <c r="D11" i="1856"/>
  <c r="L9" i="1856"/>
  <c r="D9" i="1856"/>
  <c r="L8" i="1856"/>
  <c r="D8" i="1856" s="1"/>
  <c r="L7" i="1856"/>
  <c r="D7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D42" i="1855"/>
  <c r="R41" i="1855"/>
  <c r="D41" i="1855"/>
  <c r="R40" i="1855"/>
  <c r="L8" i="1855" s="1"/>
  <c r="D8" i="1855" s="1"/>
  <c r="D40" i="1855"/>
  <c r="R39" i="1855"/>
  <c r="H39" i="1855"/>
  <c r="D39" i="1855"/>
  <c r="R38" i="1855"/>
  <c r="H38" i="1855"/>
  <c r="D38" i="1855"/>
  <c r="R37" i="1855"/>
  <c r="H37" i="1855"/>
  <c r="D37" i="1855"/>
  <c r="R36" i="1855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/>
  <c r="R23" i="1855"/>
  <c r="D23" i="1855"/>
  <c r="R22" i="1855"/>
  <c r="D22" i="1855"/>
  <c r="R21" i="1855"/>
  <c r="D21" i="1855"/>
  <c r="R20" i="1855"/>
  <c r="L20" i="1855"/>
  <c r="D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10" i="1855"/>
  <c r="D10" i="1855" s="1"/>
  <c r="L9" i="1855"/>
  <c r="D9" i="1855" s="1"/>
  <c r="L7" i="1855"/>
  <c r="D7" i="1855" s="1"/>
  <c r="R6" i="1855"/>
  <c r="L6" i="1855"/>
  <c r="D6" i="1855" s="1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D40" i="1854"/>
  <c r="R39" i="1854"/>
  <c r="D39" i="1854"/>
  <c r="R38" i="1854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1" i="1854"/>
  <c r="D11" i="1854"/>
  <c r="L10" i="1854"/>
  <c r="D10" i="1854" s="1"/>
  <c r="L9" i="1854"/>
  <c r="D9" i="1854"/>
  <c r="L8" i="1854"/>
  <c r="D8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29" i="1853" s="1"/>
  <c r="H13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H34" i="1853"/>
  <c r="G49" i="1853" s="1"/>
  <c r="D34" i="1853"/>
  <c r="D54" i="1853" s="1"/>
  <c r="H14" i="1853" s="1"/>
  <c r="R33" i="1853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/>
  <c r="R24" i="1853"/>
  <c r="D24" i="1853"/>
  <c r="R23" i="1853"/>
  <c r="L23" i="1853"/>
  <c r="D23" i="1853"/>
  <c r="R22" i="1853"/>
  <c r="L22" i="1853"/>
  <c r="D22" i="1853"/>
  <c r="R21" i="1853"/>
  <c r="D21" i="1853"/>
  <c r="R20" i="1853"/>
  <c r="L20" i="1853"/>
  <c r="D20" i="1853"/>
  <c r="R19" i="1853"/>
  <c r="L19" i="1853"/>
  <c r="D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L12" i="1853"/>
  <c r="D12" i="1853" s="1"/>
  <c r="R11" i="1853"/>
  <c r="L11" i="1853"/>
  <c r="D11" i="1853"/>
  <c r="L8" i="1853"/>
  <c r="D8" i="1853"/>
  <c r="L7" i="1853"/>
  <c r="D7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D42" i="1852"/>
  <c r="R41" i="1852"/>
  <c r="D41" i="1852"/>
  <c r="R40" i="1852"/>
  <c r="D40" i="1852"/>
  <c r="R39" i="1852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H35" i="1852"/>
  <c r="D35" i="1852"/>
  <c r="R34" i="1852"/>
  <c r="H34" i="1852"/>
  <c r="D34" i="1852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/>
  <c r="R24" i="1852"/>
  <c r="L24" i="1852"/>
  <c r="D24" i="1852" s="1"/>
  <c r="R23" i="1852"/>
  <c r="D23" i="1852"/>
  <c r="R22" i="1852"/>
  <c r="L22" i="1852"/>
  <c r="D22" i="1852" s="1"/>
  <c r="R21" i="1852"/>
  <c r="D21" i="1852"/>
  <c r="R20" i="1852"/>
  <c r="L20" i="1852"/>
  <c r="D20" i="1852" s="1"/>
  <c r="R19" i="1852"/>
  <c r="L19" i="1852"/>
  <c r="D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/>
  <c r="L8" i="1852"/>
  <c r="D8" i="1852" s="1"/>
  <c r="L7" i="1852"/>
  <c r="D7" i="1852"/>
  <c r="R6" i="1852"/>
  <c r="L6" i="1852"/>
  <c r="D6" i="1852" s="1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D41" i="1851"/>
  <c r="R40" i="1851"/>
  <c r="D40" i="1851"/>
  <c r="R39" i="1851"/>
  <c r="L20" i="1851" s="1"/>
  <c r="D20" i="1851" s="1"/>
  <c r="H39" i="1851"/>
  <c r="D39" i="1851"/>
  <c r="R38" i="185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/>
  <c r="R25" i="1851"/>
  <c r="L25" i="1851"/>
  <c r="D25" i="185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/>
  <c r="R16" i="1851"/>
  <c r="R15" i="1851"/>
  <c r="D15" i="1851"/>
  <c r="R14" i="1851"/>
  <c r="D14" i="1851"/>
  <c r="R13" i="1851"/>
  <c r="D13" i="1851"/>
  <c r="R12" i="1851"/>
  <c r="L12" i="1851"/>
  <c r="D12" i="1851"/>
  <c r="R11" i="1851"/>
  <c r="L9" i="1851"/>
  <c r="D9" i="1851" s="1"/>
  <c r="L8" i="1851"/>
  <c r="D8" i="1851" s="1"/>
  <c r="L7" i="1851"/>
  <c r="D7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D35" i="1850"/>
  <c r="R34" i="1850"/>
  <c r="L12" i="1850" s="1"/>
  <c r="D12" i="1850" s="1"/>
  <c r="D34" i="1850"/>
  <c r="D54" i="1850" s="1"/>
  <c r="H14" i="1850" s="1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/>
  <c r="R25" i="1850"/>
  <c r="L25" i="1850"/>
  <c r="D25" i="1850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L19" i="1850"/>
  <c r="D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L12" i="1849"/>
  <c r="D12" i="1849"/>
  <c r="R11" i="1849"/>
  <c r="L11" i="1849"/>
  <c r="D11" i="1849"/>
  <c r="L9" i="1849"/>
  <c r="D9" i="1849"/>
  <c r="L8" i="1849"/>
  <c r="D8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42" i="1848"/>
  <c r="R41" i="1848"/>
  <c r="L7" i="1848" s="1"/>
  <c r="D7" i="1848" s="1"/>
  <c r="D41" i="1848"/>
  <c r="R40" i="1848"/>
  <c r="D40" i="1848"/>
  <c r="R39" i="1848"/>
  <c r="H39" i="1848"/>
  <c r="D39" i="1848"/>
  <c r="R38" i="1848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28" i="1848"/>
  <c r="D28" i="1848"/>
  <c r="R27" i="1848"/>
  <c r="D27" i="1848"/>
  <c r="R26" i="1848"/>
  <c r="L26" i="1848"/>
  <c r="D26" i="1848"/>
  <c r="R25" i="1848"/>
  <c r="L25" i="1848"/>
  <c r="D25" i="1848"/>
  <c r="R24" i="1848"/>
  <c r="L24" i="1848"/>
  <c r="D24" i="1848" s="1"/>
  <c r="R23" i="1848"/>
  <c r="L23" i="1848"/>
  <c r="D23" i="1848"/>
  <c r="R22" i="1848"/>
  <c r="L22" i="1848"/>
  <c r="D22" i="1848" s="1"/>
  <c r="R21" i="1848"/>
  <c r="L17" i="1848" s="1"/>
  <c r="D17" i="1848" s="1"/>
  <c r="D21" i="1848"/>
  <c r="R20" i="1848"/>
  <c r="L20" i="1848"/>
  <c r="D20" i="1848"/>
  <c r="R19" i="1848"/>
  <c r="R18" i="1848"/>
  <c r="D18" i="1848"/>
  <c r="R17" i="1848"/>
  <c r="R16" i="1848"/>
  <c r="L16" i="1848"/>
  <c r="D16" i="1848" s="1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L9" i="1848"/>
  <c r="D9" i="1848"/>
  <c r="L8" i="1848"/>
  <c r="D8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H36" i="1847"/>
  <c r="D36" i="1847"/>
  <c r="R35" i="1847"/>
  <c r="H35" i="1847"/>
  <c r="D35" i="1847"/>
  <c r="R34" i="1847"/>
  <c r="H34" i="1847"/>
  <c r="D34" i="1847"/>
  <c r="R33" i="1847"/>
  <c r="R32" i="1847"/>
  <c r="R31" i="1847"/>
  <c r="R30" i="1847"/>
  <c r="R29" i="1847"/>
  <c r="R28" i="1847"/>
  <c r="L16" i="1847" s="1"/>
  <c r="D16" i="1847" s="1"/>
  <c r="L28" i="1847"/>
  <c r="D28" i="1847"/>
  <c r="R27" i="1847"/>
  <c r="D27" i="1847"/>
  <c r="R26" i="1847"/>
  <c r="L26" i="1847"/>
  <c r="D26" i="1847" s="1"/>
  <c r="R25" i="1847"/>
  <c r="L25" i="1847"/>
  <c r="D25" i="1847" s="1"/>
  <c r="R24" i="1847"/>
  <c r="L24" i="1847"/>
  <c r="D24" i="1847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11" i="1847"/>
  <c r="D11" i="1847"/>
  <c r="L10" i="1847"/>
  <c r="D10" i="1847" s="1"/>
  <c r="L9" i="1847"/>
  <c r="D9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D40" i="1846"/>
  <c r="R39" i="1846"/>
  <c r="D39" i="1846"/>
  <c r="R38" i="1846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D54" i="1846" s="1"/>
  <c r="H14" i="1846" s="1"/>
  <c r="R33" i="1846"/>
  <c r="L23" i="1846" s="1"/>
  <c r="D23" i="1846" s="1"/>
  <c r="R32" i="1846"/>
  <c r="R31" i="1846"/>
  <c r="R30" i="1846"/>
  <c r="R29" i="1846"/>
  <c r="R28" i="1846"/>
  <c r="D28" i="1846"/>
  <c r="R27" i="1846"/>
  <c r="D27" i="1846"/>
  <c r="R26" i="1846"/>
  <c r="L26" i="1846"/>
  <c r="D26" i="1846"/>
  <c r="R25" i="1846"/>
  <c r="L25" i="1846"/>
  <c r="D25" i="1846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L16" i="1846"/>
  <c r="D16" i="1846" s="1"/>
  <c r="S15" i="1846"/>
  <c r="R15" i="1846"/>
  <c r="D15" i="1846"/>
  <c r="S14" i="1846"/>
  <c r="R14" i="1846"/>
  <c r="D14" i="1846"/>
  <c r="R13" i="1846"/>
  <c r="D13" i="1846"/>
  <c r="R12" i="1846"/>
  <c r="R11" i="1846"/>
  <c r="L11" i="1846"/>
  <c r="D11" i="1846"/>
  <c r="L9" i="1846"/>
  <c r="D9" i="1846" s="1"/>
  <c r="L8" i="1846"/>
  <c r="D8" i="1846"/>
  <c r="R6" i="1846"/>
  <c r="R5" i="1846"/>
  <c r="R4" i="1846"/>
  <c r="R52" i="1845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H34" i="1845"/>
  <c r="D34" i="1845"/>
  <c r="R33" i="1845"/>
  <c r="R32" i="1845"/>
  <c r="R31" i="1845"/>
  <c r="R30" i="1845"/>
  <c r="R29" i="1845"/>
  <c r="R28" i="1845"/>
  <c r="L16" i="1845" s="1"/>
  <c r="D16" i="1845" s="1"/>
  <c r="R27" i="1845"/>
  <c r="D27" i="1845"/>
  <c r="R26" i="1845"/>
  <c r="L26" i="1845"/>
  <c r="D26" i="1845"/>
  <c r="R25" i="1845"/>
  <c r="L25" i="1845"/>
  <c r="D25" i="1845"/>
  <c r="R24" i="1845"/>
  <c r="D24" i="1845"/>
  <c r="R23" i="1845"/>
  <c r="L23" i="1845"/>
  <c r="D23" i="1845"/>
  <c r="R22" i="1845"/>
  <c r="L22" i="1845"/>
  <c r="D22" i="1845"/>
  <c r="R21" i="1845"/>
  <c r="D21" i="1845"/>
  <c r="R20" i="1845"/>
  <c r="L20" i="1845"/>
  <c r="D20" i="1845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L12" i="1845"/>
  <c r="D12" i="1845"/>
  <c r="R11" i="1845"/>
  <c r="L11" i="1845"/>
  <c r="D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H34" i="1844"/>
  <c r="D34" i="1844"/>
  <c r="R33" i="1844"/>
  <c r="R32" i="1844"/>
  <c r="R31" i="1844"/>
  <c r="R30" i="1844"/>
  <c r="R29" i="1844"/>
  <c r="R28" i="1844"/>
  <c r="L28" i="1844"/>
  <c r="D28" i="1844"/>
  <c r="R27" i="1844"/>
  <c r="D27" i="1844"/>
  <c r="R26" i="1844"/>
  <c r="L26" i="1844"/>
  <c r="D26" i="1844"/>
  <c r="R25" i="1844"/>
  <c r="L25" i="1844"/>
  <c r="D25" i="1844" s="1"/>
  <c r="R24" i="1844"/>
  <c r="L24" i="1844"/>
  <c r="D24" i="1844" s="1"/>
  <c r="R23" i="1844"/>
  <c r="L23" i="1844"/>
  <c r="D23" i="1844" s="1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L16" i="1844"/>
  <c r="D16" i="1844" s="1"/>
  <c r="R15" i="1844"/>
  <c r="D15" i="1844"/>
  <c r="R14" i="1844"/>
  <c r="D14" i="1844"/>
  <c r="R13" i="1844"/>
  <c r="D13" i="1844"/>
  <c r="R12" i="1844"/>
  <c r="L12" i="1844"/>
  <c r="D12" i="1844"/>
  <c r="R11" i="1844"/>
  <c r="L11" i="1844"/>
  <c r="D11" i="1844"/>
  <c r="L10" i="1844"/>
  <c r="D10" i="1844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R31" i="1843"/>
  <c r="R30" i="1843"/>
  <c r="R29" i="1843"/>
  <c r="R28" i="1843"/>
  <c r="L16" i="1843" s="1"/>
  <c r="D16" i="1843" s="1"/>
  <c r="L28" i="1843"/>
  <c r="D28" i="1843"/>
  <c r="R27" i="1843"/>
  <c r="D27" i="1843"/>
  <c r="R26" i="1843"/>
  <c r="L26" i="1843"/>
  <c r="D26" i="1843"/>
  <c r="R25" i="1843"/>
  <c r="L25" i="1843"/>
  <c r="D25" i="1843"/>
  <c r="R24" i="1843"/>
  <c r="L24" i="1843"/>
  <c r="D24" i="1843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/>
  <c r="R16" i="1843"/>
  <c r="R15" i="1843"/>
  <c r="D15" i="1843"/>
  <c r="R14" i="1843"/>
  <c r="D14" i="1843"/>
  <c r="R13" i="1843"/>
  <c r="D13" i="1843"/>
  <c r="R12" i="1843"/>
  <c r="R11" i="1843"/>
  <c r="L11" i="1843"/>
  <c r="D11" i="1843"/>
  <c r="L9" i="1843"/>
  <c r="D9" i="1843" s="1"/>
  <c r="L7" i="1843"/>
  <c r="D7" i="1843"/>
  <c r="R6" i="1843"/>
  <c r="R5" i="1843"/>
  <c r="R4" i="1843"/>
  <c r="D54" i="1842"/>
  <c r="H14" i="1842" s="1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L9" i="1842"/>
  <c r="D9" i="1842"/>
  <c r="R6" i="1842"/>
  <c r="L6" i="1842"/>
  <c r="D6" i="1842" s="1"/>
  <c r="R5" i="1842"/>
  <c r="R4" i="1842"/>
  <c r="G49" i="1859" l="1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G51" i="1865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G51" i="1862"/>
  <c r="G51" i="186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H15" i="1856" s="1"/>
  <c r="H29" i="1856" s="1"/>
  <c r="G51" i="1856"/>
  <c r="D29" i="1854"/>
  <c r="H13" i="1854" s="1"/>
  <c r="H15" i="1854" s="1"/>
  <c r="H29" i="1854" s="1"/>
  <c r="G51" i="1854" s="1"/>
  <c r="H15" i="1853"/>
  <c r="H29" i="1853" s="1"/>
  <c r="G51" i="1853"/>
  <c r="D29" i="1852"/>
  <c r="H13" i="1852" s="1"/>
  <c r="D29" i="1851"/>
  <c r="H13" i="1851" s="1"/>
  <c r="D29" i="1850"/>
  <c r="H13" i="1850" s="1"/>
  <c r="H15" i="1850" s="1"/>
  <c r="H29" i="1850" s="1"/>
  <c r="G51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H15" i="1860" l="1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<sst xmlns="http://schemas.openxmlformats.org/spreadsheetml/2006/main" count="3785" uniqueCount="175">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</sst>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9" fontId="0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7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308</v>
      </c>
      <c r="D6" s="13">
        <f t="shared" ref="D6:D28" si="1">C6*L6</f>
        <v>234388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12</v>
      </c>
      <c r="D7" s="13">
        <f t="shared" si="1"/>
        <v>9372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18</v>
      </c>
      <c r="D9" s="13">
        <f t="shared" si="1"/>
        <v>13194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6</v>
      </c>
      <c r="D13" s="48">
        <f t="shared" si="1"/>
        <v>1842</v>
      </c>
      <c r="F13" s="225" t="s">
        <v>36</v>
      </c>
      <c r="G13" s="189"/>
      <c r="H13" s="180">
        <f>D29</f>
        <v>265882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5</v>
      </c>
      <c r="D14" s="31">
        <f t="shared" si="1"/>
        <v>55</v>
      </c>
      <c r="F14" s="183" t="s">
        <v>39</v>
      </c>
      <c r="G14" s="184"/>
      <c r="H14" s="185">
        <f>D54</f>
        <v>30599.25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88" t="s">
        <v>40</v>
      </c>
      <c r="G15" s="189"/>
      <c r="H15" s="190">
        <f>H13-H14</f>
        <v>235282.75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216*6+10*6</f>
        <v>1356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87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265882</v>
      </c>
      <c r="F29" s="97" t="s">
        <v>55</v>
      </c>
      <c r="G29" s="159"/>
      <c r="H29" s="119">
        <f>H15-H16-H17-H18-H19-H20-H22-H23-H24+H26+H27+H28</f>
        <v>233926.75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41">
        <f t="shared" ref="H34:H39" si="2">F34*G34</f>
        <v>64000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41">
        <f t="shared" si="2"/>
        <v>6500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41">
        <f t="shared" si="2"/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41">
        <f t="shared" si="2"/>
        <v>4300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41">
        <f t="shared" si="2"/>
        <v>1100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1">
        <v>30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6">
        <v>150017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2</v>
      </c>
      <c r="D45" s="12">
        <f>C45*84</f>
        <v>168</v>
      </c>
      <c r="F45" s="37" t="s">
        <v>146</v>
      </c>
      <c r="G45" s="85" t="s">
        <v>148</v>
      </c>
      <c r="H45" s="136">
        <v>7564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11</v>
      </c>
      <c r="D46" s="12">
        <f>C46*1.5</f>
        <v>16.5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233911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3</v>
      </c>
      <c r="D50" s="12">
        <f>C50*1.5</f>
        <v>4.5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-15.75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351</v>
      </c>
      <c r="D6" s="13">
        <f t="shared" ref="D6:D28" si="1">C6*L6</f>
        <v>267111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40</v>
      </c>
      <c r="D9" s="13">
        <f t="shared" si="1"/>
        <v>29320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225" t="s">
        <v>36</v>
      </c>
      <c r="G13" s="189"/>
      <c r="H13" s="180">
        <f>D29</f>
        <v>313708.5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3</v>
      </c>
      <c r="D14" s="31">
        <f t="shared" si="1"/>
        <v>33</v>
      </c>
      <c r="F14" s="183" t="s">
        <v>39</v>
      </c>
      <c r="G14" s="184"/>
      <c r="H14" s="185">
        <f>D54</f>
        <v>55225.5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258483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230*6</f>
        <v>1380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150</v>
      </c>
      <c r="C24" s="10">
        <v>12</v>
      </c>
      <c r="D24" s="48">
        <f t="shared" si="1"/>
        <v>474</v>
      </c>
      <c r="F24" s="38"/>
      <c r="G24" s="37"/>
      <c r="H24" s="167"/>
      <c r="I24" s="136"/>
      <c r="J24" s="13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7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313708.5</v>
      </c>
      <c r="F29" s="97" t="s">
        <v>55</v>
      </c>
      <c r="G29" s="159"/>
      <c r="H29" s="119">
        <f>H15-H16-H17-H18-H19-H20-H22-H23-H24+H26+H27</f>
        <v>257103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41">
        <f>F34*G34</f>
        <v>101000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1">
        <f t="shared" ref="H35:H39" si="2">F35*G35</f>
        <v>11000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136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6">
        <v>144193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1</v>
      </c>
      <c r="D45" s="12">
        <f>C45*84</f>
        <v>84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36</v>
      </c>
      <c r="D46" s="12">
        <f>C46*1.5</f>
        <v>54</v>
      </c>
      <c r="F46" s="37"/>
      <c r="G46" s="89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22</v>
      </c>
      <c r="D49" s="12">
        <f>C49*42</f>
        <v>924</v>
      </c>
      <c r="F49" s="117" t="s">
        <v>86</v>
      </c>
      <c r="G49" s="119">
        <f>H34+H35+H36+H37+H38+H39+H40+H41+G42+H44+H45+H46</f>
        <v>256479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5</v>
      </c>
      <c r="D50" s="12">
        <f>C50*1.5</f>
        <v>7.5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153</v>
      </c>
      <c r="G51" s="226">
        <f>G49-H29</f>
        <v>-624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266</v>
      </c>
      <c r="D6" s="13">
        <f t="shared" ref="D6:D28" si="1">C6*L6</f>
        <v>202426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57</v>
      </c>
      <c r="D9" s="13">
        <f t="shared" si="1"/>
        <v>41781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225" t="s">
        <v>36</v>
      </c>
      <c r="G13" s="189"/>
      <c r="H13" s="180">
        <f>D29</f>
        <v>259606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8</v>
      </c>
      <c r="D14" s="31">
        <f t="shared" si="1"/>
        <v>88</v>
      </c>
      <c r="F14" s="183" t="s">
        <v>39</v>
      </c>
      <c r="G14" s="184"/>
      <c r="H14" s="185">
        <f>D54</f>
        <v>36129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223477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115*6</f>
        <v>690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7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259606</v>
      </c>
      <c r="F29" s="97" t="s">
        <v>55</v>
      </c>
      <c r="G29" s="159"/>
      <c r="H29" s="119">
        <f>H15-H16-H17-H18-H19-H20-H22-H23-H24+H26+H27</f>
        <v>222737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1">
        <f>F34*G34</f>
        <v>41000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1">
        <f>F35*G35</f>
        <v>3500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1">
        <v>88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6">
        <v>75280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6">
        <v>101194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7">
        <v>1582</v>
      </c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222844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</v>
      </c>
      <c r="D50" s="12">
        <f>C50*1.5</f>
        <v>1.5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107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382</v>
      </c>
      <c r="D6" s="13">
        <f t="shared" ref="D6:D28" si="1">C6*L6</f>
        <v>290702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7</v>
      </c>
      <c r="D7" s="13">
        <f t="shared" si="1"/>
        <v>5467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31</v>
      </c>
      <c r="D9" s="13">
        <f t="shared" si="1"/>
        <v>22723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322724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9</v>
      </c>
      <c r="D14" s="31">
        <f t="shared" si="1"/>
        <v>99</v>
      </c>
      <c r="F14" s="183" t="s">
        <v>39</v>
      </c>
      <c r="G14" s="184"/>
      <c r="H14" s="185">
        <f>D54</f>
        <v>44362.5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278361.5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322724</v>
      </c>
      <c r="F29" s="97" t="s">
        <v>55</v>
      </c>
      <c r="G29" s="159"/>
      <c r="H29" s="119">
        <f>H15-H16-H17-H18-H19-H20-H22-H23-H24+H26+H27+H28</f>
        <v>278361.5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41">
        <f t="shared" ref="H34:H39" si="2">F34*G34</f>
        <v>212000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41">
        <f t="shared" si="2"/>
        <v>18000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1">
        <f t="shared" si="2"/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41">
        <f t="shared" si="2"/>
        <v>2700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1">
        <f t="shared" si="2"/>
        <v>1150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1">
        <f t="shared" si="2"/>
        <v>40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6">
        <v>10000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6">
        <v>35000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279290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8</v>
      </c>
      <c r="D50" s="12">
        <f>C50*1.5</f>
        <v>12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928.5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224</v>
      </c>
      <c r="D6" s="13">
        <f t="shared" ref="D6:D28" si="1">C6*L6</f>
        <v>170464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71</v>
      </c>
      <c r="D9" s="13">
        <f t="shared" si="1"/>
        <v>52043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225" t="s">
        <v>36</v>
      </c>
      <c r="G13" s="189"/>
      <c r="H13" s="180">
        <f>D29</f>
        <v>228774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83" t="s">
        <v>39</v>
      </c>
      <c r="G14" s="184"/>
      <c r="H14" s="185">
        <f>D54</f>
        <v>35040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193734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122*6</f>
        <v>732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6">
        <v>265</v>
      </c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228774</v>
      </c>
      <c r="F29" s="97" t="s">
        <v>55</v>
      </c>
      <c r="G29" s="159"/>
      <c r="H29" s="119">
        <f>H15-H16-H17-H18-H19-H20-H22-H23-H24+H26+H27</f>
        <v>192737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41">
        <f>F34*G34</f>
        <v>140000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41">
        <f t="shared" ref="H35:H39" si="2">F35*G35</f>
        <v>46500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1">
        <f>F36*G36</f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41">
        <f t="shared" si="2"/>
        <v>4300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41">
        <f t="shared" si="2"/>
        <v>1350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45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</v>
      </c>
      <c r="D46" s="12">
        <f>C46*1.5</f>
        <v>1.5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3</v>
      </c>
      <c r="D49" s="12">
        <f>C49*42</f>
        <v>126</v>
      </c>
      <c r="F49" s="117" t="s">
        <v>86</v>
      </c>
      <c r="G49" s="119">
        <f>H34+H35+H36+H37+H38+H39+H40+H41+G42+H44+H45+H46</f>
        <v>192595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19</v>
      </c>
      <c r="D50" s="12">
        <f>C50*1.5</f>
        <v>28.5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-142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291</v>
      </c>
      <c r="D6" s="13">
        <f t="shared" ref="D6:D28" si="1">C6*L6</f>
        <v>221451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36</v>
      </c>
      <c r="D9" s="13">
        <f t="shared" si="1"/>
        <v>26388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225" t="s">
        <v>36</v>
      </c>
      <c r="G13" s="189"/>
      <c r="H13" s="180">
        <f>D29</f>
        <v>273403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40279.5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88" t="s">
        <v>40</v>
      </c>
      <c r="G15" s="189"/>
      <c r="H15" s="190">
        <f>H13-H14</f>
        <v>233123.5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153*6</f>
        <v>918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273403</v>
      </c>
      <c r="F29" s="97" t="s">
        <v>55</v>
      </c>
      <c r="G29" s="159"/>
      <c r="H29" s="119">
        <f>H15-H16-H17-H18-H19-H20-H22-H23-H24+H26+H27</f>
        <v>232205.5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41">
        <f>F34*G34</f>
        <v>75000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1">
        <f>F35*G35</f>
        <v>48500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41">
        <f t="shared" si="2"/>
        <v>6000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41">
        <f t="shared" si="2"/>
        <v>2150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141">
        <v>74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6">
        <v>100483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64</v>
      </c>
      <c r="D46" s="12">
        <f>C46*1.5</f>
        <v>96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3</v>
      </c>
      <c r="D49" s="12">
        <f>C49*42</f>
        <v>126</v>
      </c>
      <c r="F49" s="117" t="s">
        <v>86</v>
      </c>
      <c r="G49" s="119">
        <f>H34+H35+H36+H37+H38+H39+H40+H41+G42+H44+H45+H46</f>
        <v>232207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22</v>
      </c>
      <c r="D50" s="12">
        <f>C50*1.5</f>
        <v>33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1.5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359</v>
      </c>
      <c r="D6" s="13">
        <f t="shared" ref="D6:D28" si="1">C6*L6</f>
        <v>273199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6</v>
      </c>
      <c r="D7" s="13">
        <f t="shared" si="1"/>
        <v>4686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117</v>
      </c>
      <c r="D9" s="13">
        <f t="shared" si="1"/>
        <v>85761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10</v>
      </c>
      <c r="D10" s="13">
        <f t="shared" si="1"/>
        <v>10320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18</v>
      </c>
      <c r="D13" s="48">
        <f t="shared" si="1"/>
        <v>5526</v>
      </c>
      <c r="F13" s="225" t="s">
        <v>36</v>
      </c>
      <c r="G13" s="189"/>
      <c r="H13" s="180">
        <f>D29</f>
        <v>387395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14</v>
      </c>
      <c r="D14" s="31">
        <f t="shared" si="1"/>
        <v>154</v>
      </c>
      <c r="F14" s="183" t="s">
        <v>39</v>
      </c>
      <c r="G14" s="184"/>
      <c r="H14" s="185">
        <f>D54</f>
        <v>43563.75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343831.25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334*6</f>
        <v>2004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 t="s">
        <v>164</v>
      </c>
      <c r="G22" s="73">
        <v>8425</v>
      </c>
      <c r="H22" s="166">
        <v>100339</v>
      </c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 t="s">
        <v>164</v>
      </c>
      <c r="G26" s="65">
        <v>9125</v>
      </c>
      <c r="H26" s="136">
        <v>98532</v>
      </c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387395</v>
      </c>
      <c r="F29" s="97" t="s">
        <v>55</v>
      </c>
      <c r="G29" s="159"/>
      <c r="H29" s="119">
        <f>H15-H16-H17-H18-H19-H20-H22-H23-H24+H26+H27+H28</f>
        <v>340020.25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41">
        <f t="shared" ref="H34:H39" si="2">F34*G34</f>
        <v>10000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1">
        <v>10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6">
        <v>230441.5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6">
        <v>98532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2</v>
      </c>
      <c r="D46" s="12">
        <f>C46*1.5</f>
        <v>3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7</v>
      </c>
      <c r="D49" s="12">
        <f>C49*42</f>
        <v>294</v>
      </c>
      <c r="F49" s="117" t="s">
        <v>86</v>
      </c>
      <c r="G49" s="119">
        <f>H34+H35+H36+H37+H38+H39+H40+H41+G42+H44+H45+H46</f>
        <v>339183.5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17</v>
      </c>
      <c r="D50" s="12">
        <f>C50*1.5</f>
        <v>25.5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-836.75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326</v>
      </c>
      <c r="D6" s="13">
        <f t="shared" ref="D6:D28" si="1">C6*L6</f>
        <v>248086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225" t="s">
        <v>36</v>
      </c>
      <c r="G13" s="189"/>
      <c r="H13" s="180">
        <f>D29</f>
        <v>253739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83" t="s">
        <v>39</v>
      </c>
      <c r="G14" s="184"/>
      <c r="H14" s="185">
        <f>D54</f>
        <v>36819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216920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324*6</f>
        <v>1944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253739</v>
      </c>
      <c r="F29" s="97" t="s">
        <v>55</v>
      </c>
      <c r="G29" s="159"/>
      <c r="H29" s="119">
        <f>H15-H16-H17-H18-H19-H20-H22-H23-H24+H26+H27</f>
        <v>214926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41">
        <f>F34*G34</f>
        <v>214000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1">
        <f t="shared" ref="H35:H39" si="2">F35*G35</f>
        <v>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41">
        <f t="shared" si="2"/>
        <v>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32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214882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</v>
      </c>
      <c r="D50" s="12">
        <f>C50*1.5</f>
        <v>1.5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-44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270</v>
      </c>
      <c r="D6" s="13">
        <f t="shared" ref="D6:D28" si="1">C6*L6</f>
        <v>205470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29</v>
      </c>
      <c r="D9" s="13">
        <f t="shared" si="1"/>
        <v>21257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225" t="s">
        <v>36</v>
      </c>
      <c r="G13" s="189"/>
      <c r="H13" s="180">
        <f>D29</f>
        <v>236285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7</v>
      </c>
      <c r="D14" s="31">
        <f t="shared" si="1"/>
        <v>77</v>
      </c>
      <c r="F14" s="183" t="s">
        <v>39</v>
      </c>
      <c r="G14" s="184"/>
      <c r="H14" s="185">
        <f>D54</f>
        <v>33749.25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202535.75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50*6+80*6+63*6</f>
        <v>1158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v>1</v>
      </c>
      <c r="D23" s="48">
        <f t="shared" si="1"/>
        <v>1175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236285</v>
      </c>
      <c r="F29" s="97" t="s">
        <v>55</v>
      </c>
      <c r="G29" s="159"/>
      <c r="H29" s="119">
        <f>H15-H16-H17-H18-H19-H20-H22-H23-H24+H26+H27</f>
        <v>201327.75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41">
        <f>F34*G34</f>
        <v>94000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41">
        <f>F35*G35</f>
        <v>54000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41">
        <f t="shared" si="2"/>
        <v>12400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1">
        <v>94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6">
        <v>40666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4</v>
      </c>
      <c r="D49" s="12">
        <f>C49*42</f>
        <v>168</v>
      </c>
      <c r="F49" s="117" t="s">
        <v>86</v>
      </c>
      <c r="G49" s="119">
        <f>H34+H35+H36+H37+H38+H39+H40+H41+G42+H44+H45+H46</f>
        <v>201260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6</v>
      </c>
      <c r="D50" s="12">
        <f>C50*1.5</f>
        <v>9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-67.75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377</v>
      </c>
      <c r="D6" s="13">
        <f t="shared" ref="D6:D28" si="1">C6*L6</f>
        <v>286897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1</v>
      </c>
      <c r="D11" s="13">
        <f t="shared" si="1"/>
        <v>1170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10</v>
      </c>
      <c r="D13" s="48">
        <f t="shared" si="1"/>
        <v>3070</v>
      </c>
      <c r="F13" s="225" t="s">
        <v>36</v>
      </c>
      <c r="G13" s="189"/>
      <c r="H13" s="180">
        <f>D29</f>
        <v>301631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55843.5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245787.5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325*6</f>
        <v>1950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96" t="s">
        <v>167</v>
      </c>
      <c r="C22" s="84">
        <v>2</v>
      </c>
      <c r="D22" s="48">
        <f t="shared" si="1"/>
        <v>3164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301631</v>
      </c>
      <c r="F29" s="97" t="s">
        <v>55</v>
      </c>
      <c r="G29" s="159"/>
      <c r="H29" s="119">
        <f>H15-H16-H17-H18-H19-H20-H22-H23-H24+H26+H27+H28</f>
        <v>243837.5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41">
        <f t="shared" ref="H34:H39" si="2">F34*G34</f>
        <v>34000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41">
        <f t="shared" si="2"/>
        <v>209500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41">
        <f t="shared" si="2"/>
        <v>200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1">
        <f t="shared" si="2"/>
        <v>20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26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1</v>
      </c>
      <c r="D45" s="12">
        <f>C45*84</f>
        <v>84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6</v>
      </c>
      <c r="D46" s="12">
        <f>C46*1.5</f>
        <v>9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243746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18</v>
      </c>
      <c r="D50" s="12">
        <f>C50*1.5</f>
        <v>27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-91.5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246</v>
      </c>
      <c r="D6" s="13">
        <f t="shared" ref="D6:D28" si="1">C6*L6</f>
        <v>187206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24</v>
      </c>
      <c r="D9" s="13">
        <f t="shared" si="1"/>
        <v>17592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225" t="s">
        <v>36</v>
      </c>
      <c r="G13" s="189"/>
      <c r="H13" s="180">
        <f>D29</f>
        <v>264640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34920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229720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197*6</f>
        <v>1182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96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>
        <v>4</v>
      </c>
      <c r="D23" s="48">
        <f t="shared" si="1"/>
        <v>6668</v>
      </c>
      <c r="F23" s="25"/>
      <c r="G23" s="37"/>
      <c r="H23" s="167"/>
      <c r="I23" s="136"/>
      <c r="J23" s="1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168</v>
      </c>
      <c r="C27" s="10">
        <v>1</v>
      </c>
      <c r="D27" s="44">
        <f t="shared" si="1"/>
        <v>1582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264640</v>
      </c>
      <c r="F29" s="97" t="s">
        <v>55</v>
      </c>
      <c r="G29" s="159"/>
      <c r="H29" s="119">
        <f>H15-H16-H17-H18-H19-H20-H22-H23-H24+H26+H27</f>
        <v>228538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41">
        <f>F34*G34</f>
        <v>44000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1">
        <f t="shared" ref="H35:H39" si="2">F35*G35</f>
        <v>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41">
        <f t="shared" si="2"/>
        <v>400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1">
        <f t="shared" si="2"/>
        <v>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1">
        <f t="shared" si="2"/>
        <v>40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69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6">
        <v>179826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224985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-3553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355</v>
      </c>
      <c r="D6" s="13">
        <f t="shared" ref="D6:D28" si="1">C6*L6</f>
        <v>270155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10</v>
      </c>
      <c r="D7" s="13">
        <f t="shared" si="1"/>
        <v>7810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111</v>
      </c>
      <c r="D9" s="13">
        <f t="shared" si="1"/>
        <v>81363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225" t="s">
        <v>36</v>
      </c>
      <c r="G13" s="189"/>
      <c r="H13" s="180">
        <f>D29</f>
        <v>363462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13</v>
      </c>
      <c r="D14" s="31">
        <f t="shared" si="1"/>
        <v>143</v>
      </c>
      <c r="F14" s="183" t="s">
        <v>39</v>
      </c>
      <c r="G14" s="184"/>
      <c r="H14" s="185">
        <f>D54</f>
        <v>54750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308712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v>2472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363462</v>
      </c>
      <c r="F29" s="97" t="s">
        <v>55</v>
      </c>
      <c r="G29" s="159"/>
      <c r="H29" s="119">
        <f>H15-H16-H17-H18-H19-H20-H22-H23-H24+H26+H27</f>
        <v>306190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41">
        <f>F34*G34</f>
        <v>63000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1">
        <f>F35*G35</f>
        <v>15500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41">
        <f t="shared" si="2"/>
        <v>300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3162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6">
        <v>225117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4</v>
      </c>
      <c r="D49" s="12">
        <f>C49*42</f>
        <v>168</v>
      </c>
      <c r="F49" s="117" t="s">
        <v>86</v>
      </c>
      <c r="G49" s="119">
        <f>H34+H35+H36+H37+H38+H39+H40+H41+G42+H44+H45+H46</f>
        <v>307129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9</v>
      </c>
      <c r="D50" s="12">
        <f>C50*1.5</f>
        <v>13.5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939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319</v>
      </c>
      <c r="D6" s="13">
        <f t="shared" ref="D6:D28" si="1">C6*L6</f>
        <v>242759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50</v>
      </c>
      <c r="D8" s="13">
        <f t="shared" si="1"/>
        <v>54650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17</v>
      </c>
      <c r="D9" s="13">
        <f t="shared" si="1"/>
        <v>12461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1</v>
      </c>
      <c r="D12" s="48">
        <f t="shared" si="1"/>
        <v>992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</v>
      </c>
      <c r="D13" s="48">
        <f t="shared" si="1"/>
        <v>307</v>
      </c>
      <c r="F13" s="225" t="s">
        <v>36</v>
      </c>
      <c r="G13" s="189"/>
      <c r="H13" s="180">
        <f>D29</f>
        <v>319434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42474.75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276959.25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>
        <v>2</v>
      </c>
      <c r="D17" s="48">
        <f t="shared" si="1"/>
        <v>3164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>
        <f>2+1</f>
        <v>3</v>
      </c>
      <c r="D21" s="48">
        <f t="shared" si="1"/>
        <v>1950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 t="s">
        <v>174</v>
      </c>
      <c r="G22" s="73">
        <v>9435</v>
      </c>
      <c r="H22" s="166">
        <v>51622</v>
      </c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1</v>
      </c>
      <c r="D28" s="48">
        <f t="shared" si="1"/>
        <v>811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319434</v>
      </c>
      <c r="F29" s="97" t="s">
        <v>55</v>
      </c>
      <c r="G29" s="159"/>
      <c r="H29" s="119">
        <f>H15-H16-H17-H18-H19-H20-H22-H23-H24+H26+H27+H28</f>
        <v>225337.25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41">
        <f t="shared" ref="H34:H39" si="2">F34*G34</f>
        <v>82000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41">
        <f t="shared" si="2"/>
        <v>200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1">
        <v>106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172</v>
      </c>
      <c r="G44" s="238" t="s">
        <v>173</v>
      </c>
      <c r="H44" s="136">
        <v>141334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3</v>
      </c>
      <c r="D46" s="12">
        <f>C46*1.5</f>
        <v>4.5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223690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8</v>
      </c>
      <c r="D50" s="12">
        <f>C50*1.5</f>
        <v>12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-1647.25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385</v>
      </c>
      <c r="D6" s="13">
        <f t="shared" ref="D6:D28" si="1">C6*L6</f>
        <v>292985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4</v>
      </c>
      <c r="D7" s="13">
        <f t="shared" si="1"/>
        <v>3124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68</v>
      </c>
      <c r="D9" s="13">
        <f t="shared" si="1"/>
        <v>49844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10</v>
      </c>
      <c r="D13" s="48">
        <f t="shared" si="1"/>
        <v>3070</v>
      </c>
      <c r="F13" s="225" t="s">
        <v>36</v>
      </c>
      <c r="G13" s="189"/>
      <c r="H13" s="180">
        <f>D29</f>
        <v>351657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33426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318231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351657</v>
      </c>
      <c r="F29" s="97" t="s">
        <v>55</v>
      </c>
      <c r="G29" s="159"/>
      <c r="H29" s="119">
        <f>H15-H16-H17-H18-H19-H20-H22-H23-H24+H26+H27</f>
        <v>318231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18</v>
      </c>
      <c r="D38" s="12">
        <f>C38*84</f>
        <v>1512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2</v>
      </c>
      <c r="D45" s="12">
        <f>C45*84</f>
        <v>168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</v>
      </c>
      <c r="D49" s="12">
        <f>C49*42</f>
        <v>42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73</v>
      </c>
      <c r="D50" s="12">
        <f>C50*1.5</f>
        <v>109.5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-318231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2026-03-06T23:50:21Z</cp:lastPrinted>
  <dcterms:created xsi:type="dcterms:W3CDTF">2024-09-01T23:36:50Z</dcterms:created>
  <dcterms:modified xsi:type="dcterms:W3CDTF">2026-03-07T09:48:21Z</dcterms:modified>
</cp:coreProperties>
</file>