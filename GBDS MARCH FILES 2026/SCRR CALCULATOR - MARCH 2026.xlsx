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F6E5B388-3FCB-465D-9F08-DBB107E1C218}" xr6:coauthVersionLast="45" xr6:coauthVersionMax="47" xr10:uidLastSave="{00000000-0000-0000-0000-000000000000}"/>
  <bookViews>
    <workbookView xWindow="-120" yWindow="-120" windowWidth="29040" windowHeight="15840" firstSheet="44" activeTab="48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 NO TRIP" sheetId="1879" r:id="rId43"/>
    <sheet name="13,03 R2 NO TRIP" sheetId="1880" r:id="rId44"/>
    <sheet name="13,03 R3 NO TRIP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" sheetId="1887" r:id="rId51"/>
    <sheet name="16,03 R2" sheetId="1888" r:id="rId52"/>
    <sheet name="16,03 R3" sheetId="1889" r:id="rId53"/>
    <sheet name="(17)" sheetId="1890" r:id="rId54"/>
    <sheet name="17,03 R1" sheetId="1891" r:id="rId55"/>
    <sheet name="17,03 R2" sheetId="1892" r:id="rId56"/>
    <sheet name="17,03 R3" sheetId="1893" r:id="rId57"/>
    <sheet name="(18)" sheetId="1894" r:id="rId58"/>
    <sheet name="18,03 R1" sheetId="1895" r:id="rId59"/>
    <sheet name="18,03 R2" sheetId="1896" r:id="rId60"/>
    <sheet name="18,03 R3" sheetId="1897" r:id="rId61"/>
    <sheet name="(19)" sheetId="1898" r:id="rId62"/>
    <sheet name="19,03 R1" sheetId="1899" r:id="rId63"/>
    <sheet name="19,03 R2" sheetId="1900" r:id="rId64"/>
    <sheet name="19,03 R3" sheetId="1901" r:id="rId65"/>
    <sheet name="(20)" sheetId="1902" r:id="rId66"/>
    <sheet name="20,03 R1" sheetId="1903" r:id="rId67"/>
    <sheet name="20,03 R2" sheetId="1904" r:id="rId68"/>
    <sheet name="20,03 R3" sheetId="1905" r:id="rId69"/>
    <sheet name="(21)" sheetId="1906" r:id="rId70"/>
    <sheet name="21,03 R1" sheetId="1907" r:id="rId71"/>
    <sheet name="21,03 R2" sheetId="1908" r:id="rId72"/>
    <sheet name="21,03 R3" sheetId="1909" r:id="rId73"/>
    <sheet name="(23)" sheetId="1910" r:id="rId74"/>
    <sheet name="23,03 R1" sheetId="1911" r:id="rId75"/>
    <sheet name="23,03 R2" sheetId="1912" r:id="rId76"/>
    <sheet name="23,03 R3" sheetId="1913" r:id="rId77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61">'(19)'!$A$1:$J$60</definedName>
    <definedName name="_xlnm.Print_Area" localSheetId="1">'(2)'!$A$1:$J$60</definedName>
    <definedName name="_xlnm.Print_Area" localSheetId="65">'(20)'!$A$1:$J$60</definedName>
    <definedName name="_xlnm.Print_Area" localSheetId="69">'(21)'!$A$1:$J$60</definedName>
    <definedName name="_xlnm.Print_Area" localSheetId="73">'(23)'!$A$1:$J$60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 NO TRIP'!$A$1:$J$60</definedName>
    <definedName name="_xlnm.Print_Area" localSheetId="43">'13,03 R2 NO TRIP'!$A$1:$J$60</definedName>
    <definedName name="_xlnm.Print_Area" localSheetId="44">'13,03 R3 NO TRIP'!$A$1:$J$60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R1'!$A$1:$J$60</definedName>
    <definedName name="_xlnm.Print_Area" localSheetId="51">'16,03 R2'!$A$1:$J$60</definedName>
    <definedName name="_xlnm.Print_Area" localSheetId="52">'16,03 R3'!$A$1:$J$60</definedName>
    <definedName name="_xlnm.Print_Area" localSheetId="54">'17,03 R1'!$A$1:$J$60</definedName>
    <definedName name="_xlnm.Print_Area" localSheetId="55">'17,03 R2'!$A$1:$J$60</definedName>
    <definedName name="_xlnm.Print_Area" localSheetId="56">'17,03 R3'!$A$1:$J$60</definedName>
    <definedName name="_xlnm.Print_Area" localSheetId="58">'18,03 R1'!$A$1:$J$60</definedName>
    <definedName name="_xlnm.Print_Area" localSheetId="59">'18,03 R2'!$A$1:$J$60</definedName>
    <definedName name="_xlnm.Print_Area" localSheetId="60">'18,03 R3'!$A$1:$J$60</definedName>
    <definedName name="_xlnm.Print_Area" localSheetId="62">'19,03 R1'!$A$1:$J$60</definedName>
    <definedName name="_xlnm.Print_Area" localSheetId="63">'19,03 R2'!$A$1:$J$60</definedName>
    <definedName name="_xlnm.Print_Area" localSheetId="64">'19,03 R3'!$A$1:$J$60</definedName>
    <definedName name="_xlnm.Print_Area" localSheetId="66">'20,03 R1'!$A$1:$J$60</definedName>
    <definedName name="_xlnm.Print_Area" localSheetId="67">'20,03 R2'!$A$1:$J$60</definedName>
    <definedName name="_xlnm.Print_Area" localSheetId="68">'20,03 R3'!$A$1:$J$60</definedName>
    <definedName name="_xlnm.Print_Area" localSheetId="70">'21,03 R1'!$A$1:$J$60</definedName>
    <definedName name="_xlnm.Print_Area" localSheetId="71">'21,03 R2'!$A$1:$J$60</definedName>
    <definedName name="_xlnm.Print_Area" localSheetId="72">'21,03 R3'!$A$1:$J$60</definedName>
    <definedName name="_xlnm.Print_Area" localSheetId="74">'23,03 R1'!$A$1:$J$60</definedName>
    <definedName name="_xlnm.Print_Area" localSheetId="75">'23,03 R2'!$A$1:$J$60</definedName>
    <definedName name="_xlnm.Print_Area" localSheetId="76">'23,03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1913" l="1"/>
  <c r="R51" i="1913"/>
  <c r="D50" i="1913"/>
  <c r="R49" i="1913"/>
  <c r="D49" i="1913"/>
  <c r="R48" i="1913"/>
  <c r="D48" i="1913"/>
  <c r="D46" i="1913"/>
  <c r="D45" i="1913"/>
  <c r="R44" i="1913"/>
  <c r="D44" i="1913"/>
  <c r="R42" i="1913"/>
  <c r="D42" i="1913"/>
  <c r="R41" i="1913"/>
  <c r="L7" i="1913" s="1"/>
  <c r="D7" i="1913" s="1"/>
  <c r="D41" i="1913"/>
  <c r="R40" i="1913"/>
  <c r="D40" i="1913"/>
  <c r="R39" i="1913"/>
  <c r="H39" i="1913"/>
  <c r="D39" i="1913"/>
  <c r="R38" i="1913"/>
  <c r="H38" i="1913"/>
  <c r="D38" i="1913"/>
  <c r="R37" i="1913"/>
  <c r="H37" i="1913"/>
  <c r="D37" i="1913"/>
  <c r="R36" i="1913"/>
  <c r="H36" i="1913"/>
  <c r="D36" i="1913"/>
  <c r="R35" i="1913"/>
  <c r="L19" i="1913" s="1"/>
  <c r="D19" i="1913" s="1"/>
  <c r="H35" i="1913"/>
  <c r="G49" i="1913" s="1"/>
  <c r="D35" i="1913"/>
  <c r="D54" i="1913" s="1"/>
  <c r="H14" i="1913" s="1"/>
  <c r="R34" i="1913"/>
  <c r="H34" i="1913"/>
  <c r="D34" i="1913"/>
  <c r="R33" i="1913"/>
  <c r="L23" i="1913" s="1"/>
  <c r="D23" i="1913" s="1"/>
  <c r="R32" i="1913"/>
  <c r="L11" i="1913" s="1"/>
  <c r="D11" i="1913" s="1"/>
  <c r="R31" i="1913"/>
  <c r="R30" i="1913"/>
  <c r="R29" i="1913"/>
  <c r="R28" i="1913"/>
  <c r="L28" i="1913"/>
  <c r="D28" i="1913"/>
  <c r="R27" i="1913"/>
  <c r="D27" i="1913"/>
  <c r="R26" i="1913"/>
  <c r="L26" i="1913"/>
  <c r="D26" i="1913" s="1"/>
  <c r="R25" i="1913"/>
  <c r="L25" i="1913"/>
  <c r="D25" i="1913"/>
  <c r="R24" i="1913"/>
  <c r="D24" i="1913"/>
  <c r="R23" i="1913"/>
  <c r="R22" i="1913"/>
  <c r="L22" i="1913"/>
  <c r="D22" i="1913"/>
  <c r="R21" i="1913"/>
  <c r="D21" i="1913"/>
  <c r="R20" i="1913"/>
  <c r="L20" i="1913"/>
  <c r="D20" i="1913"/>
  <c r="R19" i="1913"/>
  <c r="R18" i="1913"/>
  <c r="D18" i="1913"/>
  <c r="R17" i="1913"/>
  <c r="D17" i="1913"/>
  <c r="R16" i="1913"/>
  <c r="L16" i="1913"/>
  <c r="D16" i="1913"/>
  <c r="R15" i="1913"/>
  <c r="D15" i="1913"/>
  <c r="R14" i="1913"/>
  <c r="D14" i="1913"/>
  <c r="R13" i="1913"/>
  <c r="D13" i="1913"/>
  <c r="R12" i="1913"/>
  <c r="L12" i="1913"/>
  <c r="D12" i="1913"/>
  <c r="R11" i="1913"/>
  <c r="L10" i="1913"/>
  <c r="D10" i="1913"/>
  <c r="L9" i="1913"/>
  <c r="D9" i="1913" s="1"/>
  <c r="L8" i="1913"/>
  <c r="D8" i="1913" s="1"/>
  <c r="R6" i="1913"/>
  <c r="L6" i="1913"/>
  <c r="D6" i="1913"/>
  <c r="R5" i="1913"/>
  <c r="R4" i="1913"/>
  <c r="R52" i="1912"/>
  <c r="R51" i="1912"/>
  <c r="D50" i="1912"/>
  <c r="R49" i="1912"/>
  <c r="D49" i="1912"/>
  <c r="R48" i="1912"/>
  <c r="D48" i="1912"/>
  <c r="D46" i="1912"/>
  <c r="D45" i="1912"/>
  <c r="R44" i="1912"/>
  <c r="L28" i="1912" s="1"/>
  <c r="D28" i="1912" s="1"/>
  <c r="D44" i="1912"/>
  <c r="R42" i="1912"/>
  <c r="D42" i="1912"/>
  <c r="R41" i="1912"/>
  <c r="D41" i="1912"/>
  <c r="R40" i="1912"/>
  <c r="D40" i="1912"/>
  <c r="R39" i="1912"/>
  <c r="H39" i="1912"/>
  <c r="D39" i="1912"/>
  <c r="R38" i="1912"/>
  <c r="L9" i="1912" s="1"/>
  <c r="D9" i="1912" s="1"/>
  <c r="H38" i="1912"/>
  <c r="D38" i="1912"/>
  <c r="R37" i="1912"/>
  <c r="H37" i="1912"/>
  <c r="D37" i="1912"/>
  <c r="R36" i="1912"/>
  <c r="H36" i="1912"/>
  <c r="D36" i="1912"/>
  <c r="R35" i="1912"/>
  <c r="H35" i="1912"/>
  <c r="D35" i="1912"/>
  <c r="R34" i="1912"/>
  <c r="L12" i="1912" s="1"/>
  <c r="D12" i="1912" s="1"/>
  <c r="H34" i="1912"/>
  <c r="G49" i="1912" s="1"/>
  <c r="D34" i="1912"/>
  <c r="D54" i="1912" s="1"/>
  <c r="H14" i="1912" s="1"/>
  <c r="R33" i="1912"/>
  <c r="R32" i="1912"/>
  <c r="L11" i="1912" s="1"/>
  <c r="D11" i="1912" s="1"/>
  <c r="R31" i="1912"/>
  <c r="R30" i="1912"/>
  <c r="R29" i="1912"/>
  <c r="R28" i="1912"/>
  <c r="R27" i="1912"/>
  <c r="D27" i="1912"/>
  <c r="R26" i="1912"/>
  <c r="L26" i="1912"/>
  <c r="D26" i="1912" s="1"/>
  <c r="R25" i="1912"/>
  <c r="L25" i="1912"/>
  <c r="D25" i="1912"/>
  <c r="R24" i="1912"/>
  <c r="L24" i="1912"/>
  <c r="D24" i="1912" s="1"/>
  <c r="R23" i="1912"/>
  <c r="L23" i="1912"/>
  <c r="D23" i="1912" s="1"/>
  <c r="R22" i="1912"/>
  <c r="L22" i="1912"/>
  <c r="D22" i="1912" s="1"/>
  <c r="R21" i="1912"/>
  <c r="D21" i="1912"/>
  <c r="R20" i="1912"/>
  <c r="L20" i="1912"/>
  <c r="D20" i="1912" s="1"/>
  <c r="R19" i="1912"/>
  <c r="L19" i="1912"/>
  <c r="D19" i="1912" s="1"/>
  <c r="R18" i="1912"/>
  <c r="D18" i="1912"/>
  <c r="R17" i="1912"/>
  <c r="L17" i="1912"/>
  <c r="D17" i="1912" s="1"/>
  <c r="R16" i="1912"/>
  <c r="L16" i="1912"/>
  <c r="D16" i="1912" s="1"/>
  <c r="R15" i="1912"/>
  <c r="D15" i="1912"/>
  <c r="R14" i="1912"/>
  <c r="D14" i="1912"/>
  <c r="R13" i="1912"/>
  <c r="D13" i="1912"/>
  <c r="R12" i="1912"/>
  <c r="R11" i="1912"/>
  <c r="L10" i="1912"/>
  <c r="D10" i="1912" s="1"/>
  <c r="L8" i="1912"/>
  <c r="D8" i="1912" s="1"/>
  <c r="L7" i="1912"/>
  <c r="D7" i="1912"/>
  <c r="R6" i="1912"/>
  <c r="L6" i="1912"/>
  <c r="D6" i="1912" s="1"/>
  <c r="R5" i="1912"/>
  <c r="R4" i="1912"/>
  <c r="R52" i="1911"/>
  <c r="R51" i="1911"/>
  <c r="D50" i="1911"/>
  <c r="R49" i="1911"/>
  <c r="D49" i="1911"/>
  <c r="R48" i="1911"/>
  <c r="D48" i="1911"/>
  <c r="D46" i="1911"/>
  <c r="D45" i="1911"/>
  <c r="R44" i="1911"/>
  <c r="L28" i="1911" s="1"/>
  <c r="D28" i="1911" s="1"/>
  <c r="D44" i="1911"/>
  <c r="R42" i="1911"/>
  <c r="D42" i="1911"/>
  <c r="R41" i="1911"/>
  <c r="L7" i="1911" s="1"/>
  <c r="D7" i="1911" s="1"/>
  <c r="D41" i="1911"/>
  <c r="R40" i="1911"/>
  <c r="D40" i="1911"/>
  <c r="R39" i="1911"/>
  <c r="L20" i="1911" s="1"/>
  <c r="D20" i="1911" s="1"/>
  <c r="H39" i="1911"/>
  <c r="D39" i="1911"/>
  <c r="R38" i="1911"/>
  <c r="H38" i="1911"/>
  <c r="D38" i="1911"/>
  <c r="R37" i="1911"/>
  <c r="H37" i="1911"/>
  <c r="D37" i="1911"/>
  <c r="R36" i="1911"/>
  <c r="H36" i="1911"/>
  <c r="D36" i="1911"/>
  <c r="R35" i="1911"/>
  <c r="H35" i="1911"/>
  <c r="D35" i="1911"/>
  <c r="R34" i="1911"/>
  <c r="H34" i="1911"/>
  <c r="G49" i="1911" s="1"/>
  <c r="D34" i="1911"/>
  <c r="D54" i="1911" s="1"/>
  <c r="H14" i="1911" s="1"/>
  <c r="R33" i="1911"/>
  <c r="R32" i="1911"/>
  <c r="L11" i="1911" s="1"/>
  <c r="D11" i="1911" s="1"/>
  <c r="R31" i="1911"/>
  <c r="R30" i="1911"/>
  <c r="R29" i="1911"/>
  <c r="R28" i="1911"/>
  <c r="L16" i="1911" s="1"/>
  <c r="D16" i="1911" s="1"/>
  <c r="R27" i="1911"/>
  <c r="D27" i="1911"/>
  <c r="R26" i="1911"/>
  <c r="L26" i="1911"/>
  <c r="D26" i="1911"/>
  <c r="R25" i="1911"/>
  <c r="L25" i="1911"/>
  <c r="D25" i="1911"/>
  <c r="R24" i="1911"/>
  <c r="L24" i="1911"/>
  <c r="D24" i="1911" s="1"/>
  <c r="R23" i="1911"/>
  <c r="D23" i="1911"/>
  <c r="R22" i="1911"/>
  <c r="D22" i="1911"/>
  <c r="R21" i="1911"/>
  <c r="D21" i="1911"/>
  <c r="R20" i="1911"/>
  <c r="R19" i="1911"/>
  <c r="D19" i="1911"/>
  <c r="R18" i="1911"/>
  <c r="D18" i="1911"/>
  <c r="R17" i="1911"/>
  <c r="L17" i="1911"/>
  <c r="D17" i="1911" s="1"/>
  <c r="R16" i="1911"/>
  <c r="R15" i="1911"/>
  <c r="D15" i="1911"/>
  <c r="R14" i="1911"/>
  <c r="D14" i="1911"/>
  <c r="R13" i="1911"/>
  <c r="D13" i="1911"/>
  <c r="R12" i="1911"/>
  <c r="L12" i="1911"/>
  <c r="D12" i="1911"/>
  <c r="R11" i="1911"/>
  <c r="L10" i="1911"/>
  <c r="D10" i="1911" s="1"/>
  <c r="L9" i="1911"/>
  <c r="D9" i="1911"/>
  <c r="L8" i="1911"/>
  <c r="D8" i="1911" s="1"/>
  <c r="R6" i="1911"/>
  <c r="L6" i="1911"/>
  <c r="D6" i="1911"/>
  <c r="R5" i="1911"/>
  <c r="R4" i="1911"/>
  <c r="R52" i="1910"/>
  <c r="R51" i="1910"/>
  <c r="D50" i="1910"/>
  <c r="R49" i="1910"/>
  <c r="G49" i="1910"/>
  <c r="D49" i="1910"/>
  <c r="R48" i="1910"/>
  <c r="D48" i="1910"/>
  <c r="D46" i="1910"/>
  <c r="D45" i="1910"/>
  <c r="D44" i="1910"/>
  <c r="R42" i="1910"/>
  <c r="D42" i="1910"/>
  <c r="R41" i="1910"/>
  <c r="L7" i="1910" s="1"/>
  <c r="D7" i="1910" s="1"/>
  <c r="D41" i="1910"/>
  <c r="R40" i="1910"/>
  <c r="L8" i="1910" s="1"/>
  <c r="D8" i="1910" s="1"/>
  <c r="D40" i="1910"/>
  <c r="R39" i="1910"/>
  <c r="D39" i="1910"/>
  <c r="R38" i="1910"/>
  <c r="L9" i="1910" s="1"/>
  <c r="D9" i="1910" s="1"/>
  <c r="D38" i="1910"/>
  <c r="R37" i="1910"/>
  <c r="D37" i="1910"/>
  <c r="R36" i="1910"/>
  <c r="D36" i="1910"/>
  <c r="R35" i="1910"/>
  <c r="D35" i="1910"/>
  <c r="R34" i="1910"/>
  <c r="D34" i="1910"/>
  <c r="D54" i="1910" s="1"/>
  <c r="H14" i="1910" s="1"/>
  <c r="R33" i="1910"/>
  <c r="L23" i="1910" s="1"/>
  <c r="D23" i="1910" s="1"/>
  <c r="R32" i="1910"/>
  <c r="R31" i="1910"/>
  <c r="R30" i="1910"/>
  <c r="R29" i="1910"/>
  <c r="R28" i="1910"/>
  <c r="D28" i="1910"/>
  <c r="R27" i="1910"/>
  <c r="D27" i="1910"/>
  <c r="R26" i="1910"/>
  <c r="L26" i="1910"/>
  <c r="D26" i="1910" s="1"/>
  <c r="R25" i="1910"/>
  <c r="L25" i="1910"/>
  <c r="D25" i="1910"/>
  <c r="R24" i="1910"/>
  <c r="D24" i="1910"/>
  <c r="R23" i="1910"/>
  <c r="R22" i="1910"/>
  <c r="L22" i="1910"/>
  <c r="D22" i="1910"/>
  <c r="R21" i="1910"/>
  <c r="D21" i="1910"/>
  <c r="R20" i="1910"/>
  <c r="L20" i="1910"/>
  <c r="D20" i="1910" s="1"/>
  <c r="R19" i="1910"/>
  <c r="L19" i="1910"/>
  <c r="D19" i="1910"/>
  <c r="R18" i="1910"/>
  <c r="D18" i="1910"/>
  <c r="R17" i="1910"/>
  <c r="D17" i="1910"/>
  <c r="R16" i="1910"/>
  <c r="L16" i="1910"/>
  <c r="D16" i="1910" s="1"/>
  <c r="S15" i="1910"/>
  <c r="R15" i="1910"/>
  <c r="D15" i="1910"/>
  <c r="S14" i="1910"/>
  <c r="R14" i="1910"/>
  <c r="D14" i="1910"/>
  <c r="R13" i="1910"/>
  <c r="D13" i="1910"/>
  <c r="R12" i="1910"/>
  <c r="L12" i="1910"/>
  <c r="D12" i="1910" s="1"/>
  <c r="R11" i="1910"/>
  <c r="L11" i="1910"/>
  <c r="D11" i="1910"/>
  <c r="L10" i="1910"/>
  <c r="D10" i="1910" s="1"/>
  <c r="R6" i="1910"/>
  <c r="L6" i="1910"/>
  <c r="D6" i="1910" s="1"/>
  <c r="R5" i="1910"/>
  <c r="R4" i="1910"/>
  <c r="R52" i="1909"/>
  <c r="R51" i="1909"/>
  <c r="D50" i="1909"/>
  <c r="R49" i="1909"/>
  <c r="D49" i="1909"/>
  <c r="R48" i="1909"/>
  <c r="D48" i="1909"/>
  <c r="D46" i="1909"/>
  <c r="D45" i="1909"/>
  <c r="R44" i="1909"/>
  <c r="D44" i="1909"/>
  <c r="R42" i="1909"/>
  <c r="L6" i="1909" s="1"/>
  <c r="D6" i="1909" s="1"/>
  <c r="D42" i="1909"/>
  <c r="R41" i="1909"/>
  <c r="D41" i="1909"/>
  <c r="R40" i="1909"/>
  <c r="D40" i="1909"/>
  <c r="R39" i="1909"/>
  <c r="H39" i="1909"/>
  <c r="D39" i="1909"/>
  <c r="R38" i="1909"/>
  <c r="H38" i="1909"/>
  <c r="D38" i="1909"/>
  <c r="R37" i="1909"/>
  <c r="H37" i="1909"/>
  <c r="D37" i="1909"/>
  <c r="R36" i="1909"/>
  <c r="H36" i="1909"/>
  <c r="D36" i="1909"/>
  <c r="R35" i="1909"/>
  <c r="H35" i="1909"/>
  <c r="D35" i="1909"/>
  <c r="R34" i="1909"/>
  <c r="H34" i="1909"/>
  <c r="G49" i="1909" s="1"/>
  <c r="D34" i="1909"/>
  <c r="D54" i="1909" s="1"/>
  <c r="H14" i="1909" s="1"/>
  <c r="R33" i="1909"/>
  <c r="R32" i="1909"/>
  <c r="R31" i="1909"/>
  <c r="R30" i="1909"/>
  <c r="R29" i="1909"/>
  <c r="R28" i="1909"/>
  <c r="L28" i="1909"/>
  <c r="D28" i="1909"/>
  <c r="R27" i="1909"/>
  <c r="D27" i="1909"/>
  <c r="R26" i="1909"/>
  <c r="L26" i="1909"/>
  <c r="D26" i="1909"/>
  <c r="R25" i="1909"/>
  <c r="L25" i="1909"/>
  <c r="D25" i="1909" s="1"/>
  <c r="R24" i="1909"/>
  <c r="D24" i="1909"/>
  <c r="R23" i="1909"/>
  <c r="L23" i="1909"/>
  <c r="D23" i="1909" s="1"/>
  <c r="R22" i="1909"/>
  <c r="L22" i="1909"/>
  <c r="D22" i="1909"/>
  <c r="R21" i="1909"/>
  <c r="D21" i="1909"/>
  <c r="R20" i="1909"/>
  <c r="L20" i="1909"/>
  <c r="D20" i="1909"/>
  <c r="R19" i="1909"/>
  <c r="L19" i="1909"/>
  <c r="D19" i="1909" s="1"/>
  <c r="R18" i="1909"/>
  <c r="D18" i="1909"/>
  <c r="R17" i="1909"/>
  <c r="D17" i="1909"/>
  <c r="R16" i="1909"/>
  <c r="L16" i="1909"/>
  <c r="D16" i="1909"/>
  <c r="R15" i="1909"/>
  <c r="D15" i="1909"/>
  <c r="R14" i="1909"/>
  <c r="D14" i="1909"/>
  <c r="R13" i="1909"/>
  <c r="D13" i="1909"/>
  <c r="R12" i="1909"/>
  <c r="L12" i="1909"/>
  <c r="D12" i="1909" s="1"/>
  <c r="R11" i="1909"/>
  <c r="L11" i="1909"/>
  <c r="D11" i="1909" s="1"/>
  <c r="L10" i="1909"/>
  <c r="D10" i="1909"/>
  <c r="L9" i="1909"/>
  <c r="D9" i="1909"/>
  <c r="L8" i="1909"/>
  <c r="D8" i="1909" s="1"/>
  <c r="L7" i="1909"/>
  <c r="D7" i="1909"/>
  <c r="R6" i="1909"/>
  <c r="R5" i="1909"/>
  <c r="R4" i="1909"/>
  <c r="R52" i="1908"/>
  <c r="R51" i="1908"/>
  <c r="D50" i="1908"/>
  <c r="R49" i="1908"/>
  <c r="D49" i="1908"/>
  <c r="R48" i="1908"/>
  <c r="D48" i="1908"/>
  <c r="D46" i="1908"/>
  <c r="D45" i="1908"/>
  <c r="R44" i="1908"/>
  <c r="L28" i="1908" s="1"/>
  <c r="D28" i="1908" s="1"/>
  <c r="D44" i="1908"/>
  <c r="R42" i="1908"/>
  <c r="D42" i="1908"/>
  <c r="R41" i="1908"/>
  <c r="L7" i="1908" s="1"/>
  <c r="D7" i="1908" s="1"/>
  <c r="D41" i="1908"/>
  <c r="R40" i="1908"/>
  <c r="D40" i="1908"/>
  <c r="R39" i="1908"/>
  <c r="H39" i="1908"/>
  <c r="D39" i="1908"/>
  <c r="R38" i="1908"/>
  <c r="H38" i="1908"/>
  <c r="D38" i="1908"/>
  <c r="R37" i="1908"/>
  <c r="H37" i="1908"/>
  <c r="D37" i="1908"/>
  <c r="R36" i="1908"/>
  <c r="H36" i="1908"/>
  <c r="D36" i="1908"/>
  <c r="D54" i="1908" s="1"/>
  <c r="H14" i="1908" s="1"/>
  <c r="R35" i="1908"/>
  <c r="L19" i="1908" s="1"/>
  <c r="D19" i="1908" s="1"/>
  <c r="H35" i="1908"/>
  <c r="D35" i="1908"/>
  <c r="R34" i="1908"/>
  <c r="L12" i="1908" s="1"/>
  <c r="D12" i="1908" s="1"/>
  <c r="H34" i="1908"/>
  <c r="G49" i="1908" s="1"/>
  <c r="D34" i="1908"/>
  <c r="R33" i="1908"/>
  <c r="R32" i="1908"/>
  <c r="R31" i="1908"/>
  <c r="R30" i="1908"/>
  <c r="R29" i="1908"/>
  <c r="R28" i="1908"/>
  <c r="R27" i="1908"/>
  <c r="D27" i="1908"/>
  <c r="R26" i="1908"/>
  <c r="L26" i="1908"/>
  <c r="D26" i="1908"/>
  <c r="R25" i="1908"/>
  <c r="L25" i="1908"/>
  <c r="D25" i="1908" s="1"/>
  <c r="R24" i="1908"/>
  <c r="L24" i="1908"/>
  <c r="D24" i="1908" s="1"/>
  <c r="R23" i="1908"/>
  <c r="L23" i="1908"/>
  <c r="D23" i="1908" s="1"/>
  <c r="R22" i="1908"/>
  <c r="L22" i="1908"/>
  <c r="D22" i="1908" s="1"/>
  <c r="R21" i="1908"/>
  <c r="D21" i="1908"/>
  <c r="R20" i="1908"/>
  <c r="L20" i="1908"/>
  <c r="D20" i="1908" s="1"/>
  <c r="R19" i="1908"/>
  <c r="R18" i="1908"/>
  <c r="D18" i="1908"/>
  <c r="R17" i="1908"/>
  <c r="L17" i="1908"/>
  <c r="D17" i="1908" s="1"/>
  <c r="R16" i="1908"/>
  <c r="L16" i="1908"/>
  <c r="D16" i="1908" s="1"/>
  <c r="R15" i="1908"/>
  <c r="D15" i="1908"/>
  <c r="R14" i="1908"/>
  <c r="D14" i="1908"/>
  <c r="R13" i="1908"/>
  <c r="D13" i="1908"/>
  <c r="R12" i="1908"/>
  <c r="R11" i="1908"/>
  <c r="L11" i="1908"/>
  <c r="D11" i="1908"/>
  <c r="L10" i="1908"/>
  <c r="D10" i="1908" s="1"/>
  <c r="L9" i="1908"/>
  <c r="D9" i="1908"/>
  <c r="L8" i="1908"/>
  <c r="D8" i="1908"/>
  <c r="R6" i="1908"/>
  <c r="L6" i="1908"/>
  <c r="D6" i="1908" s="1"/>
  <c r="R5" i="1908"/>
  <c r="R4" i="1908"/>
  <c r="R52" i="1907"/>
  <c r="R51" i="1907"/>
  <c r="D50" i="1907"/>
  <c r="R49" i="1907"/>
  <c r="D49" i="1907"/>
  <c r="R48" i="1907"/>
  <c r="D48" i="1907"/>
  <c r="D46" i="1907"/>
  <c r="D45" i="1907"/>
  <c r="R44" i="1907"/>
  <c r="L28" i="1907" s="1"/>
  <c r="D28" i="1907" s="1"/>
  <c r="D44" i="1907"/>
  <c r="R42" i="1907"/>
  <c r="D42" i="1907"/>
  <c r="R41" i="1907"/>
  <c r="D41" i="1907"/>
  <c r="R40" i="1907"/>
  <c r="L8" i="1907" s="1"/>
  <c r="D8" i="1907" s="1"/>
  <c r="D40" i="1907"/>
  <c r="R39" i="1907"/>
  <c r="H39" i="1907"/>
  <c r="G49" i="1907" s="1"/>
  <c r="D39" i="1907"/>
  <c r="R38" i="1907"/>
  <c r="L9" i="1907" s="1"/>
  <c r="D9" i="1907" s="1"/>
  <c r="H38" i="1907"/>
  <c r="D38" i="1907"/>
  <c r="R37" i="1907"/>
  <c r="H37" i="1907"/>
  <c r="D37" i="1907"/>
  <c r="R36" i="1907"/>
  <c r="H36" i="1907"/>
  <c r="D36" i="1907"/>
  <c r="R35" i="1907"/>
  <c r="H35" i="1907"/>
  <c r="D35" i="1907"/>
  <c r="R34" i="1907"/>
  <c r="H34" i="1907"/>
  <c r="D34" i="1907"/>
  <c r="D54" i="1907" s="1"/>
  <c r="H14" i="1907" s="1"/>
  <c r="R33" i="1907"/>
  <c r="R32" i="1907"/>
  <c r="L11" i="1907" s="1"/>
  <c r="D11" i="1907" s="1"/>
  <c r="R31" i="1907"/>
  <c r="R30" i="1907"/>
  <c r="R29" i="1907"/>
  <c r="R28" i="1907"/>
  <c r="R27" i="1907"/>
  <c r="D27" i="1907"/>
  <c r="R26" i="1907"/>
  <c r="L26" i="1907"/>
  <c r="D26" i="1907"/>
  <c r="R25" i="1907"/>
  <c r="L25" i="1907"/>
  <c r="D25" i="1907" s="1"/>
  <c r="R24" i="1907"/>
  <c r="L24" i="1907"/>
  <c r="D24" i="1907"/>
  <c r="R23" i="1907"/>
  <c r="D23" i="1907"/>
  <c r="R22" i="1907"/>
  <c r="D22" i="1907"/>
  <c r="R21" i="1907"/>
  <c r="D21" i="1907"/>
  <c r="R20" i="1907"/>
  <c r="L20" i="1907"/>
  <c r="D20" i="1907" s="1"/>
  <c r="R19" i="1907"/>
  <c r="D19" i="1907"/>
  <c r="R18" i="1907"/>
  <c r="D18" i="1907"/>
  <c r="R17" i="1907"/>
  <c r="L17" i="1907"/>
  <c r="D17" i="1907"/>
  <c r="R16" i="1907"/>
  <c r="L16" i="1907"/>
  <c r="D16" i="1907" s="1"/>
  <c r="R15" i="1907"/>
  <c r="D15" i="1907"/>
  <c r="R14" i="1907"/>
  <c r="D14" i="1907"/>
  <c r="R13" i="1907"/>
  <c r="D13" i="1907"/>
  <c r="R12" i="1907"/>
  <c r="L12" i="1907"/>
  <c r="D12" i="1907"/>
  <c r="R11" i="1907"/>
  <c r="L10" i="1907"/>
  <c r="D10" i="1907" s="1"/>
  <c r="L7" i="1907"/>
  <c r="D7" i="1907"/>
  <c r="R6" i="1907"/>
  <c r="L6" i="1907"/>
  <c r="D6" i="1907" s="1"/>
  <c r="R5" i="1907"/>
  <c r="R4" i="1907"/>
  <c r="R52" i="1906"/>
  <c r="R51" i="1906"/>
  <c r="D50" i="1906"/>
  <c r="R49" i="1906"/>
  <c r="G49" i="1906"/>
  <c r="D49" i="1906"/>
  <c r="R48" i="1906"/>
  <c r="D48" i="1906"/>
  <c r="D46" i="1906"/>
  <c r="D45" i="1906"/>
  <c r="D44" i="1906"/>
  <c r="R42" i="1906"/>
  <c r="L6" i="1906" s="1"/>
  <c r="D6" i="1906" s="1"/>
  <c r="D42" i="1906"/>
  <c r="R41" i="1906"/>
  <c r="L7" i="1906" s="1"/>
  <c r="D7" i="1906" s="1"/>
  <c r="D41" i="1906"/>
  <c r="R40" i="1906"/>
  <c r="D40" i="1906"/>
  <c r="R39" i="1906"/>
  <c r="D39" i="1906"/>
  <c r="R38" i="1906"/>
  <c r="L9" i="1906" s="1"/>
  <c r="D9" i="1906" s="1"/>
  <c r="D38" i="1906"/>
  <c r="R37" i="1906"/>
  <c r="D37" i="1906"/>
  <c r="R36" i="1906"/>
  <c r="L10" i="1906" s="1"/>
  <c r="D10" i="1906" s="1"/>
  <c r="D36" i="1906"/>
  <c r="R35" i="1906"/>
  <c r="D35" i="1906"/>
  <c r="R34" i="1906"/>
  <c r="L12" i="1906" s="1"/>
  <c r="D12" i="1906" s="1"/>
  <c r="D34" i="1906"/>
  <c r="D54" i="1906" s="1"/>
  <c r="H14" i="1906" s="1"/>
  <c r="R33" i="1906"/>
  <c r="L23" i="1906" s="1"/>
  <c r="D23" i="1906" s="1"/>
  <c r="R32" i="1906"/>
  <c r="R31" i="1906"/>
  <c r="R30" i="1906"/>
  <c r="R29" i="1906"/>
  <c r="R28" i="1906"/>
  <c r="D28" i="1906"/>
  <c r="R27" i="1906"/>
  <c r="D27" i="1906"/>
  <c r="R26" i="1906"/>
  <c r="L26" i="1906"/>
  <c r="D26" i="1906"/>
  <c r="R25" i="1906"/>
  <c r="L25" i="1906"/>
  <c r="D25" i="1906"/>
  <c r="R24" i="1906"/>
  <c r="D24" i="1906"/>
  <c r="R23" i="1906"/>
  <c r="R22" i="1906"/>
  <c r="L22" i="1906"/>
  <c r="D22" i="1906" s="1"/>
  <c r="R21" i="1906"/>
  <c r="D21" i="1906"/>
  <c r="R20" i="1906"/>
  <c r="L20" i="1906"/>
  <c r="D20" i="1906"/>
  <c r="R19" i="1906"/>
  <c r="L19" i="1906"/>
  <c r="D19" i="1906"/>
  <c r="R18" i="1906"/>
  <c r="D18" i="1906"/>
  <c r="R17" i="1906"/>
  <c r="D17" i="1906"/>
  <c r="R16" i="1906"/>
  <c r="L16" i="1906"/>
  <c r="D16" i="1906" s="1"/>
  <c r="S15" i="1906"/>
  <c r="R15" i="1906"/>
  <c r="D15" i="1906"/>
  <c r="S14" i="1906"/>
  <c r="R14" i="1906"/>
  <c r="D14" i="1906"/>
  <c r="R13" i="1906"/>
  <c r="D13" i="1906"/>
  <c r="R12" i="1906"/>
  <c r="R11" i="1906"/>
  <c r="L11" i="1906"/>
  <c r="D11" i="1906" s="1"/>
  <c r="L8" i="1906"/>
  <c r="D8" i="1906"/>
  <c r="R6" i="1906"/>
  <c r="R5" i="1906"/>
  <c r="R4" i="1906"/>
  <c r="R52" i="1905"/>
  <c r="L22" i="1905" s="1"/>
  <c r="D22" i="1905" s="1"/>
  <c r="R51" i="1905"/>
  <c r="D50" i="1905"/>
  <c r="R49" i="1905"/>
  <c r="D49" i="1905"/>
  <c r="R48" i="1905"/>
  <c r="D48" i="1905"/>
  <c r="D46" i="1905"/>
  <c r="D45" i="1905"/>
  <c r="R44" i="1905"/>
  <c r="L28" i="1905" s="1"/>
  <c r="D28" i="1905" s="1"/>
  <c r="D44" i="1905"/>
  <c r="R42" i="1905"/>
  <c r="L6" i="1905" s="1"/>
  <c r="D6" i="1905" s="1"/>
  <c r="D42" i="1905"/>
  <c r="R41" i="1905"/>
  <c r="L7" i="1905" s="1"/>
  <c r="D7" i="1905" s="1"/>
  <c r="D41" i="1905"/>
  <c r="R40" i="1905"/>
  <c r="D40" i="1905"/>
  <c r="R39" i="1905"/>
  <c r="H39" i="1905"/>
  <c r="D39" i="1905"/>
  <c r="R38" i="1905"/>
  <c r="H38" i="1905"/>
  <c r="D38" i="1905"/>
  <c r="R37" i="1905"/>
  <c r="H37" i="1905"/>
  <c r="D37" i="1905"/>
  <c r="R36" i="1905"/>
  <c r="L10" i="1905" s="1"/>
  <c r="D10" i="1905" s="1"/>
  <c r="H36" i="1905"/>
  <c r="D36" i="1905"/>
  <c r="R35" i="1905"/>
  <c r="H35" i="1905"/>
  <c r="G49" i="1905" s="1"/>
  <c r="D35" i="1905"/>
  <c r="R34" i="1905"/>
  <c r="H34" i="1905"/>
  <c r="D34" i="1905"/>
  <c r="D54" i="1905" s="1"/>
  <c r="H14" i="1905" s="1"/>
  <c r="R33" i="1905"/>
  <c r="L23" i="1905" s="1"/>
  <c r="D23" i="1905" s="1"/>
  <c r="R32" i="1905"/>
  <c r="R31" i="1905"/>
  <c r="R30" i="1905"/>
  <c r="R29" i="1905"/>
  <c r="R28" i="1905"/>
  <c r="R27" i="1905"/>
  <c r="D27" i="1905"/>
  <c r="R26" i="1905"/>
  <c r="L26" i="1905"/>
  <c r="D26" i="1905"/>
  <c r="R25" i="1905"/>
  <c r="L25" i="1905"/>
  <c r="D25" i="1905" s="1"/>
  <c r="R24" i="1905"/>
  <c r="D24" i="1905"/>
  <c r="R23" i="1905"/>
  <c r="R22" i="1905"/>
  <c r="R21" i="1905"/>
  <c r="D21" i="1905"/>
  <c r="R20" i="1905"/>
  <c r="L20" i="1905"/>
  <c r="D20" i="1905"/>
  <c r="R19" i="1905"/>
  <c r="L19" i="1905"/>
  <c r="D19" i="1905" s="1"/>
  <c r="R18" i="1905"/>
  <c r="D18" i="1905"/>
  <c r="R17" i="1905"/>
  <c r="D17" i="1905"/>
  <c r="R16" i="1905"/>
  <c r="L16" i="1905"/>
  <c r="D16" i="1905" s="1"/>
  <c r="R15" i="1905"/>
  <c r="D15" i="1905"/>
  <c r="R14" i="1905"/>
  <c r="D14" i="1905"/>
  <c r="R13" i="1905"/>
  <c r="D13" i="1905"/>
  <c r="R12" i="1905"/>
  <c r="L12" i="1905"/>
  <c r="D12" i="1905"/>
  <c r="R11" i="1905"/>
  <c r="L11" i="1905"/>
  <c r="D11" i="1905" s="1"/>
  <c r="L9" i="1905"/>
  <c r="D9" i="1905"/>
  <c r="L8" i="1905"/>
  <c r="D8" i="1905" s="1"/>
  <c r="R6" i="1905"/>
  <c r="R5" i="1905"/>
  <c r="R4" i="1905"/>
  <c r="R52" i="1904"/>
  <c r="R51" i="1904"/>
  <c r="D50" i="1904"/>
  <c r="R49" i="1904"/>
  <c r="D49" i="1904"/>
  <c r="R48" i="1904"/>
  <c r="D48" i="1904"/>
  <c r="D46" i="1904"/>
  <c r="D45" i="1904"/>
  <c r="R44" i="1904"/>
  <c r="D44" i="1904"/>
  <c r="R42" i="1904"/>
  <c r="D42" i="1904"/>
  <c r="R41" i="1904"/>
  <c r="D41" i="1904"/>
  <c r="R40" i="1904"/>
  <c r="D40" i="1904"/>
  <c r="R39" i="1904"/>
  <c r="H39" i="1904"/>
  <c r="D39" i="1904"/>
  <c r="D54" i="1904" s="1"/>
  <c r="H14" i="1904" s="1"/>
  <c r="R38" i="1904"/>
  <c r="H38" i="1904"/>
  <c r="G49" i="1904" s="1"/>
  <c r="D38" i="1904"/>
  <c r="R37" i="1904"/>
  <c r="H37" i="1904"/>
  <c r="D37" i="1904"/>
  <c r="R36" i="1904"/>
  <c r="H36" i="1904"/>
  <c r="D36" i="1904"/>
  <c r="R35" i="1904"/>
  <c r="L19" i="1904" s="1"/>
  <c r="D19" i="1904" s="1"/>
  <c r="H35" i="1904"/>
  <c r="D35" i="1904"/>
  <c r="R34" i="1904"/>
  <c r="L12" i="1904" s="1"/>
  <c r="D12" i="1904" s="1"/>
  <c r="H34" i="1904"/>
  <c r="D34" i="1904"/>
  <c r="R33" i="1904"/>
  <c r="L23" i="1904" s="1"/>
  <c r="D23" i="1904" s="1"/>
  <c r="R32" i="1904"/>
  <c r="L11" i="1904" s="1"/>
  <c r="D11" i="1904" s="1"/>
  <c r="R31" i="1904"/>
  <c r="R30" i="1904"/>
  <c r="R29" i="1904"/>
  <c r="R28" i="1904"/>
  <c r="L28" i="1904"/>
  <c r="D28" i="1904"/>
  <c r="R27" i="1904"/>
  <c r="D27" i="1904"/>
  <c r="R26" i="1904"/>
  <c r="L26" i="1904"/>
  <c r="D26" i="1904" s="1"/>
  <c r="R25" i="1904"/>
  <c r="L25" i="1904"/>
  <c r="D25" i="1904" s="1"/>
  <c r="R24" i="1904"/>
  <c r="L24" i="1904"/>
  <c r="D24" i="1904" s="1"/>
  <c r="R23" i="1904"/>
  <c r="R22" i="1904"/>
  <c r="L22" i="1904"/>
  <c r="D22" i="1904"/>
  <c r="R21" i="1904"/>
  <c r="L17" i="1904" s="1"/>
  <c r="D17" i="1904" s="1"/>
  <c r="D21" i="1904"/>
  <c r="R20" i="1904"/>
  <c r="L20" i="1904"/>
  <c r="D20" i="1904" s="1"/>
  <c r="R19" i="1904"/>
  <c r="R18" i="1904"/>
  <c r="D18" i="1904"/>
  <c r="R17" i="1904"/>
  <c r="R16" i="1904"/>
  <c r="L16" i="1904"/>
  <c r="D16" i="1904"/>
  <c r="R15" i="1904"/>
  <c r="D15" i="1904"/>
  <c r="R14" i="1904"/>
  <c r="D14" i="1904"/>
  <c r="R13" i="1904"/>
  <c r="D13" i="1904"/>
  <c r="R12" i="1904"/>
  <c r="R11" i="1904"/>
  <c r="L10" i="1904"/>
  <c r="D10" i="1904" s="1"/>
  <c r="L9" i="1904"/>
  <c r="D9" i="1904"/>
  <c r="L8" i="1904"/>
  <c r="D8" i="1904"/>
  <c r="L7" i="1904"/>
  <c r="D7" i="1904" s="1"/>
  <c r="R6" i="1904"/>
  <c r="L6" i="1904"/>
  <c r="D6" i="1904" s="1"/>
  <c r="D29" i="1904" s="1"/>
  <c r="H13" i="1904" s="1"/>
  <c r="H15" i="1904" s="1"/>
  <c r="H29" i="1904" s="1"/>
  <c r="R5" i="1904"/>
  <c r="R4" i="1904"/>
  <c r="R52" i="1903"/>
  <c r="R51" i="1903"/>
  <c r="D50" i="1903"/>
  <c r="R49" i="1903"/>
  <c r="D49" i="1903"/>
  <c r="R48" i="1903"/>
  <c r="D48" i="1903"/>
  <c r="D46" i="1903"/>
  <c r="D45" i="1903"/>
  <c r="R44" i="1903"/>
  <c r="D44" i="1903"/>
  <c r="R42" i="1903"/>
  <c r="D42" i="1903"/>
  <c r="R41" i="1903"/>
  <c r="D41" i="1903"/>
  <c r="R40" i="1903"/>
  <c r="L8" i="1903" s="1"/>
  <c r="D8" i="1903" s="1"/>
  <c r="D40" i="1903"/>
  <c r="R39" i="1903"/>
  <c r="H39" i="1903"/>
  <c r="D39" i="1903"/>
  <c r="R38" i="1903"/>
  <c r="H38" i="1903"/>
  <c r="D38" i="1903"/>
  <c r="R37" i="1903"/>
  <c r="H37" i="1903"/>
  <c r="D37" i="1903"/>
  <c r="R36" i="1903"/>
  <c r="H36" i="1903"/>
  <c r="G49" i="1903" s="1"/>
  <c r="D36" i="1903"/>
  <c r="R35" i="1903"/>
  <c r="H35" i="1903"/>
  <c r="D35" i="1903"/>
  <c r="R34" i="1903"/>
  <c r="H34" i="1903"/>
  <c r="D34" i="1903"/>
  <c r="D54" i="1903" s="1"/>
  <c r="H14" i="1903" s="1"/>
  <c r="R33" i="1903"/>
  <c r="R32" i="1903"/>
  <c r="R31" i="1903"/>
  <c r="R30" i="1903"/>
  <c r="R29" i="1903"/>
  <c r="R28" i="1903"/>
  <c r="L16" i="1903" s="1"/>
  <c r="D16" i="1903" s="1"/>
  <c r="L28" i="1903"/>
  <c r="D28" i="1903"/>
  <c r="R27" i="1903"/>
  <c r="D27" i="1903"/>
  <c r="R26" i="1903"/>
  <c r="L26" i="1903"/>
  <c r="D26" i="1903" s="1"/>
  <c r="R25" i="1903"/>
  <c r="L25" i="1903"/>
  <c r="D25" i="1903" s="1"/>
  <c r="R24" i="1903"/>
  <c r="L24" i="1903"/>
  <c r="D24" i="1903" s="1"/>
  <c r="R23" i="1903"/>
  <c r="D23" i="1903"/>
  <c r="R22" i="1903"/>
  <c r="D22" i="1903"/>
  <c r="R21" i="1903"/>
  <c r="D21" i="1903"/>
  <c r="R20" i="1903"/>
  <c r="L20" i="1903"/>
  <c r="D20" i="1903" s="1"/>
  <c r="R19" i="1903"/>
  <c r="D19" i="1903"/>
  <c r="R18" i="1903"/>
  <c r="D18" i="1903"/>
  <c r="R17" i="1903"/>
  <c r="L17" i="1903"/>
  <c r="D17" i="1903" s="1"/>
  <c r="R16" i="1903"/>
  <c r="R15" i="1903"/>
  <c r="D15" i="1903"/>
  <c r="R14" i="1903"/>
  <c r="D14" i="1903"/>
  <c r="R13" i="1903"/>
  <c r="D13" i="1903"/>
  <c r="R12" i="1903"/>
  <c r="L12" i="1903"/>
  <c r="D12" i="1903"/>
  <c r="R11" i="1903"/>
  <c r="L11" i="1903"/>
  <c r="D11" i="1903" s="1"/>
  <c r="L10" i="1903"/>
  <c r="D10" i="1903"/>
  <c r="L9" i="1903"/>
  <c r="D9" i="1903" s="1"/>
  <c r="L7" i="1903"/>
  <c r="D7" i="1903" s="1"/>
  <c r="R6" i="1903"/>
  <c r="L6" i="1903"/>
  <c r="D6" i="1903" s="1"/>
  <c r="R5" i="1903"/>
  <c r="R4" i="1903"/>
  <c r="R52" i="1902"/>
  <c r="R51" i="1902"/>
  <c r="D50" i="1902"/>
  <c r="R49" i="1902"/>
  <c r="G49" i="1902"/>
  <c r="D49" i="1902"/>
  <c r="R48" i="1902"/>
  <c r="D48" i="1902"/>
  <c r="D46" i="1902"/>
  <c r="D45" i="1902"/>
  <c r="D44" i="1902"/>
  <c r="R42" i="1902"/>
  <c r="L6" i="1902" s="1"/>
  <c r="D6" i="1902" s="1"/>
  <c r="D42" i="1902"/>
  <c r="R41" i="1902"/>
  <c r="D41" i="1902"/>
  <c r="R40" i="1902"/>
  <c r="D40" i="1902"/>
  <c r="R39" i="1902"/>
  <c r="D39" i="1902"/>
  <c r="R38" i="1902"/>
  <c r="D38" i="1902"/>
  <c r="R37" i="1902"/>
  <c r="D37" i="1902"/>
  <c r="R36" i="1902"/>
  <c r="L10" i="1902" s="1"/>
  <c r="D10" i="1902" s="1"/>
  <c r="D36" i="1902"/>
  <c r="R35" i="1902"/>
  <c r="L19" i="1902" s="1"/>
  <c r="D19" i="1902" s="1"/>
  <c r="D35" i="1902"/>
  <c r="R34" i="1902"/>
  <c r="L12" i="1902" s="1"/>
  <c r="D12" i="1902" s="1"/>
  <c r="D34" i="1902"/>
  <c r="D54" i="1902" s="1"/>
  <c r="H14" i="1902" s="1"/>
  <c r="R33" i="1902"/>
  <c r="L23" i="1902" s="1"/>
  <c r="D23" i="1902" s="1"/>
  <c r="R32" i="1902"/>
  <c r="R31" i="1902"/>
  <c r="R30" i="1902"/>
  <c r="R29" i="1902"/>
  <c r="R28" i="1902"/>
  <c r="L16" i="1902" s="1"/>
  <c r="D16" i="1902" s="1"/>
  <c r="D28" i="1902"/>
  <c r="R27" i="1902"/>
  <c r="D27" i="1902"/>
  <c r="R26" i="1902"/>
  <c r="L26" i="1902"/>
  <c r="D26" i="1902" s="1"/>
  <c r="R25" i="1902"/>
  <c r="L25" i="1902"/>
  <c r="D25" i="1902"/>
  <c r="R24" i="1902"/>
  <c r="D24" i="1902"/>
  <c r="R23" i="1902"/>
  <c r="R22" i="1902"/>
  <c r="L22" i="1902"/>
  <c r="D22" i="1902"/>
  <c r="R21" i="1902"/>
  <c r="D21" i="1902"/>
  <c r="R20" i="1902"/>
  <c r="L20" i="1902"/>
  <c r="D20" i="1902" s="1"/>
  <c r="R19" i="1902"/>
  <c r="R18" i="1902"/>
  <c r="D18" i="1902"/>
  <c r="R17" i="1902"/>
  <c r="D17" i="1902"/>
  <c r="R16" i="1902"/>
  <c r="S15" i="1902"/>
  <c r="R15" i="1902"/>
  <c r="D15" i="1902"/>
  <c r="S14" i="1902"/>
  <c r="R14" i="1902"/>
  <c r="D14" i="1902"/>
  <c r="R13" i="1902"/>
  <c r="D13" i="1902"/>
  <c r="R12" i="1902"/>
  <c r="R11" i="1902"/>
  <c r="L11" i="1902"/>
  <c r="D11" i="1902" s="1"/>
  <c r="L9" i="1902"/>
  <c r="D9" i="1902"/>
  <c r="L8" i="1902"/>
  <c r="D8" i="1902"/>
  <c r="L7" i="1902"/>
  <c r="D7" i="1902" s="1"/>
  <c r="R6" i="1902"/>
  <c r="R5" i="1902"/>
  <c r="R4" i="1902"/>
  <c r="R52" i="1901"/>
  <c r="L22" i="1901" s="1"/>
  <c r="D22" i="1901" s="1"/>
  <c r="R51" i="1901"/>
  <c r="D50" i="1901"/>
  <c r="R49" i="1901"/>
  <c r="D49" i="1901"/>
  <c r="R48" i="1901"/>
  <c r="D48" i="1901"/>
  <c r="D46" i="1901"/>
  <c r="D45" i="1901"/>
  <c r="R44" i="1901"/>
  <c r="D44" i="1901"/>
  <c r="R42" i="1901"/>
  <c r="D42" i="1901"/>
  <c r="R41" i="1901"/>
  <c r="L7" i="1901" s="1"/>
  <c r="D7" i="1901" s="1"/>
  <c r="D41" i="1901"/>
  <c r="R40" i="1901"/>
  <c r="D40" i="1901"/>
  <c r="R39" i="1901"/>
  <c r="H39" i="1901"/>
  <c r="D39" i="1901"/>
  <c r="R38" i="1901"/>
  <c r="L9" i="1901" s="1"/>
  <c r="D9" i="1901" s="1"/>
  <c r="H38" i="1901"/>
  <c r="G49" i="1901" s="1"/>
  <c r="D38" i="1901"/>
  <c r="R37" i="1901"/>
  <c r="H37" i="1901"/>
  <c r="D37" i="1901"/>
  <c r="R36" i="1901"/>
  <c r="L10" i="1901" s="1"/>
  <c r="D10" i="1901" s="1"/>
  <c r="H36" i="1901"/>
  <c r="D36" i="1901"/>
  <c r="R35" i="1901"/>
  <c r="H35" i="1901"/>
  <c r="D35" i="1901"/>
  <c r="R34" i="1901"/>
  <c r="H34" i="1901"/>
  <c r="D34" i="1901"/>
  <c r="D54" i="1901" s="1"/>
  <c r="H14" i="1901" s="1"/>
  <c r="R33" i="1901"/>
  <c r="L23" i="1901" s="1"/>
  <c r="D23" i="1901" s="1"/>
  <c r="R32" i="1901"/>
  <c r="L11" i="1901" s="1"/>
  <c r="D11" i="1901" s="1"/>
  <c r="R31" i="1901"/>
  <c r="R30" i="1901"/>
  <c r="R29" i="1901"/>
  <c r="R28" i="1901"/>
  <c r="L28" i="1901"/>
  <c r="D28" i="1901"/>
  <c r="R27" i="1901"/>
  <c r="D27" i="1901"/>
  <c r="R26" i="1901"/>
  <c r="L26" i="1901"/>
  <c r="D26" i="1901"/>
  <c r="R25" i="1901"/>
  <c r="L25" i="1901"/>
  <c r="D25" i="1901"/>
  <c r="R24" i="1901"/>
  <c r="D24" i="1901"/>
  <c r="R23" i="1901"/>
  <c r="R22" i="1901"/>
  <c r="R21" i="1901"/>
  <c r="D21" i="1901"/>
  <c r="R20" i="1901"/>
  <c r="L20" i="1901"/>
  <c r="D20" i="1901"/>
  <c r="R19" i="1901"/>
  <c r="L19" i="1901"/>
  <c r="D19" i="1901"/>
  <c r="R18" i="1901"/>
  <c r="D18" i="1901"/>
  <c r="R17" i="1901"/>
  <c r="D17" i="1901"/>
  <c r="R16" i="1901"/>
  <c r="L16" i="1901"/>
  <c r="D16" i="1901" s="1"/>
  <c r="R15" i="1901"/>
  <c r="D15" i="1901"/>
  <c r="R14" i="1901"/>
  <c r="D14" i="1901"/>
  <c r="R13" i="1901"/>
  <c r="D13" i="1901"/>
  <c r="R12" i="1901"/>
  <c r="L12" i="1901"/>
  <c r="D12" i="1901" s="1"/>
  <c r="R11" i="1901"/>
  <c r="L8" i="1901"/>
  <c r="D8" i="1901" s="1"/>
  <c r="R6" i="1901"/>
  <c r="L6" i="1901"/>
  <c r="D6" i="1901"/>
  <c r="R5" i="1901"/>
  <c r="R4" i="1901"/>
  <c r="R52" i="1900"/>
  <c r="R51" i="1900"/>
  <c r="D50" i="1900"/>
  <c r="R49" i="1900"/>
  <c r="G49" i="1900"/>
  <c r="D49" i="1900"/>
  <c r="R48" i="1900"/>
  <c r="D48" i="1900"/>
  <c r="D46" i="1900"/>
  <c r="D45" i="1900"/>
  <c r="R44" i="1900"/>
  <c r="D44" i="1900"/>
  <c r="R42" i="1900"/>
  <c r="L6" i="1900" s="1"/>
  <c r="D6" i="1900" s="1"/>
  <c r="D42" i="1900"/>
  <c r="R41" i="1900"/>
  <c r="D41" i="1900"/>
  <c r="R40" i="1900"/>
  <c r="D40" i="1900"/>
  <c r="R39" i="1900"/>
  <c r="L20" i="1900" s="1"/>
  <c r="D20" i="1900" s="1"/>
  <c r="H39" i="1900"/>
  <c r="D39" i="1900"/>
  <c r="R38" i="1900"/>
  <c r="H38" i="1900"/>
  <c r="D38" i="1900"/>
  <c r="R37" i="1900"/>
  <c r="H37" i="1900"/>
  <c r="D37" i="1900"/>
  <c r="R36" i="1900"/>
  <c r="L10" i="1900" s="1"/>
  <c r="D10" i="1900" s="1"/>
  <c r="H36" i="1900"/>
  <c r="D36" i="1900"/>
  <c r="R35" i="1900"/>
  <c r="H35" i="1900"/>
  <c r="D35" i="1900"/>
  <c r="R34" i="1900"/>
  <c r="L12" i="1900" s="1"/>
  <c r="D12" i="1900" s="1"/>
  <c r="H34" i="1900"/>
  <c r="D34" i="1900"/>
  <c r="D54" i="1900" s="1"/>
  <c r="H14" i="1900" s="1"/>
  <c r="R33" i="1900"/>
  <c r="L23" i="1900" s="1"/>
  <c r="D23" i="1900" s="1"/>
  <c r="R32" i="1900"/>
  <c r="R31" i="1900"/>
  <c r="R30" i="1900"/>
  <c r="R29" i="1900"/>
  <c r="R28" i="1900"/>
  <c r="L28" i="1900"/>
  <c r="D28" i="1900"/>
  <c r="R27" i="1900"/>
  <c r="D27" i="1900"/>
  <c r="R26" i="1900"/>
  <c r="L26" i="1900"/>
  <c r="D26" i="1900"/>
  <c r="R25" i="1900"/>
  <c r="L25" i="1900"/>
  <c r="D25" i="1900" s="1"/>
  <c r="R24" i="1900"/>
  <c r="L24" i="1900"/>
  <c r="D24" i="1900"/>
  <c r="R23" i="1900"/>
  <c r="R22" i="1900"/>
  <c r="L22" i="1900"/>
  <c r="D22" i="1900" s="1"/>
  <c r="R21" i="1900"/>
  <c r="L17" i="1900" s="1"/>
  <c r="D17" i="1900" s="1"/>
  <c r="D21" i="1900"/>
  <c r="R20" i="1900"/>
  <c r="R19" i="1900"/>
  <c r="L19" i="1900"/>
  <c r="D19" i="1900" s="1"/>
  <c r="R18" i="1900"/>
  <c r="D18" i="1900"/>
  <c r="R17" i="1900"/>
  <c r="R16" i="1900"/>
  <c r="L16" i="1900"/>
  <c r="D16" i="1900" s="1"/>
  <c r="R15" i="1900"/>
  <c r="D15" i="1900"/>
  <c r="R14" i="1900"/>
  <c r="D14" i="1900"/>
  <c r="R13" i="1900"/>
  <c r="D13" i="1900"/>
  <c r="R12" i="1900"/>
  <c r="R11" i="1900"/>
  <c r="L11" i="1900"/>
  <c r="D11" i="1900"/>
  <c r="L9" i="1900"/>
  <c r="D9" i="1900"/>
  <c r="L8" i="1900"/>
  <c r="D8" i="1900" s="1"/>
  <c r="L7" i="1900"/>
  <c r="D7" i="1900" s="1"/>
  <c r="R6" i="1900"/>
  <c r="R5" i="1900"/>
  <c r="R4" i="1900"/>
  <c r="R52" i="1899"/>
  <c r="R51" i="1899"/>
  <c r="D50" i="1899"/>
  <c r="R49" i="1899"/>
  <c r="D49" i="1899"/>
  <c r="R48" i="1899"/>
  <c r="D48" i="1899"/>
  <c r="D46" i="1899"/>
  <c r="D45" i="1899"/>
  <c r="R44" i="1899"/>
  <c r="D44" i="1899"/>
  <c r="R42" i="1899"/>
  <c r="D42" i="1899"/>
  <c r="R41" i="1899"/>
  <c r="D41" i="1899"/>
  <c r="R40" i="1899"/>
  <c r="L8" i="1899" s="1"/>
  <c r="D8" i="1899" s="1"/>
  <c r="D40" i="1899"/>
  <c r="R39" i="1899"/>
  <c r="L20" i="1899" s="1"/>
  <c r="D20" i="1899" s="1"/>
  <c r="H39" i="1899"/>
  <c r="D39" i="1899"/>
  <c r="R38" i="1899"/>
  <c r="L9" i="1899" s="1"/>
  <c r="D9" i="1899" s="1"/>
  <c r="H38" i="1899"/>
  <c r="D38" i="1899"/>
  <c r="R37" i="1899"/>
  <c r="H37" i="1899"/>
  <c r="G49" i="1899" s="1"/>
  <c r="D37" i="1899"/>
  <c r="R36" i="1899"/>
  <c r="H36" i="1899"/>
  <c r="D36" i="1899"/>
  <c r="R35" i="1899"/>
  <c r="H35" i="1899"/>
  <c r="D35" i="1899"/>
  <c r="R34" i="1899"/>
  <c r="H34" i="1899"/>
  <c r="D34" i="1899"/>
  <c r="D54" i="1899" s="1"/>
  <c r="H14" i="1899" s="1"/>
  <c r="R33" i="1899"/>
  <c r="R32" i="1899"/>
  <c r="R31" i="1899"/>
  <c r="R30" i="1899"/>
  <c r="R29" i="1899"/>
  <c r="R28" i="1899"/>
  <c r="L16" i="1899" s="1"/>
  <c r="D16" i="1899" s="1"/>
  <c r="L28" i="1899"/>
  <c r="D28" i="1899"/>
  <c r="R27" i="1899"/>
  <c r="D27" i="1899"/>
  <c r="R26" i="1899"/>
  <c r="L26" i="1899"/>
  <c r="D26" i="1899"/>
  <c r="R25" i="1899"/>
  <c r="L25" i="1899"/>
  <c r="D25" i="1899" s="1"/>
  <c r="R24" i="1899"/>
  <c r="L24" i="1899"/>
  <c r="D24" i="1899"/>
  <c r="R23" i="1899"/>
  <c r="D23" i="1899"/>
  <c r="R22" i="1899"/>
  <c r="D22" i="1899"/>
  <c r="R21" i="1899"/>
  <c r="D21" i="1899"/>
  <c r="R20" i="1899"/>
  <c r="R19" i="1899"/>
  <c r="D19" i="1899"/>
  <c r="R18" i="1899"/>
  <c r="D18" i="1899"/>
  <c r="R17" i="1899"/>
  <c r="L17" i="1899"/>
  <c r="D17" i="1899"/>
  <c r="R16" i="1899"/>
  <c r="R15" i="1899"/>
  <c r="D15" i="1899"/>
  <c r="R14" i="1899"/>
  <c r="D14" i="1899"/>
  <c r="R13" i="1899"/>
  <c r="D13" i="1899"/>
  <c r="R12" i="1899"/>
  <c r="L12" i="1899"/>
  <c r="D12" i="1899"/>
  <c r="R11" i="1899"/>
  <c r="L11" i="1899"/>
  <c r="D11" i="1899" s="1"/>
  <c r="L10" i="1899"/>
  <c r="D10" i="1899" s="1"/>
  <c r="L7" i="1899"/>
  <c r="D7" i="1899"/>
  <c r="R6" i="1899"/>
  <c r="L6" i="1899"/>
  <c r="D6" i="1899" s="1"/>
  <c r="R5" i="1899"/>
  <c r="R4" i="1899"/>
  <c r="R52" i="1898"/>
  <c r="R51" i="1898"/>
  <c r="D50" i="1898"/>
  <c r="R49" i="1898"/>
  <c r="G49" i="1898"/>
  <c r="D49" i="1898"/>
  <c r="R48" i="1898"/>
  <c r="D48" i="1898"/>
  <c r="D46" i="1898"/>
  <c r="D45" i="1898"/>
  <c r="D44" i="1898"/>
  <c r="R42" i="1898"/>
  <c r="L6" i="1898" s="1"/>
  <c r="D6" i="1898" s="1"/>
  <c r="D42" i="1898"/>
  <c r="R41" i="1898"/>
  <c r="L7" i="1898" s="1"/>
  <c r="D7" i="1898" s="1"/>
  <c r="D41" i="1898"/>
  <c r="R40" i="1898"/>
  <c r="D40" i="1898"/>
  <c r="R39" i="1898"/>
  <c r="D39" i="1898"/>
  <c r="R38" i="1898"/>
  <c r="L9" i="1898" s="1"/>
  <c r="D9" i="1898" s="1"/>
  <c r="D38" i="1898"/>
  <c r="R37" i="1898"/>
  <c r="D37" i="1898"/>
  <c r="R36" i="1898"/>
  <c r="L10" i="1898" s="1"/>
  <c r="D10" i="1898" s="1"/>
  <c r="D36" i="1898"/>
  <c r="R35" i="1898"/>
  <c r="D35" i="1898"/>
  <c r="R34" i="1898"/>
  <c r="L12" i="1898" s="1"/>
  <c r="D12" i="1898" s="1"/>
  <c r="D34" i="1898"/>
  <c r="D54" i="1898" s="1"/>
  <c r="H14" i="1898" s="1"/>
  <c r="R33" i="1898"/>
  <c r="L23" i="1898" s="1"/>
  <c r="D23" i="1898" s="1"/>
  <c r="R32" i="1898"/>
  <c r="R31" i="1898"/>
  <c r="R30" i="1898"/>
  <c r="R29" i="1898"/>
  <c r="R28" i="1898"/>
  <c r="D28" i="1898"/>
  <c r="R27" i="1898"/>
  <c r="D27" i="1898"/>
  <c r="R26" i="1898"/>
  <c r="L26" i="1898"/>
  <c r="D26" i="1898"/>
  <c r="R25" i="1898"/>
  <c r="L25" i="1898"/>
  <c r="D25" i="1898"/>
  <c r="R24" i="1898"/>
  <c r="D24" i="1898"/>
  <c r="R23" i="1898"/>
  <c r="R22" i="1898"/>
  <c r="L22" i="1898"/>
  <c r="D22" i="1898" s="1"/>
  <c r="R21" i="1898"/>
  <c r="D21" i="1898"/>
  <c r="R20" i="1898"/>
  <c r="L20" i="1898"/>
  <c r="D20" i="1898"/>
  <c r="R19" i="1898"/>
  <c r="L19" i="1898"/>
  <c r="D19" i="1898"/>
  <c r="R18" i="1898"/>
  <c r="D18" i="1898"/>
  <c r="R17" i="1898"/>
  <c r="D17" i="1898"/>
  <c r="R16" i="1898"/>
  <c r="L16" i="1898"/>
  <c r="D16" i="1898" s="1"/>
  <c r="S15" i="1898"/>
  <c r="R15" i="1898"/>
  <c r="D15" i="1898"/>
  <c r="S14" i="1898"/>
  <c r="R14" i="1898"/>
  <c r="D14" i="1898"/>
  <c r="R13" i="1898"/>
  <c r="D13" i="1898"/>
  <c r="R12" i="1898"/>
  <c r="R11" i="1898"/>
  <c r="L11" i="1898"/>
  <c r="D11" i="1898" s="1"/>
  <c r="L8" i="1898"/>
  <c r="D8" i="1898"/>
  <c r="R6" i="1898"/>
  <c r="R5" i="1898"/>
  <c r="R4" i="1898"/>
  <c r="R52" i="1897"/>
  <c r="L22" i="1897" s="1"/>
  <c r="D22" i="1897" s="1"/>
  <c r="R51" i="1897"/>
  <c r="D50" i="1897"/>
  <c r="R49" i="1897"/>
  <c r="D49" i="1897"/>
  <c r="R48" i="1897"/>
  <c r="D48" i="1897"/>
  <c r="D46" i="1897"/>
  <c r="D45" i="1897"/>
  <c r="R44" i="1897"/>
  <c r="D44" i="1897"/>
  <c r="R42" i="1897"/>
  <c r="D42" i="1897"/>
  <c r="R41" i="1897"/>
  <c r="D41" i="1897"/>
  <c r="R40" i="1897"/>
  <c r="D40" i="1897"/>
  <c r="R39" i="1897"/>
  <c r="H39" i="1897"/>
  <c r="D39" i="1897"/>
  <c r="R38" i="1897"/>
  <c r="L9" i="1897" s="1"/>
  <c r="D9" i="1897" s="1"/>
  <c r="H38" i="1897"/>
  <c r="D38" i="1897"/>
  <c r="R37" i="1897"/>
  <c r="H37" i="1897"/>
  <c r="G49" i="1897" s="1"/>
  <c r="D37" i="1897"/>
  <c r="R36" i="1897"/>
  <c r="L10" i="1897" s="1"/>
  <c r="D10" i="1897" s="1"/>
  <c r="H36" i="1897"/>
  <c r="D36" i="1897"/>
  <c r="R35" i="1897"/>
  <c r="H35" i="1897"/>
  <c r="D35" i="1897"/>
  <c r="R34" i="1897"/>
  <c r="H34" i="1897"/>
  <c r="D34" i="1897"/>
  <c r="D54" i="1897" s="1"/>
  <c r="H14" i="1897" s="1"/>
  <c r="R33" i="1897"/>
  <c r="R32" i="1897"/>
  <c r="L11" i="1897" s="1"/>
  <c r="D11" i="1897" s="1"/>
  <c r="R31" i="1897"/>
  <c r="R30" i="1897"/>
  <c r="R29" i="1897"/>
  <c r="R28" i="1897"/>
  <c r="L28" i="1897"/>
  <c r="D28" i="1897"/>
  <c r="R27" i="1897"/>
  <c r="D27" i="1897"/>
  <c r="R26" i="1897"/>
  <c r="L26" i="1897"/>
  <c r="D26" i="1897"/>
  <c r="R25" i="1897"/>
  <c r="L25" i="1897"/>
  <c r="D25" i="1897" s="1"/>
  <c r="R24" i="1897"/>
  <c r="D24" i="1897"/>
  <c r="R23" i="1897"/>
  <c r="L23" i="1897"/>
  <c r="D23" i="1897" s="1"/>
  <c r="R22" i="1897"/>
  <c r="R21" i="1897"/>
  <c r="D21" i="1897"/>
  <c r="R20" i="1897"/>
  <c r="L20" i="1897"/>
  <c r="D20" i="1897"/>
  <c r="R19" i="1897"/>
  <c r="L19" i="1897"/>
  <c r="D19" i="1897" s="1"/>
  <c r="R18" i="1897"/>
  <c r="D18" i="1897"/>
  <c r="R17" i="1897"/>
  <c r="D17" i="1897"/>
  <c r="R16" i="1897"/>
  <c r="L16" i="1897"/>
  <c r="D16" i="1897" s="1"/>
  <c r="R15" i="1897"/>
  <c r="D15" i="1897"/>
  <c r="R14" i="1897"/>
  <c r="D14" i="1897"/>
  <c r="R13" i="1897"/>
  <c r="D13" i="1897"/>
  <c r="R12" i="1897"/>
  <c r="L12" i="1897"/>
  <c r="D12" i="1897"/>
  <c r="R11" i="1897"/>
  <c r="L8" i="1897"/>
  <c r="D8" i="1897"/>
  <c r="L7" i="1897"/>
  <c r="D7" i="1897"/>
  <c r="R6" i="1897"/>
  <c r="L6" i="1897"/>
  <c r="D6" i="1897"/>
  <c r="R5" i="1897"/>
  <c r="R4" i="1897"/>
  <c r="R52" i="1896"/>
  <c r="R51" i="1896"/>
  <c r="D50" i="1896"/>
  <c r="R49" i="1896"/>
  <c r="G49" i="1896"/>
  <c r="D49" i="1896"/>
  <c r="R48" i="1896"/>
  <c r="D48" i="1896"/>
  <c r="D46" i="1896"/>
  <c r="D45" i="1896"/>
  <c r="R44" i="1896"/>
  <c r="L28" i="1896" s="1"/>
  <c r="D28" i="1896" s="1"/>
  <c r="D44" i="1896"/>
  <c r="R42" i="1896"/>
  <c r="D42" i="1896"/>
  <c r="R41" i="1896"/>
  <c r="D41" i="1896"/>
  <c r="R40" i="1896"/>
  <c r="D40" i="1896"/>
  <c r="R39" i="1896"/>
  <c r="H39" i="1896"/>
  <c r="D39" i="1896"/>
  <c r="R38" i="1896"/>
  <c r="H38" i="1896"/>
  <c r="D38" i="1896"/>
  <c r="R37" i="1896"/>
  <c r="H37" i="1896"/>
  <c r="D37" i="1896"/>
  <c r="R36" i="1896"/>
  <c r="H36" i="1896"/>
  <c r="D36" i="1896"/>
  <c r="R35" i="1896"/>
  <c r="L19" i="1896" s="1"/>
  <c r="D19" i="1896" s="1"/>
  <c r="H35" i="1896"/>
  <c r="D35" i="1896"/>
  <c r="R34" i="1896"/>
  <c r="H34" i="1896"/>
  <c r="D34" i="1896"/>
  <c r="D54" i="1896" s="1"/>
  <c r="H14" i="1896" s="1"/>
  <c r="R33" i="1896"/>
  <c r="L23" i="1896" s="1"/>
  <c r="D23" i="1896" s="1"/>
  <c r="R32" i="1896"/>
  <c r="R31" i="1896"/>
  <c r="R30" i="1896"/>
  <c r="R29" i="1896"/>
  <c r="R28" i="1896"/>
  <c r="L16" i="1896" s="1"/>
  <c r="D16" i="1896" s="1"/>
  <c r="R27" i="1896"/>
  <c r="D27" i="1896"/>
  <c r="R26" i="1896"/>
  <c r="L26" i="1896"/>
  <c r="D26" i="1896"/>
  <c r="R25" i="1896"/>
  <c r="L25" i="1896"/>
  <c r="D25" i="1896" s="1"/>
  <c r="R24" i="1896"/>
  <c r="L24" i="1896"/>
  <c r="D24" i="1896"/>
  <c r="R23" i="1896"/>
  <c r="R22" i="1896"/>
  <c r="L22" i="1896"/>
  <c r="D22" i="1896"/>
  <c r="R21" i="1896"/>
  <c r="L17" i="1896" s="1"/>
  <c r="D17" i="1896" s="1"/>
  <c r="D21" i="1896"/>
  <c r="R20" i="1896"/>
  <c r="L20" i="1896"/>
  <c r="D20" i="1896"/>
  <c r="R19" i="1896"/>
  <c r="R18" i="1896"/>
  <c r="D18" i="1896"/>
  <c r="R17" i="1896"/>
  <c r="R16" i="1896"/>
  <c r="R15" i="1896"/>
  <c r="D15" i="1896"/>
  <c r="R14" i="1896"/>
  <c r="D14" i="1896"/>
  <c r="R13" i="1896"/>
  <c r="D13" i="1896"/>
  <c r="R12" i="1896"/>
  <c r="L12" i="1896"/>
  <c r="D12" i="1896" s="1"/>
  <c r="R11" i="1896"/>
  <c r="L11" i="1896"/>
  <c r="D11" i="1896"/>
  <c r="L10" i="1896"/>
  <c r="D10" i="1896" s="1"/>
  <c r="L9" i="1896"/>
  <c r="D9" i="1896"/>
  <c r="L8" i="1896"/>
  <c r="D8" i="1896"/>
  <c r="L7" i="1896"/>
  <c r="D7" i="1896" s="1"/>
  <c r="R6" i="1896"/>
  <c r="L6" i="1896"/>
  <c r="D6" i="1896"/>
  <c r="R5" i="1896"/>
  <c r="R4" i="1896"/>
  <c r="R52" i="1895"/>
  <c r="R51" i="1895"/>
  <c r="D50" i="1895"/>
  <c r="R49" i="1895"/>
  <c r="D49" i="1895"/>
  <c r="R48" i="1895"/>
  <c r="D48" i="1895"/>
  <c r="D46" i="1895"/>
  <c r="D45" i="1895"/>
  <c r="R44" i="1895"/>
  <c r="L28" i="1895" s="1"/>
  <c r="D28" i="1895" s="1"/>
  <c r="D44" i="1895"/>
  <c r="R42" i="1895"/>
  <c r="D42" i="1895"/>
  <c r="R41" i="1895"/>
  <c r="D41" i="1895"/>
  <c r="R40" i="1895"/>
  <c r="L8" i="1895" s="1"/>
  <c r="D8" i="1895" s="1"/>
  <c r="D40" i="1895"/>
  <c r="R39" i="1895"/>
  <c r="L20" i="1895" s="1"/>
  <c r="D20" i="1895" s="1"/>
  <c r="H39" i="1895"/>
  <c r="D39" i="1895"/>
  <c r="R38" i="1895"/>
  <c r="L9" i="1895" s="1"/>
  <c r="D9" i="1895" s="1"/>
  <c r="H38" i="1895"/>
  <c r="D38" i="1895"/>
  <c r="R37" i="1895"/>
  <c r="H37" i="1895"/>
  <c r="D37" i="1895"/>
  <c r="R36" i="1895"/>
  <c r="H36" i="1895"/>
  <c r="D36" i="1895"/>
  <c r="R35" i="1895"/>
  <c r="H35" i="1895"/>
  <c r="D35" i="1895"/>
  <c r="R34" i="1895"/>
  <c r="H34" i="1895"/>
  <c r="G49" i="1895" s="1"/>
  <c r="D34" i="1895"/>
  <c r="D54" i="1895" s="1"/>
  <c r="H14" i="1895" s="1"/>
  <c r="R33" i="1895"/>
  <c r="R32" i="1895"/>
  <c r="L11" i="1895" s="1"/>
  <c r="D11" i="1895" s="1"/>
  <c r="R31" i="1895"/>
  <c r="R30" i="1895"/>
  <c r="R29" i="1895"/>
  <c r="R28" i="1895"/>
  <c r="L16" i="1895" s="1"/>
  <c r="D16" i="1895" s="1"/>
  <c r="R27" i="1895"/>
  <c r="D27" i="1895"/>
  <c r="R26" i="1895"/>
  <c r="L26" i="1895"/>
  <c r="D26" i="1895"/>
  <c r="R25" i="1895"/>
  <c r="L25" i="1895"/>
  <c r="D25" i="1895"/>
  <c r="R24" i="1895"/>
  <c r="L24" i="1895"/>
  <c r="D24" i="1895"/>
  <c r="R23" i="1895"/>
  <c r="D23" i="1895"/>
  <c r="R22" i="1895"/>
  <c r="D22" i="1895"/>
  <c r="R21" i="1895"/>
  <c r="D21" i="1895"/>
  <c r="R20" i="1895"/>
  <c r="R19" i="1895"/>
  <c r="D19" i="1895"/>
  <c r="R18" i="1895"/>
  <c r="D18" i="1895"/>
  <c r="R17" i="1895"/>
  <c r="L17" i="1895"/>
  <c r="D17" i="1895"/>
  <c r="R16" i="1895"/>
  <c r="R15" i="1895"/>
  <c r="D15" i="1895"/>
  <c r="R14" i="1895"/>
  <c r="D14" i="1895"/>
  <c r="R13" i="1895"/>
  <c r="D13" i="1895"/>
  <c r="R12" i="1895"/>
  <c r="L12" i="1895"/>
  <c r="D12" i="1895" s="1"/>
  <c r="R11" i="1895"/>
  <c r="L10" i="1895"/>
  <c r="D10" i="1895" s="1"/>
  <c r="L7" i="1895"/>
  <c r="D7" i="1895"/>
  <c r="R6" i="1895"/>
  <c r="L6" i="1895"/>
  <c r="D6" i="1895"/>
  <c r="R5" i="1895"/>
  <c r="R4" i="1895"/>
  <c r="D54" i="1894"/>
  <c r="H14" i="1894" s="1"/>
  <c r="R52" i="1894"/>
  <c r="R51" i="1894"/>
  <c r="D50" i="1894"/>
  <c r="R49" i="1894"/>
  <c r="G49" i="1894"/>
  <c r="D49" i="1894"/>
  <c r="R48" i="1894"/>
  <c r="D48" i="1894"/>
  <c r="D46" i="1894"/>
  <c r="D45" i="1894"/>
  <c r="D44" i="1894"/>
  <c r="R42" i="1894"/>
  <c r="L6" i="1894" s="1"/>
  <c r="D6" i="1894" s="1"/>
  <c r="D42" i="1894"/>
  <c r="R41" i="1894"/>
  <c r="L7" i="1894" s="1"/>
  <c r="D7" i="1894" s="1"/>
  <c r="D41" i="1894"/>
  <c r="R40" i="1894"/>
  <c r="D40" i="1894"/>
  <c r="R39" i="1894"/>
  <c r="D39" i="1894"/>
  <c r="R38" i="1894"/>
  <c r="L9" i="1894" s="1"/>
  <c r="D9" i="1894" s="1"/>
  <c r="D38" i="1894"/>
  <c r="R37" i="1894"/>
  <c r="D37" i="1894"/>
  <c r="R36" i="1894"/>
  <c r="D36" i="1894"/>
  <c r="R35" i="1894"/>
  <c r="D35" i="1894"/>
  <c r="R34" i="1894"/>
  <c r="L12" i="1894" s="1"/>
  <c r="D12" i="1894" s="1"/>
  <c r="D34" i="1894"/>
  <c r="R33" i="1894"/>
  <c r="L23" i="1894" s="1"/>
  <c r="D23" i="1894" s="1"/>
  <c r="R32" i="1894"/>
  <c r="L11" i="1894" s="1"/>
  <c r="D11" i="1894" s="1"/>
  <c r="R31" i="1894"/>
  <c r="R30" i="1894"/>
  <c r="R29" i="1894"/>
  <c r="R28" i="1894"/>
  <c r="D28" i="1894"/>
  <c r="R27" i="1894"/>
  <c r="D27" i="1894"/>
  <c r="R26" i="1894"/>
  <c r="L26" i="1894"/>
  <c r="D26" i="1894"/>
  <c r="R25" i="1894"/>
  <c r="L25" i="1894"/>
  <c r="D25" i="1894"/>
  <c r="R24" i="1894"/>
  <c r="D24" i="1894"/>
  <c r="R23" i="1894"/>
  <c r="R22" i="1894"/>
  <c r="L22" i="1894"/>
  <c r="D22" i="1894"/>
  <c r="R21" i="1894"/>
  <c r="D21" i="1894"/>
  <c r="R20" i="1894"/>
  <c r="L20" i="1894"/>
  <c r="D20" i="1894"/>
  <c r="R19" i="1894"/>
  <c r="L19" i="1894"/>
  <c r="D19" i="1894"/>
  <c r="R18" i="1894"/>
  <c r="D18" i="1894"/>
  <c r="R17" i="1894"/>
  <c r="D17" i="1894"/>
  <c r="R16" i="1894"/>
  <c r="L16" i="1894"/>
  <c r="D16" i="1894" s="1"/>
  <c r="S15" i="1894"/>
  <c r="R15" i="1894"/>
  <c r="D15" i="1894"/>
  <c r="S14" i="1894"/>
  <c r="R14" i="1894"/>
  <c r="D14" i="1894"/>
  <c r="R13" i="1894"/>
  <c r="D13" i="1894"/>
  <c r="R12" i="1894"/>
  <c r="R11" i="1894"/>
  <c r="L10" i="1894"/>
  <c r="D10" i="1894" s="1"/>
  <c r="L8" i="1894"/>
  <c r="D8" i="1894"/>
  <c r="R6" i="1894"/>
  <c r="R5" i="1894"/>
  <c r="R4" i="1894"/>
  <c r="R52" i="1893"/>
  <c r="R51" i="1893"/>
  <c r="D50" i="1893"/>
  <c r="R49" i="1893"/>
  <c r="G49" i="1893"/>
  <c r="D49" i="1893"/>
  <c r="R48" i="1893"/>
  <c r="D48" i="1893"/>
  <c r="D46" i="1893"/>
  <c r="D45" i="1893"/>
  <c r="R44" i="1893"/>
  <c r="L28" i="1893" s="1"/>
  <c r="D28" i="1893" s="1"/>
  <c r="D44" i="1893"/>
  <c r="R42" i="1893"/>
  <c r="L6" i="1893" s="1"/>
  <c r="D6" i="1893" s="1"/>
  <c r="D42" i="1893"/>
  <c r="R41" i="1893"/>
  <c r="D41" i="1893"/>
  <c r="R40" i="1893"/>
  <c r="D40" i="1893"/>
  <c r="R39" i="1893"/>
  <c r="H39" i="1893"/>
  <c r="D39" i="1893"/>
  <c r="R38" i="1893"/>
  <c r="L9" i="1893" s="1"/>
  <c r="D9" i="1893" s="1"/>
  <c r="H38" i="1893"/>
  <c r="D38" i="1893"/>
  <c r="R37" i="1893"/>
  <c r="H37" i="1893"/>
  <c r="D37" i="1893"/>
  <c r="R36" i="1893"/>
  <c r="H36" i="1893"/>
  <c r="D36" i="1893"/>
  <c r="R35" i="1893"/>
  <c r="H35" i="1893"/>
  <c r="D35" i="1893"/>
  <c r="R34" i="1893"/>
  <c r="L12" i="1893" s="1"/>
  <c r="D12" i="1893" s="1"/>
  <c r="H34" i="1893"/>
  <c r="D34" i="1893"/>
  <c r="D54" i="1893" s="1"/>
  <c r="H14" i="1893" s="1"/>
  <c r="R33" i="1893"/>
  <c r="L23" i="1893" s="1"/>
  <c r="D23" i="1893" s="1"/>
  <c r="R32" i="1893"/>
  <c r="R31" i="1893"/>
  <c r="R30" i="1893"/>
  <c r="R29" i="1893"/>
  <c r="R28" i="1893"/>
  <c r="R27" i="1893"/>
  <c r="D27" i="1893"/>
  <c r="R26" i="1893"/>
  <c r="L26" i="1893"/>
  <c r="D26" i="1893"/>
  <c r="R25" i="1893"/>
  <c r="L25" i="1893"/>
  <c r="D25" i="1893" s="1"/>
  <c r="R24" i="1893"/>
  <c r="D24" i="1893"/>
  <c r="R23" i="1893"/>
  <c r="R22" i="1893"/>
  <c r="L22" i="1893"/>
  <c r="D22" i="1893"/>
  <c r="R21" i="1893"/>
  <c r="D21" i="1893"/>
  <c r="R20" i="1893"/>
  <c r="L20" i="1893"/>
  <c r="D20" i="1893"/>
  <c r="R19" i="1893"/>
  <c r="L19" i="1893"/>
  <c r="D19" i="1893" s="1"/>
  <c r="R18" i="1893"/>
  <c r="D18" i="1893"/>
  <c r="R17" i="1893"/>
  <c r="D17" i="1893"/>
  <c r="R16" i="1893"/>
  <c r="L16" i="1893"/>
  <c r="D16" i="1893" s="1"/>
  <c r="R15" i="1893"/>
  <c r="D15" i="1893"/>
  <c r="R14" i="1893"/>
  <c r="D14" i="1893"/>
  <c r="R13" i="1893"/>
  <c r="D13" i="1893"/>
  <c r="R12" i="1893"/>
  <c r="R11" i="1893"/>
  <c r="L11" i="1893"/>
  <c r="D11" i="1893" s="1"/>
  <c r="L10" i="1893"/>
  <c r="D10" i="1893"/>
  <c r="L8" i="1893"/>
  <c r="D8" i="1893"/>
  <c r="L7" i="1893"/>
  <c r="D7" i="1893"/>
  <c r="R6" i="1893"/>
  <c r="R5" i="1893"/>
  <c r="R4" i="1893"/>
  <c r="R52" i="1892"/>
  <c r="R51" i="1892"/>
  <c r="D50" i="1892"/>
  <c r="R49" i="1892"/>
  <c r="D49" i="1892"/>
  <c r="R48" i="1892"/>
  <c r="D48" i="1892"/>
  <c r="D46" i="1892"/>
  <c r="D45" i="1892"/>
  <c r="R44" i="1892"/>
  <c r="L28" i="1892" s="1"/>
  <c r="D28" i="1892" s="1"/>
  <c r="D44" i="1892"/>
  <c r="R42" i="1892"/>
  <c r="L6" i="1892" s="1"/>
  <c r="D6" i="1892" s="1"/>
  <c r="D42" i="1892"/>
  <c r="R41" i="1892"/>
  <c r="L7" i="1892" s="1"/>
  <c r="D7" i="1892" s="1"/>
  <c r="D41" i="1892"/>
  <c r="R40" i="1892"/>
  <c r="L8" i="1892" s="1"/>
  <c r="D8" i="1892" s="1"/>
  <c r="D40" i="1892"/>
  <c r="R39" i="1892"/>
  <c r="H39" i="1892"/>
  <c r="D39" i="1892"/>
  <c r="R38" i="1892"/>
  <c r="H38" i="1892"/>
  <c r="D38" i="1892"/>
  <c r="R37" i="1892"/>
  <c r="H37" i="1892"/>
  <c r="D37" i="1892"/>
  <c r="R36" i="1892"/>
  <c r="H36" i="1892"/>
  <c r="D36" i="1892"/>
  <c r="R35" i="1892"/>
  <c r="L19" i="1892" s="1"/>
  <c r="D19" i="1892" s="1"/>
  <c r="H35" i="1892"/>
  <c r="G49" i="1892" s="1"/>
  <c r="D35" i="1892"/>
  <c r="D54" i="1892" s="1"/>
  <c r="H14" i="1892" s="1"/>
  <c r="R34" i="1892"/>
  <c r="L12" i="1892" s="1"/>
  <c r="D12" i="1892" s="1"/>
  <c r="H34" i="1892"/>
  <c r="D34" i="1892"/>
  <c r="R33" i="1892"/>
  <c r="R32" i="1892"/>
  <c r="R31" i="1892"/>
  <c r="R30" i="1892"/>
  <c r="R29" i="1892"/>
  <c r="R28" i="1892"/>
  <c r="R27" i="1892"/>
  <c r="D27" i="1892"/>
  <c r="R26" i="1892"/>
  <c r="L26" i="1892"/>
  <c r="D26" i="1892" s="1"/>
  <c r="R25" i="1892"/>
  <c r="L25" i="1892"/>
  <c r="D25" i="1892" s="1"/>
  <c r="R24" i="1892"/>
  <c r="L24" i="1892"/>
  <c r="D24" i="1892"/>
  <c r="R23" i="1892"/>
  <c r="L23" i="1892"/>
  <c r="D23" i="1892"/>
  <c r="R22" i="1892"/>
  <c r="L22" i="1892"/>
  <c r="D22" i="1892"/>
  <c r="R21" i="1892"/>
  <c r="L17" i="1892" s="1"/>
  <c r="D17" i="1892" s="1"/>
  <c r="D21" i="1892"/>
  <c r="R20" i="1892"/>
  <c r="L20" i="1892"/>
  <c r="D20" i="1892"/>
  <c r="R19" i="1892"/>
  <c r="R18" i="1892"/>
  <c r="D18" i="1892"/>
  <c r="R17" i="1892"/>
  <c r="R16" i="1892"/>
  <c r="L16" i="1892"/>
  <c r="D16" i="1892"/>
  <c r="R15" i="1892"/>
  <c r="D15" i="1892"/>
  <c r="R14" i="1892"/>
  <c r="D14" i="1892"/>
  <c r="R13" i="1892"/>
  <c r="D13" i="1892"/>
  <c r="R12" i="1892"/>
  <c r="R11" i="1892"/>
  <c r="L11" i="1892"/>
  <c r="D11" i="1892"/>
  <c r="L10" i="1892"/>
  <c r="D10" i="1892"/>
  <c r="L9" i="1892"/>
  <c r="D9" i="1892"/>
  <c r="R6" i="1892"/>
  <c r="R5" i="1892"/>
  <c r="R4" i="1892"/>
  <c r="R52" i="1891"/>
  <c r="R51" i="1891"/>
  <c r="D50" i="1891"/>
  <c r="R49" i="1891"/>
  <c r="D49" i="1891"/>
  <c r="R48" i="1891"/>
  <c r="D48" i="1891"/>
  <c r="D46" i="1891"/>
  <c r="D45" i="1891"/>
  <c r="R44" i="1891"/>
  <c r="D44" i="1891"/>
  <c r="R42" i="1891"/>
  <c r="L6" i="1891" s="1"/>
  <c r="D6" i="1891" s="1"/>
  <c r="D42" i="1891"/>
  <c r="R41" i="1891"/>
  <c r="L7" i="1891" s="1"/>
  <c r="D7" i="1891" s="1"/>
  <c r="D41" i="1891"/>
  <c r="D54" i="1891" s="1"/>
  <c r="H14" i="1891" s="1"/>
  <c r="R40" i="1891"/>
  <c r="D40" i="1891"/>
  <c r="R39" i="1891"/>
  <c r="L20" i="1891" s="1"/>
  <c r="D20" i="1891" s="1"/>
  <c r="H39" i="1891"/>
  <c r="D39" i="1891"/>
  <c r="R38" i="1891"/>
  <c r="H38" i="1891"/>
  <c r="D38" i="1891"/>
  <c r="R37" i="1891"/>
  <c r="H37" i="1891"/>
  <c r="D37" i="1891"/>
  <c r="R36" i="1891"/>
  <c r="L10" i="1891" s="1"/>
  <c r="D10" i="1891" s="1"/>
  <c r="H36" i="1891"/>
  <c r="D36" i="1891"/>
  <c r="R35" i="1891"/>
  <c r="H35" i="1891"/>
  <c r="D35" i="1891"/>
  <c r="R34" i="1891"/>
  <c r="H34" i="1891"/>
  <c r="G49" i="1891" s="1"/>
  <c r="D34" i="1891"/>
  <c r="R33" i="1891"/>
  <c r="R32" i="1891"/>
  <c r="R31" i="1891"/>
  <c r="R30" i="1891"/>
  <c r="R29" i="1891"/>
  <c r="R28" i="1891"/>
  <c r="L16" i="1891" s="1"/>
  <c r="D16" i="1891" s="1"/>
  <c r="L28" i="1891"/>
  <c r="D28" i="1891"/>
  <c r="R27" i="1891"/>
  <c r="D27" i="1891"/>
  <c r="R26" i="1891"/>
  <c r="L26" i="1891"/>
  <c r="D26" i="1891"/>
  <c r="R25" i="1891"/>
  <c r="L25" i="1891"/>
  <c r="D25" i="1891" s="1"/>
  <c r="R24" i="1891"/>
  <c r="L24" i="1891"/>
  <c r="D24" i="1891"/>
  <c r="R23" i="1891"/>
  <c r="D23" i="1891"/>
  <c r="R22" i="1891"/>
  <c r="D22" i="1891"/>
  <c r="R21" i="1891"/>
  <c r="D21" i="1891"/>
  <c r="R20" i="1891"/>
  <c r="R19" i="1891"/>
  <c r="D19" i="1891"/>
  <c r="R18" i="1891"/>
  <c r="D18" i="1891"/>
  <c r="R17" i="1891"/>
  <c r="L17" i="1891"/>
  <c r="D17" i="1891"/>
  <c r="R16" i="1891"/>
  <c r="R15" i="1891"/>
  <c r="D15" i="1891"/>
  <c r="R14" i="1891"/>
  <c r="D14" i="1891"/>
  <c r="R13" i="1891"/>
  <c r="D13" i="1891"/>
  <c r="R12" i="1891"/>
  <c r="L12" i="1891"/>
  <c r="D12" i="1891"/>
  <c r="R11" i="1891"/>
  <c r="L11" i="1891"/>
  <c r="D11" i="1891"/>
  <c r="L9" i="1891"/>
  <c r="D9" i="1891"/>
  <c r="L8" i="1891"/>
  <c r="D8" i="1891" s="1"/>
  <c r="R6" i="1891"/>
  <c r="R5" i="1891"/>
  <c r="R4" i="1891"/>
  <c r="R52" i="1890"/>
  <c r="R51" i="1890"/>
  <c r="D50" i="1890"/>
  <c r="R49" i="1890"/>
  <c r="G49" i="1890"/>
  <c r="D49" i="1890"/>
  <c r="R48" i="1890"/>
  <c r="D48" i="1890"/>
  <c r="D46" i="1890"/>
  <c r="D45" i="1890"/>
  <c r="D44" i="1890"/>
  <c r="R42" i="1890"/>
  <c r="L6" i="1890" s="1"/>
  <c r="D6" i="1890" s="1"/>
  <c r="D42" i="1890"/>
  <c r="R41" i="1890"/>
  <c r="L7" i="1890" s="1"/>
  <c r="D7" i="1890" s="1"/>
  <c r="D41" i="1890"/>
  <c r="R40" i="1890"/>
  <c r="D40" i="1890"/>
  <c r="R39" i="1890"/>
  <c r="D39" i="1890"/>
  <c r="R38" i="1890"/>
  <c r="L9" i="1890" s="1"/>
  <c r="D9" i="1890" s="1"/>
  <c r="D38" i="1890"/>
  <c r="R37" i="1890"/>
  <c r="D37" i="1890"/>
  <c r="R36" i="1890"/>
  <c r="L10" i="1890" s="1"/>
  <c r="D10" i="1890" s="1"/>
  <c r="D36" i="1890"/>
  <c r="R35" i="1890"/>
  <c r="D35" i="1890"/>
  <c r="R34" i="1890"/>
  <c r="L12" i="1890" s="1"/>
  <c r="D12" i="1890" s="1"/>
  <c r="D34" i="1890"/>
  <c r="D54" i="1890" s="1"/>
  <c r="H14" i="1890" s="1"/>
  <c r="R33" i="1890"/>
  <c r="L23" i="1890" s="1"/>
  <c r="D23" i="1890" s="1"/>
  <c r="R32" i="1890"/>
  <c r="R31" i="1890"/>
  <c r="R30" i="1890"/>
  <c r="R29" i="1890"/>
  <c r="R28" i="1890"/>
  <c r="L16" i="1890" s="1"/>
  <c r="D16" i="1890" s="1"/>
  <c r="D28" i="1890"/>
  <c r="R27" i="1890"/>
  <c r="D27" i="1890"/>
  <c r="R26" i="1890"/>
  <c r="L26" i="1890"/>
  <c r="D26" i="1890"/>
  <c r="R25" i="1890"/>
  <c r="L25" i="1890"/>
  <c r="D25" i="1890"/>
  <c r="R24" i="1890"/>
  <c r="D24" i="1890"/>
  <c r="R23" i="1890"/>
  <c r="R22" i="1890"/>
  <c r="L22" i="1890"/>
  <c r="D22" i="1890"/>
  <c r="R21" i="1890"/>
  <c r="D21" i="1890"/>
  <c r="R20" i="1890"/>
  <c r="L20" i="1890"/>
  <c r="D20" i="1890"/>
  <c r="R19" i="1890"/>
  <c r="L19" i="1890"/>
  <c r="D19" i="1890"/>
  <c r="R18" i="1890"/>
  <c r="D18" i="1890"/>
  <c r="R17" i="1890"/>
  <c r="D17" i="1890"/>
  <c r="R16" i="1890"/>
  <c r="S15" i="1890"/>
  <c r="R15" i="1890"/>
  <c r="D15" i="1890"/>
  <c r="S14" i="1890"/>
  <c r="R14" i="1890"/>
  <c r="D14" i="1890"/>
  <c r="R13" i="1890"/>
  <c r="D13" i="1890"/>
  <c r="R12" i="1890"/>
  <c r="R11" i="1890"/>
  <c r="L11" i="1890"/>
  <c r="D11" i="1890"/>
  <c r="L8" i="1890"/>
  <c r="D8" i="1890"/>
  <c r="R6" i="1890"/>
  <c r="R5" i="1890"/>
  <c r="R4" i="1890"/>
  <c r="H16" i="1883"/>
  <c r="H16" i="1885"/>
  <c r="C21" i="1884"/>
  <c r="C12" i="1883"/>
  <c r="D29" i="1913" l="1"/>
  <c r="H13" i="1913" s="1"/>
  <c r="H15" i="1913" s="1"/>
  <c r="H29" i="1913" s="1"/>
  <c r="G51" i="1913" s="1"/>
  <c r="D29" i="1912"/>
  <c r="H13" i="1912" s="1"/>
  <c r="H15" i="1912" s="1"/>
  <c r="H29" i="1912" s="1"/>
  <c r="G51" i="1912"/>
  <c r="D29" i="1911"/>
  <c r="H13" i="1911" s="1"/>
  <c r="H15" i="1911" s="1"/>
  <c r="H29" i="1911" s="1"/>
  <c r="G51" i="1911" s="1"/>
  <c r="D29" i="1910"/>
  <c r="H13" i="1910" s="1"/>
  <c r="H15" i="1910" s="1"/>
  <c r="H29" i="1910" s="1"/>
  <c r="G51" i="1910" s="1"/>
  <c r="D29" i="1909"/>
  <c r="H13" i="1909" s="1"/>
  <c r="H15" i="1909" s="1"/>
  <c r="H29" i="1909" s="1"/>
  <c r="G51" i="1909" s="1"/>
  <c r="D29" i="1908"/>
  <c r="H13" i="1908" s="1"/>
  <c r="H15" i="1908" s="1"/>
  <c r="H29" i="1908" s="1"/>
  <c r="G51" i="1908"/>
  <c r="D29" i="1907"/>
  <c r="H13" i="1907" s="1"/>
  <c r="H15" i="1907" s="1"/>
  <c r="H29" i="1907" s="1"/>
  <c r="G51" i="1907" s="1"/>
  <c r="D29" i="1906"/>
  <c r="H13" i="1906" s="1"/>
  <c r="H15" i="1906" s="1"/>
  <c r="H29" i="1906" s="1"/>
  <c r="G51" i="1906" s="1"/>
  <c r="D29" i="1905"/>
  <c r="H13" i="1905" s="1"/>
  <c r="H15" i="1905" s="1"/>
  <c r="H29" i="1905" s="1"/>
  <c r="G51" i="1905" s="1"/>
  <c r="G51" i="1904"/>
  <c r="D29" i="1903"/>
  <c r="H13" i="1903" s="1"/>
  <c r="H15" i="1903" s="1"/>
  <c r="H29" i="1903" s="1"/>
  <c r="G51" i="1903" s="1"/>
  <c r="D29" i="1902"/>
  <c r="H13" i="1902" s="1"/>
  <c r="H15" i="1902" s="1"/>
  <c r="H29" i="1902" s="1"/>
  <c r="G51" i="1902" s="1"/>
  <c r="D29" i="1901"/>
  <c r="H13" i="1901" s="1"/>
  <c r="H15" i="1901" s="1"/>
  <c r="H29" i="1901" s="1"/>
  <c r="G51" i="1901" s="1"/>
  <c r="D29" i="1900"/>
  <c r="H13" i="1900" s="1"/>
  <c r="H15" i="1900" s="1"/>
  <c r="H29" i="1900" s="1"/>
  <c r="G51" i="1900"/>
  <c r="D29" i="1899"/>
  <c r="H13" i="1899" s="1"/>
  <c r="H15" i="1899" s="1"/>
  <c r="H29" i="1899" s="1"/>
  <c r="G51" i="1899" s="1"/>
  <c r="D29" i="1898"/>
  <c r="H13" i="1898" s="1"/>
  <c r="H15" i="1898" s="1"/>
  <c r="H29" i="1898" s="1"/>
  <c r="G51" i="1898"/>
  <c r="D29" i="1897"/>
  <c r="H13" i="1897" s="1"/>
  <c r="H15" i="1897" s="1"/>
  <c r="H29" i="1897" s="1"/>
  <c r="G51" i="1897"/>
  <c r="D29" i="1896"/>
  <c r="H13" i="1896" s="1"/>
  <c r="H15" i="1896" s="1"/>
  <c r="H29" i="1896" s="1"/>
  <c r="G51" i="1896"/>
  <c r="D29" i="1895"/>
  <c r="H13" i="1895" s="1"/>
  <c r="H15" i="1895" s="1"/>
  <c r="H29" i="1895" s="1"/>
  <c r="G51" i="1895" s="1"/>
  <c r="D29" i="1894"/>
  <c r="H13" i="1894" s="1"/>
  <c r="H15" i="1894" s="1"/>
  <c r="H29" i="1894" s="1"/>
  <c r="G51" i="1894"/>
  <c r="D29" i="1893"/>
  <c r="H13" i="1893" s="1"/>
  <c r="H15" i="1893" s="1"/>
  <c r="H29" i="1893" s="1"/>
  <c r="G51" i="1893"/>
  <c r="D29" i="1892"/>
  <c r="H13" i="1892" s="1"/>
  <c r="H15" i="1892" s="1"/>
  <c r="H29" i="1892" s="1"/>
  <c r="G51" i="1892" s="1"/>
  <c r="D29" i="1891"/>
  <c r="H13" i="1891" s="1"/>
  <c r="H15" i="1891" s="1"/>
  <c r="H29" i="1891" s="1"/>
  <c r="G51" i="1891" s="1"/>
  <c r="D29" i="1890"/>
  <c r="H13" i="1890" s="1"/>
  <c r="H15" i="1890" s="1"/>
  <c r="H29" i="1890" s="1"/>
  <c r="G51" i="1890"/>
  <c r="H16" i="1877"/>
  <c r="H16" i="1876"/>
  <c r="H16" i="1875"/>
  <c r="C21" i="1877"/>
  <c r="H16" i="1873"/>
  <c r="H16" i="1872"/>
  <c r="H16" i="1871"/>
  <c r="C12" i="1873"/>
  <c r="C21" i="1873"/>
  <c r="H16" i="1869"/>
  <c r="H16" i="1868"/>
  <c r="L27" i="1868"/>
  <c r="C21" i="1867"/>
  <c r="H16" i="1864" l="1"/>
  <c r="H16" i="1863"/>
  <c r="H16" i="1865"/>
  <c r="L24" i="1863"/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G49" i="1889" s="1"/>
  <c r="D35" i="1889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 s="1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 s="1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L20" i="1888" s="1"/>
  <c r="D20" i="1888" s="1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R34" i="1888"/>
  <c r="L12" i="1888" s="1"/>
  <c r="D12" i="1888" s="1"/>
  <c r="H34" i="1888"/>
  <c r="D34" i="1888"/>
  <c r="R33" i="1888"/>
  <c r="R32" i="1888"/>
  <c r="L11" i="1888" s="1"/>
  <c r="D11" i="1888" s="1"/>
  <c r="R31" i="1888"/>
  <c r="R30" i="1888"/>
  <c r="R29" i="1888"/>
  <c r="R28" i="1888"/>
  <c r="L16" i="1888" s="1"/>
  <c r="D16" i="1888" s="1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 s="1"/>
  <c r="R22" i="1888"/>
  <c r="L22" i="1888"/>
  <c r="D22" i="1888" s="1"/>
  <c r="R21" i="1888"/>
  <c r="L17" i="1888" s="1"/>
  <c r="D17" i="1888" s="1"/>
  <c r="D21" i="1888"/>
  <c r="R20" i="1888"/>
  <c r="R19" i="1888"/>
  <c r="R18" i="1888"/>
  <c r="D18" i="1888"/>
  <c r="R17" i="1888"/>
  <c r="R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L6" i="1887" s="1"/>
  <c r="D6" i="1887" s="1"/>
  <c r="D42" i="1887"/>
  <c r="R41" i="1887"/>
  <c r="L7" i="1887" s="1"/>
  <c r="D7" i="1887" s="1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D34" i="1887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 s="1"/>
  <c r="R24" i="1887"/>
  <c r="L24" i="1887"/>
  <c r="D24" i="1887" s="1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R6" i="1887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L10" i="1886" s="1"/>
  <c r="D10" i="1886" s="1"/>
  <c r="D36" i="1886"/>
  <c r="R35" i="1886"/>
  <c r="L19" i="1886" s="1"/>
  <c r="D19" i="1886" s="1"/>
  <c r="D35" i="1886"/>
  <c r="R34" i="1886"/>
  <c r="L12" i="1886" s="1"/>
  <c r="D12" i="1886" s="1"/>
  <c r="D34" i="1886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 s="1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L28" i="1885" s="1"/>
  <c r="D28" i="1885" s="1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L9" i="1885" s="1"/>
  <c r="D9" i="1885" s="1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L12" i="1885" s="1"/>
  <c r="D12" i="1885" s="1"/>
  <c r="H34" i="1885"/>
  <c r="D34" i="1885"/>
  <c r="R33" i="1885"/>
  <c r="L23" i="1885" s="1"/>
  <c r="D23" i="1885" s="1"/>
  <c r="R32" i="1885"/>
  <c r="R31" i="1885"/>
  <c r="R30" i="1885"/>
  <c r="R29" i="1885"/>
  <c r="R28" i="1885"/>
  <c r="L16" i="1885" s="1"/>
  <c r="D16" i="1885" s="1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R22" i="1885"/>
  <c r="L22" i="1885"/>
  <c r="D22" i="1885" s="1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R15" i="1885"/>
  <c r="D15" i="1885"/>
  <c r="R14" i="1885"/>
  <c r="D14" i="1885"/>
  <c r="R13" i="1885"/>
  <c r="D13" i="1885"/>
  <c r="R12" i="1885"/>
  <c r="R11" i="1885"/>
  <c r="L11" i="1885"/>
  <c r="D11" i="1885"/>
  <c r="L10" i="1885"/>
  <c r="D10" i="1885" s="1"/>
  <c r="L8" i="1885"/>
  <c r="D8" i="1885" s="1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L7" i="1884" s="1"/>
  <c r="D7" i="1884" s="1"/>
  <c r="D41" i="1884"/>
  <c r="R40" i="1884"/>
  <c r="L8" i="1884" s="1"/>
  <c r="D8" i="1884" s="1"/>
  <c r="D40" i="1884"/>
  <c r="R39" i="1884"/>
  <c r="L20" i="1884" s="1"/>
  <c r="D20" i="1884" s="1"/>
  <c r="H39" i="1884"/>
  <c r="D39" i="1884"/>
  <c r="R38" i="1884"/>
  <c r="L9" i="1884" s="1"/>
  <c r="D9" i="1884" s="1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D34" i="1884"/>
  <c r="R33" i="1884"/>
  <c r="L23" i="1884" s="1"/>
  <c r="D23" i="1884" s="1"/>
  <c r="R32" i="1884"/>
  <c r="R31" i="1884"/>
  <c r="R30" i="1884"/>
  <c r="R29" i="1884"/>
  <c r="R28" i="1884"/>
  <c r="L16" i="1884" s="1"/>
  <c r="D16" i="1884" s="1"/>
  <c r="R27" i="1884"/>
  <c r="D27" i="1884"/>
  <c r="R26" i="1884"/>
  <c r="L26" i="1884"/>
  <c r="D26" i="1884" s="1"/>
  <c r="R25" i="1884"/>
  <c r="L25" i="1884"/>
  <c r="D25" i="1884" s="1"/>
  <c r="R24" i="1884"/>
  <c r="L24" i="1884"/>
  <c r="D24" i="1884" s="1"/>
  <c r="R23" i="1884"/>
  <c r="R22" i="1884"/>
  <c r="L22" i="1884"/>
  <c r="D22" i="1884" s="1"/>
  <c r="R21" i="1884"/>
  <c r="D21" i="1884"/>
  <c r="R20" i="1884"/>
  <c r="R19" i="1884"/>
  <c r="R18" i="1884"/>
  <c r="D18" i="1884"/>
  <c r="R17" i="1884"/>
  <c r="L17" i="1884"/>
  <c r="D17" i="1884" s="1"/>
  <c r="R16" i="1884"/>
  <c r="R15" i="1884"/>
  <c r="D15" i="1884"/>
  <c r="R14" i="1884"/>
  <c r="D14" i="1884"/>
  <c r="R13" i="1884"/>
  <c r="D13" i="1884"/>
  <c r="R12" i="1884"/>
  <c r="R11" i="1884"/>
  <c r="L11" i="1884"/>
  <c r="D11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L28" i="1883" s="1"/>
  <c r="D28" i="1883" s="1"/>
  <c r="D44" i="1883"/>
  <c r="R42" i="1883"/>
  <c r="L6" i="1883" s="1"/>
  <c r="D6" i="1883" s="1"/>
  <c r="D42" i="1883"/>
  <c r="R41" i="1883"/>
  <c r="L7" i="1883" s="1"/>
  <c r="D7" i="1883" s="1"/>
  <c r="D41" i="1883"/>
  <c r="R40" i="1883"/>
  <c r="L8" i="1883" s="1"/>
  <c r="D8" i="1883" s="1"/>
  <c r="D40" i="1883"/>
  <c r="R39" i="1883"/>
  <c r="L20" i="1883" s="1"/>
  <c r="D20" i="1883" s="1"/>
  <c r="H39" i="1883"/>
  <c r="D39" i="1883"/>
  <c r="R38" i="1883"/>
  <c r="L9" i="1883" s="1"/>
  <c r="D9" i="1883" s="1"/>
  <c r="H38" i="1883"/>
  <c r="D38" i="1883"/>
  <c r="R37" i="1883"/>
  <c r="H37" i="1883"/>
  <c r="D37" i="1883"/>
  <c r="R36" i="1883"/>
  <c r="L10" i="1883" s="1"/>
  <c r="D10" i="1883" s="1"/>
  <c r="H36" i="1883"/>
  <c r="D36" i="1883"/>
  <c r="R35" i="1883"/>
  <c r="H35" i="1883"/>
  <c r="D35" i="1883"/>
  <c r="R34" i="1883"/>
  <c r="H34" i="1883"/>
  <c r="D34" i="1883"/>
  <c r="R33" i="1883"/>
  <c r="R32" i="1883"/>
  <c r="L11" i="1883" s="1"/>
  <c r="D11" i="1883" s="1"/>
  <c r="R31" i="1883"/>
  <c r="R30" i="1883"/>
  <c r="R29" i="1883"/>
  <c r="R28" i="1883"/>
  <c r="L16" i="1883" s="1"/>
  <c r="D16" i="1883" s="1"/>
  <c r="R27" i="1883"/>
  <c r="D27" i="1883"/>
  <c r="R26" i="1883"/>
  <c r="L26" i="1883"/>
  <c r="D26" i="1883" s="1"/>
  <c r="R25" i="1883"/>
  <c r="L25" i="1883"/>
  <c r="D25" i="1883" s="1"/>
  <c r="R24" i="1883"/>
  <c r="L24" i="1883"/>
  <c r="D24" i="1883" s="1"/>
  <c r="R23" i="1883"/>
  <c r="D23" i="1883"/>
  <c r="R22" i="1883"/>
  <c r="D22" i="1883"/>
  <c r="R21" i="1883"/>
  <c r="D21" i="1883"/>
  <c r="R20" i="1883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42" i="1882"/>
  <c r="R41" i="1882"/>
  <c r="L7" i="1882" s="1"/>
  <c r="D7" i="1882" s="1"/>
  <c r="D41" i="1882"/>
  <c r="R40" i="1882"/>
  <c r="L8" i="1882" s="1"/>
  <c r="D8" i="1882" s="1"/>
  <c r="D40" i="1882"/>
  <c r="R39" i="1882"/>
  <c r="D39" i="1882"/>
  <c r="R38" i="1882"/>
  <c r="D38" i="1882"/>
  <c r="R37" i="1882"/>
  <c r="D37" i="1882"/>
  <c r="R36" i="1882"/>
  <c r="L10" i="1882" s="1"/>
  <c r="D10" i="1882" s="1"/>
  <c r="D36" i="1882"/>
  <c r="R35" i="1882"/>
  <c r="L19" i="1882" s="1"/>
  <c r="D19" i="1882" s="1"/>
  <c r="D35" i="1882"/>
  <c r="R34" i="1882"/>
  <c r="L12" i="1882" s="1"/>
  <c r="D12" i="1882" s="1"/>
  <c r="D34" i="1882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 s="1"/>
  <c r="R25" i="1882"/>
  <c r="L25" i="1882"/>
  <c r="D25" i="1882" s="1"/>
  <c r="R24" i="1882"/>
  <c r="D24" i="1882"/>
  <c r="R23" i="1882"/>
  <c r="R22" i="1882"/>
  <c r="L22" i="1882"/>
  <c r="D22" i="1882" s="1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9" i="1882"/>
  <c r="D9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L6" i="1881" s="1"/>
  <c r="D6" i="1881" s="1"/>
  <c r="D42" i="1881"/>
  <c r="R41" i="1881"/>
  <c r="L7" i="1881" s="1"/>
  <c r="D7" i="1881" s="1"/>
  <c r="D41" i="1881"/>
  <c r="R40" i="1881"/>
  <c r="L8" i="1881" s="1"/>
  <c r="D8" i="1881" s="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L19" i="1881" s="1"/>
  <c r="D19" i="1881" s="1"/>
  <c r="H35" i="1881"/>
  <c r="D35" i="1881"/>
  <c r="R34" i="1881"/>
  <c r="L12" i="1881" s="1"/>
  <c r="D12" i="1881" s="1"/>
  <c r="H34" i="1881"/>
  <c r="D34" i="1881"/>
  <c r="R33" i="1881"/>
  <c r="L23" i="1881" s="1"/>
  <c r="D23" i="1881" s="1"/>
  <c r="R32" i="1881"/>
  <c r="L11" i="1881" s="1"/>
  <c r="D11" i="1881" s="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R6" i="1881"/>
  <c r="R5" i="1881"/>
  <c r="R4" i="188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L8" i="1880" s="1"/>
  <c r="D8" i="1880" s="1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L10" i="1880" s="1"/>
  <c r="D10" i="1880" s="1"/>
  <c r="H36" i="1880"/>
  <c r="D36" i="1880"/>
  <c r="R35" i="1880"/>
  <c r="L19" i="1880" s="1"/>
  <c r="D19" i="1880" s="1"/>
  <c r="H35" i="1880"/>
  <c r="D35" i="1880"/>
  <c r="R34" i="1880"/>
  <c r="H34" i="1880"/>
  <c r="D34" i="1880"/>
  <c r="R33" i="1880"/>
  <c r="L23" i="1880" s="1"/>
  <c r="D23" i="1880" s="1"/>
  <c r="R32" i="1880"/>
  <c r="L11" i="1880" s="1"/>
  <c r="D11" i="1880" s="1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 s="1"/>
  <c r="R24" i="1880"/>
  <c r="L24" i="1880"/>
  <c r="D24" i="1880" s="1"/>
  <c r="R23" i="1880"/>
  <c r="R22" i="1880"/>
  <c r="L22" i="1880"/>
  <c r="D22" i="1880" s="1"/>
  <c r="R21" i="1880"/>
  <c r="L17" i="1880" s="1"/>
  <c r="D17" i="1880" s="1"/>
  <c r="D21" i="1880"/>
  <c r="R20" i="1880"/>
  <c r="L20" i="1880"/>
  <c r="D20" i="1880" s="1"/>
  <c r="R19" i="1880"/>
  <c r="R18" i="1880"/>
  <c r="D18" i="1880"/>
  <c r="R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L7" i="1879" s="1"/>
  <c r="D7" i="1879" s="1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L9" i="1879" s="1"/>
  <c r="D9" i="1879" s="1"/>
  <c r="H38" i="1879"/>
  <c r="D38" i="1879"/>
  <c r="R37" i="1879"/>
  <c r="H37" i="1879"/>
  <c r="D37" i="1879"/>
  <c r="R36" i="1879"/>
  <c r="L10" i="1879" s="1"/>
  <c r="D10" i="1879" s="1"/>
  <c r="H36" i="1879"/>
  <c r="D36" i="1879"/>
  <c r="R35" i="1879"/>
  <c r="H35" i="1879"/>
  <c r="D35" i="1879"/>
  <c r="R34" i="1879"/>
  <c r="L12" i="1879" s="1"/>
  <c r="D12" i="1879" s="1"/>
  <c r="H34" i="1879"/>
  <c r="D34" i="1879"/>
  <c r="R33" i="1879"/>
  <c r="R32" i="1879"/>
  <c r="L11" i="1879" s="1"/>
  <c r="D11" i="1879" s="1"/>
  <c r="R31" i="1879"/>
  <c r="R30" i="1879"/>
  <c r="R29" i="1879"/>
  <c r="R28" i="1879"/>
  <c r="L16" i="1879" s="1"/>
  <c r="D16" i="1879" s="1"/>
  <c r="R27" i="1879"/>
  <c r="D27" i="1879"/>
  <c r="R26" i="1879"/>
  <c r="L26" i="1879"/>
  <c r="D26" i="1879"/>
  <c r="R25" i="1879"/>
  <c r="L25" i="1879"/>
  <c r="D25" i="1879" s="1"/>
  <c r="R24" i="1879"/>
  <c r="L24" i="1879"/>
  <c r="D24" i="1879" s="1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 s="1"/>
  <c r="R16" i="1879"/>
  <c r="R15" i="1879"/>
  <c r="D15" i="1879"/>
  <c r="R14" i="1879"/>
  <c r="D14" i="1879"/>
  <c r="R13" i="1879"/>
  <c r="D13" i="1879"/>
  <c r="R12" i="1879"/>
  <c r="R11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L6" i="1878" s="1"/>
  <c r="D6" i="1878" s="1"/>
  <c r="D42" i="1878"/>
  <c r="R41" i="1878"/>
  <c r="L7" i="1878" s="1"/>
  <c r="D7" i="1878" s="1"/>
  <c r="D41" i="1878"/>
  <c r="R40" i="1878"/>
  <c r="L8" i="1878" s="1"/>
  <c r="D8" i="1878" s="1"/>
  <c r="D40" i="1878"/>
  <c r="R39" i="1878"/>
  <c r="D39" i="1878"/>
  <c r="R38" i="1878"/>
  <c r="L9" i="1878" s="1"/>
  <c r="D9" i="1878" s="1"/>
  <c r="D38" i="1878"/>
  <c r="R37" i="1878"/>
  <c r="D37" i="1878"/>
  <c r="R36" i="1878"/>
  <c r="L10" i="1878" s="1"/>
  <c r="D10" i="1878" s="1"/>
  <c r="D36" i="1878"/>
  <c r="R35" i="1878"/>
  <c r="L19" i="1878" s="1"/>
  <c r="D19" i="1878" s="1"/>
  <c r="D35" i="1878"/>
  <c r="R34" i="1878"/>
  <c r="D34" i="1878"/>
  <c r="R33" i="1878"/>
  <c r="L23" i="1878" s="1"/>
  <c r="D23" i="1878" s="1"/>
  <c r="R32" i="1878"/>
  <c r="L11" i="1878" s="1"/>
  <c r="D11" i="1878" s="1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 s="1"/>
  <c r="R11" i="1878"/>
  <c r="R6" i="1878"/>
  <c r="R5" i="1878"/>
  <c r="R4" i="1878"/>
  <c r="R52" i="1877"/>
  <c r="L22" i="1877" s="1"/>
  <c r="D22" i="1877" s="1"/>
  <c r="R51" i="1877"/>
  <c r="D50" i="1877"/>
  <c r="R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L7" i="1877" s="1"/>
  <c r="D7" i="1877" s="1"/>
  <c r="D41" i="1877"/>
  <c r="R40" i="1877"/>
  <c r="L8" i="1877" s="1"/>
  <c r="D8" i="1877" s="1"/>
  <c r="D40" i="1877"/>
  <c r="R39" i="1877"/>
  <c r="H39" i="1877"/>
  <c r="D39" i="1877"/>
  <c r="R38" i="1877"/>
  <c r="L9" i="1877" s="1"/>
  <c r="D9" i="1877" s="1"/>
  <c r="H38" i="1877"/>
  <c r="D38" i="1877"/>
  <c r="R37" i="1877"/>
  <c r="H37" i="1877"/>
  <c r="D37" i="1877"/>
  <c r="R36" i="1877"/>
  <c r="L10" i="1877" s="1"/>
  <c r="D10" i="1877" s="1"/>
  <c r="H36" i="1877"/>
  <c r="D36" i="1877"/>
  <c r="R35" i="1877"/>
  <c r="L19" i="1877" s="1"/>
  <c r="D19" i="1877" s="1"/>
  <c r="H35" i="1877"/>
  <c r="D35" i="1877"/>
  <c r="R34" i="1877"/>
  <c r="L12" i="1877" s="1"/>
  <c r="D12" i="1877" s="1"/>
  <c r="H34" i="1877"/>
  <c r="D34" i="1877"/>
  <c r="R33" i="1877"/>
  <c r="L23" i="1877" s="1"/>
  <c r="D23" i="1877" s="1"/>
  <c r="R32" i="1877"/>
  <c r="L11" i="1877" s="1"/>
  <c r="D11" i="1877" s="1"/>
  <c r="R31" i="1877"/>
  <c r="R30" i="1877"/>
  <c r="R29" i="1877"/>
  <c r="R28" i="1877"/>
  <c r="L16" i="1877" s="1"/>
  <c r="D16" i="1877" s="1"/>
  <c r="R27" i="1877"/>
  <c r="D27" i="1877"/>
  <c r="R26" i="1877"/>
  <c r="L26" i="1877"/>
  <c r="D26" i="1877" s="1"/>
  <c r="R25" i="1877"/>
  <c r="L25" i="1877"/>
  <c r="D25" i="1877" s="1"/>
  <c r="R24" i="1877"/>
  <c r="D24" i="1877"/>
  <c r="R23" i="1877"/>
  <c r="R22" i="1877"/>
  <c r="R21" i="1877"/>
  <c r="D21" i="1877"/>
  <c r="R20" i="1877"/>
  <c r="L20" i="1877"/>
  <c r="D20" i="1877" s="1"/>
  <c r="R19" i="1877"/>
  <c r="R18" i="1877"/>
  <c r="D18" i="1877"/>
  <c r="R17" i="1877"/>
  <c r="D17" i="1877"/>
  <c r="R16" i="1877"/>
  <c r="R15" i="1877"/>
  <c r="D15" i="1877"/>
  <c r="R14" i="1877"/>
  <c r="D14" i="1877"/>
  <c r="R13" i="1877"/>
  <c r="D13" i="1877"/>
  <c r="R12" i="1877"/>
  <c r="R11" i="1877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L8" i="1876" s="1"/>
  <c r="D8" i="1876" s="1"/>
  <c r="D40" i="1876"/>
  <c r="R39" i="1876"/>
  <c r="L20" i="1876" s="1"/>
  <c r="D20" i="1876" s="1"/>
  <c r="H39" i="1876"/>
  <c r="D39" i="1876"/>
  <c r="R38" i="1876"/>
  <c r="L9" i="1876" s="1"/>
  <c r="D9" i="1876" s="1"/>
  <c r="H38" i="1876"/>
  <c r="D38" i="1876"/>
  <c r="R37" i="1876"/>
  <c r="H37" i="1876"/>
  <c r="D37" i="1876"/>
  <c r="R36" i="1876"/>
  <c r="L10" i="1876" s="1"/>
  <c r="D10" i="1876" s="1"/>
  <c r="H36" i="1876"/>
  <c r="D36" i="1876"/>
  <c r="R35" i="1876"/>
  <c r="L19" i="1876" s="1"/>
  <c r="D19" i="1876" s="1"/>
  <c r="H35" i="1876"/>
  <c r="D35" i="1876"/>
  <c r="R34" i="1876"/>
  <c r="L12" i="1876" s="1"/>
  <c r="D12" i="1876" s="1"/>
  <c r="H34" i="1876"/>
  <c r="D34" i="1876"/>
  <c r="R33" i="1876"/>
  <c r="L23" i="1876" s="1"/>
  <c r="D23" i="1876" s="1"/>
  <c r="R32" i="1876"/>
  <c r="L11" i="1876" s="1"/>
  <c r="D11" i="1876" s="1"/>
  <c r="R31" i="1876"/>
  <c r="R30" i="1876"/>
  <c r="R29" i="1876"/>
  <c r="R28" i="1876"/>
  <c r="L28" i="1876"/>
  <c r="D28" i="1876" s="1"/>
  <c r="R27" i="1876"/>
  <c r="D27" i="1876"/>
  <c r="R26" i="1876"/>
  <c r="L26" i="1876"/>
  <c r="D26" i="1876" s="1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R11" i="1876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L28" i="1875" s="1"/>
  <c r="D28" i="1875" s="1"/>
  <c r="D44" i="1875"/>
  <c r="R42" i="1875"/>
  <c r="L6" i="1875" s="1"/>
  <c r="D6" i="1875" s="1"/>
  <c r="D42" i="1875"/>
  <c r="R41" i="1875"/>
  <c r="L7" i="1875" s="1"/>
  <c r="D7" i="1875" s="1"/>
  <c r="D41" i="1875"/>
  <c r="R40" i="1875"/>
  <c r="L8" i="1875" s="1"/>
  <c r="D8" i="1875" s="1"/>
  <c r="D40" i="1875"/>
  <c r="R39" i="1875"/>
  <c r="L20" i="1875" s="1"/>
  <c r="D20" i="1875" s="1"/>
  <c r="H39" i="1875"/>
  <c r="D39" i="1875"/>
  <c r="R38" i="1875"/>
  <c r="L9" i="1875" s="1"/>
  <c r="D9" i="1875" s="1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D34" i="1875"/>
  <c r="R33" i="1875"/>
  <c r="R32" i="1875"/>
  <c r="L11" i="1875" s="1"/>
  <c r="D11" i="1875" s="1"/>
  <c r="R31" i="1875"/>
  <c r="R30" i="1875"/>
  <c r="R29" i="1875"/>
  <c r="R28" i="1875"/>
  <c r="L16" i="1875" s="1"/>
  <c r="D16" i="1875" s="1"/>
  <c r="R27" i="1875"/>
  <c r="D27" i="1875"/>
  <c r="R26" i="1875"/>
  <c r="L26" i="1875"/>
  <c r="D26" i="1875"/>
  <c r="R25" i="1875"/>
  <c r="L25" i="1875"/>
  <c r="D25" i="1875" s="1"/>
  <c r="R24" i="1875"/>
  <c r="L24" i="1875"/>
  <c r="D24" i="1875"/>
  <c r="R23" i="1875"/>
  <c r="D23" i="1875"/>
  <c r="R22" i="1875"/>
  <c r="D22" i="1875"/>
  <c r="R21" i="1875"/>
  <c r="D21" i="1875"/>
  <c r="R20" i="1875"/>
  <c r="R19" i="1875"/>
  <c r="D19" i="1875"/>
  <c r="R18" i="1875"/>
  <c r="D18" i="1875"/>
  <c r="R17" i="1875"/>
  <c r="L17" i="1875"/>
  <c r="D17" i="1875" s="1"/>
  <c r="R16" i="1875"/>
  <c r="R15" i="1875"/>
  <c r="D15" i="1875"/>
  <c r="R14" i="1875"/>
  <c r="D14" i="1875"/>
  <c r="R13" i="1875"/>
  <c r="D13" i="1875"/>
  <c r="R12" i="1875"/>
  <c r="R11" i="1875"/>
  <c r="R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L8" i="1874" s="1"/>
  <c r="D8" i="1874" s="1"/>
  <c r="D40" i="1874"/>
  <c r="R39" i="1874"/>
  <c r="D39" i="1874"/>
  <c r="R38" i="1874"/>
  <c r="D38" i="1874"/>
  <c r="R37" i="1874"/>
  <c r="D37" i="1874"/>
  <c r="R36" i="1874"/>
  <c r="L10" i="1874" s="1"/>
  <c r="D10" i="1874" s="1"/>
  <c r="D36" i="1874"/>
  <c r="R35" i="1874"/>
  <c r="D35" i="1874"/>
  <c r="R34" i="1874"/>
  <c r="L12" i="1874" s="1"/>
  <c r="D12" i="1874" s="1"/>
  <c r="D34" i="1874"/>
  <c r="R33" i="1874"/>
  <c r="L23" i="1874" s="1"/>
  <c r="D23" i="1874" s="1"/>
  <c r="R32" i="1874"/>
  <c r="L11" i="1874" s="1"/>
  <c r="D11" i="1874" s="1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 s="1"/>
  <c r="R25" i="1874"/>
  <c r="L25" i="1874"/>
  <c r="D25" i="1874" s="1"/>
  <c r="R24" i="1874"/>
  <c r="D24" i="1874"/>
  <c r="R23" i="1874"/>
  <c r="R22" i="1874"/>
  <c r="L22" i="1874"/>
  <c r="D22" i="1874"/>
  <c r="R21" i="1874"/>
  <c r="D21" i="1874"/>
  <c r="R20" i="1874"/>
  <c r="L20" i="1874"/>
  <c r="D20" i="1874" s="1"/>
  <c r="R19" i="1874"/>
  <c r="L19" i="1874"/>
  <c r="D19" i="1874" s="1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R11" i="1874"/>
  <c r="L9" i="1874"/>
  <c r="D9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L8" i="1873" s="1"/>
  <c r="D8" i="1873" s="1"/>
  <c r="D40" i="1873"/>
  <c r="R39" i="1873"/>
  <c r="H39" i="1873"/>
  <c r="D39" i="1873"/>
  <c r="R38" i="1873"/>
  <c r="L9" i="1873" s="1"/>
  <c r="D9" i="1873" s="1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L12" i="1873" s="1"/>
  <c r="D12" i="1873" s="1"/>
  <c r="H34" i="1873"/>
  <c r="D34" i="1873"/>
  <c r="R33" i="1873"/>
  <c r="L23" i="1873" s="1"/>
  <c r="D23" i="1873" s="1"/>
  <c r="R32" i="1873"/>
  <c r="L11" i="1873" s="1"/>
  <c r="D11" i="1873" s="1"/>
  <c r="R31" i="1873"/>
  <c r="R30" i="1873"/>
  <c r="R29" i="1873"/>
  <c r="R28" i="1873"/>
  <c r="R27" i="1873"/>
  <c r="D27" i="1873"/>
  <c r="R26" i="1873"/>
  <c r="L26" i="1873"/>
  <c r="D26" i="1873" s="1"/>
  <c r="R25" i="1873"/>
  <c r="L25" i="1873"/>
  <c r="D25" i="1873" s="1"/>
  <c r="R24" i="1873"/>
  <c r="D24" i="1873"/>
  <c r="R23" i="1873"/>
  <c r="R22" i="1873"/>
  <c r="R21" i="1873"/>
  <c r="D21" i="1873"/>
  <c r="R20" i="1873"/>
  <c r="L20" i="1873"/>
  <c r="D20" i="1873" s="1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R11" i="1873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L28" i="1872" s="1"/>
  <c r="D28" i="1872" s="1"/>
  <c r="D44" i="1872"/>
  <c r="R42" i="1872"/>
  <c r="L6" i="1872" s="1"/>
  <c r="D6" i="1872" s="1"/>
  <c r="D42" i="1872"/>
  <c r="R41" i="1872"/>
  <c r="L7" i="1872" s="1"/>
  <c r="D7" i="1872" s="1"/>
  <c r="D41" i="1872"/>
  <c r="R40" i="1872"/>
  <c r="L8" i="1872" s="1"/>
  <c r="D8" i="1872" s="1"/>
  <c r="D40" i="1872"/>
  <c r="R39" i="1872"/>
  <c r="H39" i="1872"/>
  <c r="D39" i="1872"/>
  <c r="R38" i="1872"/>
  <c r="L9" i="1872" s="1"/>
  <c r="D9" i="1872" s="1"/>
  <c r="H38" i="1872"/>
  <c r="D38" i="1872"/>
  <c r="R37" i="1872"/>
  <c r="H37" i="1872"/>
  <c r="D37" i="1872"/>
  <c r="R36" i="1872"/>
  <c r="L10" i="1872" s="1"/>
  <c r="D10" i="1872" s="1"/>
  <c r="H36" i="1872"/>
  <c r="D36" i="1872"/>
  <c r="R35" i="1872"/>
  <c r="L19" i="1872" s="1"/>
  <c r="D19" i="1872" s="1"/>
  <c r="H35" i="1872"/>
  <c r="D35" i="1872"/>
  <c r="R34" i="1872"/>
  <c r="H34" i="1872"/>
  <c r="D34" i="1872"/>
  <c r="R33" i="1872"/>
  <c r="L23" i="1872" s="1"/>
  <c r="D23" i="1872" s="1"/>
  <c r="R32" i="1872"/>
  <c r="L11" i="1872" s="1"/>
  <c r="D11" i="1872" s="1"/>
  <c r="R31" i="1872"/>
  <c r="R30" i="1872"/>
  <c r="R29" i="1872"/>
  <c r="R28" i="1872"/>
  <c r="L16" i="1872" s="1"/>
  <c r="D16" i="1872" s="1"/>
  <c r="R27" i="1872"/>
  <c r="D27" i="1872"/>
  <c r="R26" i="1872"/>
  <c r="L26" i="1872"/>
  <c r="D26" i="1872" s="1"/>
  <c r="R25" i="1872"/>
  <c r="L25" i="1872"/>
  <c r="D25" i="1872" s="1"/>
  <c r="R24" i="1872"/>
  <c r="L24" i="1872"/>
  <c r="D24" i="1872" s="1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 s="1"/>
  <c r="R19" i="1872"/>
  <c r="R18" i="1872"/>
  <c r="D18" i="1872"/>
  <c r="R17" i="1872"/>
  <c r="R16" i="1872"/>
  <c r="R15" i="1872"/>
  <c r="D15" i="1872"/>
  <c r="R14" i="1872"/>
  <c r="D14" i="1872"/>
  <c r="R13" i="1872"/>
  <c r="D13" i="1872"/>
  <c r="R12" i="1872"/>
  <c r="L12" i="1872"/>
  <c r="D12" i="1872" s="1"/>
  <c r="R11" i="1872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L28" i="1871" s="1"/>
  <c r="D28" i="1871" s="1"/>
  <c r="D44" i="1871"/>
  <c r="R42" i="1871"/>
  <c r="L6" i="1871" s="1"/>
  <c r="D6" i="1871" s="1"/>
  <c r="D42" i="1871"/>
  <c r="R41" i="1871"/>
  <c r="D41" i="1871"/>
  <c r="R40" i="1871"/>
  <c r="L8" i="1871" s="1"/>
  <c r="D8" i="1871" s="1"/>
  <c r="D40" i="1871"/>
  <c r="R39" i="1871"/>
  <c r="L20" i="1871" s="1"/>
  <c r="D20" i="1871" s="1"/>
  <c r="H39" i="1871"/>
  <c r="D39" i="1871"/>
  <c r="R38" i="1871"/>
  <c r="H38" i="1871"/>
  <c r="D38" i="1871"/>
  <c r="R37" i="1871"/>
  <c r="H37" i="1871"/>
  <c r="D37" i="1871"/>
  <c r="R36" i="1871"/>
  <c r="L10" i="1871" s="1"/>
  <c r="D10" i="1871" s="1"/>
  <c r="H36" i="1871"/>
  <c r="D36" i="1871"/>
  <c r="R35" i="1871"/>
  <c r="H35" i="1871"/>
  <c r="D35" i="1871"/>
  <c r="R34" i="1871"/>
  <c r="L12" i="1871" s="1"/>
  <c r="D12" i="1871" s="1"/>
  <c r="H34" i="1871"/>
  <c r="D34" i="1871"/>
  <c r="R33" i="1871"/>
  <c r="R32" i="1871"/>
  <c r="L11" i="1871" s="1"/>
  <c r="D11" i="1871" s="1"/>
  <c r="R31" i="1871"/>
  <c r="R30" i="1871"/>
  <c r="R29" i="1871"/>
  <c r="R28" i="1871"/>
  <c r="L16" i="1871" s="1"/>
  <c r="D16" i="1871" s="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R19" i="1871"/>
  <c r="D19" i="1871"/>
  <c r="R18" i="1871"/>
  <c r="D18" i="1871"/>
  <c r="R17" i="1871"/>
  <c r="L17" i="1871"/>
  <c r="D17" i="1871" s="1"/>
  <c r="R16" i="1871"/>
  <c r="R15" i="1871"/>
  <c r="D15" i="1871"/>
  <c r="R14" i="1871"/>
  <c r="D14" i="1871"/>
  <c r="R13" i="1871"/>
  <c r="D13" i="1871"/>
  <c r="R12" i="1871"/>
  <c r="R11" i="1871"/>
  <c r="L9" i="1871"/>
  <c r="D9" i="1871" s="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L8" i="1870" s="1"/>
  <c r="D8" i="1870" s="1"/>
  <c r="D40" i="1870"/>
  <c r="R39" i="1870"/>
  <c r="D39" i="1870"/>
  <c r="R38" i="1870"/>
  <c r="L9" i="1870" s="1"/>
  <c r="D9" i="1870" s="1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 s="1"/>
  <c r="R24" i="1870"/>
  <c r="D24" i="1870"/>
  <c r="R23" i="1870"/>
  <c r="R22" i="1870"/>
  <c r="L22" i="1870"/>
  <c r="D22" i="1870"/>
  <c r="R21" i="1870"/>
  <c r="D21" i="1870"/>
  <c r="R20" i="1870"/>
  <c r="L20" i="1870"/>
  <c r="D20" i="1870" s="1"/>
  <c r="R19" i="1870"/>
  <c r="L19" i="1870"/>
  <c r="D19" i="1870" s="1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 s="1"/>
  <c r="R6" i="1870"/>
  <c r="R5" i="1870"/>
  <c r="R4" i="1870"/>
  <c r="R52" i="1869"/>
  <c r="L22" i="1869" s="1"/>
  <c r="D22" i="1869" s="1"/>
  <c r="R51" i="1869"/>
  <c r="D50" i="1869"/>
  <c r="R49" i="1869"/>
  <c r="D49" i="1869"/>
  <c r="R48" i="1869"/>
  <c r="D48" i="1869"/>
  <c r="D46" i="1869"/>
  <c r="D45" i="1869"/>
  <c r="R44" i="1869"/>
  <c r="L28" i="1869" s="1"/>
  <c r="D28" i="1869" s="1"/>
  <c r="D44" i="1869"/>
  <c r="R42" i="1869"/>
  <c r="L6" i="1869" s="1"/>
  <c r="D6" i="1869" s="1"/>
  <c r="D42" i="1869"/>
  <c r="R41" i="1869"/>
  <c r="D41" i="1869"/>
  <c r="R40" i="1869"/>
  <c r="L8" i="1869" s="1"/>
  <c r="D8" i="1869" s="1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L10" i="1869" s="1"/>
  <c r="D10" i="1869" s="1"/>
  <c r="H36" i="1869"/>
  <c r="D36" i="1869"/>
  <c r="R35" i="1869"/>
  <c r="H35" i="1869"/>
  <c r="D35" i="1869"/>
  <c r="R34" i="1869"/>
  <c r="L12" i="1869" s="1"/>
  <c r="D12" i="1869" s="1"/>
  <c r="H34" i="1869"/>
  <c r="D34" i="1869"/>
  <c r="R33" i="1869"/>
  <c r="L23" i="1869" s="1"/>
  <c r="D23" i="1869" s="1"/>
  <c r="R32" i="1869"/>
  <c r="L11" i="1869" s="1"/>
  <c r="D11" i="1869" s="1"/>
  <c r="R31" i="1869"/>
  <c r="R30" i="1869"/>
  <c r="R29" i="1869"/>
  <c r="R28" i="1869"/>
  <c r="L16" i="1869" s="1"/>
  <c r="D16" i="1869" s="1"/>
  <c r="R27" i="1869"/>
  <c r="D27" i="1869"/>
  <c r="R26" i="1869"/>
  <c r="L26" i="1869"/>
  <c r="D26" i="1869" s="1"/>
  <c r="R25" i="1869"/>
  <c r="L25" i="1869"/>
  <c r="D25" i="1869" s="1"/>
  <c r="R24" i="1869"/>
  <c r="D24" i="1869"/>
  <c r="R23" i="1869"/>
  <c r="R22" i="1869"/>
  <c r="R21" i="1869"/>
  <c r="D21" i="1869"/>
  <c r="R20" i="1869"/>
  <c r="L20" i="1869"/>
  <c r="D20" i="1869" s="1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R11" i="1869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L6" i="1868" s="1"/>
  <c r="D6" i="1868" s="1"/>
  <c r="D42" i="1868"/>
  <c r="R41" i="1868"/>
  <c r="L7" i="1868" s="1"/>
  <c r="D7" i="1868" s="1"/>
  <c r="D41" i="1868"/>
  <c r="R40" i="1868"/>
  <c r="L8" i="1868" s="1"/>
  <c r="D8" i="1868" s="1"/>
  <c r="D40" i="1868"/>
  <c r="R39" i="1868"/>
  <c r="L20" i="1868" s="1"/>
  <c r="D20" i="1868" s="1"/>
  <c r="H39" i="1868"/>
  <c r="D39" i="1868"/>
  <c r="R38" i="1868"/>
  <c r="L9" i="1868" s="1"/>
  <c r="D9" i="1868" s="1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D35" i="1868"/>
  <c r="R34" i="1868"/>
  <c r="L12" i="1868" s="1"/>
  <c r="D12" i="1868" s="1"/>
  <c r="H34" i="1868"/>
  <c r="D34" i="1868"/>
  <c r="R33" i="1868"/>
  <c r="L23" i="1868" s="1"/>
  <c r="D23" i="1868" s="1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R22" i="1868"/>
  <c r="L22" i="1868"/>
  <c r="D22" i="1868" s="1"/>
  <c r="R21" i="1868"/>
  <c r="L17" i="1868" s="1"/>
  <c r="D17" i="1868" s="1"/>
  <c r="D21" i="1868"/>
  <c r="R20" i="1868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 s="1"/>
  <c r="R6" i="1868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L7" i="1867" s="1"/>
  <c r="D7" i="1867" s="1"/>
  <c r="D41" i="1867"/>
  <c r="R40" i="1867"/>
  <c r="L8" i="1867" s="1"/>
  <c r="D8" i="1867" s="1"/>
  <c r="D40" i="1867"/>
  <c r="R39" i="1867"/>
  <c r="L20" i="1867" s="1"/>
  <c r="D20" i="1867" s="1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R34" i="1867"/>
  <c r="L12" i="1867" s="1"/>
  <c r="D12" i="1867" s="1"/>
  <c r="H34" i="1867"/>
  <c r="D34" i="1867"/>
  <c r="R33" i="1867"/>
  <c r="R32" i="1867"/>
  <c r="L11" i="1867" s="1"/>
  <c r="D11" i="1867" s="1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 s="1"/>
  <c r="R24" i="1867"/>
  <c r="L24" i="1867"/>
  <c r="D24" i="1867" s="1"/>
  <c r="R23" i="1867"/>
  <c r="D23" i="1867"/>
  <c r="R22" i="1867"/>
  <c r="D22" i="1867"/>
  <c r="R21" i="1867"/>
  <c r="D21" i="1867"/>
  <c r="R20" i="1867"/>
  <c r="R19" i="1867"/>
  <c r="D19" i="1867"/>
  <c r="R18" i="1867"/>
  <c r="D18" i="1867"/>
  <c r="R17" i="1867"/>
  <c r="L17" i="1867"/>
  <c r="D17" i="1867" s="1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0" i="1867"/>
  <c r="D10" i="1867" s="1"/>
  <c r="L9" i="1867"/>
  <c r="D9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42" i="1866"/>
  <c r="R41" i="1866"/>
  <c r="L7" i="1866" s="1"/>
  <c r="D7" i="1866" s="1"/>
  <c r="D41" i="1866"/>
  <c r="R40" i="1866"/>
  <c r="L8" i="1866" s="1"/>
  <c r="D8" i="1866" s="1"/>
  <c r="D40" i="1866"/>
  <c r="R39" i="1866"/>
  <c r="D39" i="1866"/>
  <c r="R38" i="1866"/>
  <c r="L9" i="1866" s="1"/>
  <c r="D9" i="1866" s="1"/>
  <c r="D38" i="1866"/>
  <c r="R37" i="1866"/>
  <c r="D37" i="1866"/>
  <c r="R36" i="1866"/>
  <c r="L10" i="1866" s="1"/>
  <c r="D10" i="1866" s="1"/>
  <c r="D36" i="1866"/>
  <c r="R35" i="1866"/>
  <c r="L19" i="1866" s="1"/>
  <c r="D19" i="1866" s="1"/>
  <c r="D35" i="1866"/>
  <c r="R34" i="1866"/>
  <c r="L12" i="1866" s="1"/>
  <c r="D12" i="1866" s="1"/>
  <c r="D34" i="1866"/>
  <c r="R33" i="1866"/>
  <c r="L23" i="1866" s="1"/>
  <c r="D23" i="1866" s="1"/>
  <c r="R32" i="1866"/>
  <c r="L11" i="1866" s="1"/>
  <c r="D11" i="1866" s="1"/>
  <c r="R31" i="1866"/>
  <c r="R30" i="1866"/>
  <c r="R29" i="1866"/>
  <c r="R28" i="1866"/>
  <c r="L16" i="1866" s="1"/>
  <c r="D16" i="1866" s="1"/>
  <c r="D28" i="1866"/>
  <c r="R27" i="1866"/>
  <c r="D27" i="1866"/>
  <c r="R26" i="1866"/>
  <c r="L26" i="1866"/>
  <c r="D26" i="1866" s="1"/>
  <c r="R25" i="1866"/>
  <c r="L25" i="1866"/>
  <c r="D25" i="1866" s="1"/>
  <c r="R24" i="1866"/>
  <c r="D24" i="1866"/>
  <c r="R23" i="1866"/>
  <c r="R22" i="1866"/>
  <c r="L22" i="1866"/>
  <c r="D22" i="1866" s="1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S15" i="1866"/>
  <c r="R15" i="1866"/>
  <c r="D15" i="1866"/>
  <c r="S14" i="1866"/>
  <c r="R14" i="1866"/>
  <c r="D14" i="1866"/>
  <c r="R13" i="1866"/>
  <c r="D13" i="1866"/>
  <c r="R12" i="1866"/>
  <c r="R11" i="1866"/>
  <c r="R6" i="1866"/>
  <c r="R5" i="1866"/>
  <c r="R4" i="1866"/>
  <c r="D54" i="1869" l="1"/>
  <c r="H14" i="1869" s="1"/>
  <c r="G49" i="1885"/>
  <c r="G49" i="1868"/>
  <c r="D54" i="1880"/>
  <c r="H14" i="1880" s="1"/>
  <c r="D54" i="1881"/>
  <c r="H14" i="1881" s="1"/>
  <c r="G49" i="1877"/>
  <c r="D54" i="1879"/>
  <c r="H14" i="1879" s="1"/>
  <c r="G49" i="1881"/>
  <c r="D54" i="1867"/>
  <c r="H14" i="1867" s="1"/>
  <c r="D29" i="1881"/>
  <c r="H13" i="1881" s="1"/>
  <c r="H15" i="1881" s="1"/>
  <c r="H29" i="1881" s="1"/>
  <c r="D29" i="1887"/>
  <c r="H13" i="1887" s="1"/>
  <c r="H15" i="1887" s="1"/>
  <c r="H29" i="1887" s="1"/>
  <c r="D29" i="1866"/>
  <c r="H13" i="1866" s="1"/>
  <c r="H15" i="1866" s="1"/>
  <c r="H29" i="1866" s="1"/>
  <c r="G51" i="1866" s="1"/>
  <c r="D54" i="1874"/>
  <c r="H14" i="1874" s="1"/>
  <c r="D54" i="1878"/>
  <c r="H14" i="1878" s="1"/>
  <c r="G49" i="1883"/>
  <c r="D54" i="1884"/>
  <c r="H14" i="1884" s="1"/>
  <c r="G49" i="1888"/>
  <c r="D54" i="1871"/>
  <c r="H14" i="1871" s="1"/>
  <c r="G49" i="1884"/>
  <c r="G49" i="1872"/>
  <c r="D54" i="1876"/>
  <c r="H14" i="1876" s="1"/>
  <c r="D54" i="1883"/>
  <c r="H14" i="1883" s="1"/>
  <c r="D54" i="1888"/>
  <c r="H14" i="1888" s="1"/>
  <c r="G49" i="1869"/>
  <c r="G49" i="1867"/>
  <c r="D54" i="1868"/>
  <c r="H14" i="1868" s="1"/>
  <c r="D54" i="1885"/>
  <c r="H14" i="1885" s="1"/>
  <c r="D54" i="1886"/>
  <c r="H14" i="1886" s="1"/>
  <c r="D54" i="1889"/>
  <c r="H14" i="1889" s="1"/>
  <c r="D29" i="1869"/>
  <c r="H13" i="1869" s="1"/>
  <c r="D54" i="1882"/>
  <c r="H14" i="1882" s="1"/>
  <c r="D54" i="1873"/>
  <c r="H14" i="1873" s="1"/>
  <c r="D54" i="1866"/>
  <c r="H14" i="1866" s="1"/>
  <c r="G49" i="1871"/>
  <c r="D54" i="1872"/>
  <c r="H14" i="1872" s="1"/>
  <c r="G49" i="1873"/>
  <c r="D54" i="1875"/>
  <c r="H14" i="1875" s="1"/>
  <c r="G49" i="1879"/>
  <c r="D54" i="1887"/>
  <c r="H14" i="1887" s="1"/>
  <c r="G49" i="1875"/>
  <c r="G49" i="1876"/>
  <c r="G49" i="1887"/>
  <c r="G51" i="1887" s="1"/>
  <c r="D54" i="1877"/>
  <c r="H14" i="1877" s="1"/>
  <c r="D29" i="1882"/>
  <c r="H13" i="1882" s="1"/>
  <c r="D54" i="1870"/>
  <c r="H14" i="1870" s="1"/>
  <c r="G49" i="1880"/>
  <c r="D29" i="1889"/>
  <c r="H13" i="1889" s="1"/>
  <c r="H15" i="1889" s="1"/>
  <c r="H29" i="1889" s="1"/>
  <c r="G51" i="1889" s="1"/>
  <c r="D29" i="1888"/>
  <c r="H13" i="1888" s="1"/>
  <c r="H15" i="1888" s="1"/>
  <c r="H29" i="1888" s="1"/>
  <c r="G51" i="1888" s="1"/>
  <c r="D29" i="1886"/>
  <c r="H13" i="1886" s="1"/>
  <c r="D29" i="1885"/>
  <c r="H13" i="1885" s="1"/>
  <c r="D29" i="1884"/>
  <c r="H13" i="1884" s="1"/>
  <c r="D29" i="1883"/>
  <c r="H13" i="1883" s="1"/>
  <c r="G51" i="1881"/>
  <c r="D29" i="1880"/>
  <c r="H13" i="1880" s="1"/>
  <c r="H15" i="1880" s="1"/>
  <c r="H29" i="1880" s="1"/>
  <c r="G51" i="1880"/>
  <c r="D29" i="1879"/>
  <c r="H13" i="1879" s="1"/>
  <c r="D29" i="1878"/>
  <c r="H13" i="1878" s="1"/>
  <c r="H15" i="1878" s="1"/>
  <c r="H29" i="1878" s="1"/>
  <c r="G51" i="1878" s="1"/>
  <c r="D29" i="1877"/>
  <c r="H13" i="1877" s="1"/>
  <c r="D29" i="1876"/>
  <c r="H13" i="1876" s="1"/>
  <c r="D29" i="1875"/>
  <c r="H13" i="1875" s="1"/>
  <c r="D29" i="1874"/>
  <c r="H13" i="1874" s="1"/>
  <c r="D29" i="1873"/>
  <c r="H13" i="1873" s="1"/>
  <c r="D29" i="1872"/>
  <c r="H13" i="1872" s="1"/>
  <c r="D29" i="1871"/>
  <c r="H13" i="1871" s="1"/>
  <c r="D29" i="1870"/>
  <c r="H13" i="1870" s="1"/>
  <c r="H15" i="1870" s="1"/>
  <c r="H29" i="1870" s="1"/>
  <c r="G51" i="1870" s="1"/>
  <c r="D29" i="1868"/>
  <c r="H13" i="1868" s="1"/>
  <c r="D29" i="1867"/>
  <c r="H13" i="1867" s="1"/>
  <c r="H16" i="1861"/>
  <c r="C21" i="1859"/>
  <c r="H15" i="1885" l="1"/>
  <c r="H29" i="1885" s="1"/>
  <c r="G51" i="1885" s="1"/>
  <c r="H15" i="1876"/>
  <c r="H29" i="1876" s="1"/>
  <c r="G51" i="1876" s="1"/>
  <c r="H15" i="1873"/>
  <c r="H29" i="1873" s="1"/>
  <c r="G51" i="1873" s="1"/>
  <c r="H15" i="1868"/>
  <c r="H29" i="1868" s="1"/>
  <c r="G51" i="1868" s="1"/>
  <c r="H15" i="1879"/>
  <c r="H29" i="1879" s="1"/>
  <c r="G51" i="1879" s="1"/>
  <c r="H15" i="1871"/>
  <c r="H29" i="1871" s="1"/>
  <c r="G51" i="1871" s="1"/>
  <c r="H15" i="1884"/>
  <c r="H29" i="1884" s="1"/>
  <c r="G51" i="1884" s="1"/>
  <c r="H15" i="1869"/>
  <c r="H29" i="1869" s="1"/>
  <c r="G51" i="1869" s="1"/>
  <c r="H15" i="1867"/>
  <c r="H29" i="1867" s="1"/>
  <c r="G51" i="1867" s="1"/>
  <c r="H15" i="1872"/>
  <c r="H29" i="1872" s="1"/>
  <c r="G51" i="1872" s="1"/>
  <c r="H15" i="1883"/>
  <c r="H29" i="1883" s="1"/>
  <c r="G51" i="1883" s="1"/>
  <c r="H15" i="1882"/>
  <c r="H29" i="1882" s="1"/>
  <c r="G51" i="1882" s="1"/>
  <c r="H15" i="1874"/>
  <c r="H29" i="1874" s="1"/>
  <c r="G51" i="1874" s="1"/>
  <c r="H15" i="1875"/>
  <c r="H29" i="1875" s="1"/>
  <c r="G51" i="1875" s="1"/>
  <c r="H15" i="1877"/>
  <c r="H29" i="1877" s="1"/>
  <c r="G51" i="1877" s="1"/>
  <c r="H15" i="1886"/>
  <c r="H29" i="1886" s="1"/>
  <c r="G51" i="1886" s="1"/>
  <c r="H16" i="185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L22" i="1865" s="1"/>
  <c r="D22" i="1865" s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L10" i="1865" s="1"/>
  <c r="D10" i="1865" s="1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L11" i="1865" s="1"/>
  <c r="D11" i="1865" s="1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8" i="1865"/>
  <c r="D8" i="1865" s="1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L28" i="1864" s="1"/>
  <c r="D28" i="1864" s="1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L19" i="1864" s="1"/>
  <c r="D19" i="1864" s="1"/>
  <c r="H35" i="1864"/>
  <c r="D35" i="1864"/>
  <c r="R34" i="1864"/>
  <c r="L12" i="1864" s="1"/>
  <c r="D12" i="1864" s="1"/>
  <c r="H34" i="1864"/>
  <c r="D34" i="1864"/>
  <c r="R33" i="1864"/>
  <c r="L23" i="1864" s="1"/>
  <c r="D23" i="1864" s="1"/>
  <c r="R32" i="1864"/>
  <c r="L11" i="1864" s="1"/>
  <c r="D11" i="1864" s="1"/>
  <c r="R31" i="1864"/>
  <c r="R30" i="1864"/>
  <c r="R29" i="1864"/>
  <c r="R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R22" i="1864"/>
  <c r="L22" i="1864"/>
  <c r="D22" i="1864" s="1"/>
  <c r="R21" i="1864"/>
  <c r="L17" i="1864" s="1"/>
  <c r="D17" i="1864" s="1"/>
  <c r="D21" i="1864"/>
  <c r="R20" i="1864"/>
  <c r="R19" i="1864"/>
  <c r="R18" i="1864"/>
  <c r="D18" i="1864"/>
  <c r="R17" i="1864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L20" i="1863" s="1"/>
  <c r="D20" i="1863" s="1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D24" i="1863"/>
  <c r="R23" i="1863"/>
  <c r="D23" i="1863"/>
  <c r="R22" i="1863"/>
  <c r="D22" i="1863"/>
  <c r="R21" i="1863"/>
  <c r="D21" i="1863"/>
  <c r="R20" i="1863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L8" i="1862" s="1"/>
  <c r="D8" i="1862" s="1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L19" i="1862" s="1"/>
  <c r="D19" i="1862" s="1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 s="1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L7" i="1861" s="1"/>
  <c r="D7" i="1861" s="1"/>
  <c r="D41" i="1861"/>
  <c r="R40" i="1861"/>
  <c r="D40" i="1861"/>
  <c r="R39" i="1861"/>
  <c r="H39" i="1861"/>
  <c r="D39" i="1861"/>
  <c r="R38" i="1861"/>
  <c r="L9" i="1861" s="1"/>
  <c r="D9" i="1861" s="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L12" i="1861" s="1"/>
  <c r="D12" i="1861" s="1"/>
  <c r="H34" i="1861"/>
  <c r="D34" i="1861"/>
  <c r="R33" i="1861"/>
  <c r="L23" i="1861" s="1"/>
  <c r="D23" i="1861" s="1"/>
  <c r="R32" i="1861"/>
  <c r="L11" i="1861" s="1"/>
  <c r="D11" i="1861" s="1"/>
  <c r="R31" i="1861"/>
  <c r="R30" i="1861"/>
  <c r="R29" i="1861"/>
  <c r="R28" i="1861"/>
  <c r="L16" i="1861" s="1"/>
  <c r="D16" i="1861" s="1"/>
  <c r="R27" i="1861"/>
  <c r="D27" i="1861"/>
  <c r="R26" i="1861"/>
  <c r="L26" i="1861"/>
  <c r="D26" i="1861" s="1"/>
  <c r="R25" i="1861"/>
  <c r="L25" i="1861"/>
  <c r="D25" i="1861" s="1"/>
  <c r="R24" i="1861"/>
  <c r="D24" i="1861"/>
  <c r="R23" i="186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R11" i="1861"/>
  <c r="L8" i="1861"/>
  <c r="D8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L20" i="1860" s="1"/>
  <c r="D20" i="1860" s="1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 s="1"/>
  <c r="R24" i="1860"/>
  <c r="L24" i="1860"/>
  <c r="D24" i="1860" s="1"/>
  <c r="R23" i="1860"/>
  <c r="R22" i="1860"/>
  <c r="L22" i="1860"/>
  <c r="D22" i="1860" s="1"/>
  <c r="R21" i="1860"/>
  <c r="D21" i="1860"/>
  <c r="R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L6" i="1859" s="1"/>
  <c r="D6" i="1859" s="1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L9" i="1859" s="1"/>
  <c r="D9" i="1859" s="1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L12" i="1859" s="1"/>
  <c r="D12" i="1859" s="1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R11" i="1859"/>
  <c r="L10" i="1859"/>
  <c r="D10" i="1859" s="1"/>
  <c r="R6" i="1859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L9" i="1858" s="1"/>
  <c r="D9" i="1858" s="1"/>
  <c r="D38" i="1858"/>
  <c r="R37" i="1858"/>
  <c r="D37" i="1858"/>
  <c r="R36" i="1858"/>
  <c r="L10" i="1858" s="1"/>
  <c r="D10" i="1858" s="1"/>
  <c r="D36" i="1858"/>
  <c r="R35" i="1858"/>
  <c r="L19" i="1858" s="1"/>
  <c r="D19" i="1858" s="1"/>
  <c r="D35" i="1858"/>
  <c r="R34" i="1858"/>
  <c r="L12" i="1858" s="1"/>
  <c r="D12" i="1858" s="1"/>
  <c r="D34" i="1858"/>
  <c r="R33" i="1858"/>
  <c r="L23" i="1858" s="1"/>
  <c r="D23" i="1858" s="1"/>
  <c r="R32" i="1858"/>
  <c r="L11" i="1858" s="1"/>
  <c r="D11" i="1858" s="1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 s="1"/>
  <c r="R25" i="1858"/>
  <c r="L25" i="1858"/>
  <c r="D25" i="1858" s="1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 s="1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L8" i="1856" s="1"/>
  <c r="D8" i="1856" s="1"/>
  <c r="D40" i="1856"/>
  <c r="R39" i="1856"/>
  <c r="L20" i="1856" s="1"/>
  <c r="D20" i="1856" s="1"/>
  <c r="H39" i="1856"/>
  <c r="D39" i="1856"/>
  <c r="R38" i="1856"/>
  <c r="L9" i="1856" s="1"/>
  <c r="D9" i="1856" s="1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L19" i="1856" s="1"/>
  <c r="D19" i="1856" s="1"/>
  <c r="H35" i="1856"/>
  <c r="D35" i="1856"/>
  <c r="R34" i="1856"/>
  <c r="L12" i="1856" s="1"/>
  <c r="D12" i="1856" s="1"/>
  <c r="H34" i="1856"/>
  <c r="D34" i="1856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L7" i="1855" s="1"/>
  <c r="D7" i="1855" s="1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L9" i="1855" s="1"/>
  <c r="D9" i="1855" s="1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L11" i="1855" s="1"/>
  <c r="D11" i="1855" s="1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L10" i="1854" s="1"/>
  <c r="D10" i="1854" s="1"/>
  <c r="D36" i="1854"/>
  <c r="R35" i="1854"/>
  <c r="L19" i="1854" s="1"/>
  <c r="D19" i="1854" s="1"/>
  <c r="D35" i="1854"/>
  <c r="R34" i="1854"/>
  <c r="L12" i="1854" s="1"/>
  <c r="D12" i="1854" s="1"/>
  <c r="D34" i="1854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 s="1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R6" i="1854"/>
  <c r="R5" i="1854"/>
  <c r="R4" i="1854"/>
  <c r="R52" i="1853"/>
  <c r="L22" i="1853" s="1"/>
  <c r="D22" i="1853" s="1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L7" i="1853" s="1"/>
  <c r="D7" i="1853" s="1"/>
  <c r="D41" i="1853"/>
  <c r="R40" i="1853"/>
  <c r="L8" i="1853" s="1"/>
  <c r="D8" i="1853" s="1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L19" i="1853" s="1"/>
  <c r="D19" i="1853" s="1"/>
  <c r="H35" i="1853"/>
  <c r="D35" i="1853"/>
  <c r="R34" i="1853"/>
  <c r="L12" i="1853" s="1"/>
  <c r="D12" i="1853" s="1"/>
  <c r="H34" i="1853"/>
  <c r="D34" i="1853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 s="1"/>
  <c r="R25" i="1853"/>
  <c r="L25" i="1853"/>
  <c r="D25" i="1853" s="1"/>
  <c r="R24" i="1853"/>
  <c r="D24" i="1853"/>
  <c r="R23" i="1853"/>
  <c r="R22" i="1853"/>
  <c r="R21" i="1853"/>
  <c r="D21" i="1853"/>
  <c r="R20" i="1853"/>
  <c r="L20" i="1853"/>
  <c r="D20" i="1853"/>
  <c r="R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L7" i="1852" s="1"/>
  <c r="D7" i="1852" s="1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L12" i="1852" s="1"/>
  <c r="D12" i="1852" s="1"/>
  <c r="H34" i="1852"/>
  <c r="D34" i="1852"/>
  <c r="R33" i="1852"/>
  <c r="R32" i="1852"/>
  <c r="L11" i="1852" s="1"/>
  <c r="D11" i="1852" s="1"/>
  <c r="R31" i="1852"/>
  <c r="R30" i="1852"/>
  <c r="R29" i="1852"/>
  <c r="R28" i="1852"/>
  <c r="L16" i="1852" s="1"/>
  <c r="D16" i="1852" s="1"/>
  <c r="R27" i="1852"/>
  <c r="D27" i="1852"/>
  <c r="R26" i="1852"/>
  <c r="L26" i="1852"/>
  <c r="D26" i="1852" s="1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L17" i="1852" s="1"/>
  <c r="D17" i="1852" s="1"/>
  <c r="D21" i="1852"/>
  <c r="R20" i="1852"/>
  <c r="R19" i="1852"/>
  <c r="R18" i="1852"/>
  <c r="D18" i="1852"/>
  <c r="R17" i="1852"/>
  <c r="R16" i="1852"/>
  <c r="R15" i="1852"/>
  <c r="D15" i="1852"/>
  <c r="R14" i="1852"/>
  <c r="D14" i="1852"/>
  <c r="R13" i="1852"/>
  <c r="D13" i="1852"/>
  <c r="R12" i="1852"/>
  <c r="R11" i="1852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 s="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L9" i="1850" s="1"/>
  <c r="D9" i="1850" s="1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L11" i="1850" s="1"/>
  <c r="D11" i="1850" s="1"/>
  <c r="R31" i="1850"/>
  <c r="R30" i="1850"/>
  <c r="R29" i="1850"/>
  <c r="R28" i="1850"/>
  <c r="L16" i="1850" s="1"/>
  <c r="D16" i="1850" s="1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 s="1"/>
  <c r="R21" i="1850"/>
  <c r="D21" i="1850"/>
  <c r="R20" i="1850"/>
  <c r="L20" i="1850"/>
  <c r="D20" i="1850" s="1"/>
  <c r="R19" i="1850"/>
  <c r="R18" i="1850"/>
  <c r="D18" i="1850"/>
  <c r="R17" i="1850"/>
  <c r="D17" i="1850"/>
  <c r="R16" i="1850"/>
  <c r="S15" i="1850"/>
  <c r="R15" i="1850"/>
  <c r="D15" i="1850"/>
  <c r="S14" i="1850"/>
  <c r="R14" i="1850"/>
  <c r="D14" i="1850"/>
  <c r="R13" i="1850"/>
  <c r="D13" i="1850"/>
  <c r="R12" i="1850"/>
  <c r="R11" i="1850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L9" i="1849" s="1"/>
  <c r="D9" i="1849" s="1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L11" i="1849" s="1"/>
  <c r="D11" i="1849" s="1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 s="1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L28" i="1848" s="1"/>
  <c r="D28" i="1848" s="1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 s="1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L20" i="1847" s="1"/>
  <c r="D20" i="1847" s="1"/>
  <c r="H39" i="1847"/>
  <c r="D39" i="1847"/>
  <c r="R38" i="1847"/>
  <c r="L9" i="1847" s="1"/>
  <c r="D9" i="1847" s="1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L12" i="1847" s="1"/>
  <c r="D12" i="1847" s="1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R19" i="1847"/>
  <c r="D19" i="1847"/>
  <c r="R18" i="1847"/>
  <c r="D18" i="1847"/>
  <c r="R17" i="1847"/>
  <c r="L17" i="1847"/>
  <c r="D17" i="1847" s="1"/>
  <c r="R16" i="1847"/>
  <c r="R15" i="1847"/>
  <c r="D15" i="1847"/>
  <c r="R14" i="1847"/>
  <c r="D14" i="1847"/>
  <c r="R13" i="1847"/>
  <c r="D13" i="1847"/>
  <c r="R12" i="1847"/>
  <c r="R11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 s="1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L8" i="1845" s="1"/>
  <c r="D8" i="1845" s="1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 s="1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L8" i="1844" s="1"/>
  <c r="D8" i="1844" s="1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L10" i="1844" s="1"/>
  <c r="D10" i="1844" s="1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L7" i="1843" s="1"/>
  <c r="D7" i="1843" s="1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L19" i="1842" s="1"/>
  <c r="D19" i="1842" s="1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 s="1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54" i="1853" l="1"/>
  <c r="H14" i="1853" s="1"/>
  <c r="G49" i="1853"/>
  <c r="D54" i="1856"/>
  <c r="H14" i="1856" s="1"/>
  <c r="D54" i="1854"/>
  <c r="H14" i="1854" s="1"/>
  <c r="D54" i="1864"/>
  <c r="H14" i="1864" s="1"/>
  <c r="D54" i="1842"/>
  <c r="H14" i="1842" s="1"/>
  <c r="D29" i="1862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D29" i="1863"/>
  <c r="H13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D29" i="1854"/>
  <c r="H13" i="1854" s="1"/>
  <c r="D29" i="1852"/>
  <c r="H13" i="1852" s="1"/>
  <c r="D29" i="1851"/>
  <c r="H13" i="1851" s="1"/>
  <c r="D29" i="1850"/>
  <c r="H13" i="1850" s="1"/>
  <c r="D29" i="1849"/>
  <c r="H13" i="1849" s="1"/>
  <c r="D29" i="1847"/>
  <c r="H13" i="1847" s="1"/>
  <c r="D29" i="1846"/>
  <c r="H13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L6" i="1821" s="1"/>
  <c r="D6" i="1821" s="1"/>
  <c r="D42" i="1821"/>
  <c r="R41" i="1821"/>
  <c r="L7" i="1821" s="1"/>
  <c r="D7" i="1821" s="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L23" i="1821" s="1"/>
  <c r="D23" i="1821" s="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 s="1"/>
  <c r="R24" i="1821"/>
  <c r="D24" i="1821"/>
  <c r="R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R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L8" i="1820" s="1"/>
  <c r="D8" i="1820" s="1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L11" i="1820" s="1"/>
  <c r="D11" i="1820" s="1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L7" i="1819" s="1"/>
  <c r="D7" i="1819" s="1"/>
  <c r="D41" i="1819"/>
  <c r="R40" i="1819"/>
  <c r="L8" i="1819" s="1"/>
  <c r="D8" i="1819" s="1"/>
  <c r="D40" i="1819"/>
  <c r="R39" i="1819"/>
  <c r="L20" i="1819" s="1"/>
  <c r="D20" i="1819" s="1"/>
  <c r="H39" i="1819"/>
  <c r="D39" i="1819"/>
  <c r="R38" i="1819"/>
  <c r="L9" i="1819" s="1"/>
  <c r="D9" i="1819" s="1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R19" i="1819"/>
  <c r="D19" i="1819"/>
  <c r="R18" i="1819"/>
  <c r="D18" i="1819"/>
  <c r="R17" i="1819"/>
  <c r="L17" i="1819"/>
  <c r="D17" i="1819" s="1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L8" i="1818" s="1"/>
  <c r="D8" i="1818" s="1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 s="1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R6" i="1818"/>
  <c r="R5" i="1818"/>
  <c r="R4" i="1818"/>
  <c r="H15" i="1853" l="1"/>
  <c r="H29" i="1853" s="1"/>
  <c r="G51" i="1853" s="1"/>
  <c r="H15" i="1846"/>
  <c r="H29" i="1846" s="1"/>
  <c r="G51" i="1846" s="1"/>
  <c r="H15" i="1850"/>
  <c r="H29" i="1850" s="1"/>
  <c r="G51" i="1850" s="1"/>
  <c r="H15" i="1854"/>
  <c r="H29" i="1854" s="1"/>
  <c r="G51" i="1854" s="1"/>
  <c r="H15" i="1856"/>
  <c r="H29" i="1856" s="1"/>
  <c r="G51" i="1856" s="1"/>
  <c r="H15" i="1864"/>
  <c r="H29" i="1864" s="1"/>
  <c r="G51" i="1864" s="1"/>
  <c r="H15" i="1863"/>
  <c r="H29" i="1863" s="1"/>
  <c r="G51" i="1863" s="1"/>
  <c r="D54" i="1818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<sst xmlns="http://schemas.openxmlformats.org/spreadsheetml/2006/main" count="10260" uniqueCount="195">
  <si>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</si>
  <si>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</si>
  <si>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</si>
  <si>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</si>
  <si>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</si>
  <si>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</si>
  <si>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</si>
  <si>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</si>
  <si>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</si>
  <si>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</si>
  <si>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</si>
  <si>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</si>
  <si>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</si>
  <si>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</si>
  <si>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</si>
  <si>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</si>
  <si>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</si>
  <si>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</si>
  <si>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</si>
  <si>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</si>
  <si>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</si>
  <si>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</si>
  <si>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</si>
  <si>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</si>
  <si>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</si>
  <si>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</si>
  <si>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</si>
  <si>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</si>
  <si>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</si>
  <si>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</si>
  <si>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</si>
  <si>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</si>
  <si>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</si>
  <si>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</si>
  <si>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</si>
  <si>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</si>
  <si>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</si>
  <si>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</si>
  <si>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</si>
  <si>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</si>
  <si>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</si>
  <si>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</si>
  <si>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</si>
  <si>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</si>
  <si>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</si>
  <si>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</si>
  <si>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</si>
  <si>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</si>
  <si>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</si>
  <si>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</si>
  <si>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</si>
  <si>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</si>
  <si>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</si>
  <si>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</si>
  <si>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</si>
  <si>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</si>
  <si>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</si>
  <si>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</si>
  <si>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</si>
  <si>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</si>
  <si>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</si>
  <si>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</si>
  <si>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</si>
  <si>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</si>
  <si>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</si>
  <si>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</si>
  <si>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</si>
  <si>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</si>
  <si>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</si>
  <si>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</si>
  <si>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</si>
  <si>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</si>
  <si>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</si>
  <si>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</si>
  <si>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</si>
  <si>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</si>
  <si>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</si>
  <si>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</si>
  <si>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</si>
  <si>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</si>
  <si>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</si>
  <si>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</si>
  <si>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</si>
  <si>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</si>
  <si>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</si>
  <si>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</si>
  <si>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</si>
  <si>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</si>
  <si>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</si>
  <si>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</si>
  <si>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</si>
  <si>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</si>
  <si>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</si>
  <si>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</si>
  <si>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</si>
  <si>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</si>
  <si>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</si>
  <si>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</si>
  <si>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</si>
  <si>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</si>
  <si>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</si>
  <si>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</si>
  <si>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</si>
  <si>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</si>
  <si>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</si>
  <si>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</si>
  <si>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</si>
  <si>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</si>
  <si>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</si>
  <si>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</si>
  <si>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</si>
  <si>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</si>
  <si>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</si>
  <si>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</si>
  <si>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</si>
  <si>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</si>
  <si>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</si>
  <si>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</si>
  <si>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</si>
  <si>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</si>
  <si>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</si>
  <si>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</si>
  <si>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</si>
  <si>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</si>
  <si>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</si>
  <si>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</si>
  <si>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</si>
  <si>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</si>
  <si>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</si>
  <si>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</si>
  <si>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</si>
  <si>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</si>
  <si>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</si>
  <si>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</si>
  <si>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</si>
  <si>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</si>
  <si>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</si>
  <si>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</si>
  <si>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</si>
  <si>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</si>
  <si>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</si>
  <si>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</si>
  <si>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</si>
  <si>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</si>
  <si>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</si>
  <si>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</si>
  <si>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</si>
  <si>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</si>
  <si>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</si>
  <si>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</si>
  <si>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</si>
  <si>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</si>
  <si>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</si>
  <si>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</si>
  <si>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</si>
  <si>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</si>
  <si>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</si>
  <si>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</si>
  <si>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</si>
  <si>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</si>
  <si>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</si>
  <si>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</si>
  <si>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</si>
  <si>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</si>
  <si>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</si>
  <si>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</si>
  <si>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</si>
  <si>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</si>
  <si>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</si>
  <si>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</si>
  <si>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</si>
  <si>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</si>
  <si>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</si>
  <si>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</si>
  <si>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</si>
  <si>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</si>
  <si>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</si>
  <si>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</si>
  <si>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</si>
  <si>
    <t>PP BOT.</t>
  </si>
  <si>
    <t>5089388</t>
  </si>
  <si>
    <t>146662</t>
  </si>
  <si>
    <t>2130020804</t>
  </si>
  <si>
    <t>2130020805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</si>
  <si>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</si>
  <si>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2968</t>
  </si>
  <si>
    <t>2971</t>
  </si>
  <si>
    <t>147357</t>
  </si>
  <si>
    <t>43002</t>
  </si>
  <si>
    <t>132736</t>
  </si>
  <si>
    <t>5872</t>
  </si>
  <si>
    <t>52525</t>
  </si>
  <si>
    <t>2000007786</t>
  </si>
  <si>
    <t>2000002985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</si>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</sst>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7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theme" Target="theme/theme1.xml"/><Relationship Id="rId8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B2E6C1-A672-4577-8A57-457D31568C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BFB0D5-CEFA-4469-BFB7-9BAD726F8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30BB3-8600-4779-A63F-93381C635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FDCC58-74F6-49B1-AEDC-91212E536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31E1DC-8DA0-4B7B-95C4-4FB441BC8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E02F49-1AC9-4BF2-97C2-E40B012CF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04C7D-25ED-4589-AAC0-0A3CB299E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14F2F3-83E5-473D-BA89-36599B681A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4DE639-3326-4F48-BCC1-2B6BB5DFFC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9AFCA7-2455-4C73-BE7E-A84C323B37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DFB59D-9075-464B-829B-918C1B443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A2A098-8F40-400F-8EF7-3DE465B0C6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9C8DAA-50D2-4AB9-849F-8EAA8B7B3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9A8F36-C38A-432E-8B53-000B78EE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B7BD2B-12F2-4AF7-B747-2FE3995CD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2DE797-3A44-4553-BAFC-FDE9591113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E7725B-0384-41FE-B8FC-CEE78F7CE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90A543-6FF1-4E42-B2FA-61071D6929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F5BF6A-B24B-4898-A1EA-6EC879A888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179EE4-3B4B-4119-8814-0BA185F13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799E8B-D58D-465A-9388-680B7002FD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339BBC-5236-420E-9AB9-F244C6A3B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22B87-5837-4F94-9C1B-711889D86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686FF4-5E1C-497A-8278-B6381617D1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6124FF-185E-4622-90F4-2F352F255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86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46083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308</v>
      </c>
      <c r="D6" s="13">
        <f t="shared" ref="D6:D28" si="1">C6*L6</f>
        <v>234388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12</v>
      </c>
      <c r="D7" s="13">
        <f t="shared" si="1"/>
        <v>9372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>
        <v>1</v>
      </c>
      <c r="D8" s="13">
        <f t="shared" si="1"/>
        <v>1093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18</v>
      </c>
      <c r="D9" s="13">
        <f t="shared" si="1"/>
        <v>13194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2</v>
      </c>
      <c r="D10" s="13">
        <f t="shared" si="1"/>
        <v>2064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2</v>
      </c>
      <c r="D12" s="48">
        <f t="shared" si="1"/>
        <v>1984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6</v>
      </c>
      <c r="D13" s="48">
        <f t="shared" si="1"/>
        <v>1842</v>
      </c>
      <c r="F13" s="135" t="s">
        <v>36</v>
      </c>
      <c r="G13" s="136"/>
      <c r="H13" s="137">
        <f>D29</f>
        <v>265882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5</v>
      </c>
      <c r="D14" s="31">
        <f t="shared" si="1"/>
        <v>55</v>
      </c>
      <c r="F14" s="140" t="s">
        <v>39</v>
      </c>
      <c r="G14" s="141"/>
      <c r="H14" s="142">
        <f>D54</f>
        <v>30599.25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>
        <v>1</v>
      </c>
      <c r="D15" s="31">
        <f t="shared" si="1"/>
        <v>620</v>
      </c>
      <c r="F15" s="145" t="s">
        <v>40</v>
      </c>
      <c r="G15" s="136"/>
      <c r="H15" s="146">
        <f>H13-H14</f>
        <v>235282.75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216*6+10*6</f>
        <v>1356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89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265882</v>
      </c>
      <c r="F29" s="158" t="s">
        <v>55</v>
      </c>
      <c r="G29" s="159"/>
      <c r="H29" s="162">
        <f>H15-H16-H17-H18-H19-H20-H22-H23-H24+H26+H27+H28</f>
        <v>233926.75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90">
        <f t="shared" ref="H34:H39" si="2">F34*G34</f>
        <v>64000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90">
        <f t="shared" si="2"/>
        <v>6500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90">
        <f t="shared" si="2"/>
        <v>400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90">
        <f t="shared" si="2"/>
        <v>4300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90">
        <f t="shared" si="2"/>
        <v>1100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0">
        <v>30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74">
        <v>150017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74">
        <v>7564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11</v>
      </c>
      <c r="D46" s="12">
        <f>C46*1.5</f>
        <v>16.5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233911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3</v>
      </c>
      <c r="D50" s="12">
        <f>C50*1.5</f>
        <v>4.5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-15.75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46083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351</v>
      </c>
      <c r="D6" s="13">
        <f t="shared" ref="D6:D28" si="1">C6*L6</f>
        <v>267111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</v>
      </c>
      <c r="D7" s="13">
        <f t="shared" si="1"/>
        <v>781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40</v>
      </c>
      <c r="D9" s="13">
        <f t="shared" si="1"/>
        <v>29320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10</v>
      </c>
      <c r="D10" s="13">
        <f t="shared" si="1"/>
        <v>10320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9</v>
      </c>
      <c r="D13" s="48">
        <f t="shared" si="1"/>
        <v>2763</v>
      </c>
      <c r="F13" s="135" t="s">
        <v>36</v>
      </c>
      <c r="G13" s="136"/>
      <c r="H13" s="137">
        <f>D29</f>
        <v>313708.5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3</v>
      </c>
      <c r="D14" s="31">
        <f t="shared" si="1"/>
        <v>33</v>
      </c>
      <c r="F14" s="140" t="s">
        <v>39</v>
      </c>
      <c r="G14" s="141"/>
      <c r="H14" s="142">
        <f>D54</f>
        <v>55225.5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258483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230*6</f>
        <v>1380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150</v>
      </c>
      <c r="C24" s="10">
        <v>12</v>
      </c>
      <c r="D24" s="48">
        <f t="shared" si="1"/>
        <v>474</v>
      </c>
      <c r="F24" s="38"/>
      <c r="G24" s="37"/>
      <c r="H24" s="173"/>
      <c r="I24" s="174"/>
      <c r="J24" s="174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313708.5</v>
      </c>
      <c r="F29" s="158" t="s">
        <v>55</v>
      </c>
      <c r="G29" s="159"/>
      <c r="H29" s="162">
        <f>H15-H16-H17-H18-H19-H20-H22-H23-H24+H26+H27</f>
        <v>257103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90">
        <f>F34*G34</f>
        <v>101000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90">
        <f t="shared" ref="H35:H39" si="2">F35*G35</f>
        <v>11000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90">
        <f t="shared" si="2"/>
        <v>100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90">
        <f t="shared" si="2"/>
        <v>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2</v>
      </c>
      <c r="D42" s="12">
        <f>C42*2.25</f>
        <v>4.5</v>
      </c>
      <c r="F42" s="39" t="s">
        <v>79</v>
      </c>
      <c r="G42" s="190">
        <v>136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74">
        <v>144193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>
        <v>1</v>
      </c>
      <c r="D45" s="12">
        <f>C45*84</f>
        <v>84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36</v>
      </c>
      <c r="D46" s="12">
        <f>C46*1.5</f>
        <v>54</v>
      </c>
      <c r="F46" s="37"/>
      <c r="G46" s="88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22</v>
      </c>
      <c r="D49" s="12">
        <f>C49*42</f>
        <v>924</v>
      </c>
      <c r="F49" s="215" t="s">
        <v>86</v>
      </c>
      <c r="G49" s="162">
        <f>H34+H35+H36+H37+H38+H39+H40+H41+G42+H44+H45+H46</f>
        <v>256479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5</v>
      </c>
      <c r="D50" s="12">
        <f>C50*1.5</f>
        <v>7.5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153</v>
      </c>
      <c r="G51" s="229">
        <f>G49-H29</f>
        <v>-624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46083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266</v>
      </c>
      <c r="D6" s="13">
        <f t="shared" ref="D6:D28" si="1">C6*L6</f>
        <v>202426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9</v>
      </c>
      <c r="D7" s="13">
        <f t="shared" si="1"/>
        <v>7029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57</v>
      </c>
      <c r="D9" s="13">
        <f t="shared" si="1"/>
        <v>41781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1</v>
      </c>
      <c r="D10" s="13">
        <f t="shared" si="1"/>
        <v>1032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2</v>
      </c>
      <c r="D12" s="48">
        <f t="shared" si="1"/>
        <v>1984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12</v>
      </c>
      <c r="D13" s="48">
        <f t="shared" si="1"/>
        <v>3684</v>
      </c>
      <c r="F13" s="135" t="s">
        <v>36</v>
      </c>
      <c r="G13" s="136"/>
      <c r="H13" s="137">
        <f>D29</f>
        <v>259606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8</v>
      </c>
      <c r="D14" s="31">
        <f t="shared" si="1"/>
        <v>88</v>
      </c>
      <c r="F14" s="140" t="s">
        <v>39</v>
      </c>
      <c r="G14" s="141"/>
      <c r="H14" s="142">
        <f>D54</f>
        <v>36129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223477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115*6</f>
        <v>690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>
        <v>50</v>
      </c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259606</v>
      </c>
      <c r="F29" s="158" t="s">
        <v>55</v>
      </c>
      <c r="G29" s="159"/>
      <c r="H29" s="162">
        <f>H15-H16-H17-H18-H19-H20-H22-H23-H24+H26+H27</f>
        <v>222737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90">
        <f>F34*G34</f>
        <v>41000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90">
        <f>F35*G35</f>
        <v>3500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90">
        <f t="shared" si="2"/>
        <v>100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90">
        <f t="shared" si="2"/>
        <v>100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90">
        <v>88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74">
        <v>75280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74">
        <v>101194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199">
        <v>1582</v>
      </c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222844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1</v>
      </c>
      <c r="D50" s="12">
        <f>C50*1.5</f>
        <v>1.5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107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86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46084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382</v>
      </c>
      <c r="D6" s="13">
        <f t="shared" ref="D6:D28" si="1">C6*L6</f>
        <v>290702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7</v>
      </c>
      <c r="D7" s="13">
        <f t="shared" si="1"/>
        <v>5467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31</v>
      </c>
      <c r="D9" s="13">
        <f t="shared" si="1"/>
        <v>22723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322724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9</v>
      </c>
      <c r="D14" s="31">
        <f t="shared" si="1"/>
        <v>99</v>
      </c>
      <c r="F14" s="140" t="s">
        <v>39</v>
      </c>
      <c r="G14" s="141"/>
      <c r="H14" s="142">
        <f>D54</f>
        <v>44362.5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278361.5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89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>
        <v>3</v>
      </c>
      <c r="D28" s="48">
        <f t="shared" si="1"/>
        <v>2433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322724</v>
      </c>
      <c r="F29" s="158" t="s">
        <v>55</v>
      </c>
      <c r="G29" s="159"/>
      <c r="H29" s="162">
        <f>H15-H16-H17-H18-H19-H20-H22-H23-H24+H26+H27+H28</f>
        <v>278361.5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90">
        <f t="shared" ref="H34:H39" si="2">F34*G34</f>
        <v>212000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90">
        <f t="shared" si="2"/>
        <v>18000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0">
        <f t="shared" si="2"/>
        <v>400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90">
        <f t="shared" si="2"/>
        <v>2700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90">
        <f t="shared" si="2"/>
        <v>1150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90">
        <f t="shared" si="2"/>
        <v>40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2</v>
      </c>
      <c r="D42" s="12">
        <f>C42*2.25</f>
        <v>4.5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74">
        <v>10000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74">
        <v>35000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279290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8</v>
      </c>
      <c r="D50" s="12">
        <f>C50*1.5</f>
        <v>12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928.5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46084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224</v>
      </c>
      <c r="D6" s="13">
        <f t="shared" ref="D6:D28" si="1">C6*L6</f>
        <v>170464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2</v>
      </c>
      <c r="D7" s="13">
        <f t="shared" si="1"/>
        <v>1562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71</v>
      </c>
      <c r="D9" s="13">
        <f t="shared" si="1"/>
        <v>52043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7</v>
      </c>
      <c r="D13" s="48">
        <f t="shared" si="1"/>
        <v>2149</v>
      </c>
      <c r="F13" s="135" t="s">
        <v>36</v>
      </c>
      <c r="G13" s="136"/>
      <c r="H13" s="137">
        <f>D29</f>
        <v>228774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14</v>
      </c>
      <c r="D14" s="31">
        <f t="shared" si="1"/>
        <v>154</v>
      </c>
      <c r="F14" s="140" t="s">
        <v>39</v>
      </c>
      <c r="G14" s="141"/>
      <c r="H14" s="142">
        <f>D54</f>
        <v>35040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193734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122*6</f>
        <v>732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72">
        <v>265</v>
      </c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228774</v>
      </c>
      <c r="F29" s="158" t="s">
        <v>55</v>
      </c>
      <c r="G29" s="159"/>
      <c r="H29" s="162">
        <f>H15-H16-H17-H18-H19-H20-H22-H23-H24+H26+H27</f>
        <v>192737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90">
        <f>F34*G34</f>
        <v>140000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90">
        <f t="shared" ref="H35:H39" si="2">F35*G35</f>
        <v>46500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0">
        <f>F36*G36</f>
        <v>400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90">
        <f t="shared" si="2"/>
        <v>4300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90">
        <f t="shared" si="2"/>
        <v>1350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>
        <v>45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1</v>
      </c>
      <c r="D46" s="12">
        <f>C46*1.5</f>
        <v>1.5</v>
      </c>
      <c r="F46" s="37"/>
      <c r="G46" s="88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3</v>
      </c>
      <c r="D49" s="12">
        <f>C49*42</f>
        <v>126</v>
      </c>
      <c r="F49" s="215" t="s">
        <v>86</v>
      </c>
      <c r="G49" s="162">
        <f>H34+H35+H36+H37+H38+H39+H40+H41+G42+H44+H45+H46</f>
        <v>192595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19</v>
      </c>
      <c r="D50" s="12">
        <f>C50*1.5</f>
        <v>28.5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162</v>
      </c>
      <c r="G51" s="229">
        <f>G49-H29</f>
        <v>-142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46084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291</v>
      </c>
      <c r="D6" s="13">
        <f t="shared" ref="D6:D28" si="1">C6*L6</f>
        <v>221451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20</v>
      </c>
      <c r="D7" s="13">
        <f t="shared" si="1"/>
        <v>15620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>
        <v>1</v>
      </c>
      <c r="D8" s="13">
        <f t="shared" si="1"/>
        <v>1093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36</v>
      </c>
      <c r="D9" s="13">
        <f t="shared" si="1"/>
        <v>26388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3</v>
      </c>
      <c r="D12" s="48">
        <f t="shared" si="1"/>
        <v>2976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15</v>
      </c>
      <c r="D13" s="48">
        <f t="shared" si="1"/>
        <v>4605</v>
      </c>
      <c r="F13" s="135" t="s">
        <v>36</v>
      </c>
      <c r="G13" s="136"/>
      <c r="H13" s="137">
        <f>D29</f>
        <v>273403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40279.5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>
        <v>1</v>
      </c>
      <c r="D15" s="31">
        <f t="shared" si="1"/>
        <v>620</v>
      </c>
      <c r="F15" s="145" t="s">
        <v>40</v>
      </c>
      <c r="G15" s="136"/>
      <c r="H15" s="146">
        <f>H13-H14</f>
        <v>233123.5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153*6</f>
        <v>918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273403</v>
      </c>
      <c r="F29" s="158" t="s">
        <v>55</v>
      </c>
      <c r="G29" s="159"/>
      <c r="H29" s="162">
        <f>H15-H16-H17-H18-H19-H20-H22-H23-H24+H26+H27</f>
        <v>232205.5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90">
        <f>F34*G34</f>
        <v>75000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90">
        <f>F35*G35</f>
        <v>48500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90">
        <f t="shared" si="2"/>
        <v>6000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90">
        <f t="shared" si="2"/>
        <v>2150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12</v>
      </c>
      <c r="D42" s="12">
        <f>C42*2.25</f>
        <v>27</v>
      </c>
      <c r="F42" s="39" t="s">
        <v>79</v>
      </c>
      <c r="G42" s="190">
        <v>74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74">
        <v>100483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64</v>
      </c>
      <c r="D46" s="12">
        <f>C46*1.5</f>
        <v>96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3</v>
      </c>
      <c r="D49" s="12">
        <f>C49*42</f>
        <v>126</v>
      </c>
      <c r="F49" s="215" t="s">
        <v>86</v>
      </c>
      <c r="G49" s="162">
        <f>H34+H35+H36+H37+H38+H39+H40+H41+G42+H44+H45+H46</f>
        <v>232207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22</v>
      </c>
      <c r="D50" s="12">
        <f>C50*1.5</f>
        <v>33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1.5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86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46085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359</v>
      </c>
      <c r="D6" s="13">
        <f t="shared" ref="D6:D28" si="1">C6*L6</f>
        <v>273199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6</v>
      </c>
      <c r="D7" s="13">
        <f t="shared" si="1"/>
        <v>4686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117</v>
      </c>
      <c r="D9" s="13">
        <f t="shared" si="1"/>
        <v>85761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10</v>
      </c>
      <c r="D10" s="13">
        <f t="shared" si="1"/>
        <v>10320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>
        <v>2</v>
      </c>
      <c r="D11" s="13">
        <f t="shared" si="1"/>
        <v>2340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3</v>
      </c>
      <c r="D12" s="48">
        <f t="shared" si="1"/>
        <v>2976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18</v>
      </c>
      <c r="D13" s="48">
        <f t="shared" si="1"/>
        <v>5526</v>
      </c>
      <c r="F13" s="135" t="s">
        <v>36</v>
      </c>
      <c r="G13" s="136"/>
      <c r="H13" s="137">
        <f>D29</f>
        <v>387395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14</v>
      </c>
      <c r="D14" s="31">
        <f t="shared" si="1"/>
        <v>154</v>
      </c>
      <c r="F14" s="140" t="s">
        <v>39</v>
      </c>
      <c r="G14" s="141"/>
      <c r="H14" s="142">
        <f>D54</f>
        <v>43563.75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343831.25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334*6</f>
        <v>2004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72">
        <v>100339</v>
      </c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74">
        <v>98532</v>
      </c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89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>
        <v>3</v>
      </c>
      <c r="D28" s="48">
        <f t="shared" si="1"/>
        <v>2433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387395</v>
      </c>
      <c r="F29" s="158" t="s">
        <v>55</v>
      </c>
      <c r="G29" s="159"/>
      <c r="H29" s="162">
        <f>H15-H16-H17-H18-H19-H20-H22-H23-H24+H26+H27+H28</f>
        <v>340020.25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90">
        <f t="shared" ref="H34:H39" si="2">F34*G34</f>
        <v>10000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90">
        <f t="shared" si="2"/>
        <v>100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90">
        <f t="shared" si="2"/>
        <v>100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0">
        <v>10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74">
        <v>230441.5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74">
        <v>98532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2</v>
      </c>
      <c r="D46" s="12">
        <f>C46*1.5</f>
        <v>3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7</v>
      </c>
      <c r="D49" s="12">
        <f>C49*42</f>
        <v>294</v>
      </c>
      <c r="F49" s="215" t="s">
        <v>86</v>
      </c>
      <c r="G49" s="162">
        <f>H34+H35+H36+H37+H38+H39+H40+H41+G42+H44+H45+H46</f>
        <v>339183.5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17</v>
      </c>
      <c r="D50" s="12">
        <f>C50*1.5</f>
        <v>25.5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-836.75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46085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326</v>
      </c>
      <c r="D6" s="13">
        <f t="shared" ref="D6:D28" si="1">C6*L6</f>
        <v>248086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14</v>
      </c>
      <c r="D13" s="48">
        <f t="shared" si="1"/>
        <v>4298</v>
      </c>
      <c r="F13" s="135" t="s">
        <v>36</v>
      </c>
      <c r="G13" s="136"/>
      <c r="H13" s="137">
        <f>D29</f>
        <v>253739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5</v>
      </c>
      <c r="D14" s="31">
        <f t="shared" si="1"/>
        <v>55</v>
      </c>
      <c r="F14" s="140" t="s">
        <v>39</v>
      </c>
      <c r="G14" s="141"/>
      <c r="H14" s="142">
        <f>D54</f>
        <v>36819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216920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324*6</f>
        <v>1944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49">
        <v>50</v>
      </c>
      <c r="I19" s="149"/>
      <c r="J19" s="14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253739</v>
      </c>
      <c r="F29" s="158" t="s">
        <v>55</v>
      </c>
      <c r="G29" s="159"/>
      <c r="H29" s="162">
        <f>H15-H16-H17-H18-H19-H20-H22-H23-H24+H26+H27</f>
        <v>214926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90">
        <f>F34*G34</f>
        <v>214000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90">
        <f t="shared" ref="H35:H39" si="2">F35*G35</f>
        <v>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90">
        <f t="shared" si="2"/>
        <v>300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90">
        <f t="shared" si="2"/>
        <v>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>
        <v>32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88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10</v>
      </c>
      <c r="D49" s="12">
        <f>C49*42</f>
        <v>420</v>
      </c>
      <c r="F49" s="215" t="s">
        <v>86</v>
      </c>
      <c r="G49" s="162">
        <f>H34+H35+H36+H37+H38+H39+H40+H41+G42+H44+H45+H46</f>
        <v>214882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1</v>
      </c>
      <c r="D50" s="12">
        <f>C50*1.5</f>
        <v>1.5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162</v>
      </c>
      <c r="G51" s="229">
        <f>G49-H29</f>
        <v>-44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46085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270</v>
      </c>
      <c r="D6" s="13">
        <f t="shared" ref="D6:D28" si="1">C6*L6</f>
        <v>205470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29</v>
      </c>
      <c r="D9" s="13">
        <f t="shared" si="1"/>
        <v>21257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8</v>
      </c>
      <c r="D13" s="48">
        <f t="shared" si="1"/>
        <v>2456</v>
      </c>
      <c r="F13" s="135" t="s">
        <v>36</v>
      </c>
      <c r="G13" s="136"/>
      <c r="H13" s="137">
        <f>D29</f>
        <v>236285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7</v>
      </c>
      <c r="D14" s="31">
        <f t="shared" si="1"/>
        <v>77</v>
      </c>
      <c r="F14" s="140" t="s">
        <v>39</v>
      </c>
      <c r="G14" s="141"/>
      <c r="H14" s="142">
        <f>D54</f>
        <v>33749.25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202535.75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50*6+80*6+63*6</f>
        <v>1158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49">
        <v>50</v>
      </c>
      <c r="I19" s="149"/>
      <c r="J19" s="14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>
        <v>1</v>
      </c>
      <c r="D23" s="48">
        <f t="shared" si="1"/>
        <v>1175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236285</v>
      </c>
      <c r="F29" s="158" t="s">
        <v>55</v>
      </c>
      <c r="G29" s="159"/>
      <c r="H29" s="162">
        <f>H15-H16-H17-H18-H19-H20-H22-H23-H24+H26+H27</f>
        <v>201327.75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90">
        <f>F34*G34</f>
        <v>94000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90">
        <f>F35*G35</f>
        <v>54000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90">
        <f t="shared" si="2"/>
        <v>12400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90">
        <f t="shared" si="2"/>
        <v>100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90">
        <v>94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74">
        <v>40666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4</v>
      </c>
      <c r="D49" s="12">
        <f>C49*42</f>
        <v>168</v>
      </c>
      <c r="F49" s="215" t="s">
        <v>86</v>
      </c>
      <c r="G49" s="162">
        <f>H34+H35+H36+H37+H38+H39+H40+H41+G42+H44+H45+H46</f>
        <v>201260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6</v>
      </c>
      <c r="D50" s="12">
        <f>C50*1.5</f>
        <v>9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-67.75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86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46086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377</v>
      </c>
      <c r="D6" s="13">
        <f t="shared" ref="D6:D28" si="1">C6*L6</f>
        <v>286897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10</v>
      </c>
      <c r="D9" s="13">
        <f t="shared" si="1"/>
        <v>7330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>
        <v>1</v>
      </c>
      <c r="D11" s="13">
        <f t="shared" si="1"/>
        <v>1170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10</v>
      </c>
      <c r="D13" s="48">
        <f t="shared" si="1"/>
        <v>3070</v>
      </c>
      <c r="F13" s="135" t="s">
        <v>36</v>
      </c>
      <c r="G13" s="136"/>
      <c r="H13" s="137">
        <f>D29</f>
        <v>301631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55843.5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245787.5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325*6</f>
        <v>1950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90" t="s">
        <v>167</v>
      </c>
      <c r="C22" s="10">
        <v>2</v>
      </c>
      <c r="D22" s="48">
        <f t="shared" si="1"/>
        <v>3164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89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301631</v>
      </c>
      <c r="F29" s="158" t="s">
        <v>55</v>
      </c>
      <c r="G29" s="159"/>
      <c r="H29" s="162">
        <f>H15-H16-H17-H18-H19-H20-H22-H23-H24+H26+H27+H28</f>
        <v>243837.5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90">
        <f t="shared" ref="H34:H39" si="2">F34*G34</f>
        <v>34000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90">
        <f t="shared" si="2"/>
        <v>209500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90">
        <f t="shared" si="2"/>
        <v>200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90">
        <f t="shared" si="2"/>
        <v>20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>
        <v>26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4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>
        <v>1</v>
      </c>
      <c r="D45" s="12">
        <f>C45*84</f>
        <v>84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6</v>
      </c>
      <c r="D46" s="12">
        <f>C46*1.5</f>
        <v>9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10</v>
      </c>
      <c r="D49" s="12">
        <f>C49*42</f>
        <v>420</v>
      </c>
      <c r="F49" s="215" t="s">
        <v>86</v>
      </c>
      <c r="G49" s="162">
        <f>H34+H35+H36+H37+H38+H39+H40+H41+G42+H44+H45+H46</f>
        <v>243746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18</v>
      </c>
      <c r="D50" s="12">
        <f>C50*1.5</f>
        <v>27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-91.5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46086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246</v>
      </c>
      <c r="D6" s="13">
        <f t="shared" ref="D6:D28" si="1">C6*L6</f>
        <v>187206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</v>
      </c>
      <c r="D7" s="13">
        <f t="shared" si="1"/>
        <v>781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24</v>
      </c>
      <c r="D9" s="13">
        <f t="shared" si="1"/>
        <v>17592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2</v>
      </c>
      <c r="D12" s="48">
        <f t="shared" si="1"/>
        <v>1984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7</v>
      </c>
      <c r="D13" s="48">
        <f t="shared" si="1"/>
        <v>2149</v>
      </c>
      <c r="F13" s="135" t="s">
        <v>36</v>
      </c>
      <c r="G13" s="136"/>
      <c r="H13" s="137">
        <f>D29</f>
        <v>264640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34920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229720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197*6</f>
        <v>1182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>
        <v>4</v>
      </c>
      <c r="D23" s="48">
        <f t="shared" si="1"/>
        <v>6668</v>
      </c>
      <c r="F23" s="25"/>
      <c r="G23" s="37"/>
      <c r="H23" s="173"/>
      <c r="I23" s="174"/>
      <c r="J23" s="17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168</v>
      </c>
      <c r="C27" s="10">
        <v>1</v>
      </c>
      <c r="D27" s="44">
        <f t="shared" si="1"/>
        <v>1582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264640</v>
      </c>
      <c r="F29" s="158" t="s">
        <v>55</v>
      </c>
      <c r="G29" s="159"/>
      <c r="H29" s="162">
        <f>H15-H16-H17-H18-H19-H20-H22-H23-H24+H26+H27</f>
        <v>228538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90">
        <f>F34*G34</f>
        <v>44000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90">
        <f t="shared" ref="H35:H39" si="2">F35*G35</f>
        <v>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90">
        <f t="shared" si="2"/>
        <v>400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90">
        <f t="shared" si="2"/>
        <v>150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90">
        <f t="shared" si="2"/>
        <v>40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2</v>
      </c>
      <c r="D42" s="12">
        <f>C42*2.25</f>
        <v>4.5</v>
      </c>
      <c r="F42" s="39" t="s">
        <v>79</v>
      </c>
      <c r="G42" s="190">
        <v>69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74">
        <v>179826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88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10</v>
      </c>
      <c r="D49" s="12">
        <f>C49*42</f>
        <v>420</v>
      </c>
      <c r="F49" s="215" t="s">
        <v>86</v>
      </c>
      <c r="G49" s="162">
        <f>H34+H35+H36+H37+H38+H39+H40+H41+G42+H44+H45+H46</f>
        <v>224985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162</v>
      </c>
      <c r="G51" s="229">
        <f>G49-H29</f>
        <v>-3553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46086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86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46087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49"/>
      <c r="I19" s="149"/>
      <c r="J19" s="149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89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4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46087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88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46087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355</v>
      </c>
      <c r="D6" s="13">
        <f t="shared" ref="D6:D28" si="1">C6*L6</f>
        <v>270155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10</v>
      </c>
      <c r="D7" s="13">
        <f t="shared" si="1"/>
        <v>7810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111</v>
      </c>
      <c r="D9" s="13">
        <f t="shared" si="1"/>
        <v>81363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13</v>
      </c>
      <c r="D13" s="48">
        <f t="shared" si="1"/>
        <v>3991</v>
      </c>
      <c r="F13" s="135" t="s">
        <v>36</v>
      </c>
      <c r="G13" s="136"/>
      <c r="H13" s="137">
        <f>D29</f>
        <v>363462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13</v>
      </c>
      <c r="D14" s="31">
        <f t="shared" si="1"/>
        <v>143</v>
      </c>
      <c r="F14" s="140" t="s">
        <v>39</v>
      </c>
      <c r="G14" s="141"/>
      <c r="H14" s="142">
        <f>D54</f>
        <v>54750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308712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v>2472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>
        <v>50</v>
      </c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363462</v>
      </c>
      <c r="F29" s="158" t="s">
        <v>55</v>
      </c>
      <c r="G29" s="159"/>
      <c r="H29" s="162">
        <f>H15-H16-H17-H18-H19-H20-H22-H23-H24+H26+H27</f>
        <v>306190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190">
        <f>F34*G34</f>
        <v>63000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90">
        <f>F35*G35</f>
        <v>15500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90">
        <f t="shared" si="2"/>
        <v>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190">
        <f t="shared" si="2"/>
        <v>300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2</v>
      </c>
      <c r="D42" s="12">
        <f>C42*2.25</f>
        <v>4.5</v>
      </c>
      <c r="F42" s="39" t="s">
        <v>79</v>
      </c>
      <c r="G42" s="190">
        <v>3162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74">
        <v>225117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4</v>
      </c>
      <c r="D49" s="12">
        <f>C49*42</f>
        <v>168</v>
      </c>
      <c r="F49" s="215" t="s">
        <v>86</v>
      </c>
      <c r="G49" s="162">
        <f>H34+H35+H36+H37+H38+H39+H40+H41+G42+H44+H45+H46</f>
        <v>307129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9</v>
      </c>
      <c r="D50" s="12">
        <f>C50*1.5</f>
        <v>13.5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939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86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46088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319</v>
      </c>
      <c r="D6" s="13">
        <f t="shared" ref="D6:D28" si="1">C6*L6</f>
        <v>242759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>
        <v>50</v>
      </c>
      <c r="D8" s="13">
        <f t="shared" si="1"/>
        <v>54650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17</v>
      </c>
      <c r="D9" s="13">
        <f t="shared" si="1"/>
        <v>12461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>
        <v>2</v>
      </c>
      <c r="D11" s="13">
        <f t="shared" si="1"/>
        <v>2340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1</v>
      </c>
      <c r="D12" s="48">
        <f t="shared" si="1"/>
        <v>992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</v>
      </c>
      <c r="D13" s="48">
        <f t="shared" si="1"/>
        <v>307</v>
      </c>
      <c r="F13" s="135" t="s">
        <v>36</v>
      </c>
      <c r="G13" s="136"/>
      <c r="H13" s="137">
        <f>D29</f>
        <v>319434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42474.75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276959.25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72">
        <v>51622</v>
      </c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89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>
        <v>1</v>
      </c>
      <c r="D28" s="48">
        <f t="shared" si="1"/>
        <v>811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319434</v>
      </c>
      <c r="F29" s="158" t="s">
        <v>55</v>
      </c>
      <c r="G29" s="159"/>
      <c r="H29" s="162">
        <f>H15-H16-H17-H18-H19-H20-H22-H23-H24+H26+H27+H28</f>
        <v>225337.25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190">
        <f t="shared" ref="H34:H39" si="2">F34*G34</f>
        <v>82000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190">
        <f t="shared" si="2"/>
        <v>200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90">
        <f t="shared" si="2"/>
        <v>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90">
        <v>106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74">
        <v>141334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3</v>
      </c>
      <c r="D46" s="12">
        <f>C46*1.5</f>
        <v>4.5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223690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8</v>
      </c>
      <c r="D50" s="12">
        <f>C50*1.5</f>
        <v>12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-1647.25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46088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385</v>
      </c>
      <c r="D6" s="13">
        <f t="shared" ref="D6:D28" si="1">C6*L6</f>
        <v>292985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4</v>
      </c>
      <c r="D7" s="13">
        <f t="shared" si="1"/>
        <v>3124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68</v>
      </c>
      <c r="D9" s="13">
        <f t="shared" si="1"/>
        <v>49844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2</v>
      </c>
      <c r="D12" s="48">
        <f t="shared" si="1"/>
        <v>1984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10</v>
      </c>
      <c r="D13" s="48">
        <f t="shared" si="1"/>
        <v>3070</v>
      </c>
      <c r="F13" s="135" t="s">
        <v>36</v>
      </c>
      <c r="G13" s="136"/>
      <c r="H13" s="137">
        <f>D29</f>
        <v>351657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33426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318231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v>1200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351657</v>
      </c>
      <c r="F29" s="158" t="s">
        <v>55</v>
      </c>
      <c r="G29" s="159"/>
      <c r="H29" s="162">
        <f>H15-H16-H17-H18-H19-H20-H22-H23-H24+H26+H27</f>
        <v>317031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190">
        <f>F34*G34</f>
        <v>131000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90">
        <f t="shared" ref="H35:H39" si="2">F35*G35</f>
        <v>40000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190">
        <f t="shared" si="2"/>
        <v>400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90">
        <f t="shared" si="2"/>
        <v>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90">
        <f t="shared" si="2"/>
        <v>20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12</v>
      </c>
      <c r="D42" s="12">
        <f>C42*2.25</f>
        <v>27</v>
      </c>
      <c r="F42" s="39" t="s">
        <v>79</v>
      </c>
      <c r="G42" s="190">
        <v>18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74">
        <v>145531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>
        <v>2</v>
      </c>
      <c r="D45" s="12">
        <f>C45*84</f>
        <v>168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88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</v>
      </c>
      <c r="D49" s="12">
        <f>C49*42</f>
        <v>42</v>
      </c>
      <c r="F49" s="215" t="s">
        <v>86</v>
      </c>
      <c r="G49" s="162">
        <f>H34+H35+H36+H37+H38+H39+H40+H41+G42+H44+H45+H46</f>
        <v>317019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73</v>
      </c>
      <c r="D50" s="12">
        <f>C50*1.5</f>
        <v>109.5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162</v>
      </c>
      <c r="G51" s="229">
        <f>G49-H29</f>
        <v>-12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46088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432</v>
      </c>
      <c r="D6" s="13">
        <f t="shared" ref="D6:D28" si="1">C6*L6</f>
        <v>328752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12</v>
      </c>
      <c r="D7" s="13">
        <f t="shared" si="1"/>
        <v>9372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59</v>
      </c>
      <c r="D9" s="13">
        <f t="shared" si="1"/>
        <v>43247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2</v>
      </c>
      <c r="D12" s="48">
        <f t="shared" si="1"/>
        <v>1984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19</v>
      </c>
      <c r="D13" s="48">
        <f t="shared" si="1"/>
        <v>5833</v>
      </c>
      <c r="F13" s="135" t="s">
        <v>36</v>
      </c>
      <c r="G13" s="136"/>
      <c r="H13" s="137">
        <f>D29</f>
        <v>412474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58906.5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353567.5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2736</f>
        <v>2736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412474</v>
      </c>
      <c r="F29" s="158" t="s">
        <v>55</v>
      </c>
      <c r="G29" s="159"/>
      <c r="H29" s="162">
        <f>H15-H16-H17-H18-H19-H20-H22-H23-H24+H26+H27</f>
        <v>350831.5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190">
        <f>F34*G34</f>
        <v>100000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90">
        <f>F35*G35</f>
        <v>15500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190">
        <f t="shared" si="2"/>
        <v>4100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2</v>
      </c>
      <c r="D42" s="12">
        <f>C42*2.25</f>
        <v>4.5</v>
      </c>
      <c r="F42" s="39" t="s">
        <v>79</v>
      </c>
      <c r="G42" s="190">
        <v>24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74">
        <v>70468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74">
        <v>162086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2</v>
      </c>
      <c r="D46" s="12">
        <f>C46*1.5</f>
        <v>3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18</v>
      </c>
      <c r="D49" s="12">
        <f>C49*42</f>
        <v>756</v>
      </c>
      <c r="F49" s="215" t="s">
        <v>86</v>
      </c>
      <c r="G49" s="162">
        <f>H34+H35+H36+H37+H38+H39+H40+H41+G42+H44+H45+H46</f>
        <v>352178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19</v>
      </c>
      <c r="D50" s="12">
        <f>C50*1.5</f>
        <v>28.5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1346.5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86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46090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558</v>
      </c>
      <c r="D6" s="13">
        <f t="shared" ref="D6:D28" si="1">C6*L6</f>
        <v>424638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55</v>
      </c>
      <c r="D7" s="13">
        <f t="shared" si="1"/>
        <v>42955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67</v>
      </c>
      <c r="D9" s="13">
        <f t="shared" si="1"/>
        <v>49111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1</v>
      </c>
      <c r="D10" s="13">
        <f t="shared" si="1"/>
        <v>1032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1</v>
      </c>
      <c r="D12" s="48">
        <f t="shared" si="1"/>
        <v>992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20</v>
      </c>
      <c r="D13" s="48">
        <f t="shared" si="1"/>
        <v>6140</v>
      </c>
      <c r="F13" s="135" t="s">
        <v>36</v>
      </c>
      <c r="G13" s="136"/>
      <c r="H13" s="137">
        <f>D29</f>
        <v>529181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5</v>
      </c>
      <c r="D14" s="31">
        <f t="shared" si="1"/>
        <v>55</v>
      </c>
      <c r="F14" s="140" t="s">
        <v>39</v>
      </c>
      <c r="G14" s="141"/>
      <c r="H14" s="142">
        <f>D54</f>
        <v>67908.75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>
        <v>1</v>
      </c>
      <c r="D15" s="31">
        <f t="shared" si="1"/>
        <v>620</v>
      </c>
      <c r="F15" s="145" t="s">
        <v>40</v>
      </c>
      <c r="G15" s="136"/>
      <c r="H15" s="146">
        <f>H13-H14</f>
        <v>461272.25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534*6</f>
        <v>3204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179</v>
      </c>
      <c r="C24" s="10">
        <v>12</v>
      </c>
      <c r="D24" s="48">
        <f t="shared" si="1"/>
        <v>474</v>
      </c>
      <c r="F24" s="77"/>
      <c r="G24" s="79"/>
      <c r="H24" s="225"/>
      <c r="I24" s="226"/>
      <c r="J24" s="226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 t="s">
        <v>174</v>
      </c>
      <c r="G26" s="65">
        <v>9435</v>
      </c>
      <c r="H26" s="174">
        <v>51622</v>
      </c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89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529181</v>
      </c>
      <c r="F29" s="158" t="s">
        <v>55</v>
      </c>
      <c r="G29" s="159"/>
      <c r="H29" s="162">
        <f>H15-H16-H17-H18-H19-H20-H22-H23-H24+H26+H27+H28</f>
        <v>509690.25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129</v>
      </c>
      <c r="H34" s="190">
        <f t="shared" ref="H34:H39" si="2">F34*G34</f>
        <v>129000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90">
        <f t="shared" si="2"/>
        <v>19500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462</v>
      </c>
      <c r="D37" s="12">
        <f>C37*111</f>
        <v>51282</v>
      </c>
      <c r="F37" s="12">
        <v>100</v>
      </c>
      <c r="G37" s="39">
        <v>5</v>
      </c>
      <c r="H37" s="190">
        <f t="shared" si="2"/>
        <v>500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138</v>
      </c>
      <c r="D38" s="12">
        <f>C38*84</f>
        <v>11592</v>
      </c>
      <c r="F38" s="30">
        <v>50</v>
      </c>
      <c r="G38" s="39">
        <v>1</v>
      </c>
      <c r="H38" s="190">
        <f t="shared" si="2"/>
        <v>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30</v>
      </c>
      <c r="D41" s="12">
        <f>C41*84</f>
        <v>2520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181</v>
      </c>
      <c r="H44" s="174">
        <v>359981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>
        <v>1</v>
      </c>
      <c r="D45" s="12">
        <f>C45*84</f>
        <v>84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509031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19</v>
      </c>
      <c r="D50" s="12">
        <f>C50*1.5</f>
        <v>28.5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-659.25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67908.75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46090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538</v>
      </c>
      <c r="D6" s="13">
        <f t="shared" ref="D6:D28" si="1">C6*L6</f>
        <v>409418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</v>
      </c>
      <c r="D7" s="13">
        <f t="shared" si="1"/>
        <v>781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118</v>
      </c>
      <c r="D9" s="13">
        <f t="shared" si="1"/>
        <v>86494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20</v>
      </c>
      <c r="D13" s="48">
        <f t="shared" si="1"/>
        <v>6140</v>
      </c>
      <c r="F13" s="135" t="s">
        <v>36</v>
      </c>
      <c r="G13" s="136"/>
      <c r="H13" s="137">
        <f>D29</f>
        <v>502921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8</v>
      </c>
      <c r="D14" s="31">
        <f t="shared" si="1"/>
        <v>88</v>
      </c>
      <c r="F14" s="140" t="s">
        <v>39</v>
      </c>
      <c r="G14" s="141"/>
      <c r="H14" s="142">
        <f>D54</f>
        <v>75838.5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427082.5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900+1824+648</f>
        <v>3372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502921</v>
      </c>
      <c r="F29" s="158" t="s">
        <v>55</v>
      </c>
      <c r="G29" s="159"/>
      <c r="H29" s="162">
        <f>H15-H16-H17-H18-H19-H20-H22-H23-H24+H26+H27</f>
        <v>423710.5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340</v>
      </c>
      <c r="H34" s="190">
        <f>F34*G34</f>
        <v>340000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90">
        <f t="shared" ref="H35:H39" si="2">F35*G35</f>
        <v>12500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670</v>
      </c>
      <c r="D37" s="12">
        <f>C37*111</f>
        <v>74370</v>
      </c>
      <c r="F37" s="12">
        <v>100</v>
      </c>
      <c r="G37" s="39">
        <v>4</v>
      </c>
      <c r="H37" s="190">
        <f t="shared" si="2"/>
        <v>400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90">
        <f t="shared" si="2"/>
        <v>40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>
        <v>100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 t="s">
        <v>172</v>
      </c>
      <c r="G44" s="76" t="s">
        <v>182</v>
      </c>
      <c r="H44" s="174">
        <v>70473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88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14</v>
      </c>
      <c r="D49" s="12">
        <f>C49*42</f>
        <v>588</v>
      </c>
      <c r="F49" s="215" t="s">
        <v>86</v>
      </c>
      <c r="G49" s="162">
        <f>H34+H35+H36+H37+H38+H39+H40+H41+G42+H44+H45+H46</f>
        <v>423513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21</v>
      </c>
      <c r="D50" s="12">
        <f>C50*1.5</f>
        <v>31.5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162</v>
      </c>
      <c r="G51" s="229">
        <f>G49-H29</f>
        <v>-197.5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75838.5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46090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369</v>
      </c>
      <c r="D6" s="13">
        <f t="shared" ref="D6:D28" si="1">C6*L6</f>
        <v>280809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11</v>
      </c>
      <c r="D7" s="13">
        <f t="shared" si="1"/>
        <v>8591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>
        <v>1</v>
      </c>
      <c r="D8" s="13">
        <f t="shared" si="1"/>
        <v>1093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63</v>
      </c>
      <c r="D9" s="13">
        <f t="shared" si="1"/>
        <v>46179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2</v>
      </c>
      <c r="D12" s="48">
        <f t="shared" si="1"/>
        <v>1984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15</v>
      </c>
      <c r="D13" s="48">
        <f t="shared" si="1"/>
        <v>4605</v>
      </c>
      <c r="F13" s="135" t="s">
        <v>36</v>
      </c>
      <c r="G13" s="136"/>
      <c r="H13" s="137">
        <f>D29</f>
        <v>344843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25784.25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319058.75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300</f>
        <v>300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>
        <v>1</v>
      </c>
      <c r="D27" s="44">
        <f t="shared" si="1"/>
        <v>1582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344843</v>
      </c>
      <c r="F29" s="158" t="s">
        <v>55</v>
      </c>
      <c r="G29" s="159"/>
      <c r="H29" s="162">
        <f>H15-H16-H17-H18-H19-H20-H22-H23-H24+H26+H27</f>
        <v>318758.75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114</v>
      </c>
      <c r="H34" s="190">
        <f>F34*G34</f>
        <v>114000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66</v>
      </c>
      <c r="H35" s="190">
        <f>F35*G35</f>
        <v>33000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221</v>
      </c>
      <c r="D37" s="12">
        <f>C37*111</f>
        <v>24531</v>
      </c>
      <c r="F37" s="12">
        <v>100</v>
      </c>
      <c r="G37" s="39">
        <v>17</v>
      </c>
      <c r="H37" s="190">
        <f t="shared" si="2"/>
        <v>1700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>
        <v>31</v>
      </c>
      <c r="H38" s="190">
        <f t="shared" si="2"/>
        <v>1550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0">
        <v>43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1</v>
      </c>
      <c r="D44" s="12">
        <f>C44*120</f>
        <v>120</v>
      </c>
      <c r="F44" s="37" t="s">
        <v>154</v>
      </c>
      <c r="G44" s="62" t="s">
        <v>180</v>
      </c>
      <c r="H44" s="174">
        <v>168245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</v>
      </c>
      <c r="D49" s="12">
        <f>C49*42</f>
        <v>42</v>
      </c>
      <c r="F49" s="215" t="s">
        <v>86</v>
      </c>
      <c r="G49" s="162">
        <f>H34+H35+H36+H37+H38+H39+H40+H41+G42+H44+H45+H46</f>
        <v>318538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9</v>
      </c>
      <c r="D50" s="12">
        <f>C50*1.5</f>
        <v>13.5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-220.75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25784.25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86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46091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324</v>
      </c>
      <c r="D6" s="13">
        <f t="shared" ref="D6:D28" si="1">C6*L6</f>
        <v>246564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3</v>
      </c>
      <c r="D7" s="13">
        <f t="shared" si="1"/>
        <v>2343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20</v>
      </c>
      <c r="D9" s="13">
        <f t="shared" si="1"/>
        <v>14660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5</v>
      </c>
      <c r="D13" s="48">
        <f t="shared" si="1"/>
        <v>1535</v>
      </c>
      <c r="F13" s="135" t="s">
        <v>36</v>
      </c>
      <c r="G13" s="136"/>
      <c r="H13" s="137">
        <f>D29</f>
        <v>267570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6</v>
      </c>
      <c r="D14" s="31">
        <f t="shared" si="1"/>
        <v>66</v>
      </c>
      <c r="F14" s="140" t="s">
        <v>39</v>
      </c>
      <c r="G14" s="141"/>
      <c r="H14" s="142">
        <f>D54</f>
        <v>39540.75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228029.25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49">
        <v>50</v>
      </c>
      <c r="I19" s="149"/>
      <c r="J19" s="149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89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267570</v>
      </c>
      <c r="F29" s="158" t="s">
        <v>55</v>
      </c>
      <c r="G29" s="159"/>
      <c r="H29" s="162">
        <f>H15-H16-H17-H18-H19-H20-H22-H23-H24+H26+H27+H28</f>
        <v>227979.25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90">
        <f t="shared" ref="H34:H39" si="2">F34*G34</f>
        <v>195000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190">
        <f t="shared" si="2"/>
        <v>27000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90">
        <f t="shared" si="2"/>
        <v>800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42</v>
      </c>
      <c r="H37" s="190">
        <f t="shared" si="2"/>
        <v>4200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24</v>
      </c>
      <c r="H38" s="190">
        <f t="shared" si="2"/>
        <v>1200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2</v>
      </c>
      <c r="H39" s="190">
        <f t="shared" si="2"/>
        <v>40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5</v>
      </c>
      <c r="D42" s="12">
        <f>C42*2.25</f>
        <v>11.25</v>
      </c>
      <c r="F42" s="39" t="s">
        <v>79</v>
      </c>
      <c r="G42" s="190">
        <v>217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4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</v>
      </c>
      <c r="D49" s="12">
        <f>C49*42</f>
        <v>42</v>
      </c>
      <c r="F49" s="215" t="s">
        <v>86</v>
      </c>
      <c r="G49" s="162">
        <f>H34+H35+H36+H37+H38+H39+H40+H41+G42+H44+H45+H46</f>
        <v>228457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4</v>
      </c>
      <c r="D50" s="12">
        <f>C50*1.5</f>
        <v>6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37" t="s">
        <v>184</v>
      </c>
      <c r="G51" s="239">
        <f>G49-H29</f>
        <v>477.75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39540.75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46091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311</v>
      </c>
      <c r="D6" s="13">
        <f t="shared" ref="D6:D28" si="1">C6*L6</f>
        <v>236671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6</v>
      </c>
      <c r="D7" s="13">
        <f t="shared" si="1"/>
        <v>4686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29</v>
      </c>
      <c r="D9" s="13">
        <f t="shared" si="1"/>
        <v>21257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11</v>
      </c>
      <c r="D13" s="48">
        <f t="shared" si="1"/>
        <v>3377</v>
      </c>
      <c r="F13" s="135" t="s">
        <v>36</v>
      </c>
      <c r="G13" s="136"/>
      <c r="H13" s="137">
        <f>D29</f>
        <v>266386.58333333331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6</v>
      </c>
      <c r="D14" s="31">
        <f t="shared" si="1"/>
        <v>66</v>
      </c>
      <c r="F14" s="140" t="s">
        <v>39</v>
      </c>
      <c r="G14" s="141"/>
      <c r="H14" s="142">
        <f>D54</f>
        <v>52669.5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213717.08333333331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108*6</f>
        <v>648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>
        <v>5</v>
      </c>
      <c r="D27" s="44">
        <f t="shared" si="1"/>
        <v>329.58333333333337</v>
      </c>
      <c r="F27" s="14"/>
      <c r="G27" s="14"/>
      <c r="H27" s="181"/>
      <c r="I27" s="182"/>
      <c r="J27" s="183"/>
      <c r="L27" s="7">
        <f>1582/24</f>
        <v>65.916666666666671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266386.58333333331</v>
      </c>
      <c r="F29" s="158" t="s">
        <v>55</v>
      </c>
      <c r="G29" s="159"/>
      <c r="H29" s="162">
        <f>H15-H16-H17-H18-H19-H20-H22-H23-H24+H26+H27</f>
        <v>213069.08333333331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127</v>
      </c>
      <c r="H34" s="190">
        <f>F34*G34</f>
        <v>127000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90">
        <f t="shared" ref="H35:H39" si="2">F35*G35</f>
        <v>25500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449</v>
      </c>
      <c r="D37" s="12">
        <f>C37*111</f>
        <v>49839</v>
      </c>
      <c r="F37" s="12">
        <v>100</v>
      </c>
      <c r="G37" s="39">
        <v>37</v>
      </c>
      <c r="H37" s="190">
        <f t="shared" si="2"/>
        <v>3700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5</v>
      </c>
      <c r="H38" s="190">
        <f t="shared" si="2"/>
        <v>250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90">
        <v>80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 t="s">
        <v>172</v>
      </c>
      <c r="G44" s="76" t="s">
        <v>183</v>
      </c>
      <c r="H44" s="174">
        <v>56579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1</v>
      </c>
      <c r="D46" s="12">
        <f>C46*1.5</f>
        <v>1.5</v>
      </c>
      <c r="F46" s="37"/>
      <c r="G46" s="88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</v>
      </c>
      <c r="D49" s="12">
        <f>C49*42</f>
        <v>42</v>
      </c>
      <c r="F49" s="215" t="s">
        <v>86</v>
      </c>
      <c r="G49" s="162">
        <f>H34+H35+H36+H37+H38+H39+H40+H41+G42+H44+H45+H46</f>
        <v>213109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22</v>
      </c>
      <c r="D50" s="12">
        <f>C50*1.5</f>
        <v>33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39.916666666686069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52669.5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46091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329</v>
      </c>
      <c r="D6" s="13">
        <f t="shared" ref="D6:D28" si="1">C6*L6</f>
        <v>250369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5</v>
      </c>
      <c r="D7" s="13">
        <f t="shared" si="1"/>
        <v>3905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>
        <v>1</v>
      </c>
      <c r="D8" s="13">
        <f t="shared" si="1"/>
        <v>1093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21</v>
      </c>
      <c r="D9" s="13">
        <f t="shared" si="1"/>
        <v>15393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2</v>
      </c>
      <c r="D10" s="13">
        <f t="shared" si="1"/>
        <v>2064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2</v>
      </c>
      <c r="D12" s="48">
        <f t="shared" si="1"/>
        <v>1984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14</v>
      </c>
      <c r="D13" s="48">
        <f t="shared" si="1"/>
        <v>4298</v>
      </c>
      <c r="F13" s="135" t="s">
        <v>36</v>
      </c>
      <c r="G13" s="136"/>
      <c r="H13" s="137">
        <f>D29</f>
        <v>281186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20</v>
      </c>
      <c r="D14" s="31">
        <f t="shared" si="1"/>
        <v>220</v>
      </c>
      <c r="F14" s="140" t="s">
        <v>39</v>
      </c>
      <c r="G14" s="141"/>
      <c r="H14" s="142">
        <f>D54</f>
        <v>42842.25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>
        <v>1</v>
      </c>
      <c r="D15" s="31">
        <f t="shared" si="1"/>
        <v>620</v>
      </c>
      <c r="F15" s="145" t="s">
        <v>40</v>
      </c>
      <c r="G15" s="136"/>
      <c r="H15" s="146">
        <f>H13-H14</f>
        <v>238343.75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108*6+80*6</f>
        <v>1128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281186</v>
      </c>
      <c r="F29" s="158" t="s">
        <v>55</v>
      </c>
      <c r="G29" s="159"/>
      <c r="H29" s="162">
        <f>H15-H16-H17-H18-H19-H20-H22-H23-H24+H26+H27</f>
        <v>237215.75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88</v>
      </c>
      <c r="H34" s="190">
        <f>F34*G34</f>
        <v>88000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90">
        <f>F35*G35</f>
        <v>16000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90">
        <f t="shared" ref="H36:H39" si="2">F36*G36</f>
        <v>600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354</v>
      </c>
      <c r="D37" s="12">
        <f>C37*111</f>
        <v>39294</v>
      </c>
      <c r="F37" s="12">
        <v>100</v>
      </c>
      <c r="G37" s="39">
        <v>66</v>
      </c>
      <c r="H37" s="190">
        <f t="shared" si="2"/>
        <v>6600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>
        <v>14</v>
      </c>
      <c r="H38" s="190">
        <f t="shared" si="2"/>
        <v>700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4</v>
      </c>
      <c r="H39" s="190">
        <f t="shared" si="2"/>
        <v>80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3</v>
      </c>
      <c r="D42" s="12">
        <f>C42*2.25</f>
        <v>6.75</v>
      </c>
      <c r="F42" s="39" t="s">
        <v>79</v>
      </c>
      <c r="G42" s="190">
        <v>911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6</v>
      </c>
      <c r="D44" s="12">
        <f>C44*120</f>
        <v>720</v>
      </c>
      <c r="F44" s="37" t="s">
        <v>146</v>
      </c>
      <c r="G44" s="62" t="s">
        <v>185</v>
      </c>
      <c r="H44" s="174">
        <v>71968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 t="s">
        <v>146</v>
      </c>
      <c r="G45" s="62" t="s">
        <v>186</v>
      </c>
      <c r="H45" s="174">
        <v>52207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45</v>
      </c>
      <c r="D46" s="12">
        <f>C46*1.5</f>
        <v>67.5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8</v>
      </c>
      <c r="D49" s="12">
        <f>C49*42</f>
        <v>336</v>
      </c>
      <c r="F49" s="215" t="s">
        <v>86</v>
      </c>
      <c r="G49" s="162">
        <f>H34+H35+H36+H37+H38+H39+H40+H41+G42+H44+H45+H46</f>
        <v>237066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16</v>
      </c>
      <c r="D50" s="12">
        <f>C50*1.5</f>
        <v>24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-149.75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42842.25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86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46092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411</v>
      </c>
      <c r="D6" s="13">
        <f t="shared" ref="D6:D28" si="1">C6*L6</f>
        <v>312771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2</v>
      </c>
      <c r="D7" s="13">
        <f t="shared" si="1"/>
        <v>1562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15</v>
      </c>
      <c r="D13" s="48">
        <f t="shared" si="1"/>
        <v>4605</v>
      </c>
      <c r="F13" s="135" t="s">
        <v>36</v>
      </c>
      <c r="G13" s="136"/>
      <c r="H13" s="137">
        <f>D29</f>
        <v>320439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21</v>
      </c>
      <c r="D14" s="31">
        <f t="shared" si="1"/>
        <v>231</v>
      </c>
      <c r="F14" s="140" t="s">
        <v>39</v>
      </c>
      <c r="G14" s="141"/>
      <c r="H14" s="142">
        <f>D54</f>
        <v>55105.5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>
        <v>1</v>
      </c>
      <c r="D15" s="31">
        <f t="shared" si="1"/>
        <v>620</v>
      </c>
      <c r="F15" s="145" t="s">
        <v>40</v>
      </c>
      <c r="G15" s="136"/>
      <c r="H15" s="146">
        <f>H13-H14</f>
        <v>265333.5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1938</f>
        <v>1938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89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320439</v>
      </c>
      <c r="F29" s="158" t="s">
        <v>55</v>
      </c>
      <c r="G29" s="159"/>
      <c r="H29" s="162">
        <f>H15-H16-H17-H18-H19-H20-H22-H23-H24+H26+H27+H28</f>
        <v>263395.5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55</v>
      </c>
      <c r="H34" s="190">
        <f t="shared" ref="H34:H39" si="2">F34*G34</f>
        <v>55000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90">
        <f t="shared" si="2"/>
        <v>5000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468</v>
      </c>
      <c r="D37" s="12">
        <f>C37*111</f>
        <v>51948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4</v>
      </c>
      <c r="D38" s="12">
        <f>C38*84</f>
        <v>336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2</v>
      </c>
      <c r="D42" s="12">
        <f>C42*2.25</f>
        <v>4.5</v>
      </c>
      <c r="F42" s="39" t="s">
        <v>79</v>
      </c>
      <c r="G42" s="190">
        <v>13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187</v>
      </c>
      <c r="H44" s="174">
        <v>203085.5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>
        <v>1</v>
      </c>
      <c r="D45" s="12">
        <f>C45*84</f>
        <v>84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16</v>
      </c>
      <c r="D46" s="12">
        <f>C46*1.5</f>
        <v>24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</v>
      </c>
      <c r="D49" s="12">
        <f>C49*42</f>
        <v>42</v>
      </c>
      <c r="F49" s="215" t="s">
        <v>86</v>
      </c>
      <c r="G49" s="162">
        <f>H34+H35+H36+H37+H38+H39+H40+H41+G42+H44+H45+H46</f>
        <v>263098.5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34</v>
      </c>
      <c r="D50" s="12">
        <f>C50*1.5</f>
        <v>51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-297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55105.5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46092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348</v>
      </c>
      <c r="D6" s="13">
        <f t="shared" ref="D6:D28" si="1">C6*L6</f>
        <v>264828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10</v>
      </c>
      <c r="D13" s="48">
        <f t="shared" si="1"/>
        <v>3070</v>
      </c>
      <c r="F13" s="135" t="s">
        <v>36</v>
      </c>
      <c r="G13" s="136"/>
      <c r="H13" s="137">
        <f>D29</f>
        <v>268786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7</v>
      </c>
      <c r="D14" s="31">
        <f t="shared" si="1"/>
        <v>77</v>
      </c>
      <c r="F14" s="140" t="s">
        <v>39</v>
      </c>
      <c r="G14" s="141"/>
      <c r="H14" s="142">
        <f>D54</f>
        <v>44764.5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224021.5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1296+480</f>
        <v>1776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49">
        <v>50</v>
      </c>
      <c r="I19" s="149"/>
      <c r="J19" s="14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>
        <v>1</v>
      </c>
      <c r="D28" s="48">
        <f t="shared" si="1"/>
        <v>811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268786</v>
      </c>
      <c r="F29" s="158" t="s">
        <v>55</v>
      </c>
      <c r="G29" s="159"/>
      <c r="H29" s="162">
        <f>H15-H16-H17-H18-H19-H20-H22-H23-H24+H26+H27</f>
        <v>222195.5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90">
        <f>F34*G34</f>
        <v>142000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91</v>
      </c>
      <c r="H35" s="190">
        <f t="shared" ref="H35:H39" si="2">F35*G35</f>
        <v>45500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300</v>
      </c>
      <c r="H37" s="190">
        <f t="shared" si="2"/>
        <v>30000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65</v>
      </c>
      <c r="D38" s="12">
        <f>C38*84</f>
        <v>5460</v>
      </c>
      <c r="F38" s="30">
        <v>50</v>
      </c>
      <c r="G38" s="39">
        <v>69</v>
      </c>
      <c r="H38" s="190">
        <f t="shared" si="2"/>
        <v>3450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>
        <v>72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88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16</v>
      </c>
      <c r="D49" s="12">
        <f>C49*42</f>
        <v>672</v>
      </c>
      <c r="F49" s="215" t="s">
        <v>86</v>
      </c>
      <c r="G49" s="162">
        <f>H34+H35+H36+H37+H38+H39+H40+H41+G42+H44+H45+H46</f>
        <v>221022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3</v>
      </c>
      <c r="D50" s="12">
        <f>C50*1.5</f>
        <v>4.5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162</v>
      </c>
      <c r="G51" s="229">
        <f>G49-H29</f>
        <v>-1173.5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44764.5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46092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418</v>
      </c>
      <c r="D6" s="13">
        <f t="shared" ref="D6:D28" si="1">C6*L6</f>
        <v>318098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15</v>
      </c>
      <c r="D7" s="13">
        <f t="shared" si="1"/>
        <v>11715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>
        <v>2</v>
      </c>
      <c r="D8" s="13">
        <f t="shared" si="1"/>
        <v>2186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5</v>
      </c>
      <c r="D9" s="13">
        <f t="shared" si="1"/>
        <v>3665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4</v>
      </c>
      <c r="D10" s="13">
        <f t="shared" si="1"/>
        <v>4128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f>1+2+2</f>
        <v>5</v>
      </c>
      <c r="D12" s="48">
        <f t="shared" si="1"/>
        <v>4960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11</v>
      </c>
      <c r="D13" s="48">
        <f t="shared" si="1"/>
        <v>3377</v>
      </c>
      <c r="F13" s="135" t="s">
        <v>36</v>
      </c>
      <c r="G13" s="136"/>
      <c r="H13" s="137">
        <f>D29</f>
        <v>349583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14</v>
      </c>
      <c r="D14" s="31">
        <f t="shared" si="1"/>
        <v>154</v>
      </c>
      <c r="F14" s="140" t="s">
        <v>39</v>
      </c>
      <c r="G14" s="141"/>
      <c r="H14" s="142">
        <f>D54</f>
        <v>60138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289445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678+1350+360</f>
        <v>2388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49">
        <v>50</v>
      </c>
      <c r="I19" s="149"/>
      <c r="J19" s="14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349583</v>
      </c>
      <c r="F29" s="158" t="s">
        <v>55</v>
      </c>
      <c r="G29" s="159"/>
      <c r="H29" s="162">
        <f>H15-H16-H17-H18-H19-H20-H22-H23-H24+H26+H27</f>
        <v>287007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116</v>
      </c>
      <c r="H34" s="190">
        <f>F34*G34</f>
        <v>116000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90">
        <f>F35*G35</f>
        <v>10500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59</v>
      </c>
      <c r="H37" s="190">
        <f t="shared" si="2"/>
        <v>5900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90">
        <f t="shared" si="2"/>
        <v>1150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6</v>
      </c>
      <c r="D42" s="12">
        <f>C42*2.25</f>
        <v>13.5</v>
      </c>
      <c r="F42" s="39" t="s">
        <v>79</v>
      </c>
      <c r="G42" s="190">
        <v>160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11</v>
      </c>
      <c r="D44" s="12">
        <f>C44*120</f>
        <v>1320</v>
      </c>
      <c r="F44" s="37" t="s">
        <v>145</v>
      </c>
      <c r="G44" s="62" t="s">
        <v>188</v>
      </c>
      <c r="H44" s="174">
        <v>153409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31</v>
      </c>
      <c r="D46" s="12">
        <f>C46*1.5</f>
        <v>46.5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3</v>
      </c>
      <c r="D49" s="12">
        <f>C49*42</f>
        <v>126</v>
      </c>
      <c r="F49" s="215" t="s">
        <v>86</v>
      </c>
      <c r="G49" s="162">
        <f>H34+H35+H36+H37+H38+H39+H40+H41+G42+H44+H45+H46</f>
        <v>287119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19</v>
      </c>
      <c r="D50" s="12">
        <f>C50*1.5</f>
        <v>28.5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112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60138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86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46093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431</v>
      </c>
      <c r="D6" s="13">
        <f t="shared" ref="D6:D28" si="1">C6*L6</f>
        <v>327991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4</v>
      </c>
      <c r="D9" s="13">
        <f t="shared" si="1"/>
        <v>2932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15</v>
      </c>
      <c r="D13" s="48">
        <f t="shared" si="1"/>
        <v>4605</v>
      </c>
      <c r="F13" s="135" t="s">
        <v>36</v>
      </c>
      <c r="G13" s="136"/>
      <c r="H13" s="137">
        <f>D29</f>
        <v>335528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78331.5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257196.5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378*6</f>
        <v>2268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89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335528</v>
      </c>
      <c r="F29" s="158" t="s">
        <v>55</v>
      </c>
      <c r="G29" s="159"/>
      <c r="H29" s="162">
        <f>H15-H16-H17-H18-H19-H20-H22-H23-H24+H26+H27+H28</f>
        <v>254928.5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90">
        <f t="shared" ref="H34:H39" si="2">F34*G34</f>
        <v>191000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69</v>
      </c>
      <c r="H35" s="190">
        <f t="shared" si="2"/>
        <v>34500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688</v>
      </c>
      <c r="D37" s="12">
        <f>C37*111</f>
        <v>76368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7</v>
      </c>
      <c r="D38" s="12">
        <f>C38*84</f>
        <v>588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 t="s">
        <v>146</v>
      </c>
      <c r="G44" s="84" t="s">
        <v>148</v>
      </c>
      <c r="H44" s="174">
        <v>24050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 t="s">
        <v>146</v>
      </c>
      <c r="G45" s="84" t="s">
        <v>148</v>
      </c>
      <c r="H45" s="174">
        <v>5200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4</v>
      </c>
      <c r="D49" s="12">
        <f>C49*42</f>
        <v>168</v>
      </c>
      <c r="F49" s="215" t="s">
        <v>86</v>
      </c>
      <c r="G49" s="162">
        <f>H34+H35+H36+H37+H38+H39+H40+H41+G42+H44+H45+H46</f>
        <v>254750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-178.5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78331.5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46093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395</v>
      </c>
      <c r="D6" s="13">
        <f t="shared" ref="D6:D28" si="1">C6*L6</f>
        <v>300595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90</v>
      </c>
      <c r="D9" s="13">
        <f t="shared" si="1"/>
        <v>65970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10</v>
      </c>
      <c r="D10" s="13">
        <f t="shared" si="1"/>
        <v>10320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16</v>
      </c>
      <c r="D13" s="48">
        <f t="shared" si="1"/>
        <v>4912</v>
      </c>
      <c r="F13" s="135" t="s">
        <v>36</v>
      </c>
      <c r="G13" s="136"/>
      <c r="H13" s="137">
        <f>D29</f>
        <v>383159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17</v>
      </c>
      <c r="D14" s="31">
        <f t="shared" si="1"/>
        <v>187</v>
      </c>
      <c r="F14" s="140" t="s">
        <v>39</v>
      </c>
      <c r="G14" s="141"/>
      <c r="H14" s="142">
        <f>D54</f>
        <v>38395.5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344763.5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360*6</f>
        <v>2160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383159</v>
      </c>
      <c r="F29" s="158" t="s">
        <v>55</v>
      </c>
      <c r="G29" s="159"/>
      <c r="H29" s="162">
        <f>H15-H16-H17-H18-H19-H20-H22-H23-H24+H26+H27</f>
        <v>342603.5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77</v>
      </c>
      <c r="H34" s="190">
        <f>F34*G34</f>
        <v>77000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25</v>
      </c>
      <c r="H35" s="190">
        <f t="shared" ref="H35:H39" si="2">F35*G35</f>
        <v>12500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303</v>
      </c>
      <c r="D37" s="12">
        <f>C37*111</f>
        <v>33633</v>
      </c>
      <c r="F37" s="12">
        <v>100</v>
      </c>
      <c r="G37" s="39">
        <v>4</v>
      </c>
      <c r="H37" s="190">
        <f t="shared" si="2"/>
        <v>400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90">
        <f t="shared" si="2"/>
        <v>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>
        <v>21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 t="s">
        <v>145</v>
      </c>
      <c r="G44" s="62" t="s">
        <v>189</v>
      </c>
      <c r="H44" s="174">
        <v>253213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>
        <v>5</v>
      </c>
      <c r="D45" s="12">
        <f>C45*84</f>
        <v>420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4</v>
      </c>
      <c r="D46" s="12">
        <f>C46*1.5</f>
        <v>6</v>
      </c>
      <c r="F46" s="37"/>
      <c r="G46" s="88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8</v>
      </c>
      <c r="D49" s="12">
        <f>C49*42</f>
        <v>336</v>
      </c>
      <c r="F49" s="215" t="s">
        <v>86</v>
      </c>
      <c r="G49" s="162">
        <f>H34+H35+H36+H37+H38+H39+H40+H41+G42+H44+H45+H46</f>
        <v>343184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20</v>
      </c>
      <c r="D50" s="12">
        <f>C50*1.5</f>
        <v>30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580.5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38395.5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46093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363</v>
      </c>
      <c r="D6" s="13">
        <f t="shared" ref="D6:D28" si="1">C6*L6</f>
        <v>276243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15</v>
      </c>
      <c r="D7" s="13">
        <f t="shared" si="1"/>
        <v>11715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30</v>
      </c>
      <c r="D9" s="13">
        <f t="shared" si="1"/>
        <v>21990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2</v>
      </c>
      <c r="D10" s="13">
        <f t="shared" si="1"/>
        <v>2064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3</v>
      </c>
      <c r="D12" s="48">
        <f t="shared" si="1"/>
        <v>2976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14</v>
      </c>
      <c r="D13" s="48">
        <f t="shared" si="1"/>
        <v>4298</v>
      </c>
      <c r="F13" s="135" t="s">
        <v>36</v>
      </c>
      <c r="G13" s="136"/>
      <c r="H13" s="137">
        <f>D29</f>
        <v>320630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4</v>
      </c>
      <c r="D14" s="31">
        <f t="shared" si="1"/>
        <v>44</v>
      </c>
      <c r="F14" s="140" t="s">
        <v>39</v>
      </c>
      <c r="G14" s="141"/>
      <c r="H14" s="142">
        <f>D54</f>
        <v>52599.75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268030.25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942+648+300</f>
        <v>1890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320630</v>
      </c>
      <c r="F29" s="158" t="s">
        <v>55</v>
      </c>
      <c r="G29" s="159"/>
      <c r="H29" s="162">
        <f>H15-H16-H17-H18-H19-H20-H22-H23-H24+H26+H27</f>
        <v>266140.25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81</v>
      </c>
      <c r="H34" s="190">
        <f>F34*G34</f>
        <v>81000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21</v>
      </c>
      <c r="H35" s="190">
        <f>F35*G35</f>
        <v>10500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1</v>
      </c>
      <c r="H36" s="190">
        <f t="shared" ref="H36:H39" si="2">F36*G36</f>
        <v>200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446</v>
      </c>
      <c r="D37" s="12">
        <f>C37*111</f>
        <v>49506</v>
      </c>
      <c r="F37" s="12">
        <v>100</v>
      </c>
      <c r="G37" s="39">
        <v>49</v>
      </c>
      <c r="H37" s="190">
        <f t="shared" si="2"/>
        <v>4900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6</v>
      </c>
      <c r="H38" s="190">
        <f t="shared" si="2"/>
        <v>300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90">
        <v>19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190</v>
      </c>
      <c r="H44" s="174">
        <v>65078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>
        <v>1</v>
      </c>
      <c r="D45" s="12">
        <f>C45*84</f>
        <v>84</v>
      </c>
      <c r="F45" s="37" t="s">
        <v>145</v>
      </c>
      <c r="G45" s="76" t="s">
        <v>191</v>
      </c>
      <c r="H45" s="174">
        <v>103706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21</v>
      </c>
      <c r="D46" s="12">
        <f>C46*1.5</f>
        <v>31.5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</v>
      </c>
      <c r="D49" s="12">
        <f>C49*42</f>
        <v>42</v>
      </c>
      <c r="F49" s="215" t="s">
        <v>86</v>
      </c>
      <c r="G49" s="162">
        <f>H34+H35+H36+H37+H38+H39+H40+H41+G42+H44+H45+H46</f>
        <v>265703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4</v>
      </c>
      <c r="D50" s="12">
        <f>C50*1.5</f>
        <v>6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-437.25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52599.75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86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46094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89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4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46094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88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46094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86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46095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676</v>
      </c>
      <c r="D6" s="13">
        <f t="shared" ref="D6:D28" si="1">C6*L6</f>
        <v>514436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4</v>
      </c>
      <c r="D7" s="13">
        <f t="shared" si="1"/>
        <v>3124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36</v>
      </c>
      <c r="D9" s="13">
        <f t="shared" si="1"/>
        <v>26388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3</v>
      </c>
      <c r="D10" s="13">
        <f t="shared" si="1"/>
        <v>3096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>
        <v>1</v>
      </c>
      <c r="D11" s="13">
        <f t="shared" si="1"/>
        <v>1170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f>1</f>
        <v>1</v>
      </c>
      <c r="D12" s="48">
        <f t="shared" si="1"/>
        <v>992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20</v>
      </c>
      <c r="D13" s="48">
        <f t="shared" si="1"/>
        <v>6140</v>
      </c>
      <c r="F13" s="135" t="s">
        <v>36</v>
      </c>
      <c r="G13" s="136"/>
      <c r="H13" s="137">
        <f>D29</f>
        <v>561365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4</v>
      </c>
      <c r="D14" s="31">
        <f t="shared" si="1"/>
        <v>44</v>
      </c>
      <c r="F14" s="140" t="s">
        <v>39</v>
      </c>
      <c r="G14" s="141"/>
      <c r="H14" s="142">
        <f>D54</f>
        <v>101851.5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>
        <v>1</v>
      </c>
      <c r="D15" s="31">
        <f t="shared" si="1"/>
        <v>620</v>
      </c>
      <c r="F15" s="145" t="s">
        <v>40</v>
      </c>
      <c r="G15" s="136"/>
      <c r="H15" s="146">
        <f>H13-H14</f>
        <v>459513.5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54+1944</f>
        <v>1998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49">
        <v>50</v>
      </c>
      <c r="I19" s="149"/>
      <c r="J19" s="149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 t="s">
        <v>164</v>
      </c>
      <c r="G22" s="73">
        <v>9573</v>
      </c>
      <c r="H22" s="172">
        <v>102166</v>
      </c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 t="s">
        <v>164</v>
      </c>
      <c r="G26" s="65">
        <v>9425</v>
      </c>
      <c r="H26" s="174">
        <v>100339</v>
      </c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89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>
        <v>5</v>
      </c>
      <c r="D28" s="48">
        <f t="shared" si="1"/>
        <v>4055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561365</v>
      </c>
      <c r="F29" s="158" t="s">
        <v>55</v>
      </c>
      <c r="G29" s="159"/>
      <c r="H29" s="162">
        <f>H15-H16-H17-H18-H19-H20-H22-H23-H24+H26+H27+H28</f>
        <v>455638.5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281</v>
      </c>
      <c r="H34" s="190">
        <f t="shared" ref="H34:H39" si="2">F34*G34</f>
        <v>281000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90</v>
      </c>
      <c r="H35" s="190">
        <f t="shared" si="2"/>
        <v>45000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887</v>
      </c>
      <c r="D37" s="12">
        <f>C37*111</f>
        <v>98457</v>
      </c>
      <c r="F37" s="12">
        <v>100</v>
      </c>
      <c r="G37" s="39">
        <v>8</v>
      </c>
      <c r="H37" s="190">
        <f t="shared" si="2"/>
        <v>800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2</v>
      </c>
      <c r="H38" s="190">
        <f t="shared" si="2"/>
        <v>100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3</v>
      </c>
      <c r="H39" s="190">
        <f t="shared" si="2"/>
        <v>60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16</v>
      </c>
      <c r="D42" s="12">
        <f>C42*2.25</f>
        <v>36</v>
      </c>
      <c r="F42" s="39" t="s">
        <v>79</v>
      </c>
      <c r="G42" s="190">
        <v>50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5</v>
      </c>
      <c r="D44" s="12">
        <f>C44*120</f>
        <v>600</v>
      </c>
      <c r="F44" s="37" t="s">
        <v>146</v>
      </c>
      <c r="G44" s="84" t="s">
        <v>148</v>
      </c>
      <c r="H44" s="174">
        <v>90000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>
        <v>3</v>
      </c>
      <c r="D45" s="12">
        <f>C45*84</f>
        <v>252</v>
      </c>
      <c r="F45" s="37" t="s">
        <v>146</v>
      </c>
      <c r="G45" s="84" t="s">
        <v>148</v>
      </c>
      <c r="H45" s="174">
        <v>38720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3</v>
      </c>
      <c r="D46" s="12">
        <f>C46*1.5</f>
        <v>4.5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16</v>
      </c>
      <c r="D49" s="12">
        <f>C49*42</f>
        <v>672</v>
      </c>
      <c r="F49" s="215" t="s">
        <v>86</v>
      </c>
      <c r="G49" s="162">
        <f>H34+H35+H36+H37+H38+H39+H40+H41+G42+H44+H45+H46</f>
        <v>455730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23</v>
      </c>
      <c r="D50" s="12">
        <f>C50*1.5</f>
        <v>34.5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45" t="s">
        <v>194</v>
      </c>
      <c r="G51" s="239">
        <f>G49-H29</f>
        <v>91.5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46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101851.5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46095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314</v>
      </c>
      <c r="D6" s="13">
        <f t="shared" ref="D6:D28" si="1">C6*L6</f>
        <v>238954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12</v>
      </c>
      <c r="D7" s="13">
        <f t="shared" si="1"/>
        <v>9372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33</v>
      </c>
      <c r="D9" s="13">
        <f t="shared" si="1"/>
        <v>24189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1</v>
      </c>
      <c r="D12" s="48">
        <f t="shared" si="1"/>
        <v>992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8</v>
      </c>
      <c r="D13" s="48">
        <f t="shared" si="1"/>
        <v>2456</v>
      </c>
      <c r="F13" s="135" t="s">
        <v>36</v>
      </c>
      <c r="G13" s="136"/>
      <c r="H13" s="137">
        <f>D29</f>
        <v>279612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7</v>
      </c>
      <c r="D14" s="31">
        <f t="shared" si="1"/>
        <v>77</v>
      </c>
      <c r="F14" s="140" t="s">
        <v>39</v>
      </c>
      <c r="G14" s="141"/>
      <c r="H14" s="142">
        <f>D54</f>
        <v>43846.5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235765.5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49"/>
      <c r="I19" s="149"/>
      <c r="J19" s="14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>
        <v>2</v>
      </c>
      <c r="D28" s="48">
        <f t="shared" si="1"/>
        <v>1622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279612</v>
      </c>
      <c r="F29" s="158" t="s">
        <v>55</v>
      </c>
      <c r="G29" s="159"/>
      <c r="H29" s="162">
        <f>H15-H16-H17-H18-H19-H20-H22-H23-H24+H26+H27</f>
        <v>235765.5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152</v>
      </c>
      <c r="H34" s="190">
        <f>F34*G34</f>
        <v>152000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123</v>
      </c>
      <c r="H35" s="190">
        <f t="shared" ref="H35:H39" si="2">F35*G35</f>
        <v>61500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>
        <v>203</v>
      </c>
      <c r="H37" s="190">
        <f t="shared" si="2"/>
        <v>20300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42</v>
      </c>
      <c r="H38" s="190">
        <f t="shared" si="2"/>
        <v>2100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8</v>
      </c>
      <c r="D42" s="12">
        <f>C42*2.25</f>
        <v>18</v>
      </c>
      <c r="F42" s="39" t="s">
        <v>79</v>
      </c>
      <c r="G42" s="190">
        <v>14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1</v>
      </c>
      <c r="D44" s="12">
        <f>C44*120</f>
        <v>120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>
        <v>1</v>
      </c>
      <c r="D45" s="12">
        <f>C45*84</f>
        <v>84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10</v>
      </c>
      <c r="D46" s="12">
        <f>C46*1.5</f>
        <v>15</v>
      </c>
      <c r="F46" s="37"/>
      <c r="G46" s="88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</v>
      </c>
      <c r="D49" s="12">
        <f>C49*42</f>
        <v>42</v>
      </c>
      <c r="F49" s="215" t="s">
        <v>86</v>
      </c>
      <c r="G49" s="162">
        <f>H34+H35+H36+H37+H38+H39+H40+H41+G42+H44+H45+H46</f>
        <v>235914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2</v>
      </c>
      <c r="D50" s="12">
        <f>C50*1.5</f>
        <v>3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148.5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43846.5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tabSelected="1"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46095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316</v>
      </c>
      <c r="D6" s="13">
        <f t="shared" ref="D6:D28" si="1">C6*L6</f>
        <v>240476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16</v>
      </c>
      <c r="D7" s="13">
        <f t="shared" si="1"/>
        <v>12496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16</v>
      </c>
      <c r="D9" s="13">
        <f t="shared" si="1"/>
        <v>11728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10</v>
      </c>
      <c r="D13" s="48">
        <f t="shared" si="1"/>
        <v>3070</v>
      </c>
      <c r="F13" s="135" t="s">
        <v>36</v>
      </c>
      <c r="G13" s="136"/>
      <c r="H13" s="137">
        <f>D29</f>
        <v>267902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12</v>
      </c>
      <c r="D14" s="31">
        <f t="shared" si="1"/>
        <v>132</v>
      </c>
      <c r="F14" s="140" t="s">
        <v>39</v>
      </c>
      <c r="G14" s="141"/>
      <c r="H14" s="142">
        <f>D54</f>
        <v>40562.25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227339.75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300+648+318</f>
        <v>1266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267902</v>
      </c>
      <c r="F29" s="158" t="s">
        <v>55</v>
      </c>
      <c r="G29" s="159"/>
      <c r="H29" s="162">
        <f>H15-H16-H17-H18-H19-H20-H22-H23-H24+H26+H27</f>
        <v>226073.75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90">
        <f>F34*G34</f>
        <v>103000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40</v>
      </c>
      <c r="H35" s="190">
        <f>F35*G35</f>
        <v>20000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336</v>
      </c>
      <c r="D37" s="12">
        <f>C37*111</f>
        <v>37296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1</v>
      </c>
      <c r="D42" s="12">
        <f>C42*2.25</f>
        <v>2.25</v>
      </c>
      <c r="F42" s="39" t="s">
        <v>79</v>
      </c>
      <c r="G42" s="190">
        <v>78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 t="s">
        <v>146</v>
      </c>
      <c r="G44" s="76" t="s">
        <v>192</v>
      </c>
      <c r="H44" s="174">
        <v>32658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 t="s">
        <v>146</v>
      </c>
      <c r="G45" s="76" t="s">
        <v>193</v>
      </c>
      <c r="H45" s="174">
        <v>70531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2</v>
      </c>
      <c r="D49" s="12">
        <f>C49*42</f>
        <v>84</v>
      </c>
      <c r="F49" s="215" t="s">
        <v>86</v>
      </c>
      <c r="G49" s="162">
        <f>H34+H35+H36+H37+H38+H39+H40+H41+G42+H44+H45+H46</f>
        <v>226267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8</v>
      </c>
      <c r="D50" s="12">
        <f>C50*1.5</f>
        <v>12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193.25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40562.25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86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46097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89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4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46097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88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46097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6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89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45478-9F82-4A48-B791-3727CF32A4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4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8E351-3922-4DF1-A8C2-3215065699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46098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91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4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E173-2155-4A75-906D-C593B87FC8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46098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91195-A2B0-4212-A049-80AB75E2D8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46098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7EB1-FF9D-4684-9991-64990779AA9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4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4304F-5ABB-4F35-876E-9A9B663501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46099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91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4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64CA8-DA72-454D-95AB-62EFCDC2A9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46099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DB060-197D-447A-9CC5-8323F7D2FD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46099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580AB-C1CA-4662-9C6F-2C3038AF0F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4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9E6C-81A8-41C5-8C07-673EA3962E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46100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91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4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8492C-02B1-49EF-AB2C-2BA97E78FF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46100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08F16-5BB7-45E1-919A-DB6FB2A17D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46100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B76BD-8156-400B-82B5-D8701319AC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4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819BF-BC69-44FA-9772-A8E3210C72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46101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91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4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E1A4-85EB-45B9-BE01-DDAEE7CFE4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46101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E3A81-6BDF-477E-AF31-84444C386F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46101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C6C14-9753-4B1A-9729-A5963877FC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4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18ED4-FD93-482A-8126-6BDE177D3E3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46102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91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4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21217-B9DA-452D-B3E8-1C08BB2FC4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46102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182-41BD-4A09-9615-002426066E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46102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9CF0C-D899-4B59-B928-0F59DF5D283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4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ECDEA-92CC-4000-B99A-4684DB32FC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46104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10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10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10"/>
      <c r="D27" s="44">
        <f t="shared" si="1"/>
        <v>0</v>
      </c>
      <c r="F27" s="71"/>
      <c r="G27" s="91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4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5F3B5-8564-4EFC-8BBA-851EEE9F85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46104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61148-FE3D-486F-8025-F137684369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46104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 NO TRIP</vt:lpstr>
      <vt:lpstr>13,03 R2 NO TRIP</vt:lpstr>
      <vt:lpstr>13,03 R3 NO TRIP</vt:lpstr>
      <vt:lpstr>(14)</vt:lpstr>
      <vt:lpstr>14,03 R1</vt:lpstr>
      <vt:lpstr>14,03 R2</vt:lpstr>
      <vt:lpstr>14,03 R3</vt:lpstr>
      <vt:lpstr>(16)</vt:lpstr>
      <vt:lpstr>16,03 R1</vt:lpstr>
      <vt:lpstr>16,03 R2</vt:lpstr>
      <vt:lpstr>16,03 R3</vt:lpstr>
      <vt:lpstr>(17)</vt:lpstr>
      <vt:lpstr>17,03 R1</vt:lpstr>
      <vt:lpstr>17,03 R2</vt:lpstr>
      <vt:lpstr>17,03 R3</vt:lpstr>
      <vt:lpstr>(18)</vt:lpstr>
      <vt:lpstr>18,03 R1</vt:lpstr>
      <vt:lpstr>18,03 R2</vt:lpstr>
      <vt:lpstr>18,03 R3</vt:lpstr>
      <vt:lpstr>(19)</vt:lpstr>
      <vt:lpstr>19,03 R1</vt:lpstr>
      <vt:lpstr>19,03 R2</vt:lpstr>
      <vt:lpstr>19,03 R3</vt:lpstr>
      <vt:lpstr>(20)</vt:lpstr>
      <vt:lpstr>20,03 R1</vt:lpstr>
      <vt:lpstr>20,03 R2</vt:lpstr>
      <vt:lpstr>20,03 R3</vt:lpstr>
      <vt:lpstr>(21)</vt:lpstr>
      <vt:lpstr>21,03 R1</vt:lpstr>
      <vt:lpstr>21,03 R2</vt:lpstr>
      <vt:lpstr>21,03 R3</vt:lpstr>
      <vt:lpstr>(23)</vt:lpstr>
      <vt:lpstr>23,03 R1</vt:lpstr>
      <vt:lpstr>23,03 R2</vt:lpstr>
      <vt:lpstr>23,03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 NO TRIP'!Print_Area</vt:lpstr>
      <vt:lpstr>'13,03 R2 NO TRIP'!Print_Area</vt:lpstr>
      <vt:lpstr>'13,03 R3 NO TRIP'!Print_Area</vt:lpstr>
      <vt:lpstr>'14,03 R1'!Print_Area</vt:lpstr>
      <vt:lpstr>'14,03 R2'!Print_Area</vt:lpstr>
      <vt:lpstr>'14,03 R3'!Print_Area</vt:lpstr>
      <vt:lpstr>'16,03 R1'!Print_Area</vt:lpstr>
      <vt:lpstr>'16,03 R2'!Print_Area</vt:lpstr>
      <vt:lpstr>'16,03 R3'!Print_Area</vt:lpstr>
      <vt:lpstr>'17,03 R1'!Print_Area</vt:lpstr>
      <vt:lpstr>'17,03 R2'!Print_Area</vt:lpstr>
      <vt:lpstr>'17,03 R3'!Print_Area</vt:lpstr>
      <vt:lpstr>'18,03 R1'!Print_Area</vt:lpstr>
      <vt:lpstr>'18,03 R2'!Print_Area</vt:lpstr>
      <vt:lpstr>'18,03 R3'!Print_Area</vt:lpstr>
      <vt:lpstr>'19,03 R1'!Print_Area</vt:lpstr>
      <vt:lpstr>'19,03 R2'!Print_Area</vt:lpstr>
      <vt:lpstr>'19,03 R3'!Print_Area</vt:lpstr>
      <vt:lpstr>'20,03 R1'!Print_Area</vt:lpstr>
      <vt:lpstr>'20,03 R2'!Print_Area</vt:lpstr>
      <vt:lpstr>'20,03 R3'!Print_Area</vt:lpstr>
      <vt:lpstr>'21,03 R1'!Print_Area</vt:lpstr>
      <vt:lpstr>'21,03 R2'!Print_Area</vt:lpstr>
      <vt:lpstr>'21,03 R3'!Print_Area</vt:lpstr>
      <vt:lpstr>'23,03 R1'!Print_Area</vt:lpstr>
      <vt:lpstr>'23,03 R2'!Print_Area</vt:lpstr>
      <vt:lpstr>'23,03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2026-03-15T23:52:24Z</cp:lastPrinted>
  <dcterms:created xsi:type="dcterms:W3CDTF">2024-09-01T23:36:50Z</dcterms:created>
  <dcterms:modified xsi:type="dcterms:W3CDTF">2026-03-15T23:59:52Z</dcterms:modified>
</cp:coreProperties>
</file>