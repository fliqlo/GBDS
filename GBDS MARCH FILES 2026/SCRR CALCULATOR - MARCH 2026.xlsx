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MARCH FILES 2026\"/>
    </mc:Choice>
  </mc:AlternateContent>
  <xr:revisionPtr revIDLastSave="0" documentId="13_ncr:1_{75ADD58A-34DF-44EE-876F-61412CFC6B9A}" xr6:coauthVersionLast="45" xr6:coauthVersionMax="47" xr10:uidLastSave="{00000000-0000-0000-0000-000000000000}"/>
  <bookViews>
    <workbookView xWindow="-120" yWindow="-120" windowWidth="29040" windowHeight="15840" firstSheet="74" activeTab="80" xr2:uid="{00000000-000D-0000-FFFF-FFFF00000000}"/>
  </bookViews>
  <sheets>
    <sheet name="(March 2026)" sheetId="814" r:id="rId1"/>
    <sheet name="(2)" sheetId="1818" r:id="rId2"/>
    <sheet name="03,02 R1" sheetId="1819" r:id="rId3"/>
    <sheet name="03,02 R2" sheetId="1820" r:id="rId4"/>
    <sheet name="03,02 R3" sheetId="1821" r:id="rId5"/>
    <sheet name="(3)" sheetId="1842" r:id="rId6"/>
    <sheet name="03,03 R1" sheetId="1843" r:id="rId7"/>
    <sheet name="03,03 R2" sheetId="1844" r:id="rId8"/>
    <sheet name="03,03 R3" sheetId="1845" r:id="rId9"/>
    <sheet name="(4)" sheetId="1846" r:id="rId10"/>
    <sheet name="04,03 R1" sheetId="1847" r:id="rId11"/>
    <sheet name="04,03 R2" sheetId="1848" r:id="rId12"/>
    <sheet name="04,03 R3" sheetId="1849" r:id="rId13"/>
    <sheet name="(5)" sheetId="1850" r:id="rId14"/>
    <sheet name="05,03 R1" sheetId="1851" r:id="rId15"/>
    <sheet name="05,03 R2" sheetId="1852" r:id="rId16"/>
    <sheet name="05,03 R3 NO TRIP" sheetId="1853" r:id="rId17"/>
    <sheet name="(6)" sheetId="1854" r:id="rId18"/>
    <sheet name="06,03 R1 NO TRIP" sheetId="1855" r:id="rId19"/>
    <sheet name="06,03 R2 NO TRIP" sheetId="1856" r:id="rId20"/>
    <sheet name="06,03 R3" sheetId="1857" r:id="rId21"/>
    <sheet name="(7)" sheetId="1858" r:id="rId22"/>
    <sheet name="07,03 R1" sheetId="1859" r:id="rId23"/>
    <sheet name="07,03 R2" sheetId="1860" r:id="rId24"/>
    <sheet name="07,03 R3" sheetId="1861" r:id="rId25"/>
    <sheet name="(9)" sheetId="1862" r:id="rId26"/>
    <sheet name="09,03 R1" sheetId="1863" r:id="rId27"/>
    <sheet name="09,03 R2" sheetId="1864" r:id="rId28"/>
    <sheet name="09,03 R3" sheetId="1865" r:id="rId29"/>
    <sheet name="(10)" sheetId="1866" r:id="rId30"/>
    <sheet name="10,03 R1" sheetId="1867" r:id="rId31"/>
    <sheet name="10,03 R2" sheetId="1868" r:id="rId32"/>
    <sheet name="10,03 R3" sheetId="1869" r:id="rId33"/>
    <sheet name="(11)" sheetId="1870" r:id="rId34"/>
    <sheet name="11,03 R1" sheetId="1871" r:id="rId35"/>
    <sheet name="11,03 R2" sheetId="1872" r:id="rId36"/>
    <sheet name="11,03 R3" sheetId="1873" r:id="rId37"/>
    <sheet name="(12)" sheetId="1874" r:id="rId38"/>
    <sheet name="12,03 R1" sheetId="1875" r:id="rId39"/>
    <sheet name="12,03 R2" sheetId="1876" r:id="rId40"/>
    <sheet name="12,03 R3" sheetId="1877" r:id="rId41"/>
    <sheet name="(13)" sheetId="1878" r:id="rId42"/>
    <sheet name="13,03 R1 NO TRIP" sheetId="1879" r:id="rId43"/>
    <sheet name="13,03 R2 NO TRIP" sheetId="1880" r:id="rId44"/>
    <sheet name="13,03 R3 NO TRIP" sheetId="1881" r:id="rId45"/>
    <sheet name="(14)" sheetId="1882" r:id="rId46"/>
    <sheet name="14,03 R1" sheetId="1883" r:id="rId47"/>
    <sheet name="14,03 R2" sheetId="1884" r:id="rId48"/>
    <sheet name="14,03 R3" sheetId="1885" r:id="rId49"/>
    <sheet name="(16)" sheetId="1886" r:id="rId50"/>
    <sheet name="16,03 R1 NO TRIP" sheetId="1887" r:id="rId51"/>
    <sheet name="16,03 R2" sheetId="1888" r:id="rId52"/>
    <sheet name="16,03 R3" sheetId="1889" r:id="rId53"/>
    <sheet name="(17)" sheetId="1890" r:id="rId54"/>
    <sheet name="17,03 R1" sheetId="1891" r:id="rId55"/>
    <sheet name="17,03 R2" sheetId="1892" r:id="rId56"/>
    <sheet name="17,03 R3" sheetId="1893" r:id="rId57"/>
    <sheet name="(18)" sheetId="1894" r:id="rId58"/>
    <sheet name="18,03 R1" sheetId="1895" r:id="rId59"/>
    <sheet name="18,03 R2" sheetId="1896" r:id="rId60"/>
    <sheet name="18,03 R3" sheetId="1897" r:id="rId61"/>
    <sheet name="(19)" sheetId="1898" r:id="rId62"/>
    <sheet name="19,03 R1" sheetId="1899" r:id="rId63"/>
    <sheet name="19,03 R2" sheetId="1900" r:id="rId64"/>
    <sheet name="19,03 R3" sheetId="1901" r:id="rId65"/>
    <sheet name="(20)" sheetId="1902" r:id="rId66"/>
    <sheet name="20,03 R1" sheetId="1903" r:id="rId67"/>
    <sheet name="20,03 R2" sheetId="1904" r:id="rId68"/>
    <sheet name="20,03 R3" sheetId="1905" r:id="rId69"/>
    <sheet name="(21)" sheetId="1906" r:id="rId70"/>
    <sheet name="21,03 R1 NO TRIP" sheetId="1907" r:id="rId71"/>
    <sheet name="21,03 R2 NO TRIP" sheetId="1908" r:id="rId72"/>
    <sheet name="21,03 R3 NO TRIP" sheetId="1909" r:id="rId73"/>
    <sheet name="(23)" sheetId="1910" r:id="rId74"/>
    <sheet name="23,03 R1" sheetId="1911" r:id="rId75"/>
    <sheet name="23,03 R2" sheetId="1912" r:id="rId76"/>
    <sheet name="23,03 R3" sheetId="1913" r:id="rId77"/>
    <sheet name="(24)" sheetId="1914" r:id="rId78"/>
    <sheet name="24,03 R1" sheetId="1915" r:id="rId79"/>
    <sheet name="24,03 R2" sheetId="1916" r:id="rId80"/>
    <sheet name="24,03 R3" sheetId="1917" r:id="rId81"/>
    <sheet name="(25)" sheetId="1918" r:id="rId82"/>
    <sheet name="25,03 R1" sheetId="1919" r:id="rId83"/>
    <sheet name="25,03 R2" sheetId="1920" r:id="rId84"/>
    <sheet name="25,03 R3" sheetId="1921" r:id="rId85"/>
    <sheet name="(26)" sheetId="1922" r:id="rId86"/>
    <sheet name="26,03 R1" sheetId="1923" r:id="rId87"/>
    <sheet name="26,03 R2" sheetId="1924" r:id="rId88"/>
    <sheet name="26,03 R3" sheetId="1925" r:id="rId89"/>
    <sheet name="(27)" sheetId="1926" r:id="rId90"/>
    <sheet name="27,03 R1" sheetId="1927" r:id="rId91"/>
    <sheet name="27,03 R2" sheetId="1928" r:id="rId92"/>
    <sheet name="27,03 R3" sheetId="1929" r:id="rId93"/>
    <sheet name="(28)" sheetId="1930" r:id="rId94"/>
    <sheet name="28,03 R1" sheetId="1931" r:id="rId95"/>
    <sheet name="28,03 R2" sheetId="1932" r:id="rId96"/>
    <sheet name="28,03 R3" sheetId="1933" r:id="rId97"/>
    <sheet name="(30)" sheetId="1934" r:id="rId98"/>
    <sheet name="30,03 R1" sheetId="1935" r:id="rId99"/>
    <sheet name="30,03 R2" sheetId="1936" r:id="rId100"/>
    <sheet name="30,03 R3" sheetId="1937" r:id="rId101"/>
    <sheet name="(31)" sheetId="1938" r:id="rId102"/>
    <sheet name="31,03 R1" sheetId="1939" r:id="rId103"/>
    <sheet name="31,03 R2" sheetId="1940" r:id="rId104"/>
    <sheet name="31,03 R3" sheetId="1941" r:id="rId105"/>
  </sheets>
  <definedNames>
    <definedName name="_xlnm.Print_Area" localSheetId="29">'(10)'!$A$1:$J$60</definedName>
    <definedName name="_xlnm.Print_Area" localSheetId="33">'(11)'!$A$1:$J$60</definedName>
    <definedName name="_xlnm.Print_Area" localSheetId="37">'(12)'!$A$1:$J$60</definedName>
    <definedName name="_xlnm.Print_Area" localSheetId="41">'(13)'!$A$1:$J$60</definedName>
    <definedName name="_xlnm.Print_Area" localSheetId="45">'(14)'!$A$1:$J$60</definedName>
    <definedName name="_xlnm.Print_Area" localSheetId="49">'(16)'!$A$1:$J$60</definedName>
    <definedName name="_xlnm.Print_Area" localSheetId="53">'(17)'!$A$1:$J$60</definedName>
    <definedName name="_xlnm.Print_Area" localSheetId="57">'(18)'!$A$1:$J$60</definedName>
    <definedName name="_xlnm.Print_Area" localSheetId="61">'(19)'!$A$1:$J$60</definedName>
    <definedName name="_xlnm.Print_Area" localSheetId="1">'(2)'!$A$1:$J$60</definedName>
    <definedName name="_xlnm.Print_Area" localSheetId="65">'(20)'!$A$1:$J$60</definedName>
    <definedName name="_xlnm.Print_Area" localSheetId="69">'(21)'!$A$1:$J$60</definedName>
    <definedName name="_xlnm.Print_Area" localSheetId="73">'(23)'!$A$1:$J$60</definedName>
    <definedName name="_xlnm.Print_Area" localSheetId="77">'(24)'!$A$1:$J$60</definedName>
    <definedName name="_xlnm.Print_Area" localSheetId="81">'(25)'!$A$1:$J$60</definedName>
    <definedName name="_xlnm.Print_Area" localSheetId="85">'(26)'!$A$1:$J$60</definedName>
    <definedName name="_xlnm.Print_Area" localSheetId="89">'(27)'!$A$1:$J$60</definedName>
    <definedName name="_xlnm.Print_Area" localSheetId="93">'(28)'!$A$1:$J$60</definedName>
    <definedName name="_xlnm.Print_Area" localSheetId="5">'(3)'!$A$1:$J$60</definedName>
    <definedName name="_xlnm.Print_Area" localSheetId="97">'(30)'!$A$1:$J$60</definedName>
    <definedName name="_xlnm.Print_Area" localSheetId="101">'(31)'!$A$1:$J$60</definedName>
    <definedName name="_xlnm.Print_Area" localSheetId="9">'(4)'!$A$1:$J$60</definedName>
    <definedName name="_xlnm.Print_Area" localSheetId="13">'(5)'!$A$1:$J$60</definedName>
    <definedName name="_xlnm.Print_Area" localSheetId="17">'(6)'!$A$1:$J$60</definedName>
    <definedName name="_xlnm.Print_Area" localSheetId="21">'(7)'!$A$1:$J$60</definedName>
    <definedName name="_xlnm.Print_Area" localSheetId="25">'(9)'!$A$1:$J$60</definedName>
    <definedName name="_xlnm.Print_Area" localSheetId="2">'03,02 R1'!$A$1:$J$60</definedName>
    <definedName name="_xlnm.Print_Area" localSheetId="3">'03,02 R2'!$A$1:$J$60</definedName>
    <definedName name="_xlnm.Print_Area" localSheetId="4">'03,02 R3'!$A$1:$J$60</definedName>
    <definedName name="_xlnm.Print_Area" localSheetId="6">'03,03 R1'!$A$1:$J$60</definedName>
    <definedName name="_xlnm.Print_Area" localSheetId="7">'03,03 R2'!$A$1:$J$60</definedName>
    <definedName name="_xlnm.Print_Area" localSheetId="8">'03,03 R3'!$A$1:$J$60</definedName>
    <definedName name="_xlnm.Print_Area" localSheetId="10">'04,03 R1'!$A$1:$J$60</definedName>
    <definedName name="_xlnm.Print_Area" localSheetId="11">'04,03 R2'!$A$1:$J$60</definedName>
    <definedName name="_xlnm.Print_Area" localSheetId="12">'04,03 R3'!$A$1:$J$60</definedName>
    <definedName name="_xlnm.Print_Area" localSheetId="14">'05,03 R1'!$A$1:$J$60</definedName>
    <definedName name="_xlnm.Print_Area" localSheetId="15">'05,03 R2'!$A$1:$J$60</definedName>
    <definedName name="_xlnm.Print_Area" localSheetId="16">'05,03 R3 NO TRIP'!$A$1:$J$60</definedName>
    <definedName name="_xlnm.Print_Area" localSheetId="18">'06,03 R1 NO TRIP'!$A$1:$J$60</definedName>
    <definedName name="_xlnm.Print_Area" localSheetId="19">'06,03 R2 NO TRIP'!$A$1:$J$60</definedName>
    <definedName name="_xlnm.Print_Area" localSheetId="20">'06,03 R3'!$A$1:$J$60</definedName>
    <definedName name="_xlnm.Print_Area" localSheetId="22">'07,03 R1'!$A$1:$J$60</definedName>
    <definedName name="_xlnm.Print_Area" localSheetId="23">'07,03 R2'!$A$1:$J$60</definedName>
    <definedName name="_xlnm.Print_Area" localSheetId="24">'07,03 R3'!$A$1:$J$60</definedName>
    <definedName name="_xlnm.Print_Area" localSheetId="26">'09,03 R1'!$A$1:$J$60</definedName>
    <definedName name="_xlnm.Print_Area" localSheetId="27">'09,03 R2'!$A$1:$J$60</definedName>
    <definedName name="_xlnm.Print_Area" localSheetId="28">'09,03 R3'!$A$1:$J$60</definedName>
    <definedName name="_xlnm.Print_Area" localSheetId="30">'10,03 R1'!$A$1:$J$60</definedName>
    <definedName name="_xlnm.Print_Area" localSheetId="31">'10,03 R2'!$A$1:$J$60</definedName>
    <definedName name="_xlnm.Print_Area" localSheetId="32">'10,03 R3'!$A$1:$J$60</definedName>
    <definedName name="_xlnm.Print_Area" localSheetId="34">'11,03 R1'!$A$1:$J$60</definedName>
    <definedName name="_xlnm.Print_Area" localSheetId="35">'11,03 R2'!$A$1:$J$60</definedName>
    <definedName name="_xlnm.Print_Area" localSheetId="36">'11,03 R3'!$A$1:$J$60</definedName>
    <definedName name="_xlnm.Print_Area" localSheetId="38">'12,03 R1'!$A$1:$J$60</definedName>
    <definedName name="_xlnm.Print_Area" localSheetId="39">'12,03 R2'!$A$1:$J$60</definedName>
    <definedName name="_xlnm.Print_Area" localSheetId="40">'12,03 R3'!$A$1:$J$60</definedName>
    <definedName name="_xlnm.Print_Area" localSheetId="42">'13,03 R1 NO TRIP'!$A$1:$J$60</definedName>
    <definedName name="_xlnm.Print_Area" localSheetId="43">'13,03 R2 NO TRIP'!$A$1:$J$60</definedName>
    <definedName name="_xlnm.Print_Area" localSheetId="44">'13,03 R3 NO TRIP'!$A$1:$J$60</definedName>
    <definedName name="_xlnm.Print_Area" localSheetId="46">'14,03 R1'!$A$1:$J$60</definedName>
    <definedName name="_xlnm.Print_Area" localSheetId="47">'14,03 R2'!$A$1:$J$60</definedName>
    <definedName name="_xlnm.Print_Area" localSheetId="48">'14,03 R3'!$A$1:$J$60</definedName>
    <definedName name="_xlnm.Print_Area" localSheetId="50">'16,03 R1 NO TRIP'!$A$1:$J$60</definedName>
    <definedName name="_xlnm.Print_Area" localSheetId="51">'16,03 R2'!$A$1:$J$60</definedName>
    <definedName name="_xlnm.Print_Area" localSheetId="52">'16,03 R3'!$A$1:$J$60</definedName>
    <definedName name="_xlnm.Print_Area" localSheetId="54">'17,03 R1'!$A$1:$J$60</definedName>
    <definedName name="_xlnm.Print_Area" localSheetId="55">'17,03 R2'!$A$1:$J$60</definedName>
    <definedName name="_xlnm.Print_Area" localSheetId="56">'17,03 R3'!$A$1:$J$60</definedName>
    <definedName name="_xlnm.Print_Area" localSheetId="58">'18,03 R1'!$A$1:$J$60</definedName>
    <definedName name="_xlnm.Print_Area" localSheetId="59">'18,03 R2'!$A$1:$J$60</definedName>
    <definedName name="_xlnm.Print_Area" localSheetId="60">'18,03 R3'!$A$1:$J$60</definedName>
    <definedName name="_xlnm.Print_Area" localSheetId="62">'19,03 R1'!$A$1:$J$60</definedName>
    <definedName name="_xlnm.Print_Area" localSheetId="63">'19,03 R2'!$A$1:$J$60</definedName>
    <definedName name="_xlnm.Print_Area" localSheetId="64">'19,03 R3'!$A$1:$J$60</definedName>
    <definedName name="_xlnm.Print_Area" localSheetId="66">'20,03 R1'!$A$1:$J$60</definedName>
    <definedName name="_xlnm.Print_Area" localSheetId="67">'20,03 R2'!$A$1:$J$60</definedName>
    <definedName name="_xlnm.Print_Area" localSheetId="68">'20,03 R3'!$A$1:$J$60</definedName>
    <definedName name="_xlnm.Print_Area" localSheetId="70">'21,03 R1 NO TRIP'!$A$1:$J$60</definedName>
    <definedName name="_xlnm.Print_Area" localSheetId="71">'21,03 R2 NO TRIP'!$A$1:$J$60</definedName>
    <definedName name="_xlnm.Print_Area" localSheetId="72">'21,03 R3 NO TRIP'!$A$1:$J$60</definedName>
    <definedName name="_xlnm.Print_Area" localSheetId="74">'23,03 R1'!$A$1:$J$60</definedName>
    <definedName name="_xlnm.Print_Area" localSheetId="75">'23,03 R2'!$A$1:$J$60</definedName>
    <definedName name="_xlnm.Print_Area" localSheetId="76">'23,03 R3'!$A$1:$J$60</definedName>
    <definedName name="_xlnm.Print_Area" localSheetId="78">'24,03 R1'!$A$1:$J$60</definedName>
    <definedName name="_xlnm.Print_Area" localSheetId="79">'24,03 R2'!$A$1:$J$60</definedName>
    <definedName name="_xlnm.Print_Area" localSheetId="80">'24,03 R3'!$A$1:$J$60</definedName>
    <definedName name="_xlnm.Print_Area" localSheetId="82">'25,03 R1'!$A$1:$J$60</definedName>
    <definedName name="_xlnm.Print_Area" localSheetId="83">'25,03 R2'!$A$1:$J$60</definedName>
    <definedName name="_xlnm.Print_Area" localSheetId="84">'25,03 R3'!$A$1:$J$60</definedName>
    <definedName name="_xlnm.Print_Area" localSheetId="86">'26,03 R1'!$A$1:$J$60</definedName>
    <definedName name="_xlnm.Print_Area" localSheetId="87">'26,03 R2'!$A$1:$J$60</definedName>
    <definedName name="_xlnm.Print_Area" localSheetId="88">'26,03 R3'!$A$1:$J$60</definedName>
    <definedName name="_xlnm.Print_Area" localSheetId="90">'27,03 R1'!$A$1:$J$60</definedName>
    <definedName name="_xlnm.Print_Area" localSheetId="91">'27,03 R2'!$A$1:$J$60</definedName>
    <definedName name="_xlnm.Print_Area" localSheetId="92">'27,03 R3'!$A$1:$J$60</definedName>
    <definedName name="_xlnm.Print_Area" localSheetId="94">'28,03 R1'!$A$1:$J$60</definedName>
    <definedName name="_xlnm.Print_Area" localSheetId="95">'28,03 R2'!$A$1:$J$60</definedName>
    <definedName name="_xlnm.Print_Area" localSheetId="96">'28,03 R3'!$A$1:$J$60</definedName>
    <definedName name="_xlnm.Print_Area" localSheetId="98">'30,03 R1'!$A$1:$J$60</definedName>
    <definedName name="_xlnm.Print_Area" localSheetId="99">'30,03 R2'!$A$1:$J$60</definedName>
    <definedName name="_xlnm.Print_Area" localSheetId="100">'30,03 R3'!$A$1:$J$60</definedName>
    <definedName name="_xlnm.Print_Area" localSheetId="102">'31,03 R1'!$A$1:$J$60</definedName>
    <definedName name="_xlnm.Print_Area" localSheetId="103">'31,03 R2'!$A$1:$J$60</definedName>
    <definedName name="_xlnm.Print_Area" localSheetId="104">'31,03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6" i="1915" l="1"/>
  <c r="H16" i="1916"/>
  <c r="R52" i="1941" l="1"/>
  <c r="R51" i="1941"/>
  <c r="D50" i="1941"/>
  <c r="R49" i="1941"/>
  <c r="D49" i="1941"/>
  <c r="R48" i="1941"/>
  <c r="D48" i="1941"/>
  <c r="D46" i="1941"/>
  <c r="D45" i="1941"/>
  <c r="R44" i="1941"/>
  <c r="L28" i="1941" s="1"/>
  <c r="D28" i="1941" s="1"/>
  <c r="D44" i="1941"/>
  <c r="R42" i="1941"/>
  <c r="D42" i="1941"/>
  <c r="R41" i="1941"/>
  <c r="D41" i="1941"/>
  <c r="R40" i="1941"/>
  <c r="D40" i="1941"/>
  <c r="R39" i="1941"/>
  <c r="H39" i="1941"/>
  <c r="D39" i="1941"/>
  <c r="R38" i="1941"/>
  <c r="L9" i="1941" s="1"/>
  <c r="D9" i="1941" s="1"/>
  <c r="H38" i="1941"/>
  <c r="D38" i="1941"/>
  <c r="R37" i="1941"/>
  <c r="H37" i="1941"/>
  <c r="D37" i="1941"/>
  <c r="R36" i="1941"/>
  <c r="L10" i="1941" s="1"/>
  <c r="D10" i="1941" s="1"/>
  <c r="H36" i="1941"/>
  <c r="D36" i="1941"/>
  <c r="R35" i="1941"/>
  <c r="H35" i="1941"/>
  <c r="D35" i="1941"/>
  <c r="R34" i="1941"/>
  <c r="H34" i="1941"/>
  <c r="G49" i="1941" s="1"/>
  <c r="D34" i="1941"/>
  <c r="D54" i="1941" s="1"/>
  <c r="H14" i="1941" s="1"/>
  <c r="R33" i="1941"/>
  <c r="R32" i="1941"/>
  <c r="R31" i="1941"/>
  <c r="R30" i="1941"/>
  <c r="R29" i="1941"/>
  <c r="R28" i="1941"/>
  <c r="R27" i="1941"/>
  <c r="D27" i="1941"/>
  <c r="R26" i="1941"/>
  <c r="L26" i="1941"/>
  <c r="D26" i="1941"/>
  <c r="R25" i="1941"/>
  <c r="L25" i="1941"/>
  <c r="D25" i="1941"/>
  <c r="R24" i="1941"/>
  <c r="D24" i="1941"/>
  <c r="R23" i="1941"/>
  <c r="L23" i="1941"/>
  <c r="D23" i="1941"/>
  <c r="R22" i="1941"/>
  <c r="L22" i="1941"/>
  <c r="D22" i="1941"/>
  <c r="R21" i="1941"/>
  <c r="D21" i="1941"/>
  <c r="R20" i="1941"/>
  <c r="L20" i="1941"/>
  <c r="D20" i="1941"/>
  <c r="R19" i="1941"/>
  <c r="L19" i="1941"/>
  <c r="D19" i="1941"/>
  <c r="R18" i="1941"/>
  <c r="D18" i="1941"/>
  <c r="R17" i="1941"/>
  <c r="D17" i="1941"/>
  <c r="R16" i="1941"/>
  <c r="L16" i="1941"/>
  <c r="D16" i="1941" s="1"/>
  <c r="R15" i="1941"/>
  <c r="D15" i="1941"/>
  <c r="R14" i="1941"/>
  <c r="D14" i="1941"/>
  <c r="R13" i="1941"/>
  <c r="D13" i="1941"/>
  <c r="R12" i="1941"/>
  <c r="L12" i="1941"/>
  <c r="D12" i="1941"/>
  <c r="R11" i="1941"/>
  <c r="L11" i="1941"/>
  <c r="D11" i="1941"/>
  <c r="L8" i="1941"/>
  <c r="D8" i="1941" s="1"/>
  <c r="L7" i="1941"/>
  <c r="D7" i="1941"/>
  <c r="R6" i="1941"/>
  <c r="L6" i="1941"/>
  <c r="D6" i="1941" s="1"/>
  <c r="R5" i="1941"/>
  <c r="R4" i="1941"/>
  <c r="R52" i="1940"/>
  <c r="R51" i="1940"/>
  <c r="D50" i="1940"/>
  <c r="R49" i="1940"/>
  <c r="D49" i="1940"/>
  <c r="R48" i="1940"/>
  <c r="D48" i="1940"/>
  <c r="D46" i="1940"/>
  <c r="D45" i="1940"/>
  <c r="R44" i="1940"/>
  <c r="D44" i="1940"/>
  <c r="R42" i="1940"/>
  <c r="D42" i="1940"/>
  <c r="R41" i="1940"/>
  <c r="D41" i="1940"/>
  <c r="R40" i="1940"/>
  <c r="D40" i="1940"/>
  <c r="R39" i="1940"/>
  <c r="H39" i="1940"/>
  <c r="D39" i="1940"/>
  <c r="R38" i="1940"/>
  <c r="H38" i="1940"/>
  <c r="D38" i="1940"/>
  <c r="R37" i="1940"/>
  <c r="H37" i="1940"/>
  <c r="D37" i="1940"/>
  <c r="R36" i="1940"/>
  <c r="L10" i="1940" s="1"/>
  <c r="D10" i="1940" s="1"/>
  <c r="H36" i="1940"/>
  <c r="D36" i="1940"/>
  <c r="R35" i="1940"/>
  <c r="H35" i="1940"/>
  <c r="D35" i="1940"/>
  <c r="R34" i="1940"/>
  <c r="L12" i="1940" s="1"/>
  <c r="D12" i="1940" s="1"/>
  <c r="H34" i="1940"/>
  <c r="G49" i="1940" s="1"/>
  <c r="D34" i="1940"/>
  <c r="D54" i="1940" s="1"/>
  <c r="H14" i="1940" s="1"/>
  <c r="R33" i="1940"/>
  <c r="L23" i="1940" s="1"/>
  <c r="D23" i="1940" s="1"/>
  <c r="R32" i="1940"/>
  <c r="R31" i="1940"/>
  <c r="R30" i="1940"/>
  <c r="R29" i="1940"/>
  <c r="R28" i="1940"/>
  <c r="L28" i="1940"/>
  <c r="D28" i="1940"/>
  <c r="R27" i="1940"/>
  <c r="D27" i="1940"/>
  <c r="R26" i="1940"/>
  <c r="L26" i="1940"/>
  <c r="D26" i="1940"/>
  <c r="R25" i="1940"/>
  <c r="L25" i="1940"/>
  <c r="D25" i="1940" s="1"/>
  <c r="R24" i="1940"/>
  <c r="L24" i="1940"/>
  <c r="D24" i="1940"/>
  <c r="R23" i="1940"/>
  <c r="R22" i="1940"/>
  <c r="L22" i="1940"/>
  <c r="D22" i="1940" s="1"/>
  <c r="R21" i="1940"/>
  <c r="L17" i="1940" s="1"/>
  <c r="D17" i="1940" s="1"/>
  <c r="D21" i="1940"/>
  <c r="R20" i="1940"/>
  <c r="L20" i="1940"/>
  <c r="D20" i="1940" s="1"/>
  <c r="R19" i="1940"/>
  <c r="L19" i="1940"/>
  <c r="D19" i="1940" s="1"/>
  <c r="R18" i="1940"/>
  <c r="D18" i="1940"/>
  <c r="R17" i="1940"/>
  <c r="R16" i="1940"/>
  <c r="L16" i="1940"/>
  <c r="D16" i="1940" s="1"/>
  <c r="R15" i="1940"/>
  <c r="D15" i="1940"/>
  <c r="R14" i="1940"/>
  <c r="D14" i="1940"/>
  <c r="R13" i="1940"/>
  <c r="D13" i="1940"/>
  <c r="R12" i="1940"/>
  <c r="R11" i="1940"/>
  <c r="L11" i="1940"/>
  <c r="D11" i="1940"/>
  <c r="L9" i="1940"/>
  <c r="D9" i="1940"/>
  <c r="L8" i="1940"/>
  <c r="D8" i="1940" s="1"/>
  <c r="L7" i="1940"/>
  <c r="D7" i="1940" s="1"/>
  <c r="R6" i="1940"/>
  <c r="L6" i="1940"/>
  <c r="D6" i="1940"/>
  <c r="R5" i="1940"/>
  <c r="R4" i="1940"/>
  <c r="R52" i="1939"/>
  <c r="R51" i="1939"/>
  <c r="D50" i="1939"/>
  <c r="R49" i="1939"/>
  <c r="D49" i="1939"/>
  <c r="R48" i="1939"/>
  <c r="D48" i="1939"/>
  <c r="D46" i="1939"/>
  <c r="D45" i="1939"/>
  <c r="R44" i="1939"/>
  <c r="L28" i="1939" s="1"/>
  <c r="D28" i="1939" s="1"/>
  <c r="D44" i="1939"/>
  <c r="R42" i="1939"/>
  <c r="D42" i="1939"/>
  <c r="R41" i="1939"/>
  <c r="D41" i="1939"/>
  <c r="R40" i="1939"/>
  <c r="D40" i="1939"/>
  <c r="R39" i="1939"/>
  <c r="L20" i="1939" s="1"/>
  <c r="D20" i="1939" s="1"/>
  <c r="H39" i="1939"/>
  <c r="D39" i="1939"/>
  <c r="R38" i="1939"/>
  <c r="H38" i="1939"/>
  <c r="D38" i="1939"/>
  <c r="R37" i="1939"/>
  <c r="H37" i="1939"/>
  <c r="D37" i="1939"/>
  <c r="R36" i="1939"/>
  <c r="H36" i="1939"/>
  <c r="D36" i="1939"/>
  <c r="R35" i="1939"/>
  <c r="H35" i="1939"/>
  <c r="D35" i="1939"/>
  <c r="R34" i="1939"/>
  <c r="L12" i="1939" s="1"/>
  <c r="D12" i="1939" s="1"/>
  <c r="H34" i="1939"/>
  <c r="G49" i="1939" s="1"/>
  <c r="D34" i="1939"/>
  <c r="D54" i="1939" s="1"/>
  <c r="H14" i="1939" s="1"/>
  <c r="R33" i="1939"/>
  <c r="R32" i="1939"/>
  <c r="R31" i="1939"/>
  <c r="R30" i="1939"/>
  <c r="R29" i="1939"/>
  <c r="R28" i="1939"/>
  <c r="R27" i="1939"/>
  <c r="D27" i="1939"/>
  <c r="R26" i="1939"/>
  <c r="L26" i="1939"/>
  <c r="D26" i="1939"/>
  <c r="R25" i="1939"/>
  <c r="L25" i="1939"/>
  <c r="D25" i="1939"/>
  <c r="R24" i="1939"/>
  <c r="L24" i="1939"/>
  <c r="D24" i="1939"/>
  <c r="R23" i="1939"/>
  <c r="D23" i="1939"/>
  <c r="R22" i="1939"/>
  <c r="D22" i="1939"/>
  <c r="R21" i="1939"/>
  <c r="D21" i="1939"/>
  <c r="R20" i="1939"/>
  <c r="R19" i="1939"/>
  <c r="D19" i="1939"/>
  <c r="R18" i="1939"/>
  <c r="D18" i="1939"/>
  <c r="R17" i="1939"/>
  <c r="L17" i="1939"/>
  <c r="D17" i="1939"/>
  <c r="R16" i="1939"/>
  <c r="L16" i="1939"/>
  <c r="D16" i="1939" s="1"/>
  <c r="R15" i="1939"/>
  <c r="D15" i="1939"/>
  <c r="R14" i="1939"/>
  <c r="D14" i="1939"/>
  <c r="R13" i="1939"/>
  <c r="D13" i="1939"/>
  <c r="R12" i="1939"/>
  <c r="R11" i="1939"/>
  <c r="L11" i="1939"/>
  <c r="D11" i="1939" s="1"/>
  <c r="L10" i="1939"/>
  <c r="D10" i="1939"/>
  <c r="L9" i="1939"/>
  <c r="D9" i="1939" s="1"/>
  <c r="L8" i="1939"/>
  <c r="D8" i="1939" s="1"/>
  <c r="L7" i="1939"/>
  <c r="D7" i="1939"/>
  <c r="R6" i="1939"/>
  <c r="L6" i="1939"/>
  <c r="D6" i="1939"/>
  <c r="R5" i="1939"/>
  <c r="R4" i="1939"/>
  <c r="R52" i="1938"/>
  <c r="R51" i="1938"/>
  <c r="D50" i="1938"/>
  <c r="R49" i="1938"/>
  <c r="G49" i="1938"/>
  <c r="D49" i="1938"/>
  <c r="R48" i="1938"/>
  <c r="D48" i="1938"/>
  <c r="D46" i="1938"/>
  <c r="D45" i="1938"/>
  <c r="D44" i="1938"/>
  <c r="R42" i="1938"/>
  <c r="L6" i="1938" s="1"/>
  <c r="D6" i="1938" s="1"/>
  <c r="D42" i="1938"/>
  <c r="R41" i="1938"/>
  <c r="L7" i="1938" s="1"/>
  <c r="D7" i="1938" s="1"/>
  <c r="D41" i="1938"/>
  <c r="R40" i="1938"/>
  <c r="D40" i="1938"/>
  <c r="R39" i="1938"/>
  <c r="D39" i="1938"/>
  <c r="R38" i="1938"/>
  <c r="D38" i="1938"/>
  <c r="R37" i="1938"/>
  <c r="D37" i="1938"/>
  <c r="R36" i="1938"/>
  <c r="D36" i="1938"/>
  <c r="R35" i="1938"/>
  <c r="D35" i="1938"/>
  <c r="R34" i="1938"/>
  <c r="L12" i="1938" s="1"/>
  <c r="D12" i="1938" s="1"/>
  <c r="D34" i="1938"/>
  <c r="D54" i="1938" s="1"/>
  <c r="H14" i="1938" s="1"/>
  <c r="R33" i="1938"/>
  <c r="L23" i="1938" s="1"/>
  <c r="D23" i="1938" s="1"/>
  <c r="R32" i="1938"/>
  <c r="R31" i="1938"/>
  <c r="R30" i="1938"/>
  <c r="R29" i="1938"/>
  <c r="R28" i="1938"/>
  <c r="D28" i="1938"/>
  <c r="R27" i="1938"/>
  <c r="D27" i="1938"/>
  <c r="R26" i="1938"/>
  <c r="L26" i="1938"/>
  <c r="D26" i="1938"/>
  <c r="R25" i="1938"/>
  <c r="L25" i="1938"/>
  <c r="D25" i="1938"/>
  <c r="R24" i="1938"/>
  <c r="D24" i="1938"/>
  <c r="R23" i="1938"/>
  <c r="R22" i="1938"/>
  <c r="L22" i="1938"/>
  <c r="D22" i="1938"/>
  <c r="R21" i="1938"/>
  <c r="D21" i="1938"/>
  <c r="R20" i="1938"/>
  <c r="L20" i="1938"/>
  <c r="D20" i="1938"/>
  <c r="R19" i="1938"/>
  <c r="L19" i="1938"/>
  <c r="D19" i="1938"/>
  <c r="R18" i="1938"/>
  <c r="D18" i="1938"/>
  <c r="R17" i="1938"/>
  <c r="D17" i="1938"/>
  <c r="R16" i="1938"/>
  <c r="L16" i="1938"/>
  <c r="D16" i="1938" s="1"/>
  <c r="S15" i="1938"/>
  <c r="R15" i="1938"/>
  <c r="D15" i="1938"/>
  <c r="S14" i="1938"/>
  <c r="R14" i="1938"/>
  <c r="D14" i="1938"/>
  <c r="R13" i="1938"/>
  <c r="D13" i="1938"/>
  <c r="R12" i="1938"/>
  <c r="R11" i="1938"/>
  <c r="L11" i="1938"/>
  <c r="D11" i="1938"/>
  <c r="L10" i="1938"/>
  <c r="D10" i="1938"/>
  <c r="L9" i="1938"/>
  <c r="D9" i="1938" s="1"/>
  <c r="L8" i="1938"/>
  <c r="D8" i="1938"/>
  <c r="R6" i="1938"/>
  <c r="R5" i="1938"/>
  <c r="R4" i="1938"/>
  <c r="R52" i="1937"/>
  <c r="R51" i="1937"/>
  <c r="D50" i="1937"/>
  <c r="R49" i="1937"/>
  <c r="D49" i="1937"/>
  <c r="R48" i="1937"/>
  <c r="D48" i="1937"/>
  <c r="D46" i="1937"/>
  <c r="D45" i="1937"/>
  <c r="R44" i="1937"/>
  <c r="D44" i="1937"/>
  <c r="R42" i="1937"/>
  <c r="D42" i="1937"/>
  <c r="R41" i="1937"/>
  <c r="D41" i="1937"/>
  <c r="R40" i="1937"/>
  <c r="D40" i="1937"/>
  <c r="R39" i="1937"/>
  <c r="H39" i="1937"/>
  <c r="D39" i="1937"/>
  <c r="R38" i="1937"/>
  <c r="L9" i="1937" s="1"/>
  <c r="D9" i="1937" s="1"/>
  <c r="H38" i="1937"/>
  <c r="D38" i="1937"/>
  <c r="R37" i="1937"/>
  <c r="H37" i="1937"/>
  <c r="D37" i="1937"/>
  <c r="R36" i="1937"/>
  <c r="L10" i="1937" s="1"/>
  <c r="D10" i="1937" s="1"/>
  <c r="H36" i="1937"/>
  <c r="D36" i="1937"/>
  <c r="R35" i="1937"/>
  <c r="H35" i="1937"/>
  <c r="D35" i="1937"/>
  <c r="R34" i="1937"/>
  <c r="L12" i="1937" s="1"/>
  <c r="D12" i="1937" s="1"/>
  <c r="H34" i="1937"/>
  <c r="G49" i="1937" s="1"/>
  <c r="D34" i="1937"/>
  <c r="D54" i="1937" s="1"/>
  <c r="H14" i="1937" s="1"/>
  <c r="R33" i="1937"/>
  <c r="L23" i="1937" s="1"/>
  <c r="D23" i="1937" s="1"/>
  <c r="R32" i="1937"/>
  <c r="L11" i="1937" s="1"/>
  <c r="D11" i="1937" s="1"/>
  <c r="R31" i="1937"/>
  <c r="R30" i="1937"/>
  <c r="R29" i="1937"/>
  <c r="R28" i="1937"/>
  <c r="L28" i="1937"/>
  <c r="D28" i="1937"/>
  <c r="R27" i="1937"/>
  <c r="D27" i="1937"/>
  <c r="R26" i="1937"/>
  <c r="L26" i="1937"/>
  <c r="D26" i="1937"/>
  <c r="R25" i="1937"/>
  <c r="L25" i="1937"/>
  <c r="D25" i="1937"/>
  <c r="R24" i="1937"/>
  <c r="D24" i="1937"/>
  <c r="R23" i="1937"/>
  <c r="R22" i="1937"/>
  <c r="L22" i="1937"/>
  <c r="D22" i="1937"/>
  <c r="R21" i="1937"/>
  <c r="D21" i="1937"/>
  <c r="R20" i="1937"/>
  <c r="L20" i="1937"/>
  <c r="D20" i="1937"/>
  <c r="R19" i="1937"/>
  <c r="L19" i="1937"/>
  <c r="D19" i="1937"/>
  <c r="R18" i="1937"/>
  <c r="D18" i="1937"/>
  <c r="R17" i="1937"/>
  <c r="D17" i="1937"/>
  <c r="R16" i="1937"/>
  <c r="L16" i="1937"/>
  <c r="D16" i="1937" s="1"/>
  <c r="R15" i="1937"/>
  <c r="D15" i="1937"/>
  <c r="R14" i="1937"/>
  <c r="D14" i="1937"/>
  <c r="R13" i="1937"/>
  <c r="D13" i="1937"/>
  <c r="R12" i="1937"/>
  <c r="R11" i="1937"/>
  <c r="L8" i="1937"/>
  <c r="D8" i="1937"/>
  <c r="L7" i="1937"/>
  <c r="D7" i="1937" s="1"/>
  <c r="R6" i="1937"/>
  <c r="L6" i="1937"/>
  <c r="D6" i="1937" s="1"/>
  <c r="D29" i="1937" s="1"/>
  <c r="H13" i="1937" s="1"/>
  <c r="H15" i="1937" s="1"/>
  <c r="H29" i="1937" s="1"/>
  <c r="R5" i="1937"/>
  <c r="R4" i="1937"/>
  <c r="R52" i="1936"/>
  <c r="R51" i="1936"/>
  <c r="D50" i="1936"/>
  <c r="R49" i="1936"/>
  <c r="D49" i="1936"/>
  <c r="R48" i="1936"/>
  <c r="D48" i="1936"/>
  <c r="D46" i="1936"/>
  <c r="D45" i="1936"/>
  <c r="R44" i="1936"/>
  <c r="L28" i="1936" s="1"/>
  <c r="D28" i="1936" s="1"/>
  <c r="D44" i="1936"/>
  <c r="R42" i="1936"/>
  <c r="D42" i="1936"/>
  <c r="R41" i="1936"/>
  <c r="L7" i="1936" s="1"/>
  <c r="D7" i="1936" s="1"/>
  <c r="D41" i="1936"/>
  <c r="R40" i="1936"/>
  <c r="L8" i="1936" s="1"/>
  <c r="D8" i="1936" s="1"/>
  <c r="D40" i="1936"/>
  <c r="R39" i="1936"/>
  <c r="H39" i="1936"/>
  <c r="D39" i="1936"/>
  <c r="R38" i="1936"/>
  <c r="H38" i="1936"/>
  <c r="D38" i="1936"/>
  <c r="R37" i="1936"/>
  <c r="H37" i="1936"/>
  <c r="D37" i="1936"/>
  <c r="R36" i="1936"/>
  <c r="L10" i="1936" s="1"/>
  <c r="D10" i="1936" s="1"/>
  <c r="H36" i="1936"/>
  <c r="G49" i="1936" s="1"/>
  <c r="D36" i="1936"/>
  <c r="R35" i="1936"/>
  <c r="L19" i="1936" s="1"/>
  <c r="D19" i="1936" s="1"/>
  <c r="H35" i="1936"/>
  <c r="D35" i="1936"/>
  <c r="D54" i="1936" s="1"/>
  <c r="H14" i="1936" s="1"/>
  <c r="R34" i="1936"/>
  <c r="H34" i="1936"/>
  <c r="D34" i="1936"/>
  <c r="R33" i="1936"/>
  <c r="R32" i="1936"/>
  <c r="R31" i="1936"/>
  <c r="R30" i="1936"/>
  <c r="R29" i="1936"/>
  <c r="R28" i="1936"/>
  <c r="L16" i="1936" s="1"/>
  <c r="D16" i="1936" s="1"/>
  <c r="R27" i="1936"/>
  <c r="D27" i="1936"/>
  <c r="R26" i="1936"/>
  <c r="L26" i="1936"/>
  <c r="D26" i="1936" s="1"/>
  <c r="R25" i="1936"/>
  <c r="L25" i="1936"/>
  <c r="D25" i="1936"/>
  <c r="R24" i="1936"/>
  <c r="L24" i="1936"/>
  <c r="D24" i="1936" s="1"/>
  <c r="R23" i="1936"/>
  <c r="L23" i="1936"/>
  <c r="D23" i="1936"/>
  <c r="R22" i="1936"/>
  <c r="L22" i="1936"/>
  <c r="D22" i="1936"/>
  <c r="R21" i="1936"/>
  <c r="D21" i="1936"/>
  <c r="R20" i="1936"/>
  <c r="L20" i="1936"/>
  <c r="D20" i="1936" s="1"/>
  <c r="R19" i="1936"/>
  <c r="R18" i="1936"/>
  <c r="D18" i="1936"/>
  <c r="R17" i="1936"/>
  <c r="L17" i="1936"/>
  <c r="D17" i="1936"/>
  <c r="R16" i="1936"/>
  <c r="R15" i="1936"/>
  <c r="D15" i="1936"/>
  <c r="R14" i="1936"/>
  <c r="D14" i="1936"/>
  <c r="R13" i="1936"/>
  <c r="D13" i="1936"/>
  <c r="R12" i="1936"/>
  <c r="L12" i="1936"/>
  <c r="D12" i="1936" s="1"/>
  <c r="R11" i="1936"/>
  <c r="L11" i="1936"/>
  <c r="D11" i="1936"/>
  <c r="L9" i="1936"/>
  <c r="D9" i="1936"/>
  <c r="R6" i="1936"/>
  <c r="L6" i="1936"/>
  <c r="D6" i="1936" s="1"/>
  <c r="R5" i="1936"/>
  <c r="R4" i="1936"/>
  <c r="R52" i="1935"/>
  <c r="R51" i="1935"/>
  <c r="D50" i="1935"/>
  <c r="R49" i="1935"/>
  <c r="D49" i="1935"/>
  <c r="R48" i="1935"/>
  <c r="D48" i="1935"/>
  <c r="D46" i="1935"/>
  <c r="D45" i="1935"/>
  <c r="R44" i="1935"/>
  <c r="L28" i="1935" s="1"/>
  <c r="D28" i="1935" s="1"/>
  <c r="D44" i="1935"/>
  <c r="R42" i="1935"/>
  <c r="D42" i="1935"/>
  <c r="R41" i="1935"/>
  <c r="D41" i="1935"/>
  <c r="R40" i="1935"/>
  <c r="L8" i="1935" s="1"/>
  <c r="D8" i="1935" s="1"/>
  <c r="D40" i="1935"/>
  <c r="R39" i="1935"/>
  <c r="L20" i="1935" s="1"/>
  <c r="D20" i="1935" s="1"/>
  <c r="H39" i="1935"/>
  <c r="G49" i="1935" s="1"/>
  <c r="D39" i="1935"/>
  <c r="R38" i="1935"/>
  <c r="H38" i="1935"/>
  <c r="D38" i="1935"/>
  <c r="R37" i="1935"/>
  <c r="H37" i="1935"/>
  <c r="D37" i="1935"/>
  <c r="R36" i="1935"/>
  <c r="H36" i="1935"/>
  <c r="D36" i="1935"/>
  <c r="R35" i="1935"/>
  <c r="H35" i="1935"/>
  <c r="D35" i="1935"/>
  <c r="R34" i="1935"/>
  <c r="H34" i="1935"/>
  <c r="D34" i="1935"/>
  <c r="D54" i="1935" s="1"/>
  <c r="H14" i="1935" s="1"/>
  <c r="R33" i="1935"/>
  <c r="R32" i="1935"/>
  <c r="R31" i="1935"/>
  <c r="R30" i="1935"/>
  <c r="R29" i="1935"/>
  <c r="R28" i="1935"/>
  <c r="L16" i="1935" s="1"/>
  <c r="D16" i="1935" s="1"/>
  <c r="R27" i="1935"/>
  <c r="D27" i="1935"/>
  <c r="R26" i="1935"/>
  <c r="L26" i="1935"/>
  <c r="D26" i="1935"/>
  <c r="R25" i="1935"/>
  <c r="L25" i="1935"/>
  <c r="D25" i="1935" s="1"/>
  <c r="R24" i="1935"/>
  <c r="L24" i="1935"/>
  <c r="D24" i="1935"/>
  <c r="R23" i="1935"/>
  <c r="D23" i="1935"/>
  <c r="R22" i="1935"/>
  <c r="D22" i="1935"/>
  <c r="R21" i="1935"/>
  <c r="D21" i="1935"/>
  <c r="R20" i="1935"/>
  <c r="R19" i="1935"/>
  <c r="D19" i="1935"/>
  <c r="R18" i="1935"/>
  <c r="D18" i="1935"/>
  <c r="R17" i="1935"/>
  <c r="L17" i="1935"/>
  <c r="D17" i="1935"/>
  <c r="R16" i="1935"/>
  <c r="R15" i="1935"/>
  <c r="D15" i="1935"/>
  <c r="R14" i="1935"/>
  <c r="D14" i="1935"/>
  <c r="R13" i="1935"/>
  <c r="D13" i="1935"/>
  <c r="R12" i="1935"/>
  <c r="L12" i="1935"/>
  <c r="D12" i="1935"/>
  <c r="R11" i="1935"/>
  <c r="L11" i="1935"/>
  <c r="D11" i="1935"/>
  <c r="L10" i="1935"/>
  <c r="D10" i="1935" s="1"/>
  <c r="L9" i="1935"/>
  <c r="D9" i="1935" s="1"/>
  <c r="L7" i="1935"/>
  <c r="D7" i="1935"/>
  <c r="R6" i="1935"/>
  <c r="L6" i="1935"/>
  <c r="D6" i="1935" s="1"/>
  <c r="R5" i="1935"/>
  <c r="R4" i="1935"/>
  <c r="R52" i="1934"/>
  <c r="R51" i="1934"/>
  <c r="D50" i="1934"/>
  <c r="R49" i="1934"/>
  <c r="G49" i="1934"/>
  <c r="D49" i="1934"/>
  <c r="R48" i="1934"/>
  <c r="D48" i="1934"/>
  <c r="D46" i="1934"/>
  <c r="D45" i="1934"/>
  <c r="D44" i="1934"/>
  <c r="R42" i="1934"/>
  <c r="L6" i="1934" s="1"/>
  <c r="D6" i="1934" s="1"/>
  <c r="D42" i="1934"/>
  <c r="R41" i="1934"/>
  <c r="L7" i="1934" s="1"/>
  <c r="D7" i="1934" s="1"/>
  <c r="D41" i="1934"/>
  <c r="R40" i="1934"/>
  <c r="D40" i="1934"/>
  <c r="R39" i="1934"/>
  <c r="D39" i="1934"/>
  <c r="R38" i="1934"/>
  <c r="D38" i="1934"/>
  <c r="R37" i="1934"/>
  <c r="D37" i="1934"/>
  <c r="R36" i="1934"/>
  <c r="L10" i="1934" s="1"/>
  <c r="D10" i="1934" s="1"/>
  <c r="D36" i="1934"/>
  <c r="R35" i="1934"/>
  <c r="D35" i="1934"/>
  <c r="R34" i="1934"/>
  <c r="L12" i="1934" s="1"/>
  <c r="D12" i="1934" s="1"/>
  <c r="D34" i="1934"/>
  <c r="D54" i="1934" s="1"/>
  <c r="H14" i="1934" s="1"/>
  <c r="R33" i="1934"/>
  <c r="L23" i="1934" s="1"/>
  <c r="D23" i="1934" s="1"/>
  <c r="R32" i="1934"/>
  <c r="R31" i="1934"/>
  <c r="R30" i="1934"/>
  <c r="R29" i="1934"/>
  <c r="R28" i="1934"/>
  <c r="L16" i="1934" s="1"/>
  <c r="D16" i="1934" s="1"/>
  <c r="D28" i="1934"/>
  <c r="R27" i="1934"/>
  <c r="D27" i="1934"/>
  <c r="R26" i="1934"/>
  <c r="L26" i="1934"/>
  <c r="D26" i="1934"/>
  <c r="R25" i="1934"/>
  <c r="L25" i="1934"/>
  <c r="D25" i="1934"/>
  <c r="R24" i="1934"/>
  <c r="D24" i="1934"/>
  <c r="R23" i="1934"/>
  <c r="R22" i="1934"/>
  <c r="L22" i="1934"/>
  <c r="D22" i="1934"/>
  <c r="R21" i="1934"/>
  <c r="D21" i="1934"/>
  <c r="R20" i="1934"/>
  <c r="L20" i="1934"/>
  <c r="D20" i="1934"/>
  <c r="R19" i="1934"/>
  <c r="L19" i="1934"/>
  <c r="D19" i="1934"/>
  <c r="R18" i="1934"/>
  <c r="D18" i="1934"/>
  <c r="R17" i="1934"/>
  <c r="D17" i="1934"/>
  <c r="R16" i="1934"/>
  <c r="S15" i="1934"/>
  <c r="R15" i="1934"/>
  <c r="D15" i="1934"/>
  <c r="S14" i="1934"/>
  <c r="R14" i="1934"/>
  <c r="D14" i="1934"/>
  <c r="R13" i="1934"/>
  <c r="D13" i="1934"/>
  <c r="R12" i="1934"/>
  <c r="R11" i="1934"/>
  <c r="L11" i="1934"/>
  <c r="D11" i="1934"/>
  <c r="L9" i="1934"/>
  <c r="D9" i="1934"/>
  <c r="L8" i="1934"/>
  <c r="D8" i="1934" s="1"/>
  <c r="R6" i="1934"/>
  <c r="R5" i="1934"/>
  <c r="R4" i="1934"/>
  <c r="R52" i="1933"/>
  <c r="L22" i="1933" s="1"/>
  <c r="D22" i="1933" s="1"/>
  <c r="R51" i="1933"/>
  <c r="D50" i="1933"/>
  <c r="R49" i="1933"/>
  <c r="D49" i="1933"/>
  <c r="R48" i="1933"/>
  <c r="D48" i="1933"/>
  <c r="D46" i="1933"/>
  <c r="D45" i="1933"/>
  <c r="R44" i="1933"/>
  <c r="D44" i="1933"/>
  <c r="R42" i="1933"/>
  <c r="D42" i="1933"/>
  <c r="R41" i="1933"/>
  <c r="L7" i="1933" s="1"/>
  <c r="D7" i="1933" s="1"/>
  <c r="D41" i="1933"/>
  <c r="D54" i="1933" s="1"/>
  <c r="H14" i="1933" s="1"/>
  <c r="R40" i="1933"/>
  <c r="D40" i="1933"/>
  <c r="R39" i="1933"/>
  <c r="H39" i="1933"/>
  <c r="D39" i="1933"/>
  <c r="R38" i="1933"/>
  <c r="H38" i="1933"/>
  <c r="D38" i="1933"/>
  <c r="R37" i="1933"/>
  <c r="H37" i="1933"/>
  <c r="D37" i="1933"/>
  <c r="R36" i="1933"/>
  <c r="L10" i="1933" s="1"/>
  <c r="D10" i="1933" s="1"/>
  <c r="H36" i="1933"/>
  <c r="D36" i="1933"/>
  <c r="R35" i="1933"/>
  <c r="L19" i="1933" s="1"/>
  <c r="D19" i="1933" s="1"/>
  <c r="H35" i="1933"/>
  <c r="D35" i="1933"/>
  <c r="R34" i="1933"/>
  <c r="H34" i="1933"/>
  <c r="G49" i="1933" s="1"/>
  <c r="D34" i="1933"/>
  <c r="R33" i="1933"/>
  <c r="R32" i="1933"/>
  <c r="L11" i="1933" s="1"/>
  <c r="D11" i="1933" s="1"/>
  <c r="R31" i="1933"/>
  <c r="R30" i="1933"/>
  <c r="R29" i="1933"/>
  <c r="R28" i="1933"/>
  <c r="L28" i="1933"/>
  <c r="D28" i="1933"/>
  <c r="R27" i="1933"/>
  <c r="D27" i="1933"/>
  <c r="R26" i="1933"/>
  <c r="L26" i="1933"/>
  <c r="D26" i="1933"/>
  <c r="R25" i="1933"/>
  <c r="L25" i="1933"/>
  <c r="D25" i="1933"/>
  <c r="R24" i="1933"/>
  <c r="D24" i="1933"/>
  <c r="R23" i="1933"/>
  <c r="L23" i="1933"/>
  <c r="D23" i="1933" s="1"/>
  <c r="R22" i="1933"/>
  <c r="R21" i="1933"/>
  <c r="D21" i="1933"/>
  <c r="R20" i="1933"/>
  <c r="L20" i="1933"/>
  <c r="D20" i="1933"/>
  <c r="R19" i="1933"/>
  <c r="R18" i="1933"/>
  <c r="D18" i="1933"/>
  <c r="R17" i="1933"/>
  <c r="D17" i="1933"/>
  <c r="R16" i="1933"/>
  <c r="L16" i="1933"/>
  <c r="D16" i="1933" s="1"/>
  <c r="R15" i="1933"/>
  <c r="D15" i="1933"/>
  <c r="R14" i="1933"/>
  <c r="D14" i="1933"/>
  <c r="R13" i="1933"/>
  <c r="D13" i="1933"/>
  <c r="R12" i="1933"/>
  <c r="L12" i="1933"/>
  <c r="D12" i="1933"/>
  <c r="R11" i="1933"/>
  <c r="L9" i="1933"/>
  <c r="D9" i="1933" s="1"/>
  <c r="L8" i="1933"/>
  <c r="D8" i="1933" s="1"/>
  <c r="R6" i="1933"/>
  <c r="L6" i="1933"/>
  <c r="D6" i="1933" s="1"/>
  <c r="R5" i="1933"/>
  <c r="R4" i="1933"/>
  <c r="R52" i="1932"/>
  <c r="R51" i="1932"/>
  <c r="D50" i="1932"/>
  <c r="R49" i="1932"/>
  <c r="G49" i="1932"/>
  <c r="D49" i="1932"/>
  <c r="R48" i="1932"/>
  <c r="D48" i="1932"/>
  <c r="D46" i="1932"/>
  <c r="D45" i="1932"/>
  <c r="R44" i="1932"/>
  <c r="L28" i="1932" s="1"/>
  <c r="D28" i="1932" s="1"/>
  <c r="D44" i="1932"/>
  <c r="R42" i="1932"/>
  <c r="L6" i="1932" s="1"/>
  <c r="D6" i="1932" s="1"/>
  <c r="D42" i="1932"/>
  <c r="R41" i="1932"/>
  <c r="D41" i="1932"/>
  <c r="R40" i="1932"/>
  <c r="D40" i="1932"/>
  <c r="R39" i="1932"/>
  <c r="H39" i="1932"/>
  <c r="D39" i="1932"/>
  <c r="R38" i="1932"/>
  <c r="L9" i="1932" s="1"/>
  <c r="D9" i="1932" s="1"/>
  <c r="H38" i="1932"/>
  <c r="D38" i="1932"/>
  <c r="R37" i="1932"/>
  <c r="H37" i="1932"/>
  <c r="D37" i="1932"/>
  <c r="R36" i="1932"/>
  <c r="L10" i="1932" s="1"/>
  <c r="D10" i="1932" s="1"/>
  <c r="H36" i="1932"/>
  <c r="D36" i="1932"/>
  <c r="R35" i="1932"/>
  <c r="H35" i="1932"/>
  <c r="D35" i="1932"/>
  <c r="R34" i="1932"/>
  <c r="H34" i="1932"/>
  <c r="D34" i="1932"/>
  <c r="D54" i="1932" s="1"/>
  <c r="H14" i="1932" s="1"/>
  <c r="R33" i="1932"/>
  <c r="L23" i="1932" s="1"/>
  <c r="D23" i="1932" s="1"/>
  <c r="R32" i="1932"/>
  <c r="L11" i="1932" s="1"/>
  <c r="D11" i="1932" s="1"/>
  <c r="R31" i="1932"/>
  <c r="R30" i="1932"/>
  <c r="R29" i="1932"/>
  <c r="R28" i="1932"/>
  <c r="L16" i="1932" s="1"/>
  <c r="D16" i="1932" s="1"/>
  <c r="R27" i="1932"/>
  <c r="D27" i="1932"/>
  <c r="R26" i="1932"/>
  <c r="L26" i="1932"/>
  <c r="D26" i="1932"/>
  <c r="R25" i="1932"/>
  <c r="L25" i="1932"/>
  <c r="D25" i="1932" s="1"/>
  <c r="R24" i="1932"/>
  <c r="L24" i="1932"/>
  <c r="D24" i="1932"/>
  <c r="R23" i="1932"/>
  <c r="R22" i="1932"/>
  <c r="L22" i="1932"/>
  <c r="D22" i="1932" s="1"/>
  <c r="R21" i="1932"/>
  <c r="D21" i="1932"/>
  <c r="R20" i="1932"/>
  <c r="L20" i="1932"/>
  <c r="D20" i="1932"/>
  <c r="R19" i="1932"/>
  <c r="L19" i="1932"/>
  <c r="D19" i="1932" s="1"/>
  <c r="R18" i="1932"/>
  <c r="D18" i="1932"/>
  <c r="R17" i="1932"/>
  <c r="L17" i="1932"/>
  <c r="D17" i="1932"/>
  <c r="R16" i="1932"/>
  <c r="R15" i="1932"/>
  <c r="D15" i="1932"/>
  <c r="R14" i="1932"/>
  <c r="D14" i="1932"/>
  <c r="R13" i="1932"/>
  <c r="D13" i="1932"/>
  <c r="R12" i="1932"/>
  <c r="L12" i="1932"/>
  <c r="D12" i="1932"/>
  <c r="R11" i="1932"/>
  <c r="L8" i="1932"/>
  <c r="D8" i="1932"/>
  <c r="L7" i="1932"/>
  <c r="D7" i="1932" s="1"/>
  <c r="R6" i="1932"/>
  <c r="R5" i="1932"/>
  <c r="R4" i="1932"/>
  <c r="R52" i="1931"/>
  <c r="R51" i="1931"/>
  <c r="D50" i="1931"/>
  <c r="R49" i="1931"/>
  <c r="G49" i="1931"/>
  <c r="D49" i="1931"/>
  <c r="R48" i="1931"/>
  <c r="D48" i="1931"/>
  <c r="D46" i="1931"/>
  <c r="D45" i="1931"/>
  <c r="R44" i="1931"/>
  <c r="L28" i="1931" s="1"/>
  <c r="D28" i="1931" s="1"/>
  <c r="D44" i="1931"/>
  <c r="R42" i="1931"/>
  <c r="D42" i="1931"/>
  <c r="R41" i="1931"/>
  <c r="D41" i="1931"/>
  <c r="R40" i="1931"/>
  <c r="D40" i="1931"/>
  <c r="R39" i="1931"/>
  <c r="L20" i="1931" s="1"/>
  <c r="D20" i="1931" s="1"/>
  <c r="H39" i="1931"/>
  <c r="D39" i="1931"/>
  <c r="R38" i="1931"/>
  <c r="H38" i="1931"/>
  <c r="D38" i="1931"/>
  <c r="R37" i="1931"/>
  <c r="H37" i="1931"/>
  <c r="D37" i="1931"/>
  <c r="R36" i="1931"/>
  <c r="H36" i="1931"/>
  <c r="D36" i="1931"/>
  <c r="R35" i="1931"/>
  <c r="H35" i="1931"/>
  <c r="D35" i="1931"/>
  <c r="R34" i="1931"/>
  <c r="L12" i="1931" s="1"/>
  <c r="D12" i="1931" s="1"/>
  <c r="H34" i="1931"/>
  <c r="D34" i="1931"/>
  <c r="D54" i="1931" s="1"/>
  <c r="H14" i="1931" s="1"/>
  <c r="R33" i="1931"/>
  <c r="R32" i="1931"/>
  <c r="L11" i="1931" s="1"/>
  <c r="D11" i="1931" s="1"/>
  <c r="R31" i="1931"/>
  <c r="R30" i="1931"/>
  <c r="R29" i="1931"/>
  <c r="R28" i="1931"/>
  <c r="L16" i="1931" s="1"/>
  <c r="D16" i="1931" s="1"/>
  <c r="R27" i="1931"/>
  <c r="D27" i="1931"/>
  <c r="R26" i="1931"/>
  <c r="L26" i="1931"/>
  <c r="D26" i="1931"/>
  <c r="R25" i="1931"/>
  <c r="L25" i="1931"/>
  <c r="D25" i="1931" s="1"/>
  <c r="R24" i="1931"/>
  <c r="L24" i="1931"/>
  <c r="D24" i="1931" s="1"/>
  <c r="R23" i="1931"/>
  <c r="D23" i="1931"/>
  <c r="R22" i="1931"/>
  <c r="D22" i="1931"/>
  <c r="R21" i="1931"/>
  <c r="D21" i="1931"/>
  <c r="R20" i="1931"/>
  <c r="R19" i="1931"/>
  <c r="D19" i="1931"/>
  <c r="R18" i="1931"/>
  <c r="D18" i="1931"/>
  <c r="R17" i="1931"/>
  <c r="L17" i="1931"/>
  <c r="D17" i="1931" s="1"/>
  <c r="R16" i="1931"/>
  <c r="R15" i="1931"/>
  <c r="D15" i="1931"/>
  <c r="R14" i="1931"/>
  <c r="D14" i="1931"/>
  <c r="R13" i="1931"/>
  <c r="D13" i="1931"/>
  <c r="R12" i="1931"/>
  <c r="R11" i="1931"/>
  <c r="L10" i="1931"/>
  <c r="D10" i="1931" s="1"/>
  <c r="L9" i="1931"/>
  <c r="D9" i="1931" s="1"/>
  <c r="L8" i="1931"/>
  <c r="D8" i="1931" s="1"/>
  <c r="L7" i="1931"/>
  <c r="D7" i="1931"/>
  <c r="R6" i="1931"/>
  <c r="L6" i="1931"/>
  <c r="D6" i="1931" s="1"/>
  <c r="D29" i="1931" s="1"/>
  <c r="H13" i="1931" s="1"/>
  <c r="H15" i="1931" s="1"/>
  <c r="H29" i="1931" s="1"/>
  <c r="R5" i="1931"/>
  <c r="R4" i="1931"/>
  <c r="R52" i="1930"/>
  <c r="R51" i="1930"/>
  <c r="D50" i="1930"/>
  <c r="R49" i="1930"/>
  <c r="G49" i="1930"/>
  <c r="D49" i="1930"/>
  <c r="R48" i="1930"/>
  <c r="D48" i="1930"/>
  <c r="D46" i="1930"/>
  <c r="D45" i="1930"/>
  <c r="D44" i="1930"/>
  <c r="R42" i="1930"/>
  <c r="L6" i="1930" s="1"/>
  <c r="D6" i="1930" s="1"/>
  <c r="D42" i="1930"/>
  <c r="R41" i="1930"/>
  <c r="L7" i="1930" s="1"/>
  <c r="D7" i="1930" s="1"/>
  <c r="D41" i="1930"/>
  <c r="R40" i="1930"/>
  <c r="D40" i="1930"/>
  <c r="R39" i="1930"/>
  <c r="D39" i="1930"/>
  <c r="R38" i="1930"/>
  <c r="L9" i="1930" s="1"/>
  <c r="D9" i="1930" s="1"/>
  <c r="D38" i="1930"/>
  <c r="R37" i="1930"/>
  <c r="D37" i="1930"/>
  <c r="R36" i="1930"/>
  <c r="D36" i="1930"/>
  <c r="R35" i="1930"/>
  <c r="D35" i="1930"/>
  <c r="R34" i="1930"/>
  <c r="L12" i="1930" s="1"/>
  <c r="D12" i="1930" s="1"/>
  <c r="D34" i="1930"/>
  <c r="D54" i="1930" s="1"/>
  <c r="H14" i="1930" s="1"/>
  <c r="R33" i="1930"/>
  <c r="L23" i="1930" s="1"/>
  <c r="D23" i="1930" s="1"/>
  <c r="R32" i="1930"/>
  <c r="R31" i="1930"/>
  <c r="R30" i="1930"/>
  <c r="R29" i="1930"/>
  <c r="R28" i="1930"/>
  <c r="L16" i="1930" s="1"/>
  <c r="D16" i="1930" s="1"/>
  <c r="D28" i="1930"/>
  <c r="R27" i="1930"/>
  <c r="D27" i="1930"/>
  <c r="R26" i="1930"/>
  <c r="L26" i="1930"/>
  <c r="D26" i="1930"/>
  <c r="R25" i="1930"/>
  <c r="L25" i="1930"/>
  <c r="D25" i="1930"/>
  <c r="R24" i="1930"/>
  <c r="D24" i="1930"/>
  <c r="R23" i="1930"/>
  <c r="R22" i="1930"/>
  <c r="L22" i="1930"/>
  <c r="D22" i="1930" s="1"/>
  <c r="R21" i="1930"/>
  <c r="D21" i="1930"/>
  <c r="R20" i="1930"/>
  <c r="L20" i="1930"/>
  <c r="D20" i="1930"/>
  <c r="R19" i="1930"/>
  <c r="L19" i="1930"/>
  <c r="D19" i="1930"/>
  <c r="R18" i="1930"/>
  <c r="D18" i="1930"/>
  <c r="R17" i="1930"/>
  <c r="D17" i="1930"/>
  <c r="R16" i="1930"/>
  <c r="S15" i="1930"/>
  <c r="R15" i="1930"/>
  <c r="D15" i="1930"/>
  <c r="S14" i="1930"/>
  <c r="R14" i="1930"/>
  <c r="D14" i="1930"/>
  <c r="R13" i="1930"/>
  <c r="D13" i="1930"/>
  <c r="R12" i="1930"/>
  <c r="R11" i="1930"/>
  <c r="L11" i="1930"/>
  <c r="D11" i="1930" s="1"/>
  <c r="L10" i="1930"/>
  <c r="D10" i="1930" s="1"/>
  <c r="L8" i="1930"/>
  <c r="D8" i="1930" s="1"/>
  <c r="R6" i="1930"/>
  <c r="R5" i="1930"/>
  <c r="R4" i="1930"/>
  <c r="R52" i="1929"/>
  <c r="L22" i="1929" s="1"/>
  <c r="D22" i="1929" s="1"/>
  <c r="R51" i="1929"/>
  <c r="D50" i="1929"/>
  <c r="R49" i="1929"/>
  <c r="G49" i="1929"/>
  <c r="D49" i="1929"/>
  <c r="R48" i="1929"/>
  <c r="D48" i="1929"/>
  <c r="D46" i="1929"/>
  <c r="D45" i="1929"/>
  <c r="R44" i="1929"/>
  <c r="L28" i="1929" s="1"/>
  <c r="D28" i="1929" s="1"/>
  <c r="D44" i="1929"/>
  <c r="R42" i="1929"/>
  <c r="D42" i="1929"/>
  <c r="R41" i="1929"/>
  <c r="D41" i="1929"/>
  <c r="R40" i="1929"/>
  <c r="D40" i="1929"/>
  <c r="R39" i="1929"/>
  <c r="H39" i="1929"/>
  <c r="D39" i="1929"/>
  <c r="R38" i="1929"/>
  <c r="H38" i="1929"/>
  <c r="D38" i="1929"/>
  <c r="R37" i="1929"/>
  <c r="H37" i="1929"/>
  <c r="D37" i="1929"/>
  <c r="R36" i="1929"/>
  <c r="L10" i="1929" s="1"/>
  <c r="D10" i="1929" s="1"/>
  <c r="H36" i="1929"/>
  <c r="D36" i="1929"/>
  <c r="R35" i="1929"/>
  <c r="H35" i="1929"/>
  <c r="D35" i="1929"/>
  <c r="R34" i="1929"/>
  <c r="H34" i="1929"/>
  <c r="D34" i="1929"/>
  <c r="D54" i="1929" s="1"/>
  <c r="H14" i="1929" s="1"/>
  <c r="R33" i="1929"/>
  <c r="L23" i="1929" s="1"/>
  <c r="D23" i="1929" s="1"/>
  <c r="R32" i="1929"/>
  <c r="R31" i="1929"/>
  <c r="R30" i="1929"/>
  <c r="R29" i="1929"/>
  <c r="R28" i="1929"/>
  <c r="R27" i="1929"/>
  <c r="D27" i="1929"/>
  <c r="R26" i="1929"/>
  <c r="L26" i="1929"/>
  <c r="D26" i="1929"/>
  <c r="R25" i="1929"/>
  <c r="L25" i="1929"/>
  <c r="D25" i="1929" s="1"/>
  <c r="R24" i="1929"/>
  <c r="D24" i="1929"/>
  <c r="R23" i="1929"/>
  <c r="R22" i="1929"/>
  <c r="R21" i="1929"/>
  <c r="D21" i="1929"/>
  <c r="R20" i="1929"/>
  <c r="L20" i="1929"/>
  <c r="D20" i="1929"/>
  <c r="R19" i="1929"/>
  <c r="L19" i="1929"/>
  <c r="D19" i="1929" s="1"/>
  <c r="R18" i="1929"/>
  <c r="D18" i="1929"/>
  <c r="R17" i="1929"/>
  <c r="D17" i="1929"/>
  <c r="R16" i="1929"/>
  <c r="L16" i="1929"/>
  <c r="D16" i="1929" s="1"/>
  <c r="R15" i="1929"/>
  <c r="D15" i="1929"/>
  <c r="R14" i="1929"/>
  <c r="D14" i="1929"/>
  <c r="R13" i="1929"/>
  <c r="D13" i="1929"/>
  <c r="R12" i="1929"/>
  <c r="L12" i="1929"/>
  <c r="D12" i="1929" s="1"/>
  <c r="R11" i="1929"/>
  <c r="L11" i="1929"/>
  <c r="D11" i="1929"/>
  <c r="L9" i="1929"/>
  <c r="D9" i="1929"/>
  <c r="L8" i="1929"/>
  <c r="D8" i="1929"/>
  <c r="L7" i="1929"/>
  <c r="D7" i="1929"/>
  <c r="R6" i="1929"/>
  <c r="L6" i="1929"/>
  <c r="D6" i="1929"/>
  <c r="D29" i="1929" s="1"/>
  <c r="H13" i="1929" s="1"/>
  <c r="H15" i="1929" s="1"/>
  <c r="H29" i="1929" s="1"/>
  <c r="R5" i="1929"/>
  <c r="R4" i="1929"/>
  <c r="R52" i="1928"/>
  <c r="R51" i="1928"/>
  <c r="D50" i="1928"/>
  <c r="R49" i="1928"/>
  <c r="D49" i="1928"/>
  <c r="R48" i="1928"/>
  <c r="D48" i="1928"/>
  <c r="D46" i="1928"/>
  <c r="D45" i="1928"/>
  <c r="R44" i="1928"/>
  <c r="D44" i="1928"/>
  <c r="R42" i="1928"/>
  <c r="L6" i="1928" s="1"/>
  <c r="D6" i="1928" s="1"/>
  <c r="D42" i="1928"/>
  <c r="R41" i="1928"/>
  <c r="D41" i="1928"/>
  <c r="R40" i="1928"/>
  <c r="L8" i="1928" s="1"/>
  <c r="D8" i="1928" s="1"/>
  <c r="D40" i="1928"/>
  <c r="R39" i="1928"/>
  <c r="H39" i="1928"/>
  <c r="D39" i="1928"/>
  <c r="R38" i="1928"/>
  <c r="H38" i="1928"/>
  <c r="D38" i="1928"/>
  <c r="R37" i="1928"/>
  <c r="H37" i="1928"/>
  <c r="D37" i="1928"/>
  <c r="R36" i="1928"/>
  <c r="L10" i="1928" s="1"/>
  <c r="D10" i="1928" s="1"/>
  <c r="H36" i="1928"/>
  <c r="D36" i="1928"/>
  <c r="R35" i="1928"/>
  <c r="L19" i="1928" s="1"/>
  <c r="D19" i="1928" s="1"/>
  <c r="H35" i="1928"/>
  <c r="G49" i="1928" s="1"/>
  <c r="D35" i="1928"/>
  <c r="R34" i="1928"/>
  <c r="L12" i="1928" s="1"/>
  <c r="D12" i="1928" s="1"/>
  <c r="H34" i="1928"/>
  <c r="D34" i="1928"/>
  <c r="D54" i="1928" s="1"/>
  <c r="H14" i="1928" s="1"/>
  <c r="R33" i="1928"/>
  <c r="R32" i="1928"/>
  <c r="R31" i="1928"/>
  <c r="R30" i="1928"/>
  <c r="R29" i="1928"/>
  <c r="R28" i="1928"/>
  <c r="L28" i="1928"/>
  <c r="D28" i="1928"/>
  <c r="R27" i="1928"/>
  <c r="D27" i="1928"/>
  <c r="R26" i="1928"/>
  <c r="L26" i="1928"/>
  <c r="D26" i="1928" s="1"/>
  <c r="R25" i="1928"/>
  <c r="L25" i="1928"/>
  <c r="D25" i="1928" s="1"/>
  <c r="R24" i="1928"/>
  <c r="L24" i="1928"/>
  <c r="D24" i="1928"/>
  <c r="R23" i="1928"/>
  <c r="L23" i="1928"/>
  <c r="D23" i="1928"/>
  <c r="R22" i="1928"/>
  <c r="L22" i="1928"/>
  <c r="D22" i="1928" s="1"/>
  <c r="R21" i="1928"/>
  <c r="D21" i="1928"/>
  <c r="R20" i="1928"/>
  <c r="L20" i="1928"/>
  <c r="D20" i="1928"/>
  <c r="R19" i="1928"/>
  <c r="R18" i="1928"/>
  <c r="D18" i="1928"/>
  <c r="R17" i="1928"/>
  <c r="L17" i="1928"/>
  <c r="D17" i="1928"/>
  <c r="R16" i="1928"/>
  <c r="L16" i="1928"/>
  <c r="D16" i="1928" s="1"/>
  <c r="R15" i="1928"/>
  <c r="D15" i="1928"/>
  <c r="R14" i="1928"/>
  <c r="D14" i="1928"/>
  <c r="R13" i="1928"/>
  <c r="D13" i="1928"/>
  <c r="R12" i="1928"/>
  <c r="R11" i="1928"/>
  <c r="L11" i="1928"/>
  <c r="D11" i="1928"/>
  <c r="L9" i="1928"/>
  <c r="D9" i="1928" s="1"/>
  <c r="L7" i="1928"/>
  <c r="D7" i="1928" s="1"/>
  <c r="R6" i="1928"/>
  <c r="R5" i="1928"/>
  <c r="R4" i="1928"/>
  <c r="D54" i="1927"/>
  <c r="H14" i="1927" s="1"/>
  <c r="R52" i="1927"/>
  <c r="R51" i="1927"/>
  <c r="D50" i="1927"/>
  <c r="R49" i="1927"/>
  <c r="D49" i="1927"/>
  <c r="R48" i="1927"/>
  <c r="D48" i="1927"/>
  <c r="D46" i="1927"/>
  <c r="D45" i="1927"/>
  <c r="R44" i="1927"/>
  <c r="L28" i="1927" s="1"/>
  <c r="D28" i="1927" s="1"/>
  <c r="D44" i="1927"/>
  <c r="R42" i="1927"/>
  <c r="L6" i="1927" s="1"/>
  <c r="D6" i="1927" s="1"/>
  <c r="D42" i="1927"/>
  <c r="R41" i="1927"/>
  <c r="L7" i="1927" s="1"/>
  <c r="D7" i="1927" s="1"/>
  <c r="D41" i="1927"/>
  <c r="R40" i="1927"/>
  <c r="D40" i="1927"/>
  <c r="R39" i="1927"/>
  <c r="L20" i="1927" s="1"/>
  <c r="D20" i="1927" s="1"/>
  <c r="H39" i="1927"/>
  <c r="D39" i="1927"/>
  <c r="R38" i="1927"/>
  <c r="H38" i="1927"/>
  <c r="D38" i="1927"/>
  <c r="R37" i="1927"/>
  <c r="H37" i="1927"/>
  <c r="D37" i="1927"/>
  <c r="R36" i="1927"/>
  <c r="L10" i="1927" s="1"/>
  <c r="D10" i="1927" s="1"/>
  <c r="H36" i="1927"/>
  <c r="D36" i="1927"/>
  <c r="R35" i="1927"/>
  <c r="H35" i="1927"/>
  <c r="D35" i="1927"/>
  <c r="R34" i="1927"/>
  <c r="L12" i="1927" s="1"/>
  <c r="D12" i="1927" s="1"/>
  <c r="H34" i="1927"/>
  <c r="G49" i="1927" s="1"/>
  <c r="D34" i="1927"/>
  <c r="R33" i="1927"/>
  <c r="R32" i="1927"/>
  <c r="R31" i="1927"/>
  <c r="R30" i="1927"/>
  <c r="R29" i="1927"/>
  <c r="R28" i="1927"/>
  <c r="L16" i="1927" s="1"/>
  <c r="D16" i="1927" s="1"/>
  <c r="R27" i="1927"/>
  <c r="D27" i="1927"/>
  <c r="R26" i="1927"/>
  <c r="L26" i="1927"/>
  <c r="D26" i="1927"/>
  <c r="R25" i="1927"/>
  <c r="L25" i="1927"/>
  <c r="D25" i="1927"/>
  <c r="R24" i="1927"/>
  <c r="L24" i="1927"/>
  <c r="D24" i="1927"/>
  <c r="R23" i="1927"/>
  <c r="D23" i="1927"/>
  <c r="R22" i="1927"/>
  <c r="D22" i="1927"/>
  <c r="R21" i="1927"/>
  <c r="D21" i="1927"/>
  <c r="R20" i="1927"/>
  <c r="R19" i="1927"/>
  <c r="D19" i="1927"/>
  <c r="R18" i="1927"/>
  <c r="D18" i="1927"/>
  <c r="R17" i="1927"/>
  <c r="L17" i="1927"/>
  <c r="D17" i="1927"/>
  <c r="R16" i="1927"/>
  <c r="R15" i="1927"/>
  <c r="D15" i="1927"/>
  <c r="R14" i="1927"/>
  <c r="D14" i="1927"/>
  <c r="R13" i="1927"/>
  <c r="D13" i="1927"/>
  <c r="R12" i="1927"/>
  <c r="R11" i="1927"/>
  <c r="L11" i="1927"/>
  <c r="D11" i="1927"/>
  <c r="L9" i="1927"/>
  <c r="D9" i="1927"/>
  <c r="L8" i="1927"/>
  <c r="D8" i="1927"/>
  <c r="R6" i="1927"/>
  <c r="R5" i="1927"/>
  <c r="R4" i="1927"/>
  <c r="R52" i="1926"/>
  <c r="R51" i="1926"/>
  <c r="D50" i="1926"/>
  <c r="R49" i="1926"/>
  <c r="G49" i="1926"/>
  <c r="D49" i="1926"/>
  <c r="R48" i="1926"/>
  <c r="D48" i="1926"/>
  <c r="D46" i="1926"/>
  <c r="D45" i="1926"/>
  <c r="D44" i="1926"/>
  <c r="R42" i="1926"/>
  <c r="L6" i="1926" s="1"/>
  <c r="D6" i="1926" s="1"/>
  <c r="D42" i="1926"/>
  <c r="R41" i="1926"/>
  <c r="L7" i="1926" s="1"/>
  <c r="D7" i="1926" s="1"/>
  <c r="D41" i="1926"/>
  <c r="R40" i="1926"/>
  <c r="D40" i="1926"/>
  <c r="R39" i="1926"/>
  <c r="D39" i="1926"/>
  <c r="R38" i="1926"/>
  <c r="D38" i="1926"/>
  <c r="R37" i="1926"/>
  <c r="D37" i="1926"/>
  <c r="R36" i="1926"/>
  <c r="D36" i="1926"/>
  <c r="R35" i="1926"/>
  <c r="D35" i="1926"/>
  <c r="R34" i="1926"/>
  <c r="L12" i="1926" s="1"/>
  <c r="D12" i="1926" s="1"/>
  <c r="D34" i="1926"/>
  <c r="D54" i="1926" s="1"/>
  <c r="H14" i="1926" s="1"/>
  <c r="R33" i="1926"/>
  <c r="L23" i="1926" s="1"/>
  <c r="D23" i="1926" s="1"/>
  <c r="R32" i="1926"/>
  <c r="R31" i="1926"/>
  <c r="R30" i="1926"/>
  <c r="R29" i="1926"/>
  <c r="R28" i="1926"/>
  <c r="L16" i="1926" s="1"/>
  <c r="D16" i="1926" s="1"/>
  <c r="D28" i="1926"/>
  <c r="R27" i="1926"/>
  <c r="D27" i="1926"/>
  <c r="R26" i="1926"/>
  <c r="L26" i="1926"/>
  <c r="D26" i="1926"/>
  <c r="R25" i="1926"/>
  <c r="L25" i="1926"/>
  <c r="D25" i="1926"/>
  <c r="R24" i="1926"/>
  <c r="D24" i="1926"/>
  <c r="R23" i="1926"/>
  <c r="R22" i="1926"/>
  <c r="L22" i="1926"/>
  <c r="D22" i="1926" s="1"/>
  <c r="R21" i="1926"/>
  <c r="D21" i="1926"/>
  <c r="R20" i="1926"/>
  <c r="L20" i="1926"/>
  <c r="D20" i="1926"/>
  <c r="R19" i="1926"/>
  <c r="L19" i="1926"/>
  <c r="D19" i="1926"/>
  <c r="R18" i="1926"/>
  <c r="D18" i="1926"/>
  <c r="R17" i="1926"/>
  <c r="D17" i="1926"/>
  <c r="R16" i="1926"/>
  <c r="S15" i="1926"/>
  <c r="R15" i="1926"/>
  <c r="D15" i="1926"/>
  <c r="S14" i="1926"/>
  <c r="R14" i="1926"/>
  <c r="D14" i="1926"/>
  <c r="R13" i="1926"/>
  <c r="D13" i="1926"/>
  <c r="R12" i="1926"/>
  <c r="R11" i="1926"/>
  <c r="L11" i="1926"/>
  <c r="D11" i="1926"/>
  <c r="L10" i="1926"/>
  <c r="D10" i="1926"/>
  <c r="L9" i="1926"/>
  <c r="D9" i="1926"/>
  <c r="L8" i="1926"/>
  <c r="D8" i="1926"/>
  <c r="R6" i="1926"/>
  <c r="R5" i="1926"/>
  <c r="R4" i="1926"/>
  <c r="R52" i="1925"/>
  <c r="R51" i="1925"/>
  <c r="D50" i="1925"/>
  <c r="R49" i="1925"/>
  <c r="D49" i="1925"/>
  <c r="R48" i="1925"/>
  <c r="D48" i="1925"/>
  <c r="D46" i="1925"/>
  <c r="D45" i="1925"/>
  <c r="R44" i="1925"/>
  <c r="L28" i="1925" s="1"/>
  <c r="D28" i="1925" s="1"/>
  <c r="D44" i="1925"/>
  <c r="R42" i="1925"/>
  <c r="L6" i="1925" s="1"/>
  <c r="D6" i="1925" s="1"/>
  <c r="D42" i="1925"/>
  <c r="R41" i="1925"/>
  <c r="D41" i="1925"/>
  <c r="R40" i="1925"/>
  <c r="D40" i="1925"/>
  <c r="R39" i="1925"/>
  <c r="H39" i="1925"/>
  <c r="D39" i="1925"/>
  <c r="R38" i="1925"/>
  <c r="L9" i="1925" s="1"/>
  <c r="D9" i="1925" s="1"/>
  <c r="H38" i="1925"/>
  <c r="D38" i="1925"/>
  <c r="R37" i="1925"/>
  <c r="H37" i="1925"/>
  <c r="D37" i="1925"/>
  <c r="R36" i="1925"/>
  <c r="L10" i="1925" s="1"/>
  <c r="D10" i="1925" s="1"/>
  <c r="H36" i="1925"/>
  <c r="D36" i="1925"/>
  <c r="R35" i="1925"/>
  <c r="H35" i="1925"/>
  <c r="D35" i="1925"/>
  <c r="R34" i="1925"/>
  <c r="L12" i="1925" s="1"/>
  <c r="D12" i="1925" s="1"/>
  <c r="H34" i="1925"/>
  <c r="G49" i="1925" s="1"/>
  <c r="D34" i="1925"/>
  <c r="D54" i="1925" s="1"/>
  <c r="H14" i="1925" s="1"/>
  <c r="R33" i="1925"/>
  <c r="R32" i="1925"/>
  <c r="R31" i="1925"/>
  <c r="R30" i="1925"/>
  <c r="R29" i="1925"/>
  <c r="R28" i="1925"/>
  <c r="L16" i="1925" s="1"/>
  <c r="D16" i="1925" s="1"/>
  <c r="R27" i="1925"/>
  <c r="D27" i="1925"/>
  <c r="R26" i="1925"/>
  <c r="L26" i="1925"/>
  <c r="D26" i="1925" s="1"/>
  <c r="R25" i="1925"/>
  <c r="L25" i="1925"/>
  <c r="D25" i="1925"/>
  <c r="R24" i="1925"/>
  <c r="D24" i="1925"/>
  <c r="R23" i="1925"/>
  <c r="L23" i="1925"/>
  <c r="D23" i="1925"/>
  <c r="R22" i="1925"/>
  <c r="L22" i="1925"/>
  <c r="D22" i="1925"/>
  <c r="R21" i="1925"/>
  <c r="D21" i="1925"/>
  <c r="R20" i="1925"/>
  <c r="L20" i="1925"/>
  <c r="D20" i="1925" s="1"/>
  <c r="R19" i="1925"/>
  <c r="L19" i="1925"/>
  <c r="D19" i="1925"/>
  <c r="R18" i="1925"/>
  <c r="D18" i="1925"/>
  <c r="R17" i="1925"/>
  <c r="D17" i="1925"/>
  <c r="R16" i="1925"/>
  <c r="R15" i="1925"/>
  <c r="D15" i="1925"/>
  <c r="R14" i="1925"/>
  <c r="D14" i="1925"/>
  <c r="R13" i="1925"/>
  <c r="D13" i="1925"/>
  <c r="R12" i="1925"/>
  <c r="R11" i="1925"/>
  <c r="L11" i="1925"/>
  <c r="D11" i="1925"/>
  <c r="L8" i="1925"/>
  <c r="D8" i="1925" s="1"/>
  <c r="L7" i="1925"/>
  <c r="D7" i="1925" s="1"/>
  <c r="R6" i="1925"/>
  <c r="R5" i="1925"/>
  <c r="R4" i="1925"/>
  <c r="D54" i="1924"/>
  <c r="H14" i="1924" s="1"/>
  <c r="R52" i="1924"/>
  <c r="R51" i="1924"/>
  <c r="D50" i="1924"/>
  <c r="R49" i="1924"/>
  <c r="D49" i="1924"/>
  <c r="R48" i="1924"/>
  <c r="D48" i="1924"/>
  <c r="D46" i="1924"/>
  <c r="D45" i="1924"/>
  <c r="R44" i="1924"/>
  <c r="D44" i="1924"/>
  <c r="R42" i="1924"/>
  <c r="L6" i="1924" s="1"/>
  <c r="D6" i="1924" s="1"/>
  <c r="D42" i="1924"/>
  <c r="R41" i="1924"/>
  <c r="L7" i="1924" s="1"/>
  <c r="D7" i="1924" s="1"/>
  <c r="D41" i="1924"/>
  <c r="R40" i="1924"/>
  <c r="D40" i="1924"/>
  <c r="R39" i="1924"/>
  <c r="H39" i="1924"/>
  <c r="D39" i="1924"/>
  <c r="R38" i="1924"/>
  <c r="L9" i="1924" s="1"/>
  <c r="D9" i="1924" s="1"/>
  <c r="H38" i="1924"/>
  <c r="D38" i="1924"/>
  <c r="R37" i="1924"/>
  <c r="H37" i="1924"/>
  <c r="D37" i="1924"/>
  <c r="R36" i="1924"/>
  <c r="H36" i="1924"/>
  <c r="D36" i="1924"/>
  <c r="R35" i="1924"/>
  <c r="L19" i="1924" s="1"/>
  <c r="D19" i="1924" s="1"/>
  <c r="H35" i="1924"/>
  <c r="D35" i="1924"/>
  <c r="R34" i="1924"/>
  <c r="H34" i="1924"/>
  <c r="G49" i="1924" s="1"/>
  <c r="D34" i="1924"/>
  <c r="R33" i="1924"/>
  <c r="R32" i="1924"/>
  <c r="R31" i="1924"/>
  <c r="R30" i="1924"/>
  <c r="R29" i="1924"/>
  <c r="R28" i="1924"/>
  <c r="L28" i="1924"/>
  <c r="D28" i="1924"/>
  <c r="R27" i="1924"/>
  <c r="D27" i="1924"/>
  <c r="R26" i="1924"/>
  <c r="L26" i="1924"/>
  <c r="D26" i="1924"/>
  <c r="R25" i="1924"/>
  <c r="L25" i="1924"/>
  <c r="D25" i="1924"/>
  <c r="R24" i="1924"/>
  <c r="L24" i="1924"/>
  <c r="D24" i="1924"/>
  <c r="R23" i="1924"/>
  <c r="L23" i="1924"/>
  <c r="D23" i="1924"/>
  <c r="R22" i="1924"/>
  <c r="L22" i="1924"/>
  <c r="D22" i="1924"/>
  <c r="R21" i="1924"/>
  <c r="D21" i="1924"/>
  <c r="R20" i="1924"/>
  <c r="L20" i="1924"/>
  <c r="D20" i="1924" s="1"/>
  <c r="R19" i="1924"/>
  <c r="R18" i="1924"/>
  <c r="D18" i="1924"/>
  <c r="R17" i="1924"/>
  <c r="L17" i="1924"/>
  <c r="D17" i="1924"/>
  <c r="R16" i="1924"/>
  <c r="L16" i="1924"/>
  <c r="D16" i="1924"/>
  <c r="R15" i="1924"/>
  <c r="D15" i="1924"/>
  <c r="R14" i="1924"/>
  <c r="D14" i="1924"/>
  <c r="R13" i="1924"/>
  <c r="D13" i="1924"/>
  <c r="R12" i="1924"/>
  <c r="L12" i="1924"/>
  <c r="D12" i="1924"/>
  <c r="R11" i="1924"/>
  <c r="L11" i="1924"/>
  <c r="D11" i="1924"/>
  <c r="L10" i="1924"/>
  <c r="D10" i="1924" s="1"/>
  <c r="L8" i="1924"/>
  <c r="D8" i="1924" s="1"/>
  <c r="R6" i="1924"/>
  <c r="R5" i="1924"/>
  <c r="R4" i="1924"/>
  <c r="R52" i="1923"/>
  <c r="R51" i="1923"/>
  <c r="D50" i="1923"/>
  <c r="R49" i="1923"/>
  <c r="D49" i="1923"/>
  <c r="R48" i="1923"/>
  <c r="D48" i="1923"/>
  <c r="D46" i="1923"/>
  <c r="D45" i="1923"/>
  <c r="R44" i="1923"/>
  <c r="D44" i="1923"/>
  <c r="R42" i="1923"/>
  <c r="L6" i="1923" s="1"/>
  <c r="D6" i="1923" s="1"/>
  <c r="D42" i="1923"/>
  <c r="R41" i="1923"/>
  <c r="D41" i="1923"/>
  <c r="R40" i="1923"/>
  <c r="L8" i="1923" s="1"/>
  <c r="D8" i="1923" s="1"/>
  <c r="D40" i="1923"/>
  <c r="R39" i="1923"/>
  <c r="H39" i="1923"/>
  <c r="D39" i="1923"/>
  <c r="R38" i="1923"/>
  <c r="H38" i="1923"/>
  <c r="D38" i="1923"/>
  <c r="R37" i="1923"/>
  <c r="H37" i="1923"/>
  <c r="D37" i="1923"/>
  <c r="R36" i="1923"/>
  <c r="H36" i="1923"/>
  <c r="G49" i="1923" s="1"/>
  <c r="D36" i="1923"/>
  <c r="R35" i="1923"/>
  <c r="H35" i="1923"/>
  <c r="D35" i="1923"/>
  <c r="R34" i="1923"/>
  <c r="H34" i="1923"/>
  <c r="D34" i="1923"/>
  <c r="D54" i="1923" s="1"/>
  <c r="H14" i="1923" s="1"/>
  <c r="R33" i="1923"/>
  <c r="R32" i="1923"/>
  <c r="R31" i="1923"/>
  <c r="R30" i="1923"/>
  <c r="R29" i="1923"/>
  <c r="R28" i="1923"/>
  <c r="L16" i="1923" s="1"/>
  <c r="D16" i="1923" s="1"/>
  <c r="L28" i="1923"/>
  <c r="D28" i="1923"/>
  <c r="R27" i="1923"/>
  <c r="D27" i="1923"/>
  <c r="R26" i="1923"/>
  <c r="L26" i="1923"/>
  <c r="D26" i="1923" s="1"/>
  <c r="R25" i="1923"/>
  <c r="L25" i="1923"/>
  <c r="D25" i="1923"/>
  <c r="R24" i="1923"/>
  <c r="L24" i="1923"/>
  <c r="D24" i="1923"/>
  <c r="R23" i="1923"/>
  <c r="D23" i="1923"/>
  <c r="R22" i="1923"/>
  <c r="D22" i="1923"/>
  <c r="R21" i="1923"/>
  <c r="D21" i="1923"/>
  <c r="R20" i="1923"/>
  <c r="L20" i="1923"/>
  <c r="D20" i="1923"/>
  <c r="R19" i="1923"/>
  <c r="D19" i="1923"/>
  <c r="R18" i="1923"/>
  <c r="D18" i="1923"/>
  <c r="R17" i="1923"/>
  <c r="L17" i="1923"/>
  <c r="D17" i="1923"/>
  <c r="R16" i="1923"/>
  <c r="R15" i="1923"/>
  <c r="D15" i="1923"/>
  <c r="R14" i="1923"/>
  <c r="D14" i="1923"/>
  <c r="R13" i="1923"/>
  <c r="D13" i="1923"/>
  <c r="R12" i="1923"/>
  <c r="L12" i="1923"/>
  <c r="D12" i="1923"/>
  <c r="R11" i="1923"/>
  <c r="L11" i="1923"/>
  <c r="D11" i="1923"/>
  <c r="L10" i="1923"/>
  <c r="D10" i="1923"/>
  <c r="L9" i="1923"/>
  <c r="D9" i="1923" s="1"/>
  <c r="L7" i="1923"/>
  <c r="D7" i="1923" s="1"/>
  <c r="R6" i="1923"/>
  <c r="R5" i="1923"/>
  <c r="R4" i="1923"/>
  <c r="R52" i="1922"/>
  <c r="R51" i="1922"/>
  <c r="D50" i="1922"/>
  <c r="D54" i="1922" s="1"/>
  <c r="H14" i="1922" s="1"/>
  <c r="R49" i="1922"/>
  <c r="G49" i="1922"/>
  <c r="D49" i="1922"/>
  <c r="R48" i="1922"/>
  <c r="D48" i="1922"/>
  <c r="D46" i="1922"/>
  <c r="D45" i="1922"/>
  <c r="D44" i="1922"/>
  <c r="R42" i="1922"/>
  <c r="D42" i="1922"/>
  <c r="R41" i="1922"/>
  <c r="L7" i="1922" s="1"/>
  <c r="D7" i="1922" s="1"/>
  <c r="D41" i="1922"/>
  <c r="R40" i="1922"/>
  <c r="L8" i="1922" s="1"/>
  <c r="D8" i="1922" s="1"/>
  <c r="D40" i="1922"/>
  <c r="R39" i="1922"/>
  <c r="D39" i="1922"/>
  <c r="R38" i="1922"/>
  <c r="D38" i="1922"/>
  <c r="R37" i="1922"/>
  <c r="D37" i="1922"/>
  <c r="R36" i="1922"/>
  <c r="L10" i="1922" s="1"/>
  <c r="D10" i="1922" s="1"/>
  <c r="D36" i="1922"/>
  <c r="R35" i="1922"/>
  <c r="D35" i="1922"/>
  <c r="R34" i="1922"/>
  <c r="L12" i="1922" s="1"/>
  <c r="D12" i="1922" s="1"/>
  <c r="D34" i="1922"/>
  <c r="R33" i="1922"/>
  <c r="L23" i="1922" s="1"/>
  <c r="D23" i="1922" s="1"/>
  <c r="R32" i="1922"/>
  <c r="L11" i="1922" s="1"/>
  <c r="D11" i="1922" s="1"/>
  <c r="R31" i="1922"/>
  <c r="R30" i="1922"/>
  <c r="R29" i="1922"/>
  <c r="R28" i="1922"/>
  <c r="D28" i="1922"/>
  <c r="R27" i="1922"/>
  <c r="D27" i="1922"/>
  <c r="R26" i="1922"/>
  <c r="L26" i="1922"/>
  <c r="D26" i="1922"/>
  <c r="R25" i="1922"/>
  <c r="L25" i="1922"/>
  <c r="D25" i="1922"/>
  <c r="R24" i="1922"/>
  <c r="D24" i="1922"/>
  <c r="R23" i="1922"/>
  <c r="R22" i="1922"/>
  <c r="L22" i="1922"/>
  <c r="D22" i="1922"/>
  <c r="R21" i="1922"/>
  <c r="D21" i="1922"/>
  <c r="R20" i="1922"/>
  <c r="L20" i="1922"/>
  <c r="D20" i="1922"/>
  <c r="R19" i="1922"/>
  <c r="L19" i="1922"/>
  <c r="D19" i="1922"/>
  <c r="R18" i="1922"/>
  <c r="D18" i="1922"/>
  <c r="R17" i="1922"/>
  <c r="D17" i="1922"/>
  <c r="R16" i="1922"/>
  <c r="L16" i="1922"/>
  <c r="D16" i="1922" s="1"/>
  <c r="S15" i="1922"/>
  <c r="R15" i="1922"/>
  <c r="D15" i="1922"/>
  <c r="S14" i="1922"/>
  <c r="R14" i="1922"/>
  <c r="D14" i="1922"/>
  <c r="R13" i="1922"/>
  <c r="D13" i="1922"/>
  <c r="R12" i="1922"/>
  <c r="R11" i="1922"/>
  <c r="L9" i="1922"/>
  <c r="D9" i="1922"/>
  <c r="R6" i="1922"/>
  <c r="L6" i="1922"/>
  <c r="D6" i="1922" s="1"/>
  <c r="D29" i="1922" s="1"/>
  <c r="H13" i="1922" s="1"/>
  <c r="H15" i="1922" s="1"/>
  <c r="H29" i="1922" s="1"/>
  <c r="R5" i="1922"/>
  <c r="R4" i="1922"/>
  <c r="D29" i="1941" l="1"/>
  <c r="H13" i="1941" s="1"/>
  <c r="H15" i="1941" s="1"/>
  <c r="H29" i="1941" s="1"/>
  <c r="G51" i="1941" s="1"/>
  <c r="D29" i="1940"/>
  <c r="H13" i="1940" s="1"/>
  <c r="H15" i="1940" s="1"/>
  <c r="H29" i="1940" s="1"/>
  <c r="G51" i="1940"/>
  <c r="G51" i="1939"/>
  <c r="D29" i="1939"/>
  <c r="H13" i="1939" s="1"/>
  <c r="H15" i="1939" s="1"/>
  <c r="H29" i="1939" s="1"/>
  <c r="D29" i="1938"/>
  <c r="H13" i="1938" s="1"/>
  <c r="H15" i="1938" s="1"/>
  <c r="H29" i="1938" s="1"/>
  <c r="G51" i="1938" s="1"/>
  <c r="G51" i="1937"/>
  <c r="G51" i="1936"/>
  <c r="D29" i="1936"/>
  <c r="H13" i="1936" s="1"/>
  <c r="H15" i="1936" s="1"/>
  <c r="H29" i="1936" s="1"/>
  <c r="D29" i="1935"/>
  <c r="H13" i="1935" s="1"/>
  <c r="H15" i="1935" s="1"/>
  <c r="H29" i="1935" s="1"/>
  <c r="G51" i="1935"/>
  <c r="D29" i="1934"/>
  <c r="H13" i="1934" s="1"/>
  <c r="H15" i="1934" s="1"/>
  <c r="H29" i="1934" s="1"/>
  <c r="G51" i="1934" s="1"/>
  <c r="D29" i="1933"/>
  <c r="H13" i="1933" s="1"/>
  <c r="H15" i="1933" s="1"/>
  <c r="H29" i="1933" s="1"/>
  <c r="G51" i="1933"/>
  <c r="D29" i="1932"/>
  <c r="H13" i="1932" s="1"/>
  <c r="H15" i="1932" s="1"/>
  <c r="H29" i="1932" s="1"/>
  <c r="G51" i="1932" s="1"/>
  <c r="G51" i="1931"/>
  <c r="D29" i="1930"/>
  <c r="H13" i="1930" s="1"/>
  <c r="H15" i="1930" s="1"/>
  <c r="H29" i="1930" s="1"/>
  <c r="G51" i="1930"/>
  <c r="G51" i="1929"/>
  <c r="G51" i="1928"/>
  <c r="D29" i="1928"/>
  <c r="H13" i="1928" s="1"/>
  <c r="H15" i="1928" s="1"/>
  <c r="H29" i="1928" s="1"/>
  <c r="D29" i="1927"/>
  <c r="H13" i="1927" s="1"/>
  <c r="H15" i="1927" s="1"/>
  <c r="H29" i="1927" s="1"/>
  <c r="G51" i="1927" s="1"/>
  <c r="D29" i="1926"/>
  <c r="H13" i="1926" s="1"/>
  <c r="H15" i="1926" s="1"/>
  <c r="H29" i="1926" s="1"/>
  <c r="G51" i="1926" s="1"/>
  <c r="D29" i="1925"/>
  <c r="H13" i="1925" s="1"/>
  <c r="H15" i="1925" s="1"/>
  <c r="H29" i="1925" s="1"/>
  <c r="G51" i="1925"/>
  <c r="G51" i="1924"/>
  <c r="D29" i="1924"/>
  <c r="H13" i="1924" s="1"/>
  <c r="H15" i="1924" s="1"/>
  <c r="H29" i="1924" s="1"/>
  <c r="G51" i="1923"/>
  <c r="D29" i="1923"/>
  <c r="H13" i="1923" s="1"/>
  <c r="H15" i="1923" s="1"/>
  <c r="H29" i="1923" s="1"/>
  <c r="G51" i="1922"/>
  <c r="H16" i="1913"/>
  <c r="H16" i="1912"/>
  <c r="C20" i="1911"/>
  <c r="R52" i="1921"/>
  <c r="L22" i="1921" s="1"/>
  <c r="D22" i="1921" s="1"/>
  <c r="R51" i="1921"/>
  <c r="D50" i="1921"/>
  <c r="R49" i="1921"/>
  <c r="G49" i="1921"/>
  <c r="D49" i="1921"/>
  <c r="R48" i="1921"/>
  <c r="D48" i="1921"/>
  <c r="D46" i="1921"/>
  <c r="D45" i="1921"/>
  <c r="R44" i="1921"/>
  <c r="L28" i="1921" s="1"/>
  <c r="D28" i="1921" s="1"/>
  <c r="D44" i="1921"/>
  <c r="R42" i="1921"/>
  <c r="D42" i="1921"/>
  <c r="R41" i="1921"/>
  <c r="L7" i="1921" s="1"/>
  <c r="D7" i="1921" s="1"/>
  <c r="D41" i="1921"/>
  <c r="R40" i="1921"/>
  <c r="D40" i="1921"/>
  <c r="R39" i="1921"/>
  <c r="H39" i="1921"/>
  <c r="D39" i="1921"/>
  <c r="R38" i="1921"/>
  <c r="H38" i="1921"/>
  <c r="D38" i="1921"/>
  <c r="R37" i="1921"/>
  <c r="H37" i="1921"/>
  <c r="D37" i="1921"/>
  <c r="R36" i="1921"/>
  <c r="L10" i="1921" s="1"/>
  <c r="D10" i="1921" s="1"/>
  <c r="H36" i="1921"/>
  <c r="D36" i="1921"/>
  <c r="R35" i="1921"/>
  <c r="H35" i="1921"/>
  <c r="D35" i="1921"/>
  <c r="R34" i="1921"/>
  <c r="H34" i="1921"/>
  <c r="D34" i="1921"/>
  <c r="D54" i="1921" s="1"/>
  <c r="H14" i="1921" s="1"/>
  <c r="R33" i="1921"/>
  <c r="L23" i="1921" s="1"/>
  <c r="D23" i="1921" s="1"/>
  <c r="R32" i="1921"/>
  <c r="R31" i="1921"/>
  <c r="R30" i="1921"/>
  <c r="R29" i="1921"/>
  <c r="R28" i="1921"/>
  <c r="R27" i="1921"/>
  <c r="D27" i="1921"/>
  <c r="R26" i="1921"/>
  <c r="L26" i="1921"/>
  <c r="D26" i="1921"/>
  <c r="R25" i="1921"/>
  <c r="L25" i="1921"/>
  <c r="D25" i="1921" s="1"/>
  <c r="R24" i="1921"/>
  <c r="D24" i="1921"/>
  <c r="R23" i="1921"/>
  <c r="R22" i="1921"/>
  <c r="R21" i="1921"/>
  <c r="D21" i="1921"/>
  <c r="R20" i="1921"/>
  <c r="L20" i="1921"/>
  <c r="D20" i="1921"/>
  <c r="R19" i="1921"/>
  <c r="L19" i="1921"/>
  <c r="D19" i="1921" s="1"/>
  <c r="R18" i="1921"/>
  <c r="D18" i="1921"/>
  <c r="R17" i="1921"/>
  <c r="D17" i="1921"/>
  <c r="R16" i="1921"/>
  <c r="L16" i="1921"/>
  <c r="D16" i="1921" s="1"/>
  <c r="R15" i="1921"/>
  <c r="D15" i="1921"/>
  <c r="R14" i="1921"/>
  <c r="D14" i="1921"/>
  <c r="R13" i="1921"/>
  <c r="D13" i="1921"/>
  <c r="R12" i="1921"/>
  <c r="L12" i="1921"/>
  <c r="D12" i="1921"/>
  <c r="R11" i="1921"/>
  <c r="L11" i="1921"/>
  <c r="D11" i="1921"/>
  <c r="L9" i="1921"/>
  <c r="D9" i="1921" s="1"/>
  <c r="L8" i="1921"/>
  <c r="D8" i="1921" s="1"/>
  <c r="R6" i="1921"/>
  <c r="L6" i="1921"/>
  <c r="D6" i="1921" s="1"/>
  <c r="D29" i="1921" s="1"/>
  <c r="H13" i="1921" s="1"/>
  <c r="R5" i="1921"/>
  <c r="R4" i="1921"/>
  <c r="R52" i="1920"/>
  <c r="R51" i="1920"/>
  <c r="D50" i="1920"/>
  <c r="R49" i="1920"/>
  <c r="D49" i="1920"/>
  <c r="R48" i="1920"/>
  <c r="D48" i="1920"/>
  <c r="D46" i="1920"/>
  <c r="D45" i="1920"/>
  <c r="R44" i="1920"/>
  <c r="D44" i="1920"/>
  <c r="R42" i="1920"/>
  <c r="D42" i="1920"/>
  <c r="R41" i="1920"/>
  <c r="L7" i="1920" s="1"/>
  <c r="D7" i="1920" s="1"/>
  <c r="D41" i="1920"/>
  <c r="R40" i="1920"/>
  <c r="D40" i="1920"/>
  <c r="R39" i="1920"/>
  <c r="H39" i="1920"/>
  <c r="D39" i="1920"/>
  <c r="R38" i="1920"/>
  <c r="L9" i="1920" s="1"/>
  <c r="D9" i="1920" s="1"/>
  <c r="H38" i="1920"/>
  <c r="D38" i="1920"/>
  <c r="R37" i="1920"/>
  <c r="H37" i="1920"/>
  <c r="D37" i="1920"/>
  <c r="R36" i="1920"/>
  <c r="L10" i="1920" s="1"/>
  <c r="D10" i="1920" s="1"/>
  <c r="H36" i="1920"/>
  <c r="D36" i="1920"/>
  <c r="R35" i="1920"/>
  <c r="L19" i="1920" s="1"/>
  <c r="D19" i="1920" s="1"/>
  <c r="H35" i="1920"/>
  <c r="G49" i="1920" s="1"/>
  <c r="D35" i="1920"/>
  <c r="R34" i="1920"/>
  <c r="H34" i="1920"/>
  <c r="D34" i="1920"/>
  <c r="D54" i="1920" s="1"/>
  <c r="H14" i="1920" s="1"/>
  <c r="R33" i="1920"/>
  <c r="R32" i="1920"/>
  <c r="R31" i="1920"/>
  <c r="R30" i="1920"/>
  <c r="R29" i="1920"/>
  <c r="R28" i="1920"/>
  <c r="L28" i="1920"/>
  <c r="D28" i="1920"/>
  <c r="R27" i="1920"/>
  <c r="D27" i="1920"/>
  <c r="R26" i="1920"/>
  <c r="L26" i="1920"/>
  <c r="D26" i="1920"/>
  <c r="R25" i="1920"/>
  <c r="L25" i="1920"/>
  <c r="D25" i="1920" s="1"/>
  <c r="R24" i="1920"/>
  <c r="L24" i="1920"/>
  <c r="D24" i="1920"/>
  <c r="R23" i="1920"/>
  <c r="L23" i="1920"/>
  <c r="D23" i="1920" s="1"/>
  <c r="R22" i="1920"/>
  <c r="L22" i="1920"/>
  <c r="D22" i="1920" s="1"/>
  <c r="R21" i="1920"/>
  <c r="D21" i="1920"/>
  <c r="R20" i="1920"/>
  <c r="L20" i="1920"/>
  <c r="D20" i="1920"/>
  <c r="R19" i="1920"/>
  <c r="R18" i="1920"/>
  <c r="D18" i="1920"/>
  <c r="R17" i="1920"/>
  <c r="L17" i="1920"/>
  <c r="D17" i="1920" s="1"/>
  <c r="R16" i="1920"/>
  <c r="L16" i="1920"/>
  <c r="D16" i="1920" s="1"/>
  <c r="R15" i="1920"/>
  <c r="D15" i="1920"/>
  <c r="R14" i="1920"/>
  <c r="D14" i="1920"/>
  <c r="R13" i="1920"/>
  <c r="D13" i="1920"/>
  <c r="R12" i="1920"/>
  <c r="L12" i="1920"/>
  <c r="D12" i="1920"/>
  <c r="R11" i="1920"/>
  <c r="L11" i="1920"/>
  <c r="D11" i="1920"/>
  <c r="L8" i="1920"/>
  <c r="D8" i="1920"/>
  <c r="R6" i="1920"/>
  <c r="L6" i="1920"/>
  <c r="D6" i="1920"/>
  <c r="R5" i="1920"/>
  <c r="R4" i="1920"/>
  <c r="R52" i="1919"/>
  <c r="R51" i="1919"/>
  <c r="D50" i="1919"/>
  <c r="R49" i="1919"/>
  <c r="D49" i="1919"/>
  <c r="R48" i="1919"/>
  <c r="D48" i="1919"/>
  <c r="D46" i="1919"/>
  <c r="D45" i="1919"/>
  <c r="R44" i="1919"/>
  <c r="L28" i="1919" s="1"/>
  <c r="D28" i="1919" s="1"/>
  <c r="D44" i="1919"/>
  <c r="R42" i="1919"/>
  <c r="L6" i="1919" s="1"/>
  <c r="D6" i="1919" s="1"/>
  <c r="D42" i="1919"/>
  <c r="R41" i="1919"/>
  <c r="D41" i="1919"/>
  <c r="R40" i="1919"/>
  <c r="L8" i="1919" s="1"/>
  <c r="D8" i="1919" s="1"/>
  <c r="D40" i="1919"/>
  <c r="R39" i="1919"/>
  <c r="H39" i="1919"/>
  <c r="D39" i="1919"/>
  <c r="R38" i="1919"/>
  <c r="H38" i="1919"/>
  <c r="D38" i="1919"/>
  <c r="R37" i="1919"/>
  <c r="H37" i="1919"/>
  <c r="D37" i="1919"/>
  <c r="R36" i="1919"/>
  <c r="L10" i="1919" s="1"/>
  <c r="D10" i="1919" s="1"/>
  <c r="H36" i="1919"/>
  <c r="D36" i="1919"/>
  <c r="R35" i="1919"/>
  <c r="H35" i="1919"/>
  <c r="D35" i="1919"/>
  <c r="D54" i="1919" s="1"/>
  <c r="H14" i="1919" s="1"/>
  <c r="R34" i="1919"/>
  <c r="L12" i="1919" s="1"/>
  <c r="D12" i="1919" s="1"/>
  <c r="H34" i="1919"/>
  <c r="G49" i="1919" s="1"/>
  <c r="D34" i="1919"/>
  <c r="R33" i="1919"/>
  <c r="R32" i="1919"/>
  <c r="L11" i="1919" s="1"/>
  <c r="D11" i="1919" s="1"/>
  <c r="R31" i="1919"/>
  <c r="R30" i="1919"/>
  <c r="R29" i="1919"/>
  <c r="R28" i="1919"/>
  <c r="L16" i="1919" s="1"/>
  <c r="D16" i="1919" s="1"/>
  <c r="R27" i="1919"/>
  <c r="D27" i="1919"/>
  <c r="R26" i="1919"/>
  <c r="L26" i="1919"/>
  <c r="D26" i="1919" s="1"/>
  <c r="R25" i="1919"/>
  <c r="L25" i="1919"/>
  <c r="D25" i="1919"/>
  <c r="R24" i="1919"/>
  <c r="L24" i="1919"/>
  <c r="D24" i="1919"/>
  <c r="R23" i="1919"/>
  <c r="D23" i="1919"/>
  <c r="R22" i="1919"/>
  <c r="D22" i="1919"/>
  <c r="R21" i="1919"/>
  <c r="D21" i="1919"/>
  <c r="R20" i="1919"/>
  <c r="L20" i="1919"/>
  <c r="D20" i="1919"/>
  <c r="R19" i="1919"/>
  <c r="D19" i="1919"/>
  <c r="R18" i="1919"/>
  <c r="D18" i="1919"/>
  <c r="R17" i="1919"/>
  <c r="L17" i="1919"/>
  <c r="D17" i="1919"/>
  <c r="R16" i="1919"/>
  <c r="R15" i="1919"/>
  <c r="D15" i="1919"/>
  <c r="R14" i="1919"/>
  <c r="D14" i="1919"/>
  <c r="R13" i="1919"/>
  <c r="D13" i="1919"/>
  <c r="R12" i="1919"/>
  <c r="R11" i="1919"/>
  <c r="L9" i="1919"/>
  <c r="D9" i="1919"/>
  <c r="L7" i="1919"/>
  <c r="D7" i="1919" s="1"/>
  <c r="R6" i="1919"/>
  <c r="R5" i="1919"/>
  <c r="R4" i="1919"/>
  <c r="D54" i="1918"/>
  <c r="H14" i="1918" s="1"/>
  <c r="R52" i="1918"/>
  <c r="R51" i="1918"/>
  <c r="D50" i="1918"/>
  <c r="R49" i="1918"/>
  <c r="G49" i="1918"/>
  <c r="D49" i="1918"/>
  <c r="R48" i="1918"/>
  <c r="D48" i="1918"/>
  <c r="D46" i="1918"/>
  <c r="D45" i="1918"/>
  <c r="D44" i="1918"/>
  <c r="R42" i="1918"/>
  <c r="L6" i="1918" s="1"/>
  <c r="D6" i="1918" s="1"/>
  <c r="D42" i="1918"/>
  <c r="R41" i="1918"/>
  <c r="L7" i="1918" s="1"/>
  <c r="D7" i="1918" s="1"/>
  <c r="D41" i="1918"/>
  <c r="R40" i="1918"/>
  <c r="D40" i="1918"/>
  <c r="R39" i="1918"/>
  <c r="D39" i="1918"/>
  <c r="R38" i="1918"/>
  <c r="D38" i="1918"/>
  <c r="R37" i="1918"/>
  <c r="D37" i="1918"/>
  <c r="R36" i="1918"/>
  <c r="L10" i="1918" s="1"/>
  <c r="D10" i="1918" s="1"/>
  <c r="D36" i="1918"/>
  <c r="R35" i="1918"/>
  <c r="D35" i="1918"/>
  <c r="R34" i="1918"/>
  <c r="D34" i="1918"/>
  <c r="R33" i="1918"/>
  <c r="L23" i="1918" s="1"/>
  <c r="D23" i="1918" s="1"/>
  <c r="R32" i="1918"/>
  <c r="L11" i="1918" s="1"/>
  <c r="D11" i="1918" s="1"/>
  <c r="R31" i="1918"/>
  <c r="R30" i="1918"/>
  <c r="R29" i="1918"/>
  <c r="R28" i="1918"/>
  <c r="D28" i="1918"/>
  <c r="R27" i="1918"/>
  <c r="D27" i="1918"/>
  <c r="R26" i="1918"/>
  <c r="L26" i="1918"/>
  <c r="D26" i="1918" s="1"/>
  <c r="R25" i="1918"/>
  <c r="L25" i="1918"/>
  <c r="D25" i="1918"/>
  <c r="R24" i="1918"/>
  <c r="D24" i="1918"/>
  <c r="R23" i="1918"/>
  <c r="R22" i="1918"/>
  <c r="L22" i="1918"/>
  <c r="D22" i="1918"/>
  <c r="R21" i="1918"/>
  <c r="D21" i="1918"/>
  <c r="R20" i="1918"/>
  <c r="L20" i="1918"/>
  <c r="D20" i="1918" s="1"/>
  <c r="R19" i="1918"/>
  <c r="L19" i="1918"/>
  <c r="D19" i="1918"/>
  <c r="R18" i="1918"/>
  <c r="D18" i="1918"/>
  <c r="R17" i="1918"/>
  <c r="D17" i="1918"/>
  <c r="R16" i="1918"/>
  <c r="L16" i="1918"/>
  <c r="D16" i="1918" s="1"/>
  <c r="S15" i="1918"/>
  <c r="R15" i="1918"/>
  <c r="D15" i="1918"/>
  <c r="S14" i="1918"/>
  <c r="R14" i="1918"/>
  <c r="D14" i="1918"/>
  <c r="R13" i="1918"/>
  <c r="D13" i="1918"/>
  <c r="R12" i="1918"/>
  <c r="L12" i="1918"/>
  <c r="D12" i="1918" s="1"/>
  <c r="R11" i="1918"/>
  <c r="L9" i="1918"/>
  <c r="D9" i="1918"/>
  <c r="L8" i="1918"/>
  <c r="D8" i="1918" s="1"/>
  <c r="R6" i="1918"/>
  <c r="R5" i="1918"/>
  <c r="R4" i="1918"/>
  <c r="R52" i="1917"/>
  <c r="L22" i="1917" s="1"/>
  <c r="D22" i="1917" s="1"/>
  <c r="R51" i="1917"/>
  <c r="D50" i="1917"/>
  <c r="R49" i="1917"/>
  <c r="D49" i="1917"/>
  <c r="R48" i="1917"/>
  <c r="D48" i="1917"/>
  <c r="D46" i="1917"/>
  <c r="D45" i="1917"/>
  <c r="R44" i="1917"/>
  <c r="D44" i="1917"/>
  <c r="R42" i="1917"/>
  <c r="D42" i="1917"/>
  <c r="R41" i="1917"/>
  <c r="L7" i="1917" s="1"/>
  <c r="D7" i="1917" s="1"/>
  <c r="D41" i="1917"/>
  <c r="R40" i="1917"/>
  <c r="D40" i="1917"/>
  <c r="R39" i="1917"/>
  <c r="H39" i="1917"/>
  <c r="D39" i="1917"/>
  <c r="R38" i="1917"/>
  <c r="L9" i="1917" s="1"/>
  <c r="D9" i="1917" s="1"/>
  <c r="H38" i="1917"/>
  <c r="D38" i="1917"/>
  <c r="R37" i="1917"/>
  <c r="H37" i="1917"/>
  <c r="D37" i="1917"/>
  <c r="R36" i="1917"/>
  <c r="H36" i="1917"/>
  <c r="D36" i="1917"/>
  <c r="R35" i="1917"/>
  <c r="H35" i="1917"/>
  <c r="D35" i="1917"/>
  <c r="R34" i="1917"/>
  <c r="H34" i="1917"/>
  <c r="D34" i="1917"/>
  <c r="R33" i="1917"/>
  <c r="L23" i="1917" s="1"/>
  <c r="D23" i="1917" s="1"/>
  <c r="R32" i="1917"/>
  <c r="L11" i="1917" s="1"/>
  <c r="D11" i="1917" s="1"/>
  <c r="R31" i="1917"/>
  <c r="R30" i="1917"/>
  <c r="R29" i="1917"/>
  <c r="R28" i="1917"/>
  <c r="L28" i="1917"/>
  <c r="D28" i="1917"/>
  <c r="R27" i="1917"/>
  <c r="D27" i="1917"/>
  <c r="R26" i="1917"/>
  <c r="L26" i="1917"/>
  <c r="D26" i="1917"/>
  <c r="R25" i="1917"/>
  <c r="L25" i="1917"/>
  <c r="D25" i="1917"/>
  <c r="R24" i="1917"/>
  <c r="D24" i="1917"/>
  <c r="R23" i="1917"/>
  <c r="R22" i="1917"/>
  <c r="R21" i="1917"/>
  <c r="D21" i="1917"/>
  <c r="R20" i="1917"/>
  <c r="L20" i="1917"/>
  <c r="D20" i="1917"/>
  <c r="R19" i="1917"/>
  <c r="L19" i="1917"/>
  <c r="D19" i="1917"/>
  <c r="R18" i="1917"/>
  <c r="D18" i="1917"/>
  <c r="R17" i="1917"/>
  <c r="D17" i="1917"/>
  <c r="R16" i="1917"/>
  <c r="L16" i="1917"/>
  <c r="D16" i="1917"/>
  <c r="R15" i="1917"/>
  <c r="D15" i="1917"/>
  <c r="R14" i="1917"/>
  <c r="D14" i="1917"/>
  <c r="R13" i="1917"/>
  <c r="D13" i="1917"/>
  <c r="R12" i="1917"/>
  <c r="L12" i="1917"/>
  <c r="D12" i="1917"/>
  <c r="R11" i="1917"/>
  <c r="L10" i="1917"/>
  <c r="D10" i="1917"/>
  <c r="L8" i="1917"/>
  <c r="D8" i="1917"/>
  <c r="R6" i="1917"/>
  <c r="L6" i="1917"/>
  <c r="D6" i="1917"/>
  <c r="R5" i="1917"/>
  <c r="R4" i="1917"/>
  <c r="R52" i="1916"/>
  <c r="R51" i="1916"/>
  <c r="D50" i="1916"/>
  <c r="R49" i="1916"/>
  <c r="D49" i="1916"/>
  <c r="R48" i="1916"/>
  <c r="D48" i="1916"/>
  <c r="D46" i="1916"/>
  <c r="D45" i="1916"/>
  <c r="R44" i="1916"/>
  <c r="D44" i="1916"/>
  <c r="R42" i="1916"/>
  <c r="L6" i="1916" s="1"/>
  <c r="D6" i="1916" s="1"/>
  <c r="D42" i="1916"/>
  <c r="R41" i="1916"/>
  <c r="D41" i="1916"/>
  <c r="R40" i="1916"/>
  <c r="L8" i="1916" s="1"/>
  <c r="D8" i="1916" s="1"/>
  <c r="D40" i="1916"/>
  <c r="R39" i="1916"/>
  <c r="H39" i="1916"/>
  <c r="D39" i="1916"/>
  <c r="R38" i="1916"/>
  <c r="L9" i="1916" s="1"/>
  <c r="D9" i="1916" s="1"/>
  <c r="H38" i="1916"/>
  <c r="D38" i="1916"/>
  <c r="R37" i="1916"/>
  <c r="H37" i="1916"/>
  <c r="D37" i="1916"/>
  <c r="R36" i="1916"/>
  <c r="L10" i="1916" s="1"/>
  <c r="D10" i="1916" s="1"/>
  <c r="H36" i="1916"/>
  <c r="D36" i="1916"/>
  <c r="R35" i="1916"/>
  <c r="H35" i="1916"/>
  <c r="D35" i="1916"/>
  <c r="R34" i="1916"/>
  <c r="H34" i="1916"/>
  <c r="D34" i="1916"/>
  <c r="R33" i="1916"/>
  <c r="R32" i="1916"/>
  <c r="R31" i="1916"/>
  <c r="R30" i="1916"/>
  <c r="R29" i="1916"/>
  <c r="R28" i="1916"/>
  <c r="L28" i="1916"/>
  <c r="D28" i="1916"/>
  <c r="R27" i="1916"/>
  <c r="D27" i="1916"/>
  <c r="R26" i="1916"/>
  <c r="L26" i="1916"/>
  <c r="D26" i="1916"/>
  <c r="R25" i="1916"/>
  <c r="L25" i="1916"/>
  <c r="D25" i="1916"/>
  <c r="R24" i="1916"/>
  <c r="L24" i="1916"/>
  <c r="D24" i="1916"/>
  <c r="R23" i="1916"/>
  <c r="L23" i="1916"/>
  <c r="D23" i="1916"/>
  <c r="R22" i="1916"/>
  <c r="L22" i="1916"/>
  <c r="D22" i="1916" s="1"/>
  <c r="R21" i="1916"/>
  <c r="D21" i="1916"/>
  <c r="R20" i="1916"/>
  <c r="L20" i="1916"/>
  <c r="D20" i="1916"/>
  <c r="R19" i="1916"/>
  <c r="L19" i="1916"/>
  <c r="D19" i="1916" s="1"/>
  <c r="R18" i="1916"/>
  <c r="D18" i="1916"/>
  <c r="R17" i="1916"/>
  <c r="L17" i="1916"/>
  <c r="D17" i="1916"/>
  <c r="R16" i="1916"/>
  <c r="L16" i="1916"/>
  <c r="D16" i="1916" s="1"/>
  <c r="R15" i="1916"/>
  <c r="D15" i="1916"/>
  <c r="R14" i="1916"/>
  <c r="D14" i="1916"/>
  <c r="R13" i="1916"/>
  <c r="D13" i="1916"/>
  <c r="R12" i="1916"/>
  <c r="L12" i="1916"/>
  <c r="D12" i="1916"/>
  <c r="R11" i="1916"/>
  <c r="L11" i="1916"/>
  <c r="D11" i="1916"/>
  <c r="L7" i="1916"/>
  <c r="D7" i="1916"/>
  <c r="R6" i="1916"/>
  <c r="R5" i="1916"/>
  <c r="R4" i="1916"/>
  <c r="R52" i="1915"/>
  <c r="R51" i="1915"/>
  <c r="D50" i="1915"/>
  <c r="R49" i="1915"/>
  <c r="D49" i="1915"/>
  <c r="R48" i="1915"/>
  <c r="D48" i="1915"/>
  <c r="D46" i="1915"/>
  <c r="D45" i="1915"/>
  <c r="R44" i="1915"/>
  <c r="D44" i="1915"/>
  <c r="R42" i="1915"/>
  <c r="D42" i="1915"/>
  <c r="R41" i="1915"/>
  <c r="D41" i="1915"/>
  <c r="R40" i="1915"/>
  <c r="L8" i="1915" s="1"/>
  <c r="D8" i="1915" s="1"/>
  <c r="D40" i="1915"/>
  <c r="R39" i="1915"/>
  <c r="L20" i="1915" s="1"/>
  <c r="D20" i="1915" s="1"/>
  <c r="H39" i="1915"/>
  <c r="D39" i="1915"/>
  <c r="R38" i="1915"/>
  <c r="L9" i="1915" s="1"/>
  <c r="D9" i="1915" s="1"/>
  <c r="H38" i="1915"/>
  <c r="D38" i="1915"/>
  <c r="R37" i="1915"/>
  <c r="H37" i="1915"/>
  <c r="D37" i="1915"/>
  <c r="R36" i="1915"/>
  <c r="H36" i="1915"/>
  <c r="D36" i="1915"/>
  <c r="R35" i="1915"/>
  <c r="H35" i="1915"/>
  <c r="D35" i="1915"/>
  <c r="R34" i="1915"/>
  <c r="H34" i="1915"/>
  <c r="D34" i="1915"/>
  <c r="R33" i="1915"/>
  <c r="R32" i="1915"/>
  <c r="L11" i="1915" s="1"/>
  <c r="D11" i="1915" s="1"/>
  <c r="R31" i="1915"/>
  <c r="R30" i="1915"/>
  <c r="R29" i="1915"/>
  <c r="R28" i="1915"/>
  <c r="L28" i="1915"/>
  <c r="D28" i="1915"/>
  <c r="R27" i="1915"/>
  <c r="D27" i="1915"/>
  <c r="R26" i="1915"/>
  <c r="L26" i="1915"/>
  <c r="D26" i="1915"/>
  <c r="R25" i="1915"/>
  <c r="L25" i="1915"/>
  <c r="D25" i="1915"/>
  <c r="R24" i="1915"/>
  <c r="L24" i="1915"/>
  <c r="D24" i="1915"/>
  <c r="R23" i="1915"/>
  <c r="D23" i="1915"/>
  <c r="R22" i="1915"/>
  <c r="D22" i="1915"/>
  <c r="R21" i="1915"/>
  <c r="D21" i="1915"/>
  <c r="R20" i="1915"/>
  <c r="R19" i="1915"/>
  <c r="D19" i="1915"/>
  <c r="R18" i="1915"/>
  <c r="D18" i="1915"/>
  <c r="R17" i="1915"/>
  <c r="L17" i="1915"/>
  <c r="D17" i="1915"/>
  <c r="R16" i="1915"/>
  <c r="L16" i="1915"/>
  <c r="D16" i="1915" s="1"/>
  <c r="R15" i="1915"/>
  <c r="D15" i="1915"/>
  <c r="R14" i="1915"/>
  <c r="D14" i="1915"/>
  <c r="R13" i="1915"/>
  <c r="D13" i="1915"/>
  <c r="R12" i="1915"/>
  <c r="L12" i="1915"/>
  <c r="D12" i="1915" s="1"/>
  <c r="R11" i="1915"/>
  <c r="L10" i="1915"/>
  <c r="D10" i="1915"/>
  <c r="L7" i="1915"/>
  <c r="D7" i="1915"/>
  <c r="R6" i="1915"/>
  <c r="L6" i="1915"/>
  <c r="D6" i="1915" s="1"/>
  <c r="R5" i="1915"/>
  <c r="R4" i="1915"/>
  <c r="R52" i="1914"/>
  <c r="R51" i="1914"/>
  <c r="D50" i="1914"/>
  <c r="R49" i="1914"/>
  <c r="G49" i="1914"/>
  <c r="D49" i="1914"/>
  <c r="R48" i="1914"/>
  <c r="D48" i="1914"/>
  <c r="D46" i="1914"/>
  <c r="D45" i="1914"/>
  <c r="D44" i="1914"/>
  <c r="R42" i="1914"/>
  <c r="D42" i="1914"/>
  <c r="R41" i="1914"/>
  <c r="L7" i="1914" s="1"/>
  <c r="D7" i="1914" s="1"/>
  <c r="D41" i="1914"/>
  <c r="R40" i="1914"/>
  <c r="L8" i="1914" s="1"/>
  <c r="D8" i="1914" s="1"/>
  <c r="D40" i="1914"/>
  <c r="R39" i="1914"/>
  <c r="D39" i="1914"/>
  <c r="R38" i="1914"/>
  <c r="L9" i="1914" s="1"/>
  <c r="D9" i="1914" s="1"/>
  <c r="D38" i="1914"/>
  <c r="R37" i="1914"/>
  <c r="D37" i="1914"/>
  <c r="R36" i="1914"/>
  <c r="L10" i="1914" s="1"/>
  <c r="D10" i="1914" s="1"/>
  <c r="D36" i="1914"/>
  <c r="D54" i="1914" s="1"/>
  <c r="H14" i="1914" s="1"/>
  <c r="R35" i="1914"/>
  <c r="L19" i="1914" s="1"/>
  <c r="D19" i="1914" s="1"/>
  <c r="D35" i="1914"/>
  <c r="R34" i="1914"/>
  <c r="D34" i="1914"/>
  <c r="R33" i="1914"/>
  <c r="R32" i="1914"/>
  <c r="R31" i="1914"/>
  <c r="R30" i="1914"/>
  <c r="R29" i="1914"/>
  <c r="R28" i="1914"/>
  <c r="D28" i="1914"/>
  <c r="R27" i="1914"/>
  <c r="D27" i="1914"/>
  <c r="R26" i="1914"/>
  <c r="L26" i="1914"/>
  <c r="D26" i="1914"/>
  <c r="R25" i="1914"/>
  <c r="L25" i="1914"/>
  <c r="D25" i="1914"/>
  <c r="R24" i="1914"/>
  <c r="D24" i="1914"/>
  <c r="R23" i="1914"/>
  <c r="L23" i="1914"/>
  <c r="D23" i="1914"/>
  <c r="R22" i="1914"/>
  <c r="L22" i="1914"/>
  <c r="D22" i="1914"/>
  <c r="R21" i="1914"/>
  <c r="D21" i="1914"/>
  <c r="R20" i="1914"/>
  <c r="L20" i="1914"/>
  <c r="D20" i="1914"/>
  <c r="R19" i="1914"/>
  <c r="R18" i="1914"/>
  <c r="D18" i="1914"/>
  <c r="R17" i="1914"/>
  <c r="D17" i="1914"/>
  <c r="R16" i="1914"/>
  <c r="L16" i="1914"/>
  <c r="D16" i="1914" s="1"/>
  <c r="S15" i="1914"/>
  <c r="R15" i="1914"/>
  <c r="D15" i="1914"/>
  <c r="S14" i="1914"/>
  <c r="R14" i="1914"/>
  <c r="D14" i="1914"/>
  <c r="R13" i="1914"/>
  <c r="D13" i="1914"/>
  <c r="R12" i="1914"/>
  <c r="L12" i="1914"/>
  <c r="D12" i="1914"/>
  <c r="R11" i="1914"/>
  <c r="L11" i="1914"/>
  <c r="D11" i="1914"/>
  <c r="R6" i="1914"/>
  <c r="L6" i="1914"/>
  <c r="D6" i="1914"/>
  <c r="R5" i="1914"/>
  <c r="R4" i="1914"/>
  <c r="G49" i="1915" l="1"/>
  <c r="G49" i="1916"/>
  <c r="G49" i="1917"/>
  <c r="D54" i="1917"/>
  <c r="H14" i="1917" s="1"/>
  <c r="D29" i="1917"/>
  <c r="H13" i="1917" s="1"/>
  <c r="D54" i="1915"/>
  <c r="H14" i="1915" s="1"/>
  <c r="D29" i="1915"/>
  <c r="H13" i="1915" s="1"/>
  <c r="D54" i="1916"/>
  <c r="H14" i="1916" s="1"/>
  <c r="H15" i="1921"/>
  <c r="H29" i="1921" s="1"/>
  <c r="G51" i="1921"/>
  <c r="G51" i="1920"/>
  <c r="D29" i="1920"/>
  <c r="H13" i="1920" s="1"/>
  <c r="H15" i="1920" s="1"/>
  <c r="H29" i="1920" s="1"/>
  <c r="D29" i="1919"/>
  <c r="H13" i="1919" s="1"/>
  <c r="H15" i="1919" s="1"/>
  <c r="H29" i="1919" s="1"/>
  <c r="G51" i="1919" s="1"/>
  <c r="D29" i="1918"/>
  <c r="H13" i="1918" s="1"/>
  <c r="H15" i="1918" s="1"/>
  <c r="H29" i="1918" s="1"/>
  <c r="G51" i="1918" s="1"/>
  <c r="D29" i="1916"/>
  <c r="H13" i="1916" s="1"/>
  <c r="H15" i="1916" s="1"/>
  <c r="H29" i="1916" s="1"/>
  <c r="D29" i="1914"/>
  <c r="H13" i="1914" s="1"/>
  <c r="H15" i="1914" s="1"/>
  <c r="H29" i="1914" s="1"/>
  <c r="G51" i="1914" s="1"/>
  <c r="H16" i="1905"/>
  <c r="H16" i="1904"/>
  <c r="C12" i="1904"/>
  <c r="G51" i="1916" l="1"/>
  <c r="H15" i="1917"/>
  <c r="H29" i="1917" s="1"/>
  <c r="G51" i="1917" s="1"/>
  <c r="H15" i="1915"/>
  <c r="H29" i="1915" s="1"/>
  <c r="G51" i="1915" s="1"/>
  <c r="H16" i="1901"/>
  <c r="H16" i="1900"/>
  <c r="L22" i="1899"/>
  <c r="C15" i="1899"/>
  <c r="C12" i="1895" l="1"/>
  <c r="C16" i="1895"/>
  <c r="L22" i="1895"/>
  <c r="C21" i="1895"/>
  <c r="C15" i="1895"/>
  <c r="H16" i="1897" l="1"/>
  <c r="H16" i="1896" l="1"/>
  <c r="L17" i="1895" l="1"/>
  <c r="L26" i="1895"/>
  <c r="L16" i="1893" l="1"/>
  <c r="L27" i="1893"/>
  <c r="L31" i="1893"/>
  <c r="L25" i="1893"/>
  <c r="C12" i="1893"/>
  <c r="C23" i="1893"/>
  <c r="C21" i="1893"/>
  <c r="H16" i="1891"/>
  <c r="H16" i="1892"/>
  <c r="C21" i="1891"/>
  <c r="H16" i="1889" l="1"/>
  <c r="H16" i="1888"/>
  <c r="R52" i="1913" l="1"/>
  <c r="R51" i="1913"/>
  <c r="D50" i="1913"/>
  <c r="R49" i="1913"/>
  <c r="D49" i="1913"/>
  <c r="R48" i="1913"/>
  <c r="D48" i="1913"/>
  <c r="D46" i="1913"/>
  <c r="D45" i="1913"/>
  <c r="R44" i="1913"/>
  <c r="D44" i="1913"/>
  <c r="R42" i="1913"/>
  <c r="D42" i="1913"/>
  <c r="R41" i="1913"/>
  <c r="L7" i="1913" s="1"/>
  <c r="D7" i="1913" s="1"/>
  <c r="D41" i="1913"/>
  <c r="R40" i="1913"/>
  <c r="D40" i="1913"/>
  <c r="R39" i="1913"/>
  <c r="H39" i="1913"/>
  <c r="D39" i="1913"/>
  <c r="R38" i="1913"/>
  <c r="H38" i="1913"/>
  <c r="D38" i="1913"/>
  <c r="R37" i="1913"/>
  <c r="H37" i="1913"/>
  <c r="D37" i="1913"/>
  <c r="R36" i="1913"/>
  <c r="H36" i="1913"/>
  <c r="D36" i="1913"/>
  <c r="R35" i="1913"/>
  <c r="L19" i="1913" s="1"/>
  <c r="D19" i="1913" s="1"/>
  <c r="H35" i="1913"/>
  <c r="D35" i="1913"/>
  <c r="R34" i="1913"/>
  <c r="H34" i="1913"/>
  <c r="D34" i="1913"/>
  <c r="R33" i="1913"/>
  <c r="L23" i="1913" s="1"/>
  <c r="D23" i="1913" s="1"/>
  <c r="R32" i="1913"/>
  <c r="L11" i="1913" s="1"/>
  <c r="D11" i="1913" s="1"/>
  <c r="R31" i="1913"/>
  <c r="R30" i="1913"/>
  <c r="R29" i="1913"/>
  <c r="R28" i="1913"/>
  <c r="L28" i="1913"/>
  <c r="D28" i="1913"/>
  <c r="R27" i="1913"/>
  <c r="D27" i="1913"/>
  <c r="R26" i="1913"/>
  <c r="L26" i="1913"/>
  <c r="D26" i="1913" s="1"/>
  <c r="R25" i="1913"/>
  <c r="L25" i="1913"/>
  <c r="D25" i="1913"/>
  <c r="R24" i="1913"/>
  <c r="D24" i="1913"/>
  <c r="R23" i="1913"/>
  <c r="R22" i="1913"/>
  <c r="L22" i="1913"/>
  <c r="D22" i="1913"/>
  <c r="R21" i="1913"/>
  <c r="D21" i="1913"/>
  <c r="R20" i="1913"/>
  <c r="L20" i="1913"/>
  <c r="D20" i="1913"/>
  <c r="R19" i="1913"/>
  <c r="R18" i="1913"/>
  <c r="D18" i="1913"/>
  <c r="R17" i="1913"/>
  <c r="D17" i="1913"/>
  <c r="R16" i="1913"/>
  <c r="L16" i="1913"/>
  <c r="D16" i="1913"/>
  <c r="R15" i="1913"/>
  <c r="D15" i="1913"/>
  <c r="R14" i="1913"/>
  <c r="D14" i="1913"/>
  <c r="R13" i="1913"/>
  <c r="D13" i="1913"/>
  <c r="R12" i="1913"/>
  <c r="L12" i="1913"/>
  <c r="D12" i="1913"/>
  <c r="R11" i="1913"/>
  <c r="L10" i="1913"/>
  <c r="D10" i="1913"/>
  <c r="L9" i="1913"/>
  <c r="D9" i="1913" s="1"/>
  <c r="L8" i="1913"/>
  <c r="D8" i="1913" s="1"/>
  <c r="R6" i="1913"/>
  <c r="L6" i="1913"/>
  <c r="D6" i="1913"/>
  <c r="R5" i="1913"/>
  <c r="R4" i="1913"/>
  <c r="R52" i="1912"/>
  <c r="R51" i="1912"/>
  <c r="D50" i="1912"/>
  <c r="R49" i="1912"/>
  <c r="D49" i="1912"/>
  <c r="R48" i="1912"/>
  <c r="D48" i="1912"/>
  <c r="D46" i="1912"/>
  <c r="D45" i="1912"/>
  <c r="R44" i="1912"/>
  <c r="L28" i="1912" s="1"/>
  <c r="D28" i="1912" s="1"/>
  <c r="D44" i="1912"/>
  <c r="R42" i="1912"/>
  <c r="D42" i="1912"/>
  <c r="R41" i="1912"/>
  <c r="D41" i="1912"/>
  <c r="R40" i="1912"/>
  <c r="D40" i="1912"/>
  <c r="R39" i="1912"/>
  <c r="H39" i="1912"/>
  <c r="D39" i="1912"/>
  <c r="R38" i="1912"/>
  <c r="L9" i="1912" s="1"/>
  <c r="D9" i="1912" s="1"/>
  <c r="H38" i="1912"/>
  <c r="D38" i="1912"/>
  <c r="R37" i="1912"/>
  <c r="H37" i="1912"/>
  <c r="D37" i="1912"/>
  <c r="R36" i="1912"/>
  <c r="H36" i="1912"/>
  <c r="D36" i="1912"/>
  <c r="R35" i="1912"/>
  <c r="H35" i="1912"/>
  <c r="D35" i="1912"/>
  <c r="R34" i="1912"/>
  <c r="L12" i="1912" s="1"/>
  <c r="D12" i="1912" s="1"/>
  <c r="H34" i="1912"/>
  <c r="D34" i="1912"/>
  <c r="R33" i="1912"/>
  <c r="R32" i="1912"/>
  <c r="L11" i="1912" s="1"/>
  <c r="D11" i="1912" s="1"/>
  <c r="R31" i="1912"/>
  <c r="R30" i="1912"/>
  <c r="R29" i="1912"/>
  <c r="R28" i="1912"/>
  <c r="R27" i="1912"/>
  <c r="D27" i="1912"/>
  <c r="R26" i="1912"/>
  <c r="L26" i="1912"/>
  <c r="D26" i="1912" s="1"/>
  <c r="R25" i="1912"/>
  <c r="L25" i="1912"/>
  <c r="D25" i="1912"/>
  <c r="R24" i="1912"/>
  <c r="L24" i="1912"/>
  <c r="D24" i="1912" s="1"/>
  <c r="R23" i="1912"/>
  <c r="L23" i="1912"/>
  <c r="D23" i="1912" s="1"/>
  <c r="R22" i="1912"/>
  <c r="L22" i="1912"/>
  <c r="D22" i="1912" s="1"/>
  <c r="R21" i="1912"/>
  <c r="D21" i="1912"/>
  <c r="R20" i="1912"/>
  <c r="L20" i="1912"/>
  <c r="D20" i="1912" s="1"/>
  <c r="R19" i="1912"/>
  <c r="L19" i="1912"/>
  <c r="D19" i="1912" s="1"/>
  <c r="R18" i="1912"/>
  <c r="D18" i="1912"/>
  <c r="R17" i="1912"/>
  <c r="L17" i="1912"/>
  <c r="D17" i="1912" s="1"/>
  <c r="R16" i="1912"/>
  <c r="L16" i="1912"/>
  <c r="D16" i="1912" s="1"/>
  <c r="R15" i="1912"/>
  <c r="D15" i="1912"/>
  <c r="R14" i="1912"/>
  <c r="D14" i="1912"/>
  <c r="R13" i="1912"/>
  <c r="D13" i="1912"/>
  <c r="R12" i="1912"/>
  <c r="R11" i="1912"/>
  <c r="L10" i="1912"/>
  <c r="D10" i="1912" s="1"/>
  <c r="L8" i="1912"/>
  <c r="D8" i="1912" s="1"/>
  <c r="L7" i="1912"/>
  <c r="D7" i="1912"/>
  <c r="R6" i="1912"/>
  <c r="L6" i="1912"/>
  <c r="D6" i="1912" s="1"/>
  <c r="R5" i="1912"/>
  <c r="R4" i="1912"/>
  <c r="R52" i="1911"/>
  <c r="R51" i="1911"/>
  <c r="D50" i="1911"/>
  <c r="R49" i="1911"/>
  <c r="D49" i="1911"/>
  <c r="R48" i="1911"/>
  <c r="D48" i="1911"/>
  <c r="D46" i="1911"/>
  <c r="D45" i="1911"/>
  <c r="R44" i="1911"/>
  <c r="L28" i="1911" s="1"/>
  <c r="D28" i="1911" s="1"/>
  <c r="D44" i="1911"/>
  <c r="R42" i="1911"/>
  <c r="D42" i="1911"/>
  <c r="R41" i="1911"/>
  <c r="L7" i="1911" s="1"/>
  <c r="D7" i="1911" s="1"/>
  <c r="D41" i="1911"/>
  <c r="R40" i="1911"/>
  <c r="D40" i="1911"/>
  <c r="R39" i="1911"/>
  <c r="L20" i="1911" s="1"/>
  <c r="D20" i="1911" s="1"/>
  <c r="H39" i="1911"/>
  <c r="D39" i="1911"/>
  <c r="R38" i="1911"/>
  <c r="H38" i="1911"/>
  <c r="D38" i="1911"/>
  <c r="R37" i="1911"/>
  <c r="H37" i="1911"/>
  <c r="D37" i="1911"/>
  <c r="R36" i="1911"/>
  <c r="H36" i="1911"/>
  <c r="D36" i="1911"/>
  <c r="R35" i="1911"/>
  <c r="H35" i="1911"/>
  <c r="D35" i="1911"/>
  <c r="R34" i="1911"/>
  <c r="H34" i="1911"/>
  <c r="D34" i="1911"/>
  <c r="R33" i="1911"/>
  <c r="R32" i="1911"/>
  <c r="L11" i="1911" s="1"/>
  <c r="D11" i="1911" s="1"/>
  <c r="R31" i="1911"/>
  <c r="R30" i="1911"/>
  <c r="R29" i="1911"/>
  <c r="R28" i="1911"/>
  <c r="L16" i="1911" s="1"/>
  <c r="D16" i="1911" s="1"/>
  <c r="R27" i="1911"/>
  <c r="D27" i="1911"/>
  <c r="R26" i="1911"/>
  <c r="L26" i="1911"/>
  <c r="D26" i="1911"/>
  <c r="R25" i="1911"/>
  <c r="L25" i="1911"/>
  <c r="D25" i="1911"/>
  <c r="R24" i="1911"/>
  <c r="L24" i="1911"/>
  <c r="D24" i="1911" s="1"/>
  <c r="R23" i="1911"/>
  <c r="D23" i="1911"/>
  <c r="R22" i="1911"/>
  <c r="D22" i="1911"/>
  <c r="R21" i="1911"/>
  <c r="D21" i="1911"/>
  <c r="R20" i="1911"/>
  <c r="R19" i="1911"/>
  <c r="D19" i="1911"/>
  <c r="R18" i="1911"/>
  <c r="D18" i="1911"/>
  <c r="R17" i="1911"/>
  <c r="L17" i="1911"/>
  <c r="D17" i="1911" s="1"/>
  <c r="R16" i="1911"/>
  <c r="R15" i="1911"/>
  <c r="D15" i="1911"/>
  <c r="R14" i="1911"/>
  <c r="D14" i="1911"/>
  <c r="R13" i="1911"/>
  <c r="D13" i="1911"/>
  <c r="R12" i="1911"/>
  <c r="L12" i="1911"/>
  <c r="D12" i="1911"/>
  <c r="R11" i="1911"/>
  <c r="L10" i="1911"/>
  <c r="D10" i="1911" s="1"/>
  <c r="L9" i="1911"/>
  <c r="D9" i="1911"/>
  <c r="L8" i="1911"/>
  <c r="D8" i="1911" s="1"/>
  <c r="R6" i="1911"/>
  <c r="L6" i="1911"/>
  <c r="D6" i="1911"/>
  <c r="R5" i="1911"/>
  <c r="R4" i="1911"/>
  <c r="R52" i="1910"/>
  <c r="R51" i="1910"/>
  <c r="D50" i="1910"/>
  <c r="R49" i="1910"/>
  <c r="G49" i="1910"/>
  <c r="D49" i="1910"/>
  <c r="R48" i="1910"/>
  <c r="D48" i="1910"/>
  <c r="D46" i="1910"/>
  <c r="D45" i="1910"/>
  <c r="D44" i="1910"/>
  <c r="R42" i="1910"/>
  <c r="D42" i="1910"/>
  <c r="R41" i="1910"/>
  <c r="L7" i="1910" s="1"/>
  <c r="D7" i="1910" s="1"/>
  <c r="D41" i="1910"/>
  <c r="R40" i="1910"/>
  <c r="L8" i="1910" s="1"/>
  <c r="D8" i="1910" s="1"/>
  <c r="D40" i="1910"/>
  <c r="R39" i="1910"/>
  <c r="D39" i="1910"/>
  <c r="R38" i="1910"/>
  <c r="L9" i="1910" s="1"/>
  <c r="D9" i="1910" s="1"/>
  <c r="D38" i="1910"/>
  <c r="R37" i="1910"/>
  <c r="D37" i="1910"/>
  <c r="R36" i="1910"/>
  <c r="D36" i="1910"/>
  <c r="R35" i="1910"/>
  <c r="D35" i="1910"/>
  <c r="R34" i="1910"/>
  <c r="D34" i="1910"/>
  <c r="D54" i="1910" s="1"/>
  <c r="H14" i="1910" s="1"/>
  <c r="R33" i="1910"/>
  <c r="L23" i="1910" s="1"/>
  <c r="D23" i="1910" s="1"/>
  <c r="R32" i="1910"/>
  <c r="R31" i="1910"/>
  <c r="R30" i="1910"/>
  <c r="R29" i="1910"/>
  <c r="R28" i="1910"/>
  <c r="D28" i="1910"/>
  <c r="R27" i="1910"/>
  <c r="D27" i="1910"/>
  <c r="R26" i="1910"/>
  <c r="L26" i="1910"/>
  <c r="D26" i="1910" s="1"/>
  <c r="R25" i="1910"/>
  <c r="L25" i="1910"/>
  <c r="D25" i="1910"/>
  <c r="R24" i="1910"/>
  <c r="D24" i="1910"/>
  <c r="R23" i="1910"/>
  <c r="R22" i="1910"/>
  <c r="L22" i="1910"/>
  <c r="D22" i="1910"/>
  <c r="R21" i="1910"/>
  <c r="D21" i="1910"/>
  <c r="R20" i="1910"/>
  <c r="L20" i="1910"/>
  <c r="D20" i="1910" s="1"/>
  <c r="R19" i="1910"/>
  <c r="L19" i="1910"/>
  <c r="D19" i="1910"/>
  <c r="R18" i="1910"/>
  <c r="D18" i="1910"/>
  <c r="R17" i="1910"/>
  <c r="D17" i="1910"/>
  <c r="R16" i="1910"/>
  <c r="L16" i="1910"/>
  <c r="D16" i="1910" s="1"/>
  <c r="S15" i="1910"/>
  <c r="R15" i="1910"/>
  <c r="D15" i="1910"/>
  <c r="S14" i="1910"/>
  <c r="R14" i="1910"/>
  <c r="D14" i="1910"/>
  <c r="R13" i="1910"/>
  <c r="D13" i="1910"/>
  <c r="R12" i="1910"/>
  <c r="L12" i="1910"/>
  <c r="D12" i="1910" s="1"/>
  <c r="R11" i="1910"/>
  <c r="L11" i="1910"/>
  <c r="D11" i="1910"/>
  <c r="L10" i="1910"/>
  <c r="D10" i="1910" s="1"/>
  <c r="R6" i="1910"/>
  <c r="L6" i="1910"/>
  <c r="D6" i="1910" s="1"/>
  <c r="R5" i="1910"/>
  <c r="R4" i="1910"/>
  <c r="R52" i="1909"/>
  <c r="R51" i="1909"/>
  <c r="D50" i="1909"/>
  <c r="R49" i="1909"/>
  <c r="D49" i="1909"/>
  <c r="R48" i="1909"/>
  <c r="D48" i="1909"/>
  <c r="D46" i="1909"/>
  <c r="D45" i="1909"/>
  <c r="R44" i="1909"/>
  <c r="D44" i="1909"/>
  <c r="R42" i="1909"/>
  <c r="L6" i="1909" s="1"/>
  <c r="D6" i="1909" s="1"/>
  <c r="D42" i="1909"/>
  <c r="R41" i="1909"/>
  <c r="D41" i="1909"/>
  <c r="R40" i="1909"/>
  <c r="D40" i="1909"/>
  <c r="R39" i="1909"/>
  <c r="H39" i="1909"/>
  <c r="D39" i="1909"/>
  <c r="R38" i="1909"/>
  <c r="H38" i="1909"/>
  <c r="D38" i="1909"/>
  <c r="R37" i="1909"/>
  <c r="H37" i="1909"/>
  <c r="D37" i="1909"/>
  <c r="R36" i="1909"/>
  <c r="H36" i="1909"/>
  <c r="D36" i="1909"/>
  <c r="R35" i="1909"/>
  <c r="H35" i="1909"/>
  <c r="D35" i="1909"/>
  <c r="R34" i="1909"/>
  <c r="H34" i="1909"/>
  <c r="G49" i="1909" s="1"/>
  <c r="D34" i="1909"/>
  <c r="D54" i="1909" s="1"/>
  <c r="H14" i="1909" s="1"/>
  <c r="R33" i="1909"/>
  <c r="R32" i="1909"/>
  <c r="R31" i="1909"/>
  <c r="R30" i="1909"/>
  <c r="R29" i="1909"/>
  <c r="R28" i="1909"/>
  <c r="L28" i="1909"/>
  <c r="D28" i="1909"/>
  <c r="R27" i="1909"/>
  <c r="D27" i="1909"/>
  <c r="R26" i="1909"/>
  <c r="L26" i="1909"/>
  <c r="D26" i="1909"/>
  <c r="R25" i="1909"/>
  <c r="L25" i="1909"/>
  <c r="D25" i="1909" s="1"/>
  <c r="R24" i="1909"/>
  <c r="D24" i="1909"/>
  <c r="R23" i="1909"/>
  <c r="L23" i="1909"/>
  <c r="D23" i="1909" s="1"/>
  <c r="R22" i="1909"/>
  <c r="L22" i="1909"/>
  <c r="D22" i="1909"/>
  <c r="R21" i="1909"/>
  <c r="D21" i="1909"/>
  <c r="R20" i="1909"/>
  <c r="L20" i="1909"/>
  <c r="D20" i="1909"/>
  <c r="R19" i="1909"/>
  <c r="L19" i="1909"/>
  <c r="D19" i="1909" s="1"/>
  <c r="R18" i="1909"/>
  <c r="D18" i="1909"/>
  <c r="R17" i="1909"/>
  <c r="D17" i="1909"/>
  <c r="R16" i="1909"/>
  <c r="L16" i="1909"/>
  <c r="D16" i="1909"/>
  <c r="R15" i="1909"/>
  <c r="D15" i="1909"/>
  <c r="R14" i="1909"/>
  <c r="D14" i="1909"/>
  <c r="R13" i="1909"/>
  <c r="D13" i="1909"/>
  <c r="R12" i="1909"/>
  <c r="L12" i="1909"/>
  <c r="D12" i="1909" s="1"/>
  <c r="R11" i="1909"/>
  <c r="L11" i="1909"/>
  <c r="D11" i="1909" s="1"/>
  <c r="L10" i="1909"/>
  <c r="D10" i="1909"/>
  <c r="L9" i="1909"/>
  <c r="D9" i="1909"/>
  <c r="L8" i="1909"/>
  <c r="D8" i="1909" s="1"/>
  <c r="L7" i="1909"/>
  <c r="D7" i="1909"/>
  <c r="R6" i="1909"/>
  <c r="R5" i="1909"/>
  <c r="R4" i="1909"/>
  <c r="R52" i="1908"/>
  <c r="R51" i="1908"/>
  <c r="D50" i="1908"/>
  <c r="R49" i="1908"/>
  <c r="D49" i="1908"/>
  <c r="R48" i="1908"/>
  <c r="D48" i="1908"/>
  <c r="D46" i="1908"/>
  <c r="D45" i="1908"/>
  <c r="R44" i="1908"/>
  <c r="L28" i="1908" s="1"/>
  <c r="D28" i="1908" s="1"/>
  <c r="D44" i="1908"/>
  <c r="R42" i="1908"/>
  <c r="D42" i="1908"/>
  <c r="R41" i="1908"/>
  <c r="L7" i="1908" s="1"/>
  <c r="D7" i="1908" s="1"/>
  <c r="D41" i="1908"/>
  <c r="R40" i="1908"/>
  <c r="D40" i="1908"/>
  <c r="R39" i="1908"/>
  <c r="H39" i="1908"/>
  <c r="D39" i="1908"/>
  <c r="R38" i="1908"/>
  <c r="H38" i="1908"/>
  <c r="D38" i="1908"/>
  <c r="R37" i="1908"/>
  <c r="H37" i="1908"/>
  <c r="D37" i="1908"/>
  <c r="R36" i="1908"/>
  <c r="H36" i="1908"/>
  <c r="D36" i="1908"/>
  <c r="D54" i="1908" s="1"/>
  <c r="H14" i="1908" s="1"/>
  <c r="R35" i="1908"/>
  <c r="L19" i="1908" s="1"/>
  <c r="D19" i="1908" s="1"/>
  <c r="H35" i="1908"/>
  <c r="D35" i="1908"/>
  <c r="R34" i="1908"/>
  <c r="L12" i="1908" s="1"/>
  <c r="D12" i="1908" s="1"/>
  <c r="H34" i="1908"/>
  <c r="G49" i="1908" s="1"/>
  <c r="D34" i="1908"/>
  <c r="R33" i="1908"/>
  <c r="R32" i="1908"/>
  <c r="R31" i="1908"/>
  <c r="R30" i="1908"/>
  <c r="R29" i="1908"/>
  <c r="R28" i="1908"/>
  <c r="R27" i="1908"/>
  <c r="D27" i="1908"/>
  <c r="R26" i="1908"/>
  <c r="L26" i="1908"/>
  <c r="D26" i="1908"/>
  <c r="R25" i="1908"/>
  <c r="L25" i="1908"/>
  <c r="D25" i="1908" s="1"/>
  <c r="R24" i="1908"/>
  <c r="L24" i="1908"/>
  <c r="D24" i="1908" s="1"/>
  <c r="R23" i="1908"/>
  <c r="L23" i="1908"/>
  <c r="D23" i="1908" s="1"/>
  <c r="R22" i="1908"/>
  <c r="L22" i="1908"/>
  <c r="D22" i="1908" s="1"/>
  <c r="R21" i="1908"/>
  <c r="D21" i="1908"/>
  <c r="R20" i="1908"/>
  <c r="L20" i="1908"/>
  <c r="D20" i="1908" s="1"/>
  <c r="R19" i="1908"/>
  <c r="R18" i="1908"/>
  <c r="D18" i="1908"/>
  <c r="R17" i="1908"/>
  <c r="L17" i="1908"/>
  <c r="D17" i="1908" s="1"/>
  <c r="R16" i="1908"/>
  <c r="L16" i="1908"/>
  <c r="D16" i="1908" s="1"/>
  <c r="R15" i="1908"/>
  <c r="D15" i="1908"/>
  <c r="R14" i="1908"/>
  <c r="D14" i="1908"/>
  <c r="R13" i="1908"/>
  <c r="D13" i="1908"/>
  <c r="R12" i="1908"/>
  <c r="R11" i="1908"/>
  <c r="L11" i="1908"/>
  <c r="D11" i="1908"/>
  <c r="L10" i="1908"/>
  <c r="D10" i="1908" s="1"/>
  <c r="L9" i="1908"/>
  <c r="D9" i="1908"/>
  <c r="L8" i="1908"/>
  <c r="D8" i="1908"/>
  <c r="R6" i="1908"/>
  <c r="L6" i="1908"/>
  <c r="D6" i="1908" s="1"/>
  <c r="R5" i="1908"/>
  <c r="R4" i="1908"/>
  <c r="R52" i="1907"/>
  <c r="R51" i="1907"/>
  <c r="D50" i="1907"/>
  <c r="R49" i="1907"/>
  <c r="D49" i="1907"/>
  <c r="R48" i="1907"/>
  <c r="D48" i="1907"/>
  <c r="D46" i="1907"/>
  <c r="D45" i="1907"/>
  <c r="R44" i="1907"/>
  <c r="L28" i="1907" s="1"/>
  <c r="D28" i="1907" s="1"/>
  <c r="D44" i="1907"/>
  <c r="R42" i="1907"/>
  <c r="D42" i="1907"/>
  <c r="R41" i="1907"/>
  <c r="D41" i="1907"/>
  <c r="R40" i="1907"/>
  <c r="L8" i="1907" s="1"/>
  <c r="D8" i="1907" s="1"/>
  <c r="D40" i="1907"/>
  <c r="R39" i="1907"/>
  <c r="H39" i="1907"/>
  <c r="G49" i="1907" s="1"/>
  <c r="D39" i="1907"/>
  <c r="R38" i="1907"/>
  <c r="L9" i="1907" s="1"/>
  <c r="D9" i="1907" s="1"/>
  <c r="H38" i="1907"/>
  <c r="D38" i="1907"/>
  <c r="R37" i="1907"/>
  <c r="H37" i="1907"/>
  <c r="D37" i="1907"/>
  <c r="R36" i="1907"/>
  <c r="H36" i="1907"/>
  <c r="D36" i="1907"/>
  <c r="R35" i="1907"/>
  <c r="H35" i="1907"/>
  <c r="D35" i="1907"/>
  <c r="R34" i="1907"/>
  <c r="H34" i="1907"/>
  <c r="D34" i="1907"/>
  <c r="D54" i="1907" s="1"/>
  <c r="H14" i="1907" s="1"/>
  <c r="R33" i="1907"/>
  <c r="R32" i="1907"/>
  <c r="L11" i="1907" s="1"/>
  <c r="D11" i="1907" s="1"/>
  <c r="R31" i="1907"/>
  <c r="R30" i="1907"/>
  <c r="R29" i="1907"/>
  <c r="R28" i="1907"/>
  <c r="R27" i="1907"/>
  <c r="D27" i="1907"/>
  <c r="R26" i="1907"/>
  <c r="L26" i="1907"/>
  <c r="D26" i="1907"/>
  <c r="R25" i="1907"/>
  <c r="L25" i="1907"/>
  <c r="D25" i="1907" s="1"/>
  <c r="R24" i="1907"/>
  <c r="L24" i="1907"/>
  <c r="D24" i="1907"/>
  <c r="R23" i="1907"/>
  <c r="D23" i="1907"/>
  <c r="R22" i="1907"/>
  <c r="D22" i="1907"/>
  <c r="R21" i="1907"/>
  <c r="D21" i="1907"/>
  <c r="R20" i="1907"/>
  <c r="L20" i="1907"/>
  <c r="D20" i="1907" s="1"/>
  <c r="R19" i="1907"/>
  <c r="D19" i="1907"/>
  <c r="R18" i="1907"/>
  <c r="D18" i="1907"/>
  <c r="R17" i="1907"/>
  <c r="L17" i="1907"/>
  <c r="D17" i="1907"/>
  <c r="R16" i="1907"/>
  <c r="L16" i="1907"/>
  <c r="D16" i="1907" s="1"/>
  <c r="R15" i="1907"/>
  <c r="D15" i="1907"/>
  <c r="R14" i="1907"/>
  <c r="D14" i="1907"/>
  <c r="R13" i="1907"/>
  <c r="D13" i="1907"/>
  <c r="R12" i="1907"/>
  <c r="L12" i="1907"/>
  <c r="D12" i="1907"/>
  <c r="R11" i="1907"/>
  <c r="L10" i="1907"/>
  <c r="D10" i="1907" s="1"/>
  <c r="L7" i="1907"/>
  <c r="D7" i="1907"/>
  <c r="R6" i="1907"/>
  <c r="L6" i="1907"/>
  <c r="D6" i="1907" s="1"/>
  <c r="R5" i="1907"/>
  <c r="R4" i="1907"/>
  <c r="R52" i="1906"/>
  <c r="R51" i="1906"/>
  <c r="D50" i="1906"/>
  <c r="R49" i="1906"/>
  <c r="G49" i="1906"/>
  <c r="D49" i="1906"/>
  <c r="R48" i="1906"/>
  <c r="D48" i="1906"/>
  <c r="D46" i="1906"/>
  <c r="D45" i="1906"/>
  <c r="D44" i="1906"/>
  <c r="R42" i="1906"/>
  <c r="L6" i="1906" s="1"/>
  <c r="D6" i="1906" s="1"/>
  <c r="D42" i="1906"/>
  <c r="R41" i="1906"/>
  <c r="L7" i="1906" s="1"/>
  <c r="D7" i="1906" s="1"/>
  <c r="D41" i="1906"/>
  <c r="R40" i="1906"/>
  <c r="D40" i="1906"/>
  <c r="R39" i="1906"/>
  <c r="D39" i="1906"/>
  <c r="R38" i="1906"/>
  <c r="L9" i="1906" s="1"/>
  <c r="D9" i="1906" s="1"/>
  <c r="D38" i="1906"/>
  <c r="R37" i="1906"/>
  <c r="D37" i="1906"/>
  <c r="R36" i="1906"/>
  <c r="L10" i="1906" s="1"/>
  <c r="D10" i="1906" s="1"/>
  <c r="D36" i="1906"/>
  <c r="R35" i="1906"/>
  <c r="D35" i="1906"/>
  <c r="R34" i="1906"/>
  <c r="L12" i="1906" s="1"/>
  <c r="D12" i="1906" s="1"/>
  <c r="D34" i="1906"/>
  <c r="D54" i="1906" s="1"/>
  <c r="H14" i="1906" s="1"/>
  <c r="R33" i="1906"/>
  <c r="L23" i="1906" s="1"/>
  <c r="D23" i="1906" s="1"/>
  <c r="R32" i="1906"/>
  <c r="R31" i="1906"/>
  <c r="R30" i="1906"/>
  <c r="R29" i="1906"/>
  <c r="R28" i="1906"/>
  <c r="D28" i="1906"/>
  <c r="R27" i="1906"/>
  <c r="D27" i="1906"/>
  <c r="R26" i="1906"/>
  <c r="L26" i="1906"/>
  <c r="D26" i="1906"/>
  <c r="R25" i="1906"/>
  <c r="L25" i="1906"/>
  <c r="D25" i="1906"/>
  <c r="R24" i="1906"/>
  <c r="D24" i="1906"/>
  <c r="R23" i="1906"/>
  <c r="R22" i="1906"/>
  <c r="L22" i="1906"/>
  <c r="D22" i="1906" s="1"/>
  <c r="R21" i="1906"/>
  <c r="D21" i="1906"/>
  <c r="R20" i="1906"/>
  <c r="L20" i="1906"/>
  <c r="D20" i="1906"/>
  <c r="R19" i="1906"/>
  <c r="L19" i="1906"/>
  <c r="D19" i="1906"/>
  <c r="R18" i="1906"/>
  <c r="D18" i="1906"/>
  <c r="R17" i="1906"/>
  <c r="D17" i="1906"/>
  <c r="R16" i="1906"/>
  <c r="L16" i="1906"/>
  <c r="D16" i="1906" s="1"/>
  <c r="S15" i="1906"/>
  <c r="R15" i="1906"/>
  <c r="D15" i="1906"/>
  <c r="S14" i="1906"/>
  <c r="R14" i="1906"/>
  <c r="D14" i="1906"/>
  <c r="R13" i="1906"/>
  <c r="D13" i="1906"/>
  <c r="R12" i="1906"/>
  <c r="R11" i="1906"/>
  <c r="L11" i="1906"/>
  <c r="D11" i="1906" s="1"/>
  <c r="L8" i="1906"/>
  <c r="D8" i="1906"/>
  <c r="R6" i="1906"/>
  <c r="R5" i="1906"/>
  <c r="R4" i="1906"/>
  <c r="R52" i="1905"/>
  <c r="L22" i="1905" s="1"/>
  <c r="D22" i="1905" s="1"/>
  <c r="R51" i="1905"/>
  <c r="D50" i="1905"/>
  <c r="R49" i="1905"/>
  <c r="D49" i="1905"/>
  <c r="R48" i="1905"/>
  <c r="D48" i="1905"/>
  <c r="D46" i="1905"/>
  <c r="D45" i="1905"/>
  <c r="R44" i="1905"/>
  <c r="L28" i="1905" s="1"/>
  <c r="D28" i="1905" s="1"/>
  <c r="D44" i="1905"/>
  <c r="R42" i="1905"/>
  <c r="L6" i="1905" s="1"/>
  <c r="D6" i="1905" s="1"/>
  <c r="D42" i="1905"/>
  <c r="R41" i="1905"/>
  <c r="L7" i="1905" s="1"/>
  <c r="D7" i="1905" s="1"/>
  <c r="D41" i="1905"/>
  <c r="R40" i="1905"/>
  <c r="D40" i="1905"/>
  <c r="R39" i="1905"/>
  <c r="H39" i="1905"/>
  <c r="D39" i="1905"/>
  <c r="R38" i="1905"/>
  <c r="H38" i="1905"/>
  <c r="D38" i="1905"/>
  <c r="R37" i="1905"/>
  <c r="H37" i="1905"/>
  <c r="D37" i="1905"/>
  <c r="R36" i="1905"/>
  <c r="L10" i="1905" s="1"/>
  <c r="D10" i="1905" s="1"/>
  <c r="H36" i="1905"/>
  <c r="D36" i="1905"/>
  <c r="R35" i="1905"/>
  <c r="H35" i="1905"/>
  <c r="D35" i="1905"/>
  <c r="R34" i="1905"/>
  <c r="H34" i="1905"/>
  <c r="D34" i="1905"/>
  <c r="R33" i="1905"/>
  <c r="L23" i="1905" s="1"/>
  <c r="D23" i="1905" s="1"/>
  <c r="R32" i="1905"/>
  <c r="R31" i="1905"/>
  <c r="R30" i="1905"/>
  <c r="R29" i="1905"/>
  <c r="R28" i="1905"/>
  <c r="R27" i="1905"/>
  <c r="D27" i="1905"/>
  <c r="R26" i="1905"/>
  <c r="L26" i="1905"/>
  <c r="D26" i="1905"/>
  <c r="R25" i="1905"/>
  <c r="L25" i="1905"/>
  <c r="D25" i="1905" s="1"/>
  <c r="R24" i="1905"/>
  <c r="D24" i="1905"/>
  <c r="R23" i="1905"/>
  <c r="R22" i="1905"/>
  <c r="R21" i="1905"/>
  <c r="D21" i="1905"/>
  <c r="R20" i="1905"/>
  <c r="L20" i="1905"/>
  <c r="D20" i="1905"/>
  <c r="R19" i="1905"/>
  <c r="L19" i="1905"/>
  <c r="D19" i="1905" s="1"/>
  <c r="R18" i="1905"/>
  <c r="D18" i="1905"/>
  <c r="R17" i="1905"/>
  <c r="D17" i="1905"/>
  <c r="R16" i="1905"/>
  <c r="L16" i="1905"/>
  <c r="D16" i="1905" s="1"/>
  <c r="R15" i="1905"/>
  <c r="D15" i="1905"/>
  <c r="R14" i="1905"/>
  <c r="D14" i="1905"/>
  <c r="R13" i="1905"/>
  <c r="D13" i="1905"/>
  <c r="R12" i="1905"/>
  <c r="L12" i="1905"/>
  <c r="D12" i="1905"/>
  <c r="R11" i="1905"/>
  <c r="L11" i="1905"/>
  <c r="D11" i="1905" s="1"/>
  <c r="L9" i="1905"/>
  <c r="D9" i="1905"/>
  <c r="L8" i="1905"/>
  <c r="D8" i="1905" s="1"/>
  <c r="R6" i="1905"/>
  <c r="R5" i="1905"/>
  <c r="R4" i="1905"/>
  <c r="R52" i="1904"/>
  <c r="R51" i="1904"/>
  <c r="D50" i="1904"/>
  <c r="R49" i="1904"/>
  <c r="D49" i="1904"/>
  <c r="R48" i="1904"/>
  <c r="D48" i="1904"/>
  <c r="D46" i="1904"/>
  <c r="D45" i="1904"/>
  <c r="R44" i="1904"/>
  <c r="D44" i="1904"/>
  <c r="R42" i="1904"/>
  <c r="D42" i="1904"/>
  <c r="R41" i="1904"/>
  <c r="D41" i="1904"/>
  <c r="R40" i="1904"/>
  <c r="D40" i="1904"/>
  <c r="R39" i="1904"/>
  <c r="H39" i="1904"/>
  <c r="D39" i="1904"/>
  <c r="R38" i="1904"/>
  <c r="H38" i="1904"/>
  <c r="D38" i="1904"/>
  <c r="R37" i="1904"/>
  <c r="H37" i="1904"/>
  <c r="D37" i="1904"/>
  <c r="R36" i="1904"/>
  <c r="H36" i="1904"/>
  <c r="D36" i="1904"/>
  <c r="R35" i="1904"/>
  <c r="L19" i="1904" s="1"/>
  <c r="D19" i="1904" s="1"/>
  <c r="H35" i="1904"/>
  <c r="D35" i="1904"/>
  <c r="R34" i="1904"/>
  <c r="L12" i="1904" s="1"/>
  <c r="D12" i="1904" s="1"/>
  <c r="H34" i="1904"/>
  <c r="D34" i="1904"/>
  <c r="R33" i="1904"/>
  <c r="L23" i="1904" s="1"/>
  <c r="D23" i="1904" s="1"/>
  <c r="R32" i="1904"/>
  <c r="L11" i="1904" s="1"/>
  <c r="D11" i="1904" s="1"/>
  <c r="R31" i="1904"/>
  <c r="R30" i="1904"/>
  <c r="R29" i="1904"/>
  <c r="R28" i="1904"/>
  <c r="L28" i="1904"/>
  <c r="D28" i="1904"/>
  <c r="R27" i="1904"/>
  <c r="D27" i="1904"/>
  <c r="R26" i="1904"/>
  <c r="L26" i="1904"/>
  <c r="D26" i="1904" s="1"/>
  <c r="R25" i="1904"/>
  <c r="L25" i="1904"/>
  <c r="D25" i="1904" s="1"/>
  <c r="R24" i="1904"/>
  <c r="L24" i="1904"/>
  <c r="D24" i="1904" s="1"/>
  <c r="R23" i="1904"/>
  <c r="R22" i="1904"/>
  <c r="L22" i="1904"/>
  <c r="D22" i="1904"/>
  <c r="R21" i="1904"/>
  <c r="L17" i="1904" s="1"/>
  <c r="D17" i="1904" s="1"/>
  <c r="D21" i="1904"/>
  <c r="R20" i="1904"/>
  <c r="L20" i="1904"/>
  <c r="D20" i="1904" s="1"/>
  <c r="R19" i="1904"/>
  <c r="R18" i="1904"/>
  <c r="D18" i="1904"/>
  <c r="R17" i="1904"/>
  <c r="R16" i="1904"/>
  <c r="L16" i="1904"/>
  <c r="D16" i="1904"/>
  <c r="R15" i="1904"/>
  <c r="D15" i="1904"/>
  <c r="R14" i="1904"/>
  <c r="D14" i="1904"/>
  <c r="R13" i="1904"/>
  <c r="D13" i="1904"/>
  <c r="R12" i="1904"/>
  <c r="R11" i="1904"/>
  <c r="L10" i="1904"/>
  <c r="D10" i="1904" s="1"/>
  <c r="L9" i="1904"/>
  <c r="D9" i="1904"/>
  <c r="L8" i="1904"/>
  <c r="D8" i="1904"/>
  <c r="L7" i="1904"/>
  <c r="D7" i="1904" s="1"/>
  <c r="R6" i="1904"/>
  <c r="L6" i="1904"/>
  <c r="D6" i="1904" s="1"/>
  <c r="R5" i="1904"/>
  <c r="R4" i="1904"/>
  <c r="R52" i="1903"/>
  <c r="R51" i="1903"/>
  <c r="D50" i="1903"/>
  <c r="R49" i="1903"/>
  <c r="D49" i="1903"/>
  <c r="R48" i="1903"/>
  <c r="D48" i="1903"/>
  <c r="D46" i="1903"/>
  <c r="D45" i="1903"/>
  <c r="R44" i="1903"/>
  <c r="D44" i="1903"/>
  <c r="R42" i="1903"/>
  <c r="D42" i="1903"/>
  <c r="R41" i="1903"/>
  <c r="D41" i="1903"/>
  <c r="R40" i="1903"/>
  <c r="L8" i="1903" s="1"/>
  <c r="D8" i="1903" s="1"/>
  <c r="D40" i="1903"/>
  <c r="R39" i="1903"/>
  <c r="H39" i="1903"/>
  <c r="D39" i="1903"/>
  <c r="R38" i="1903"/>
  <c r="H38" i="1903"/>
  <c r="D38" i="1903"/>
  <c r="R37" i="1903"/>
  <c r="H37" i="1903"/>
  <c r="D37" i="1903"/>
  <c r="R36" i="1903"/>
  <c r="H36" i="1903"/>
  <c r="D36" i="1903"/>
  <c r="R35" i="1903"/>
  <c r="H35" i="1903"/>
  <c r="D35" i="1903"/>
  <c r="R34" i="1903"/>
  <c r="H34" i="1903"/>
  <c r="D34" i="1903"/>
  <c r="R33" i="1903"/>
  <c r="R32" i="1903"/>
  <c r="R31" i="1903"/>
  <c r="R30" i="1903"/>
  <c r="R29" i="1903"/>
  <c r="R28" i="1903"/>
  <c r="L16" i="1903" s="1"/>
  <c r="D16" i="1903" s="1"/>
  <c r="L28" i="1903"/>
  <c r="D28" i="1903"/>
  <c r="R27" i="1903"/>
  <c r="D27" i="1903"/>
  <c r="R26" i="1903"/>
  <c r="L26" i="1903"/>
  <c r="D26" i="1903" s="1"/>
  <c r="R25" i="1903"/>
  <c r="L25" i="1903"/>
  <c r="D25" i="1903" s="1"/>
  <c r="R24" i="1903"/>
  <c r="L24" i="1903"/>
  <c r="D24" i="1903" s="1"/>
  <c r="R23" i="1903"/>
  <c r="D23" i="1903"/>
  <c r="R22" i="1903"/>
  <c r="D22" i="1903"/>
  <c r="R21" i="1903"/>
  <c r="D21" i="1903"/>
  <c r="R20" i="1903"/>
  <c r="L20" i="1903"/>
  <c r="D20" i="1903" s="1"/>
  <c r="R19" i="1903"/>
  <c r="D19" i="1903"/>
  <c r="R18" i="1903"/>
  <c r="D18" i="1903"/>
  <c r="R17" i="1903"/>
  <c r="L17" i="1903"/>
  <c r="D17" i="1903" s="1"/>
  <c r="R16" i="1903"/>
  <c r="R15" i="1903"/>
  <c r="D15" i="1903"/>
  <c r="R14" i="1903"/>
  <c r="D14" i="1903"/>
  <c r="R13" i="1903"/>
  <c r="D13" i="1903"/>
  <c r="R12" i="1903"/>
  <c r="L12" i="1903"/>
  <c r="D12" i="1903"/>
  <c r="R11" i="1903"/>
  <c r="L11" i="1903"/>
  <c r="D11" i="1903" s="1"/>
  <c r="L10" i="1903"/>
  <c r="D10" i="1903"/>
  <c r="L9" i="1903"/>
  <c r="D9" i="1903" s="1"/>
  <c r="L7" i="1903"/>
  <c r="D7" i="1903" s="1"/>
  <c r="R6" i="1903"/>
  <c r="L6" i="1903"/>
  <c r="D6" i="1903" s="1"/>
  <c r="R5" i="1903"/>
  <c r="R4" i="1903"/>
  <c r="R52" i="1902"/>
  <c r="R51" i="1902"/>
  <c r="D50" i="1902"/>
  <c r="R49" i="1902"/>
  <c r="G49" i="1902"/>
  <c r="D49" i="1902"/>
  <c r="R48" i="1902"/>
  <c r="D48" i="1902"/>
  <c r="D46" i="1902"/>
  <c r="D45" i="1902"/>
  <c r="D44" i="1902"/>
  <c r="R42" i="1902"/>
  <c r="L6" i="1902" s="1"/>
  <c r="D6" i="1902" s="1"/>
  <c r="D42" i="1902"/>
  <c r="R41" i="1902"/>
  <c r="D41" i="1902"/>
  <c r="R40" i="1902"/>
  <c r="D40" i="1902"/>
  <c r="R39" i="1902"/>
  <c r="D39" i="1902"/>
  <c r="R38" i="1902"/>
  <c r="D38" i="1902"/>
  <c r="R37" i="1902"/>
  <c r="D37" i="1902"/>
  <c r="R36" i="1902"/>
  <c r="L10" i="1902" s="1"/>
  <c r="D10" i="1902" s="1"/>
  <c r="D36" i="1902"/>
  <c r="R35" i="1902"/>
  <c r="L19" i="1902" s="1"/>
  <c r="D19" i="1902" s="1"/>
  <c r="D35" i="1902"/>
  <c r="R34" i="1902"/>
  <c r="L12" i="1902" s="1"/>
  <c r="D12" i="1902" s="1"/>
  <c r="D34" i="1902"/>
  <c r="D54" i="1902" s="1"/>
  <c r="H14" i="1902" s="1"/>
  <c r="R33" i="1902"/>
  <c r="L23" i="1902" s="1"/>
  <c r="D23" i="1902" s="1"/>
  <c r="R32" i="1902"/>
  <c r="R31" i="1902"/>
  <c r="R30" i="1902"/>
  <c r="R29" i="1902"/>
  <c r="R28" i="1902"/>
  <c r="L16" i="1902" s="1"/>
  <c r="D16" i="1902" s="1"/>
  <c r="D28" i="1902"/>
  <c r="R27" i="1902"/>
  <c r="D27" i="1902"/>
  <c r="R26" i="1902"/>
  <c r="L26" i="1902"/>
  <c r="D26" i="1902" s="1"/>
  <c r="R25" i="1902"/>
  <c r="L25" i="1902"/>
  <c r="D25" i="1902"/>
  <c r="R24" i="1902"/>
  <c r="D24" i="1902"/>
  <c r="R23" i="1902"/>
  <c r="R22" i="1902"/>
  <c r="L22" i="1902"/>
  <c r="D22" i="1902"/>
  <c r="R21" i="1902"/>
  <c r="D21" i="1902"/>
  <c r="R20" i="1902"/>
  <c r="L20" i="1902"/>
  <c r="D20" i="1902" s="1"/>
  <c r="R19" i="1902"/>
  <c r="R18" i="1902"/>
  <c r="D18" i="1902"/>
  <c r="R17" i="1902"/>
  <c r="D17" i="1902"/>
  <c r="R16" i="1902"/>
  <c r="S15" i="1902"/>
  <c r="R15" i="1902"/>
  <c r="D15" i="1902"/>
  <c r="S14" i="1902"/>
  <c r="R14" i="1902"/>
  <c r="D14" i="1902"/>
  <c r="R13" i="1902"/>
  <c r="D13" i="1902"/>
  <c r="R12" i="1902"/>
  <c r="R11" i="1902"/>
  <c r="L11" i="1902"/>
  <c r="D11" i="1902" s="1"/>
  <c r="L9" i="1902"/>
  <c r="D9" i="1902"/>
  <c r="L8" i="1902"/>
  <c r="D8" i="1902"/>
  <c r="L7" i="1902"/>
  <c r="D7" i="1902" s="1"/>
  <c r="R6" i="1902"/>
  <c r="R5" i="1902"/>
  <c r="R4" i="1902"/>
  <c r="R52" i="1901"/>
  <c r="L22" i="1901" s="1"/>
  <c r="D22" i="1901" s="1"/>
  <c r="R51" i="1901"/>
  <c r="D50" i="1901"/>
  <c r="R49" i="1901"/>
  <c r="D49" i="1901"/>
  <c r="R48" i="1901"/>
  <c r="D48" i="1901"/>
  <c r="D46" i="1901"/>
  <c r="D45" i="1901"/>
  <c r="R44" i="1901"/>
  <c r="D44" i="1901"/>
  <c r="R42" i="1901"/>
  <c r="D42" i="1901"/>
  <c r="R41" i="1901"/>
  <c r="L7" i="1901" s="1"/>
  <c r="D7" i="1901" s="1"/>
  <c r="D41" i="1901"/>
  <c r="R40" i="1901"/>
  <c r="D40" i="1901"/>
  <c r="R39" i="1901"/>
  <c r="H39" i="1901"/>
  <c r="D39" i="1901"/>
  <c r="R38" i="1901"/>
  <c r="L9" i="1901" s="1"/>
  <c r="D9" i="1901" s="1"/>
  <c r="H38" i="1901"/>
  <c r="G49" i="1901" s="1"/>
  <c r="D38" i="1901"/>
  <c r="R37" i="1901"/>
  <c r="H37" i="1901"/>
  <c r="D37" i="1901"/>
  <c r="R36" i="1901"/>
  <c r="L10" i="1901" s="1"/>
  <c r="D10" i="1901" s="1"/>
  <c r="H36" i="1901"/>
  <c r="D36" i="1901"/>
  <c r="R35" i="1901"/>
  <c r="H35" i="1901"/>
  <c r="D35" i="1901"/>
  <c r="R34" i="1901"/>
  <c r="H34" i="1901"/>
  <c r="D34" i="1901"/>
  <c r="R33" i="1901"/>
  <c r="L23" i="1901" s="1"/>
  <c r="D23" i="1901" s="1"/>
  <c r="R32" i="1901"/>
  <c r="L11" i="1901" s="1"/>
  <c r="D11" i="1901" s="1"/>
  <c r="R31" i="1901"/>
  <c r="R30" i="1901"/>
  <c r="R29" i="1901"/>
  <c r="R28" i="1901"/>
  <c r="L28" i="1901"/>
  <c r="D28" i="1901"/>
  <c r="R27" i="1901"/>
  <c r="D27" i="1901"/>
  <c r="R26" i="1901"/>
  <c r="L26" i="1901"/>
  <c r="D26" i="1901"/>
  <c r="R25" i="1901"/>
  <c r="L25" i="1901"/>
  <c r="D25" i="1901"/>
  <c r="R24" i="1901"/>
  <c r="D24" i="1901"/>
  <c r="R23" i="1901"/>
  <c r="R22" i="1901"/>
  <c r="R21" i="1901"/>
  <c r="D21" i="1901"/>
  <c r="R20" i="1901"/>
  <c r="L20" i="1901"/>
  <c r="D20" i="1901"/>
  <c r="R19" i="1901"/>
  <c r="L19" i="1901"/>
  <c r="D19" i="1901"/>
  <c r="R18" i="1901"/>
  <c r="D18" i="1901"/>
  <c r="R17" i="1901"/>
  <c r="D17" i="1901"/>
  <c r="R16" i="1901"/>
  <c r="L16" i="1901"/>
  <c r="D16" i="1901" s="1"/>
  <c r="R15" i="1901"/>
  <c r="D15" i="1901"/>
  <c r="R14" i="1901"/>
  <c r="D14" i="1901"/>
  <c r="R13" i="1901"/>
  <c r="D13" i="1901"/>
  <c r="R12" i="1901"/>
  <c r="L12" i="1901"/>
  <c r="D12" i="1901" s="1"/>
  <c r="R11" i="1901"/>
  <c r="L8" i="1901"/>
  <c r="D8" i="1901" s="1"/>
  <c r="R6" i="1901"/>
  <c r="L6" i="1901"/>
  <c r="D6" i="1901"/>
  <c r="R5" i="1901"/>
  <c r="R4" i="1901"/>
  <c r="R52" i="1900"/>
  <c r="R51" i="1900"/>
  <c r="D50" i="1900"/>
  <c r="R49" i="1900"/>
  <c r="D49" i="1900"/>
  <c r="R48" i="1900"/>
  <c r="D48" i="1900"/>
  <c r="D46" i="1900"/>
  <c r="D45" i="1900"/>
  <c r="R44" i="1900"/>
  <c r="D44" i="1900"/>
  <c r="R42" i="1900"/>
  <c r="L6" i="1900" s="1"/>
  <c r="D6" i="1900" s="1"/>
  <c r="D42" i="1900"/>
  <c r="R41" i="1900"/>
  <c r="D41" i="1900"/>
  <c r="R40" i="1900"/>
  <c r="D40" i="1900"/>
  <c r="R39" i="1900"/>
  <c r="L20" i="1900" s="1"/>
  <c r="D20" i="1900" s="1"/>
  <c r="H39" i="1900"/>
  <c r="D39" i="1900"/>
  <c r="R38" i="1900"/>
  <c r="H38" i="1900"/>
  <c r="D38" i="1900"/>
  <c r="R37" i="1900"/>
  <c r="H37" i="1900"/>
  <c r="D37" i="1900"/>
  <c r="R36" i="1900"/>
  <c r="L10" i="1900" s="1"/>
  <c r="D10" i="1900" s="1"/>
  <c r="H36" i="1900"/>
  <c r="D36" i="1900"/>
  <c r="R35" i="1900"/>
  <c r="H35" i="1900"/>
  <c r="D35" i="1900"/>
  <c r="R34" i="1900"/>
  <c r="L12" i="1900" s="1"/>
  <c r="D12" i="1900" s="1"/>
  <c r="H34" i="1900"/>
  <c r="D34" i="1900"/>
  <c r="R33" i="1900"/>
  <c r="L23" i="1900" s="1"/>
  <c r="D23" i="1900" s="1"/>
  <c r="R32" i="1900"/>
  <c r="R31" i="1900"/>
  <c r="R30" i="1900"/>
  <c r="R29" i="1900"/>
  <c r="R28" i="1900"/>
  <c r="L28" i="1900"/>
  <c r="D28" i="1900"/>
  <c r="R27" i="1900"/>
  <c r="D27" i="1900"/>
  <c r="R26" i="1900"/>
  <c r="L26" i="1900"/>
  <c r="D26" i="1900"/>
  <c r="R25" i="1900"/>
  <c r="L25" i="1900"/>
  <c r="D25" i="1900" s="1"/>
  <c r="R24" i="1900"/>
  <c r="L24" i="1900"/>
  <c r="D24" i="1900"/>
  <c r="R23" i="1900"/>
  <c r="R22" i="1900"/>
  <c r="L22" i="1900"/>
  <c r="D22" i="1900" s="1"/>
  <c r="R21" i="1900"/>
  <c r="L17" i="1900" s="1"/>
  <c r="D17" i="1900" s="1"/>
  <c r="D21" i="1900"/>
  <c r="R20" i="1900"/>
  <c r="R19" i="1900"/>
  <c r="L19" i="1900"/>
  <c r="D19" i="1900" s="1"/>
  <c r="R18" i="1900"/>
  <c r="D18" i="1900"/>
  <c r="R17" i="1900"/>
  <c r="R16" i="1900"/>
  <c r="L16" i="1900"/>
  <c r="D16" i="1900" s="1"/>
  <c r="R15" i="1900"/>
  <c r="D15" i="1900"/>
  <c r="R14" i="1900"/>
  <c r="D14" i="1900"/>
  <c r="R13" i="1900"/>
  <c r="D13" i="1900"/>
  <c r="R12" i="1900"/>
  <c r="R11" i="1900"/>
  <c r="L11" i="1900"/>
  <c r="D11" i="1900"/>
  <c r="L9" i="1900"/>
  <c r="D9" i="1900"/>
  <c r="L8" i="1900"/>
  <c r="D8" i="1900" s="1"/>
  <c r="L7" i="1900"/>
  <c r="D7" i="1900" s="1"/>
  <c r="R6" i="1900"/>
  <c r="R5" i="1900"/>
  <c r="R4" i="1900"/>
  <c r="R52" i="1899"/>
  <c r="R51" i="1899"/>
  <c r="D50" i="1899"/>
  <c r="R49" i="1899"/>
  <c r="D49" i="1899"/>
  <c r="R48" i="1899"/>
  <c r="D48" i="1899"/>
  <c r="D46" i="1899"/>
  <c r="D45" i="1899"/>
  <c r="R44" i="1899"/>
  <c r="D44" i="1899"/>
  <c r="R42" i="1899"/>
  <c r="D42" i="1899"/>
  <c r="R41" i="1899"/>
  <c r="D41" i="1899"/>
  <c r="R40" i="1899"/>
  <c r="L8" i="1899" s="1"/>
  <c r="D8" i="1899" s="1"/>
  <c r="D40" i="1899"/>
  <c r="R39" i="1899"/>
  <c r="L20" i="1899" s="1"/>
  <c r="D20" i="1899" s="1"/>
  <c r="H39" i="1899"/>
  <c r="D39" i="1899"/>
  <c r="R38" i="1899"/>
  <c r="L9" i="1899" s="1"/>
  <c r="D9" i="1899" s="1"/>
  <c r="H38" i="1899"/>
  <c r="D38" i="1899"/>
  <c r="R37" i="1899"/>
  <c r="H37" i="1899"/>
  <c r="G49" i="1899" s="1"/>
  <c r="D37" i="1899"/>
  <c r="R36" i="1899"/>
  <c r="H36" i="1899"/>
  <c r="D36" i="1899"/>
  <c r="R35" i="1899"/>
  <c r="H35" i="1899"/>
  <c r="D35" i="1899"/>
  <c r="R34" i="1899"/>
  <c r="H34" i="1899"/>
  <c r="D34" i="1899"/>
  <c r="R33" i="1899"/>
  <c r="R32" i="1899"/>
  <c r="R31" i="1899"/>
  <c r="R30" i="1899"/>
  <c r="R29" i="1899"/>
  <c r="R28" i="1899"/>
  <c r="L16" i="1899" s="1"/>
  <c r="D16" i="1899" s="1"/>
  <c r="L28" i="1899"/>
  <c r="D28" i="1899"/>
  <c r="R27" i="1899"/>
  <c r="D27" i="1899"/>
  <c r="R26" i="1899"/>
  <c r="L26" i="1899"/>
  <c r="D26" i="1899"/>
  <c r="R25" i="1899"/>
  <c r="L25" i="1899"/>
  <c r="D25" i="1899" s="1"/>
  <c r="R24" i="1899"/>
  <c r="L24" i="1899"/>
  <c r="D24" i="1899"/>
  <c r="R23" i="1899"/>
  <c r="D23" i="1899"/>
  <c r="R22" i="1899"/>
  <c r="D22" i="1899"/>
  <c r="R21" i="1899"/>
  <c r="D21" i="1899"/>
  <c r="R20" i="1899"/>
  <c r="R19" i="1899"/>
  <c r="D19" i="1899"/>
  <c r="R18" i="1899"/>
  <c r="D18" i="1899"/>
  <c r="R17" i="1899"/>
  <c r="L17" i="1899"/>
  <c r="D17" i="1899"/>
  <c r="R16" i="1899"/>
  <c r="R15" i="1899"/>
  <c r="D15" i="1899"/>
  <c r="R14" i="1899"/>
  <c r="D14" i="1899"/>
  <c r="R13" i="1899"/>
  <c r="D13" i="1899"/>
  <c r="R12" i="1899"/>
  <c r="L12" i="1899"/>
  <c r="D12" i="1899"/>
  <c r="R11" i="1899"/>
  <c r="L11" i="1899"/>
  <c r="D11" i="1899" s="1"/>
  <c r="L10" i="1899"/>
  <c r="D10" i="1899" s="1"/>
  <c r="L7" i="1899"/>
  <c r="D7" i="1899"/>
  <c r="R6" i="1899"/>
  <c r="L6" i="1899"/>
  <c r="D6" i="1899" s="1"/>
  <c r="R5" i="1899"/>
  <c r="R4" i="1899"/>
  <c r="R52" i="1898"/>
  <c r="R51" i="1898"/>
  <c r="D50" i="1898"/>
  <c r="R49" i="1898"/>
  <c r="G49" i="1898"/>
  <c r="D49" i="1898"/>
  <c r="R48" i="1898"/>
  <c r="D48" i="1898"/>
  <c r="D46" i="1898"/>
  <c r="D45" i="1898"/>
  <c r="D44" i="1898"/>
  <c r="R42" i="1898"/>
  <c r="L6" i="1898" s="1"/>
  <c r="D6" i="1898" s="1"/>
  <c r="D42" i="1898"/>
  <c r="R41" i="1898"/>
  <c r="L7" i="1898" s="1"/>
  <c r="D7" i="1898" s="1"/>
  <c r="D41" i="1898"/>
  <c r="R40" i="1898"/>
  <c r="D40" i="1898"/>
  <c r="R39" i="1898"/>
  <c r="D39" i="1898"/>
  <c r="R38" i="1898"/>
  <c r="L9" i="1898" s="1"/>
  <c r="D9" i="1898" s="1"/>
  <c r="D38" i="1898"/>
  <c r="R37" i="1898"/>
  <c r="D37" i="1898"/>
  <c r="R36" i="1898"/>
  <c r="L10" i="1898" s="1"/>
  <c r="D10" i="1898" s="1"/>
  <c r="D36" i="1898"/>
  <c r="R35" i="1898"/>
  <c r="D35" i="1898"/>
  <c r="R34" i="1898"/>
  <c r="L12" i="1898" s="1"/>
  <c r="D12" i="1898" s="1"/>
  <c r="D34" i="1898"/>
  <c r="D54" i="1898" s="1"/>
  <c r="H14" i="1898" s="1"/>
  <c r="R33" i="1898"/>
  <c r="L23" i="1898" s="1"/>
  <c r="D23" i="1898" s="1"/>
  <c r="R32" i="1898"/>
  <c r="R31" i="1898"/>
  <c r="R30" i="1898"/>
  <c r="R29" i="1898"/>
  <c r="R28" i="1898"/>
  <c r="D28" i="1898"/>
  <c r="R27" i="1898"/>
  <c r="D27" i="1898"/>
  <c r="R26" i="1898"/>
  <c r="L26" i="1898"/>
  <c r="D26" i="1898"/>
  <c r="R25" i="1898"/>
  <c r="L25" i="1898"/>
  <c r="D25" i="1898"/>
  <c r="R24" i="1898"/>
  <c r="D24" i="1898"/>
  <c r="R23" i="1898"/>
  <c r="R22" i="1898"/>
  <c r="L22" i="1898"/>
  <c r="D22" i="1898" s="1"/>
  <c r="R21" i="1898"/>
  <c r="D21" i="1898"/>
  <c r="R20" i="1898"/>
  <c r="L20" i="1898"/>
  <c r="D20" i="1898"/>
  <c r="R19" i="1898"/>
  <c r="L19" i="1898"/>
  <c r="D19" i="1898"/>
  <c r="R18" i="1898"/>
  <c r="D18" i="1898"/>
  <c r="R17" i="1898"/>
  <c r="D17" i="1898"/>
  <c r="R16" i="1898"/>
  <c r="L16" i="1898"/>
  <c r="D16" i="1898" s="1"/>
  <c r="S15" i="1898"/>
  <c r="R15" i="1898"/>
  <c r="D15" i="1898"/>
  <c r="S14" i="1898"/>
  <c r="R14" i="1898"/>
  <c r="D14" i="1898"/>
  <c r="R13" i="1898"/>
  <c r="D13" i="1898"/>
  <c r="R12" i="1898"/>
  <c r="R11" i="1898"/>
  <c r="L11" i="1898"/>
  <c r="D11" i="1898" s="1"/>
  <c r="L8" i="1898"/>
  <c r="D8" i="1898"/>
  <c r="R6" i="1898"/>
  <c r="R5" i="1898"/>
  <c r="R4" i="1898"/>
  <c r="R52" i="1897"/>
  <c r="L22" i="1897" s="1"/>
  <c r="D22" i="1897" s="1"/>
  <c r="R51" i="1897"/>
  <c r="D50" i="1897"/>
  <c r="R49" i="1897"/>
  <c r="D49" i="1897"/>
  <c r="R48" i="1897"/>
  <c r="D48" i="1897"/>
  <c r="D46" i="1897"/>
  <c r="D45" i="1897"/>
  <c r="R44" i="1897"/>
  <c r="D44" i="1897"/>
  <c r="R42" i="1897"/>
  <c r="D42" i="1897"/>
  <c r="R41" i="1897"/>
  <c r="D41" i="1897"/>
  <c r="R40" i="1897"/>
  <c r="D40" i="1897"/>
  <c r="R39" i="1897"/>
  <c r="H39" i="1897"/>
  <c r="D39" i="1897"/>
  <c r="R38" i="1897"/>
  <c r="L9" i="1897" s="1"/>
  <c r="D9" i="1897" s="1"/>
  <c r="H38" i="1897"/>
  <c r="D38" i="1897"/>
  <c r="R37" i="1897"/>
  <c r="H37" i="1897"/>
  <c r="D37" i="1897"/>
  <c r="R36" i="1897"/>
  <c r="L10" i="1897" s="1"/>
  <c r="D10" i="1897" s="1"/>
  <c r="H36" i="1897"/>
  <c r="D36" i="1897"/>
  <c r="R35" i="1897"/>
  <c r="H35" i="1897"/>
  <c r="D35" i="1897"/>
  <c r="R34" i="1897"/>
  <c r="H34" i="1897"/>
  <c r="D34" i="1897"/>
  <c r="R33" i="1897"/>
  <c r="R32" i="1897"/>
  <c r="L11" i="1897" s="1"/>
  <c r="D11" i="1897" s="1"/>
  <c r="R31" i="1897"/>
  <c r="R30" i="1897"/>
  <c r="R29" i="1897"/>
  <c r="R28" i="1897"/>
  <c r="L28" i="1897"/>
  <c r="D28" i="1897"/>
  <c r="R27" i="1897"/>
  <c r="D27" i="1897"/>
  <c r="R26" i="1897"/>
  <c r="L26" i="1897"/>
  <c r="D26" i="1897"/>
  <c r="R25" i="1897"/>
  <c r="L25" i="1897"/>
  <c r="D25" i="1897" s="1"/>
  <c r="R24" i="1897"/>
  <c r="D24" i="1897"/>
  <c r="R23" i="1897"/>
  <c r="L23" i="1897"/>
  <c r="D23" i="1897" s="1"/>
  <c r="R22" i="1897"/>
  <c r="R21" i="1897"/>
  <c r="D21" i="1897"/>
  <c r="R20" i="1897"/>
  <c r="L20" i="1897"/>
  <c r="D20" i="1897"/>
  <c r="R19" i="1897"/>
  <c r="L19" i="1897"/>
  <c r="D19" i="1897" s="1"/>
  <c r="R18" i="1897"/>
  <c r="D18" i="1897"/>
  <c r="R17" i="1897"/>
  <c r="D17" i="1897"/>
  <c r="R16" i="1897"/>
  <c r="L16" i="1897"/>
  <c r="D16" i="1897" s="1"/>
  <c r="R15" i="1897"/>
  <c r="D15" i="1897"/>
  <c r="R14" i="1897"/>
  <c r="D14" i="1897"/>
  <c r="R13" i="1897"/>
  <c r="D13" i="1897"/>
  <c r="R12" i="1897"/>
  <c r="L12" i="1897"/>
  <c r="D12" i="1897"/>
  <c r="R11" i="1897"/>
  <c r="L8" i="1897"/>
  <c r="D8" i="1897"/>
  <c r="L7" i="1897"/>
  <c r="D7" i="1897"/>
  <c r="R6" i="1897"/>
  <c r="L6" i="1897"/>
  <c r="D6" i="1897"/>
  <c r="R5" i="1897"/>
  <c r="R4" i="1897"/>
  <c r="R52" i="1896"/>
  <c r="R51" i="1896"/>
  <c r="D50" i="1896"/>
  <c r="R49" i="1896"/>
  <c r="D49" i="1896"/>
  <c r="R48" i="1896"/>
  <c r="D48" i="1896"/>
  <c r="D46" i="1896"/>
  <c r="D45" i="1896"/>
  <c r="R44" i="1896"/>
  <c r="L28" i="1896" s="1"/>
  <c r="D28" i="1896" s="1"/>
  <c r="D44" i="1896"/>
  <c r="R42" i="1896"/>
  <c r="D42" i="1896"/>
  <c r="R41" i="1896"/>
  <c r="D41" i="1896"/>
  <c r="R40" i="1896"/>
  <c r="D40" i="1896"/>
  <c r="R39" i="1896"/>
  <c r="H39" i="1896"/>
  <c r="D39" i="1896"/>
  <c r="R38" i="1896"/>
  <c r="H38" i="1896"/>
  <c r="D38" i="1896"/>
  <c r="R37" i="1896"/>
  <c r="H37" i="1896"/>
  <c r="D37" i="1896"/>
  <c r="R36" i="1896"/>
  <c r="H36" i="1896"/>
  <c r="D36" i="1896"/>
  <c r="R35" i="1896"/>
  <c r="L19" i="1896" s="1"/>
  <c r="D19" i="1896" s="1"/>
  <c r="H35" i="1896"/>
  <c r="D35" i="1896"/>
  <c r="R34" i="1896"/>
  <c r="H34" i="1896"/>
  <c r="D34" i="1896"/>
  <c r="R33" i="1896"/>
  <c r="L23" i="1896" s="1"/>
  <c r="D23" i="1896" s="1"/>
  <c r="R32" i="1896"/>
  <c r="R31" i="1896"/>
  <c r="R30" i="1896"/>
  <c r="R29" i="1896"/>
  <c r="R28" i="1896"/>
  <c r="L16" i="1896" s="1"/>
  <c r="D16" i="1896" s="1"/>
  <c r="R27" i="1896"/>
  <c r="D27" i="1896"/>
  <c r="R26" i="1896"/>
  <c r="L26" i="1896"/>
  <c r="D26" i="1896"/>
  <c r="R25" i="1896"/>
  <c r="L25" i="1896"/>
  <c r="D25" i="1896" s="1"/>
  <c r="R24" i="1896"/>
  <c r="L24" i="1896"/>
  <c r="D24" i="1896"/>
  <c r="R23" i="1896"/>
  <c r="R22" i="1896"/>
  <c r="L22" i="1896"/>
  <c r="D22" i="1896"/>
  <c r="R21" i="1896"/>
  <c r="L17" i="1896" s="1"/>
  <c r="D17" i="1896" s="1"/>
  <c r="D21" i="1896"/>
  <c r="R20" i="1896"/>
  <c r="L20" i="1896"/>
  <c r="D20" i="1896"/>
  <c r="R19" i="1896"/>
  <c r="R18" i="1896"/>
  <c r="D18" i="1896"/>
  <c r="R17" i="1896"/>
  <c r="R16" i="1896"/>
  <c r="R15" i="1896"/>
  <c r="D15" i="1896"/>
  <c r="R14" i="1896"/>
  <c r="D14" i="1896"/>
  <c r="R13" i="1896"/>
  <c r="D13" i="1896"/>
  <c r="R12" i="1896"/>
  <c r="L12" i="1896"/>
  <c r="D12" i="1896" s="1"/>
  <c r="R11" i="1896"/>
  <c r="L11" i="1896"/>
  <c r="D11" i="1896"/>
  <c r="L10" i="1896"/>
  <c r="D10" i="1896" s="1"/>
  <c r="L9" i="1896"/>
  <c r="D9" i="1896"/>
  <c r="L8" i="1896"/>
  <c r="D8" i="1896"/>
  <c r="L7" i="1896"/>
  <c r="D7" i="1896" s="1"/>
  <c r="R6" i="1896"/>
  <c r="L6" i="1896"/>
  <c r="D6" i="1896"/>
  <c r="R5" i="1896"/>
  <c r="R4" i="1896"/>
  <c r="R52" i="1895"/>
  <c r="R51" i="1895"/>
  <c r="D50" i="1895"/>
  <c r="R49" i="1895"/>
  <c r="D49" i="1895"/>
  <c r="R48" i="1895"/>
  <c r="D48" i="1895"/>
  <c r="D46" i="1895"/>
  <c r="D45" i="1895"/>
  <c r="R44" i="1895"/>
  <c r="L28" i="1895" s="1"/>
  <c r="D28" i="1895" s="1"/>
  <c r="D44" i="1895"/>
  <c r="R42" i="1895"/>
  <c r="D42" i="1895"/>
  <c r="R41" i="1895"/>
  <c r="D41" i="1895"/>
  <c r="R40" i="1895"/>
  <c r="L8" i="1895" s="1"/>
  <c r="D8" i="1895" s="1"/>
  <c r="D40" i="1895"/>
  <c r="R39" i="1895"/>
  <c r="L20" i="1895" s="1"/>
  <c r="D20" i="1895" s="1"/>
  <c r="H39" i="1895"/>
  <c r="D39" i="1895"/>
  <c r="R38" i="1895"/>
  <c r="L9" i="1895" s="1"/>
  <c r="D9" i="1895" s="1"/>
  <c r="H38" i="1895"/>
  <c r="D38" i="1895"/>
  <c r="R37" i="1895"/>
  <c r="H37" i="1895"/>
  <c r="D37" i="1895"/>
  <c r="R36" i="1895"/>
  <c r="H36" i="1895"/>
  <c r="D36" i="1895"/>
  <c r="R35" i="1895"/>
  <c r="H35" i="1895"/>
  <c r="D35" i="1895"/>
  <c r="R34" i="1895"/>
  <c r="H34" i="1895"/>
  <c r="D34" i="1895"/>
  <c r="R33" i="1895"/>
  <c r="R32" i="1895"/>
  <c r="L11" i="1895" s="1"/>
  <c r="D11" i="1895" s="1"/>
  <c r="R31" i="1895"/>
  <c r="R30" i="1895"/>
  <c r="R29" i="1895"/>
  <c r="R28" i="1895"/>
  <c r="L16" i="1895" s="1"/>
  <c r="D16" i="1895" s="1"/>
  <c r="R27" i="1895"/>
  <c r="D27" i="1895"/>
  <c r="R26" i="1895"/>
  <c r="D26" i="1895"/>
  <c r="R25" i="1895"/>
  <c r="L25" i="1895"/>
  <c r="D25" i="1895"/>
  <c r="R24" i="1895"/>
  <c r="L24" i="1895"/>
  <c r="D24" i="1895"/>
  <c r="R23" i="1895"/>
  <c r="D23" i="1895"/>
  <c r="R22" i="1895"/>
  <c r="D22" i="1895"/>
  <c r="R21" i="1895"/>
  <c r="D21" i="1895"/>
  <c r="R20" i="1895"/>
  <c r="R19" i="1895"/>
  <c r="D19" i="1895"/>
  <c r="R18" i="1895"/>
  <c r="D18" i="1895"/>
  <c r="R17" i="1895"/>
  <c r="D17" i="1895"/>
  <c r="R16" i="1895"/>
  <c r="R15" i="1895"/>
  <c r="D15" i="1895"/>
  <c r="R14" i="1895"/>
  <c r="D14" i="1895"/>
  <c r="R13" i="1895"/>
  <c r="D13" i="1895"/>
  <c r="R12" i="1895"/>
  <c r="L12" i="1895"/>
  <c r="D12" i="1895" s="1"/>
  <c r="R11" i="1895"/>
  <c r="L10" i="1895"/>
  <c r="D10" i="1895" s="1"/>
  <c r="L7" i="1895"/>
  <c r="D7" i="1895"/>
  <c r="R6" i="1895"/>
  <c r="L6" i="1895"/>
  <c r="D6" i="1895"/>
  <c r="R5" i="1895"/>
  <c r="R4" i="1895"/>
  <c r="D54" i="1894"/>
  <c r="H14" i="1894" s="1"/>
  <c r="R52" i="1894"/>
  <c r="R51" i="1894"/>
  <c r="D50" i="1894"/>
  <c r="R49" i="1894"/>
  <c r="G49" i="1894"/>
  <c r="D49" i="1894"/>
  <c r="R48" i="1894"/>
  <c r="D48" i="1894"/>
  <c r="D46" i="1894"/>
  <c r="D45" i="1894"/>
  <c r="D44" i="1894"/>
  <c r="R42" i="1894"/>
  <c r="L6" i="1894" s="1"/>
  <c r="D6" i="1894" s="1"/>
  <c r="D42" i="1894"/>
  <c r="R41" i="1894"/>
  <c r="L7" i="1894" s="1"/>
  <c r="D7" i="1894" s="1"/>
  <c r="D41" i="1894"/>
  <c r="R40" i="1894"/>
  <c r="D40" i="1894"/>
  <c r="R39" i="1894"/>
  <c r="D39" i="1894"/>
  <c r="R38" i="1894"/>
  <c r="L9" i="1894" s="1"/>
  <c r="D9" i="1894" s="1"/>
  <c r="D38" i="1894"/>
  <c r="R37" i="1894"/>
  <c r="D37" i="1894"/>
  <c r="R36" i="1894"/>
  <c r="D36" i="1894"/>
  <c r="R35" i="1894"/>
  <c r="D35" i="1894"/>
  <c r="R34" i="1894"/>
  <c r="L12" i="1894" s="1"/>
  <c r="D12" i="1894" s="1"/>
  <c r="D34" i="1894"/>
  <c r="R33" i="1894"/>
  <c r="L23" i="1894" s="1"/>
  <c r="D23" i="1894" s="1"/>
  <c r="R32" i="1894"/>
  <c r="L11" i="1894" s="1"/>
  <c r="D11" i="1894" s="1"/>
  <c r="R31" i="1894"/>
  <c r="R30" i="1894"/>
  <c r="R29" i="1894"/>
  <c r="R28" i="1894"/>
  <c r="D28" i="1894"/>
  <c r="R27" i="1894"/>
  <c r="D27" i="1894"/>
  <c r="R26" i="1894"/>
  <c r="L26" i="1894"/>
  <c r="D26" i="1894"/>
  <c r="R25" i="1894"/>
  <c r="L25" i="1894"/>
  <c r="D25" i="1894"/>
  <c r="R24" i="1894"/>
  <c r="D24" i="1894"/>
  <c r="R23" i="1894"/>
  <c r="R22" i="1894"/>
  <c r="L22" i="1894"/>
  <c r="D22" i="1894"/>
  <c r="R21" i="1894"/>
  <c r="D21" i="1894"/>
  <c r="R20" i="1894"/>
  <c r="L20" i="1894"/>
  <c r="D20" i="1894"/>
  <c r="R19" i="1894"/>
  <c r="L19" i="1894"/>
  <c r="D19" i="1894"/>
  <c r="R18" i="1894"/>
  <c r="D18" i="1894"/>
  <c r="R17" i="1894"/>
  <c r="D17" i="1894"/>
  <c r="R16" i="1894"/>
  <c r="L16" i="1894"/>
  <c r="D16" i="1894" s="1"/>
  <c r="S15" i="1894"/>
  <c r="R15" i="1894"/>
  <c r="D15" i="1894"/>
  <c r="S14" i="1894"/>
  <c r="R14" i="1894"/>
  <c r="D14" i="1894"/>
  <c r="R13" i="1894"/>
  <c r="D13" i="1894"/>
  <c r="R12" i="1894"/>
  <c r="R11" i="1894"/>
  <c r="L10" i="1894"/>
  <c r="D10" i="1894" s="1"/>
  <c r="L8" i="1894"/>
  <c r="D8" i="1894"/>
  <c r="R6" i="1894"/>
  <c r="R5" i="1894"/>
  <c r="R4" i="1894"/>
  <c r="R52" i="1893"/>
  <c r="R51" i="1893"/>
  <c r="D50" i="1893"/>
  <c r="R49" i="1893"/>
  <c r="D49" i="1893"/>
  <c r="R48" i="1893"/>
  <c r="D48" i="1893"/>
  <c r="D46" i="1893"/>
  <c r="D45" i="1893"/>
  <c r="R44" i="1893"/>
  <c r="L28" i="1893" s="1"/>
  <c r="D28" i="1893" s="1"/>
  <c r="D44" i="1893"/>
  <c r="R42" i="1893"/>
  <c r="L6" i="1893" s="1"/>
  <c r="D6" i="1893" s="1"/>
  <c r="D42" i="1893"/>
  <c r="R41" i="1893"/>
  <c r="D41" i="1893"/>
  <c r="R40" i="1893"/>
  <c r="D40" i="1893"/>
  <c r="R39" i="1893"/>
  <c r="H39" i="1893"/>
  <c r="D39" i="1893"/>
  <c r="R38" i="1893"/>
  <c r="L9" i="1893" s="1"/>
  <c r="D9" i="1893" s="1"/>
  <c r="H38" i="1893"/>
  <c r="D38" i="1893"/>
  <c r="R37" i="1893"/>
  <c r="H37" i="1893"/>
  <c r="D37" i="1893"/>
  <c r="R36" i="1893"/>
  <c r="H36" i="1893"/>
  <c r="D36" i="1893"/>
  <c r="R35" i="1893"/>
  <c r="H35" i="1893"/>
  <c r="D35" i="1893"/>
  <c r="R34" i="1893"/>
  <c r="L12" i="1893" s="1"/>
  <c r="D12" i="1893" s="1"/>
  <c r="H34" i="1893"/>
  <c r="D34" i="1893"/>
  <c r="R33" i="1893"/>
  <c r="L23" i="1893" s="1"/>
  <c r="D23" i="1893" s="1"/>
  <c r="R32" i="1893"/>
  <c r="R31" i="1893"/>
  <c r="R30" i="1893"/>
  <c r="R29" i="1893"/>
  <c r="R28" i="1893"/>
  <c r="R27" i="1893"/>
  <c r="D27" i="1893"/>
  <c r="R26" i="1893"/>
  <c r="L26" i="1893"/>
  <c r="D26" i="1893"/>
  <c r="R25" i="1893"/>
  <c r="D25" i="1893"/>
  <c r="R24" i="1893"/>
  <c r="D24" i="1893"/>
  <c r="R23" i="1893"/>
  <c r="R22" i="1893"/>
  <c r="L22" i="1893"/>
  <c r="D22" i="1893"/>
  <c r="R21" i="1893"/>
  <c r="D21" i="1893"/>
  <c r="R20" i="1893"/>
  <c r="L20" i="1893"/>
  <c r="D20" i="1893"/>
  <c r="R19" i="1893"/>
  <c r="L19" i="1893"/>
  <c r="D19" i="1893" s="1"/>
  <c r="R18" i="1893"/>
  <c r="D18" i="1893"/>
  <c r="R17" i="1893"/>
  <c r="D17" i="1893"/>
  <c r="R16" i="1893"/>
  <c r="D16" i="1893"/>
  <c r="R15" i="1893"/>
  <c r="D15" i="1893"/>
  <c r="R14" i="1893"/>
  <c r="D14" i="1893"/>
  <c r="R13" i="1893"/>
  <c r="D13" i="1893"/>
  <c r="R12" i="1893"/>
  <c r="R11" i="1893"/>
  <c r="L11" i="1893"/>
  <c r="D11" i="1893" s="1"/>
  <c r="L10" i="1893"/>
  <c r="D10" i="1893"/>
  <c r="L8" i="1893"/>
  <c r="D8" i="1893"/>
  <c r="L7" i="1893"/>
  <c r="D7" i="1893"/>
  <c r="R6" i="1893"/>
  <c r="R5" i="1893"/>
  <c r="R4" i="1893"/>
  <c r="R52" i="1892"/>
  <c r="R51" i="1892"/>
  <c r="D50" i="1892"/>
  <c r="R49" i="1892"/>
  <c r="D49" i="1892"/>
  <c r="R48" i="1892"/>
  <c r="D48" i="1892"/>
  <c r="D46" i="1892"/>
  <c r="D45" i="1892"/>
  <c r="R44" i="1892"/>
  <c r="L28" i="1892" s="1"/>
  <c r="D28" i="1892" s="1"/>
  <c r="D44" i="1892"/>
  <c r="R42" i="1892"/>
  <c r="L6" i="1892" s="1"/>
  <c r="D6" i="1892" s="1"/>
  <c r="D42" i="1892"/>
  <c r="R41" i="1892"/>
  <c r="L7" i="1892" s="1"/>
  <c r="D7" i="1892" s="1"/>
  <c r="D41" i="1892"/>
  <c r="R40" i="1892"/>
  <c r="L8" i="1892" s="1"/>
  <c r="D8" i="1892" s="1"/>
  <c r="D40" i="1892"/>
  <c r="R39" i="1892"/>
  <c r="H39" i="1892"/>
  <c r="D39" i="1892"/>
  <c r="R38" i="1892"/>
  <c r="H38" i="1892"/>
  <c r="D38" i="1892"/>
  <c r="R37" i="1892"/>
  <c r="H37" i="1892"/>
  <c r="D37" i="1892"/>
  <c r="R36" i="1892"/>
  <c r="H36" i="1892"/>
  <c r="D36" i="1892"/>
  <c r="R35" i="1892"/>
  <c r="L19" i="1892" s="1"/>
  <c r="D19" i="1892" s="1"/>
  <c r="H35" i="1892"/>
  <c r="D35" i="1892"/>
  <c r="R34" i="1892"/>
  <c r="L12" i="1892" s="1"/>
  <c r="D12" i="1892" s="1"/>
  <c r="H34" i="1892"/>
  <c r="D34" i="1892"/>
  <c r="R33" i="1892"/>
  <c r="R32" i="1892"/>
  <c r="R31" i="1892"/>
  <c r="R30" i="1892"/>
  <c r="R29" i="1892"/>
  <c r="R28" i="1892"/>
  <c r="R27" i="1892"/>
  <c r="D27" i="1892"/>
  <c r="R26" i="1892"/>
  <c r="L26" i="1892"/>
  <c r="D26" i="1892" s="1"/>
  <c r="R25" i="1892"/>
  <c r="L25" i="1892"/>
  <c r="D25" i="1892" s="1"/>
  <c r="R24" i="1892"/>
  <c r="L24" i="1892"/>
  <c r="D24" i="1892"/>
  <c r="R23" i="1892"/>
  <c r="L23" i="1892"/>
  <c r="D23" i="1892"/>
  <c r="R22" i="1892"/>
  <c r="L22" i="1892"/>
  <c r="D22" i="1892"/>
  <c r="R21" i="1892"/>
  <c r="L17" i="1892" s="1"/>
  <c r="D17" i="1892" s="1"/>
  <c r="D21" i="1892"/>
  <c r="R20" i="1892"/>
  <c r="L20" i="1892"/>
  <c r="D20" i="1892"/>
  <c r="R19" i="1892"/>
  <c r="R18" i="1892"/>
  <c r="D18" i="1892"/>
  <c r="R17" i="1892"/>
  <c r="R16" i="1892"/>
  <c r="L16" i="1892"/>
  <c r="D16" i="1892"/>
  <c r="R15" i="1892"/>
  <c r="D15" i="1892"/>
  <c r="R14" i="1892"/>
  <c r="D14" i="1892"/>
  <c r="R13" i="1892"/>
  <c r="D13" i="1892"/>
  <c r="R12" i="1892"/>
  <c r="R11" i="1892"/>
  <c r="L11" i="1892"/>
  <c r="D11" i="1892"/>
  <c r="L10" i="1892"/>
  <c r="D10" i="1892"/>
  <c r="L9" i="1892"/>
  <c r="D9" i="1892"/>
  <c r="R6" i="1892"/>
  <c r="R5" i="1892"/>
  <c r="R4" i="1892"/>
  <c r="R52" i="1891"/>
  <c r="R51" i="1891"/>
  <c r="D50" i="1891"/>
  <c r="R49" i="1891"/>
  <c r="D49" i="1891"/>
  <c r="R48" i="1891"/>
  <c r="D48" i="1891"/>
  <c r="D46" i="1891"/>
  <c r="D45" i="1891"/>
  <c r="R44" i="1891"/>
  <c r="D44" i="1891"/>
  <c r="R42" i="1891"/>
  <c r="L6" i="1891" s="1"/>
  <c r="D6" i="1891" s="1"/>
  <c r="D42" i="1891"/>
  <c r="R41" i="1891"/>
  <c r="L7" i="1891" s="1"/>
  <c r="D7" i="1891" s="1"/>
  <c r="D41" i="1891"/>
  <c r="R40" i="1891"/>
  <c r="D40" i="1891"/>
  <c r="R39" i="1891"/>
  <c r="L20" i="1891" s="1"/>
  <c r="D20" i="1891" s="1"/>
  <c r="H39" i="1891"/>
  <c r="D39" i="1891"/>
  <c r="R38" i="1891"/>
  <c r="H38" i="1891"/>
  <c r="D38" i="1891"/>
  <c r="R37" i="1891"/>
  <c r="H37" i="1891"/>
  <c r="D37" i="1891"/>
  <c r="R36" i="1891"/>
  <c r="L10" i="1891" s="1"/>
  <c r="D10" i="1891" s="1"/>
  <c r="H36" i="1891"/>
  <c r="D36" i="1891"/>
  <c r="R35" i="1891"/>
  <c r="H35" i="1891"/>
  <c r="D35" i="1891"/>
  <c r="R34" i="1891"/>
  <c r="H34" i="1891"/>
  <c r="D34" i="1891"/>
  <c r="R33" i="1891"/>
  <c r="R32" i="1891"/>
  <c r="R31" i="1891"/>
  <c r="R30" i="1891"/>
  <c r="R29" i="1891"/>
  <c r="R28" i="1891"/>
  <c r="L16" i="1891" s="1"/>
  <c r="D16" i="1891" s="1"/>
  <c r="L28" i="1891"/>
  <c r="D28" i="1891"/>
  <c r="R27" i="1891"/>
  <c r="D27" i="1891"/>
  <c r="R26" i="1891"/>
  <c r="L26" i="1891"/>
  <c r="D26" i="1891"/>
  <c r="R25" i="1891"/>
  <c r="L25" i="1891"/>
  <c r="D25" i="1891" s="1"/>
  <c r="R24" i="1891"/>
  <c r="L24" i="1891"/>
  <c r="D24" i="1891"/>
  <c r="R23" i="1891"/>
  <c r="D23" i="1891"/>
  <c r="R22" i="1891"/>
  <c r="D22" i="1891"/>
  <c r="R21" i="1891"/>
  <c r="D21" i="1891"/>
  <c r="R20" i="1891"/>
  <c r="R19" i="1891"/>
  <c r="D19" i="1891"/>
  <c r="R18" i="1891"/>
  <c r="D18" i="1891"/>
  <c r="R17" i="1891"/>
  <c r="L17" i="1891"/>
  <c r="D17" i="1891"/>
  <c r="R16" i="1891"/>
  <c r="R15" i="1891"/>
  <c r="D15" i="1891"/>
  <c r="R14" i="1891"/>
  <c r="D14" i="1891"/>
  <c r="R13" i="1891"/>
  <c r="D13" i="1891"/>
  <c r="R12" i="1891"/>
  <c r="L12" i="1891"/>
  <c r="D12" i="1891"/>
  <c r="R11" i="1891"/>
  <c r="L11" i="1891"/>
  <c r="D11" i="1891"/>
  <c r="L9" i="1891"/>
  <c r="D9" i="1891"/>
  <c r="L8" i="1891"/>
  <c r="D8" i="1891" s="1"/>
  <c r="R6" i="1891"/>
  <c r="R5" i="1891"/>
  <c r="R4" i="1891"/>
  <c r="R52" i="1890"/>
  <c r="R51" i="1890"/>
  <c r="D50" i="1890"/>
  <c r="R49" i="1890"/>
  <c r="G49" i="1890"/>
  <c r="D49" i="1890"/>
  <c r="R48" i="1890"/>
  <c r="D48" i="1890"/>
  <c r="D46" i="1890"/>
  <c r="D45" i="1890"/>
  <c r="D44" i="1890"/>
  <c r="R42" i="1890"/>
  <c r="L6" i="1890" s="1"/>
  <c r="D6" i="1890" s="1"/>
  <c r="D42" i="1890"/>
  <c r="R41" i="1890"/>
  <c r="L7" i="1890" s="1"/>
  <c r="D7" i="1890" s="1"/>
  <c r="D41" i="1890"/>
  <c r="R40" i="1890"/>
  <c r="D40" i="1890"/>
  <c r="R39" i="1890"/>
  <c r="D39" i="1890"/>
  <c r="R38" i="1890"/>
  <c r="L9" i="1890" s="1"/>
  <c r="D9" i="1890" s="1"/>
  <c r="D38" i="1890"/>
  <c r="R37" i="1890"/>
  <c r="D37" i="1890"/>
  <c r="R36" i="1890"/>
  <c r="L10" i="1890" s="1"/>
  <c r="D10" i="1890" s="1"/>
  <c r="D36" i="1890"/>
  <c r="R35" i="1890"/>
  <c r="D35" i="1890"/>
  <c r="R34" i="1890"/>
  <c r="L12" i="1890" s="1"/>
  <c r="D12" i="1890" s="1"/>
  <c r="D34" i="1890"/>
  <c r="D54" i="1890" s="1"/>
  <c r="H14" i="1890" s="1"/>
  <c r="R33" i="1890"/>
  <c r="L23" i="1890" s="1"/>
  <c r="D23" i="1890" s="1"/>
  <c r="R32" i="1890"/>
  <c r="R31" i="1890"/>
  <c r="R30" i="1890"/>
  <c r="R29" i="1890"/>
  <c r="R28" i="1890"/>
  <c r="L16" i="1890" s="1"/>
  <c r="D16" i="1890" s="1"/>
  <c r="D28" i="1890"/>
  <c r="R27" i="1890"/>
  <c r="D27" i="1890"/>
  <c r="R26" i="1890"/>
  <c r="L26" i="1890"/>
  <c r="D26" i="1890"/>
  <c r="R25" i="1890"/>
  <c r="L25" i="1890"/>
  <c r="D25" i="1890"/>
  <c r="R24" i="1890"/>
  <c r="D24" i="1890"/>
  <c r="R23" i="1890"/>
  <c r="R22" i="1890"/>
  <c r="L22" i="1890"/>
  <c r="D22" i="1890"/>
  <c r="R21" i="1890"/>
  <c r="D21" i="1890"/>
  <c r="R20" i="1890"/>
  <c r="L20" i="1890"/>
  <c r="D20" i="1890"/>
  <c r="R19" i="1890"/>
  <c r="L19" i="1890"/>
  <c r="D19" i="1890"/>
  <c r="R18" i="1890"/>
  <c r="D18" i="1890"/>
  <c r="R17" i="1890"/>
  <c r="D17" i="1890"/>
  <c r="R16" i="1890"/>
  <c r="S15" i="1890"/>
  <c r="R15" i="1890"/>
  <c r="D15" i="1890"/>
  <c r="S14" i="1890"/>
  <c r="R14" i="1890"/>
  <c r="D14" i="1890"/>
  <c r="R13" i="1890"/>
  <c r="D13" i="1890"/>
  <c r="R12" i="1890"/>
  <c r="R11" i="1890"/>
  <c r="L11" i="1890"/>
  <c r="D11" i="1890"/>
  <c r="L8" i="1890"/>
  <c r="D8" i="1890"/>
  <c r="R6" i="1890"/>
  <c r="R5" i="1890"/>
  <c r="R4" i="1890"/>
  <c r="H16" i="1883"/>
  <c r="H16" i="1885"/>
  <c r="C21" i="1884"/>
  <c r="C12" i="1883"/>
  <c r="G49" i="1913" l="1"/>
  <c r="G49" i="1912"/>
  <c r="G49" i="1911"/>
  <c r="D54" i="1913"/>
  <c r="H14" i="1913" s="1"/>
  <c r="D54" i="1912"/>
  <c r="H14" i="1912" s="1"/>
  <c r="D54" i="1911"/>
  <c r="H14" i="1911" s="1"/>
  <c r="G49" i="1903"/>
  <c r="G49" i="1904"/>
  <c r="G49" i="1905"/>
  <c r="D54" i="1905"/>
  <c r="H14" i="1905" s="1"/>
  <c r="D54" i="1904"/>
  <c r="H14" i="1904" s="1"/>
  <c r="D29" i="1904"/>
  <c r="H13" i="1904" s="1"/>
  <c r="D54" i="1903"/>
  <c r="H14" i="1903" s="1"/>
  <c r="G49" i="1900"/>
  <c r="D54" i="1901"/>
  <c r="H14" i="1901" s="1"/>
  <c r="D54" i="1900"/>
  <c r="H14" i="1900" s="1"/>
  <c r="D54" i="1899"/>
  <c r="H14" i="1899" s="1"/>
  <c r="D54" i="1897"/>
  <c r="H14" i="1897" s="1"/>
  <c r="G49" i="1897"/>
  <c r="G49" i="1896"/>
  <c r="G49" i="1895"/>
  <c r="D54" i="1896"/>
  <c r="H14" i="1896" s="1"/>
  <c r="D54" i="1895"/>
  <c r="H14" i="1895" s="1"/>
  <c r="G49" i="1891"/>
  <c r="G49" i="1892"/>
  <c r="G49" i="1893"/>
  <c r="D54" i="1893"/>
  <c r="H14" i="1893" s="1"/>
  <c r="D54" i="1892"/>
  <c r="H14" i="1892" s="1"/>
  <c r="D54" i="1891"/>
  <c r="H14" i="1891" s="1"/>
  <c r="D29" i="1913"/>
  <c r="H13" i="1913" s="1"/>
  <c r="D29" i="1912"/>
  <c r="H13" i="1912" s="1"/>
  <c r="D29" i="1911"/>
  <c r="H13" i="1911" s="1"/>
  <c r="D29" i="1910"/>
  <c r="H13" i="1910" s="1"/>
  <c r="H15" i="1910" s="1"/>
  <c r="H29" i="1910" s="1"/>
  <c r="G51" i="1910" s="1"/>
  <c r="D29" i="1909"/>
  <c r="H13" i="1909" s="1"/>
  <c r="H15" i="1909" s="1"/>
  <c r="H29" i="1909" s="1"/>
  <c r="G51" i="1909" s="1"/>
  <c r="D29" i="1908"/>
  <c r="H13" i="1908" s="1"/>
  <c r="H15" i="1908" s="1"/>
  <c r="H29" i="1908" s="1"/>
  <c r="G51" i="1908"/>
  <c r="D29" i="1907"/>
  <c r="H13" i="1907" s="1"/>
  <c r="H15" i="1907" s="1"/>
  <c r="H29" i="1907" s="1"/>
  <c r="G51" i="1907" s="1"/>
  <c r="D29" i="1906"/>
  <c r="H13" i="1906" s="1"/>
  <c r="H15" i="1906" s="1"/>
  <c r="H29" i="1906" s="1"/>
  <c r="G51" i="1906" s="1"/>
  <c r="D29" i="1905"/>
  <c r="H13" i="1905" s="1"/>
  <c r="D29" i="1903"/>
  <c r="H13" i="1903" s="1"/>
  <c r="D29" i="1902"/>
  <c r="H13" i="1902" s="1"/>
  <c r="H15" i="1902" s="1"/>
  <c r="H29" i="1902" s="1"/>
  <c r="G51" i="1902" s="1"/>
  <c r="D29" i="1901"/>
  <c r="H13" i="1901" s="1"/>
  <c r="D29" i="1900"/>
  <c r="H13" i="1900" s="1"/>
  <c r="D29" i="1899"/>
  <c r="H13" i="1899" s="1"/>
  <c r="D29" i="1898"/>
  <c r="H13" i="1898" s="1"/>
  <c r="H15" i="1898" s="1"/>
  <c r="H29" i="1898" s="1"/>
  <c r="G51" i="1898"/>
  <c r="D29" i="1897"/>
  <c r="H13" i="1897" s="1"/>
  <c r="H15" i="1897" s="1"/>
  <c r="H29" i="1897" s="1"/>
  <c r="G51" i="1897" s="1"/>
  <c r="D29" i="1896"/>
  <c r="H13" i="1896" s="1"/>
  <c r="D29" i="1895"/>
  <c r="H13" i="1895" s="1"/>
  <c r="D29" i="1894"/>
  <c r="H13" i="1894" s="1"/>
  <c r="H15" i="1894" s="1"/>
  <c r="H29" i="1894" s="1"/>
  <c r="G51" i="1894"/>
  <c r="D29" i="1893"/>
  <c r="H13" i="1893" s="1"/>
  <c r="D29" i="1892"/>
  <c r="H13" i="1892" s="1"/>
  <c r="D29" i="1891"/>
  <c r="H13" i="1891" s="1"/>
  <c r="D29" i="1890"/>
  <c r="H13" i="1890" s="1"/>
  <c r="H15" i="1890" s="1"/>
  <c r="H29" i="1890" s="1"/>
  <c r="G51" i="1890"/>
  <c r="H16" i="1877"/>
  <c r="H16" i="1876"/>
  <c r="H16" i="1875"/>
  <c r="C21" i="1877"/>
  <c r="H16" i="1873"/>
  <c r="H16" i="1872"/>
  <c r="H16" i="1871"/>
  <c r="C12" i="1873"/>
  <c r="C21" i="1873"/>
  <c r="H16" i="1869"/>
  <c r="H16" i="1868"/>
  <c r="L27" i="1868"/>
  <c r="C21" i="1867"/>
  <c r="H15" i="1913" l="1"/>
  <c r="H29" i="1913" s="1"/>
  <c r="G51" i="1913" s="1"/>
  <c r="H15" i="1912"/>
  <c r="H29" i="1912" s="1"/>
  <c r="G51" i="1912" s="1"/>
  <c r="H15" i="1911"/>
  <c r="H29" i="1911" s="1"/>
  <c r="G51" i="1911" s="1"/>
  <c r="H15" i="1905"/>
  <c r="H29" i="1905" s="1"/>
  <c r="G51" i="1905" s="1"/>
  <c r="H15" i="1904"/>
  <c r="H29" i="1904" s="1"/>
  <c r="G51" i="1904" s="1"/>
  <c r="H15" i="1903"/>
  <c r="H29" i="1903" s="1"/>
  <c r="G51" i="1903" s="1"/>
  <c r="H15" i="1901"/>
  <c r="H29" i="1901" s="1"/>
  <c r="G51" i="1901" s="1"/>
  <c r="H15" i="1900"/>
  <c r="H29" i="1900" s="1"/>
  <c r="G51" i="1900" s="1"/>
  <c r="H15" i="1899"/>
  <c r="H29" i="1899" s="1"/>
  <c r="G51" i="1899" s="1"/>
  <c r="H15" i="1896"/>
  <c r="H29" i="1896" s="1"/>
  <c r="G51" i="1896" s="1"/>
  <c r="H15" i="1895"/>
  <c r="H29" i="1895" s="1"/>
  <c r="G51" i="1895" s="1"/>
  <c r="H15" i="1893"/>
  <c r="H29" i="1893" s="1"/>
  <c r="G51" i="1893" s="1"/>
  <c r="H15" i="1892"/>
  <c r="H29" i="1892" s="1"/>
  <c r="G51" i="1892" s="1"/>
  <c r="H15" i="1891"/>
  <c r="H29" i="1891" s="1"/>
  <c r="G51" i="1891" s="1"/>
  <c r="H16" i="1864"/>
  <c r="H16" i="1863"/>
  <c r="H16" i="1865"/>
  <c r="L24" i="1863"/>
  <c r="R52" i="1889" l="1"/>
  <c r="R51" i="1889"/>
  <c r="D50" i="1889"/>
  <c r="R49" i="1889"/>
  <c r="D49" i="1889"/>
  <c r="R48" i="1889"/>
  <c r="D48" i="1889"/>
  <c r="D46" i="1889"/>
  <c r="D45" i="1889"/>
  <c r="R44" i="1889"/>
  <c r="D44" i="1889"/>
  <c r="R42" i="1889"/>
  <c r="L6" i="1889" s="1"/>
  <c r="D6" i="1889" s="1"/>
  <c r="D42" i="1889"/>
  <c r="R41" i="1889"/>
  <c r="L7" i="1889" s="1"/>
  <c r="D7" i="1889" s="1"/>
  <c r="D41" i="1889"/>
  <c r="R40" i="1889"/>
  <c r="D40" i="1889"/>
  <c r="R39" i="1889"/>
  <c r="H39" i="1889"/>
  <c r="D39" i="1889"/>
  <c r="R38" i="1889"/>
  <c r="H38" i="1889"/>
  <c r="D38" i="1889"/>
  <c r="R37" i="1889"/>
  <c r="H37" i="1889"/>
  <c r="D37" i="1889"/>
  <c r="R36" i="1889"/>
  <c r="H36" i="1889"/>
  <c r="D36" i="1889"/>
  <c r="R35" i="1889"/>
  <c r="H35" i="1889"/>
  <c r="D35" i="1889"/>
  <c r="R34" i="1889"/>
  <c r="L12" i="1889" s="1"/>
  <c r="D12" i="1889" s="1"/>
  <c r="H34" i="1889"/>
  <c r="D34" i="1889"/>
  <c r="R33" i="1889"/>
  <c r="L23" i="1889" s="1"/>
  <c r="D23" i="1889" s="1"/>
  <c r="R32" i="1889"/>
  <c r="R31" i="1889"/>
  <c r="R30" i="1889"/>
  <c r="R29" i="1889"/>
  <c r="R28" i="1889"/>
  <c r="L28" i="1889"/>
  <c r="D28" i="1889"/>
  <c r="R27" i="1889"/>
  <c r="D27" i="1889"/>
  <c r="R26" i="1889"/>
  <c r="L26" i="1889"/>
  <c r="D26" i="1889" s="1"/>
  <c r="R25" i="1889"/>
  <c r="L25" i="1889"/>
  <c r="D25" i="1889" s="1"/>
  <c r="R24" i="1889"/>
  <c r="D24" i="1889"/>
  <c r="R23" i="1889"/>
  <c r="R22" i="1889"/>
  <c r="L22" i="1889"/>
  <c r="D22" i="1889"/>
  <c r="R21" i="1889"/>
  <c r="D21" i="1889"/>
  <c r="R20" i="1889"/>
  <c r="L20" i="1889"/>
  <c r="D20" i="1889" s="1"/>
  <c r="R19" i="1889"/>
  <c r="L19" i="1889"/>
  <c r="D19" i="1889" s="1"/>
  <c r="R18" i="1889"/>
  <c r="D18" i="1889"/>
  <c r="R17" i="1889"/>
  <c r="D17" i="1889"/>
  <c r="R16" i="1889"/>
  <c r="L16" i="1889"/>
  <c r="D16" i="1889" s="1"/>
  <c r="R15" i="1889"/>
  <c r="D15" i="1889"/>
  <c r="R14" i="1889"/>
  <c r="D14" i="1889"/>
  <c r="R13" i="1889"/>
  <c r="D13" i="1889"/>
  <c r="R12" i="1889"/>
  <c r="R11" i="1889"/>
  <c r="L11" i="1889"/>
  <c r="D11" i="1889" s="1"/>
  <c r="L10" i="1889"/>
  <c r="D10" i="1889"/>
  <c r="L9" i="1889"/>
  <c r="D9" i="1889" s="1"/>
  <c r="L8" i="1889"/>
  <c r="D8" i="1889"/>
  <c r="R6" i="1889"/>
  <c r="R5" i="1889"/>
  <c r="R4" i="1889"/>
  <c r="R52" i="1888"/>
  <c r="R51" i="1888"/>
  <c r="D50" i="1888"/>
  <c r="R49" i="1888"/>
  <c r="D49" i="1888"/>
  <c r="R48" i="1888"/>
  <c r="D48" i="1888"/>
  <c r="D46" i="1888"/>
  <c r="D45" i="1888"/>
  <c r="R44" i="1888"/>
  <c r="D44" i="1888"/>
  <c r="R42" i="1888"/>
  <c r="D42" i="1888"/>
  <c r="R41" i="1888"/>
  <c r="L7" i="1888" s="1"/>
  <c r="D7" i="1888" s="1"/>
  <c r="D41" i="1888"/>
  <c r="R40" i="1888"/>
  <c r="L8" i="1888" s="1"/>
  <c r="D8" i="1888" s="1"/>
  <c r="D40" i="1888"/>
  <c r="R39" i="1888"/>
  <c r="L20" i="1888" s="1"/>
  <c r="D20" i="1888" s="1"/>
  <c r="H39" i="1888"/>
  <c r="D39" i="1888"/>
  <c r="R38" i="1888"/>
  <c r="H38" i="1888"/>
  <c r="D38" i="1888"/>
  <c r="R37" i="1888"/>
  <c r="H37" i="1888"/>
  <c r="D37" i="1888"/>
  <c r="R36" i="1888"/>
  <c r="H36" i="1888"/>
  <c r="D36" i="1888"/>
  <c r="R35" i="1888"/>
  <c r="L19" i="1888" s="1"/>
  <c r="D19" i="1888" s="1"/>
  <c r="H35" i="1888"/>
  <c r="D35" i="1888"/>
  <c r="R34" i="1888"/>
  <c r="L12" i="1888" s="1"/>
  <c r="D12" i="1888" s="1"/>
  <c r="H34" i="1888"/>
  <c r="D34" i="1888"/>
  <c r="R33" i="1888"/>
  <c r="R32" i="1888"/>
  <c r="L11" i="1888" s="1"/>
  <c r="D11" i="1888" s="1"/>
  <c r="R31" i="1888"/>
  <c r="R30" i="1888"/>
  <c r="R29" i="1888"/>
  <c r="R28" i="1888"/>
  <c r="L16" i="1888" s="1"/>
  <c r="D16" i="1888" s="1"/>
  <c r="L28" i="1888"/>
  <c r="D28" i="1888"/>
  <c r="R27" i="1888"/>
  <c r="D27" i="1888"/>
  <c r="R26" i="1888"/>
  <c r="L26" i="1888"/>
  <c r="D26" i="1888" s="1"/>
  <c r="R25" i="1888"/>
  <c r="L25" i="1888"/>
  <c r="D25" i="1888"/>
  <c r="R24" i="1888"/>
  <c r="L24" i="1888"/>
  <c r="D24" i="1888"/>
  <c r="R23" i="1888"/>
  <c r="L23" i="1888"/>
  <c r="D23" i="1888" s="1"/>
  <c r="R22" i="1888"/>
  <c r="L22" i="1888"/>
  <c r="D22" i="1888" s="1"/>
  <c r="R21" i="1888"/>
  <c r="L17" i="1888" s="1"/>
  <c r="D17" i="1888" s="1"/>
  <c r="D21" i="1888"/>
  <c r="R20" i="1888"/>
  <c r="R19" i="1888"/>
  <c r="R18" i="1888"/>
  <c r="D18" i="1888"/>
  <c r="R17" i="1888"/>
  <c r="R16" i="1888"/>
  <c r="R15" i="1888"/>
  <c r="D15" i="1888"/>
  <c r="R14" i="1888"/>
  <c r="D14" i="1888"/>
  <c r="R13" i="1888"/>
  <c r="D13" i="1888"/>
  <c r="R12" i="1888"/>
  <c r="R11" i="1888"/>
  <c r="L10" i="1888"/>
  <c r="D10" i="1888" s="1"/>
  <c r="L9" i="1888"/>
  <c r="D9" i="1888"/>
  <c r="R6" i="1888"/>
  <c r="L6" i="1888"/>
  <c r="D6" i="1888"/>
  <c r="R5" i="1888"/>
  <c r="R4" i="1888"/>
  <c r="R52" i="1887"/>
  <c r="R51" i="1887"/>
  <c r="D50" i="1887"/>
  <c r="R49" i="1887"/>
  <c r="D49" i="1887"/>
  <c r="R48" i="1887"/>
  <c r="D48" i="1887"/>
  <c r="D46" i="1887"/>
  <c r="D45" i="1887"/>
  <c r="R44" i="1887"/>
  <c r="L28" i="1887" s="1"/>
  <c r="D28" i="1887" s="1"/>
  <c r="D44" i="1887"/>
  <c r="R42" i="1887"/>
  <c r="L6" i="1887" s="1"/>
  <c r="D6" i="1887" s="1"/>
  <c r="D42" i="1887"/>
  <c r="R41" i="1887"/>
  <c r="L7" i="1887" s="1"/>
  <c r="D7" i="1887" s="1"/>
  <c r="D41" i="1887"/>
  <c r="R40" i="1887"/>
  <c r="L8" i="1887" s="1"/>
  <c r="D8" i="1887" s="1"/>
  <c r="D40" i="1887"/>
  <c r="R39" i="1887"/>
  <c r="L20" i="1887" s="1"/>
  <c r="D20" i="1887" s="1"/>
  <c r="H39" i="1887"/>
  <c r="D39" i="1887"/>
  <c r="R38" i="1887"/>
  <c r="L9" i="1887" s="1"/>
  <c r="D9" i="1887" s="1"/>
  <c r="H38" i="1887"/>
  <c r="D38" i="1887"/>
  <c r="R37" i="1887"/>
  <c r="H37" i="1887"/>
  <c r="D37" i="1887"/>
  <c r="R36" i="1887"/>
  <c r="L10" i="1887" s="1"/>
  <c r="D10" i="1887" s="1"/>
  <c r="H36" i="1887"/>
  <c r="D36" i="1887"/>
  <c r="R35" i="1887"/>
  <c r="H35" i="1887"/>
  <c r="D35" i="1887"/>
  <c r="R34" i="1887"/>
  <c r="L12" i="1887" s="1"/>
  <c r="D12" i="1887" s="1"/>
  <c r="H34" i="1887"/>
  <c r="D34" i="1887"/>
  <c r="R33" i="1887"/>
  <c r="R32" i="1887"/>
  <c r="L11" i="1887" s="1"/>
  <c r="D11" i="1887" s="1"/>
  <c r="R31" i="1887"/>
  <c r="R30" i="1887"/>
  <c r="R29" i="1887"/>
  <c r="R28" i="1887"/>
  <c r="L16" i="1887" s="1"/>
  <c r="D16" i="1887" s="1"/>
  <c r="R27" i="1887"/>
  <c r="D27" i="1887"/>
  <c r="R26" i="1887"/>
  <c r="L26" i="1887"/>
  <c r="D26" i="1887"/>
  <c r="R25" i="1887"/>
  <c r="L25" i="1887"/>
  <c r="D25" i="1887" s="1"/>
  <c r="R24" i="1887"/>
  <c r="L24" i="1887"/>
  <c r="D24" i="1887" s="1"/>
  <c r="R23" i="1887"/>
  <c r="D23" i="1887"/>
  <c r="R22" i="1887"/>
  <c r="D22" i="1887"/>
  <c r="R21" i="1887"/>
  <c r="D21" i="1887"/>
  <c r="R20" i="1887"/>
  <c r="R19" i="1887"/>
  <c r="D19" i="1887"/>
  <c r="R18" i="1887"/>
  <c r="D18" i="1887"/>
  <c r="R17" i="1887"/>
  <c r="L17" i="1887"/>
  <c r="D17" i="1887"/>
  <c r="R16" i="1887"/>
  <c r="R15" i="1887"/>
  <c r="D15" i="1887"/>
  <c r="R14" i="1887"/>
  <c r="D14" i="1887"/>
  <c r="R13" i="1887"/>
  <c r="D13" i="1887"/>
  <c r="R12" i="1887"/>
  <c r="R11" i="1887"/>
  <c r="R6" i="1887"/>
  <c r="R5" i="1887"/>
  <c r="R4" i="1887"/>
  <c r="R52" i="1886"/>
  <c r="R51" i="1886"/>
  <c r="D50" i="1886"/>
  <c r="R49" i="1886"/>
  <c r="G49" i="1886"/>
  <c r="D49" i="1886"/>
  <c r="R48" i="1886"/>
  <c r="D48" i="1886"/>
  <c r="D46" i="1886"/>
  <c r="D45" i="1886"/>
  <c r="D44" i="1886"/>
  <c r="R42" i="1886"/>
  <c r="L6" i="1886" s="1"/>
  <c r="D6" i="1886" s="1"/>
  <c r="D42" i="1886"/>
  <c r="R41" i="1886"/>
  <c r="L7" i="1886" s="1"/>
  <c r="D7" i="1886" s="1"/>
  <c r="D41" i="1886"/>
  <c r="R40" i="1886"/>
  <c r="L8" i="1886" s="1"/>
  <c r="D8" i="1886" s="1"/>
  <c r="D40" i="1886"/>
  <c r="R39" i="1886"/>
  <c r="D39" i="1886"/>
  <c r="R38" i="1886"/>
  <c r="L9" i="1886" s="1"/>
  <c r="D9" i="1886" s="1"/>
  <c r="D38" i="1886"/>
  <c r="R37" i="1886"/>
  <c r="D37" i="1886"/>
  <c r="R36" i="1886"/>
  <c r="L10" i="1886" s="1"/>
  <c r="D10" i="1886" s="1"/>
  <c r="D36" i="1886"/>
  <c r="R35" i="1886"/>
  <c r="L19" i="1886" s="1"/>
  <c r="D19" i="1886" s="1"/>
  <c r="D35" i="1886"/>
  <c r="R34" i="1886"/>
  <c r="L12" i="1886" s="1"/>
  <c r="D12" i="1886" s="1"/>
  <c r="D34" i="1886"/>
  <c r="R33" i="1886"/>
  <c r="L23" i="1886" s="1"/>
  <c r="D23" i="1886" s="1"/>
  <c r="R32" i="1886"/>
  <c r="L11" i="1886" s="1"/>
  <c r="D11" i="1886" s="1"/>
  <c r="R31" i="1886"/>
  <c r="R30" i="1886"/>
  <c r="R29" i="1886"/>
  <c r="R28" i="1886"/>
  <c r="D28" i="1886"/>
  <c r="R27" i="1886"/>
  <c r="D27" i="1886"/>
  <c r="R26" i="1886"/>
  <c r="L26" i="1886"/>
  <c r="D26" i="1886" s="1"/>
  <c r="R25" i="1886"/>
  <c r="L25" i="1886"/>
  <c r="D25" i="1886"/>
  <c r="R24" i="1886"/>
  <c r="D24" i="1886"/>
  <c r="R23" i="1886"/>
  <c r="R22" i="1886"/>
  <c r="L22" i="1886"/>
  <c r="D22" i="1886" s="1"/>
  <c r="R21" i="1886"/>
  <c r="D21" i="1886"/>
  <c r="R20" i="1886"/>
  <c r="L20" i="1886"/>
  <c r="D20" i="1886"/>
  <c r="R19" i="1886"/>
  <c r="R18" i="1886"/>
  <c r="D18" i="1886"/>
  <c r="R17" i="1886"/>
  <c r="D17" i="1886"/>
  <c r="R16" i="1886"/>
  <c r="L16" i="1886"/>
  <c r="D16" i="1886" s="1"/>
  <c r="S15" i="1886"/>
  <c r="R15" i="1886"/>
  <c r="D15" i="1886"/>
  <c r="S14" i="1886"/>
  <c r="R14" i="1886"/>
  <c r="D14" i="1886"/>
  <c r="R13" i="1886"/>
  <c r="D13" i="1886"/>
  <c r="R12" i="1886"/>
  <c r="R11" i="1886"/>
  <c r="R6" i="1886"/>
  <c r="R5" i="1886"/>
  <c r="R4" i="1886"/>
  <c r="R52" i="1885"/>
  <c r="R51" i="1885"/>
  <c r="D50" i="1885"/>
  <c r="R49" i="1885"/>
  <c r="D49" i="1885"/>
  <c r="R48" i="1885"/>
  <c r="D48" i="1885"/>
  <c r="D46" i="1885"/>
  <c r="D45" i="1885"/>
  <c r="R44" i="1885"/>
  <c r="L28" i="1885" s="1"/>
  <c r="D28" i="1885" s="1"/>
  <c r="D44" i="1885"/>
  <c r="R42" i="1885"/>
  <c r="L6" i="1885" s="1"/>
  <c r="D6" i="1885" s="1"/>
  <c r="D42" i="1885"/>
  <c r="R41" i="1885"/>
  <c r="L7" i="1885" s="1"/>
  <c r="D7" i="1885" s="1"/>
  <c r="D41" i="1885"/>
  <c r="R40" i="1885"/>
  <c r="D40" i="1885"/>
  <c r="R39" i="1885"/>
  <c r="H39" i="1885"/>
  <c r="D39" i="1885"/>
  <c r="R38" i="1885"/>
  <c r="L9" i="1885" s="1"/>
  <c r="D9" i="1885" s="1"/>
  <c r="H38" i="1885"/>
  <c r="D38" i="1885"/>
  <c r="R37" i="1885"/>
  <c r="H37" i="1885"/>
  <c r="D37" i="1885"/>
  <c r="R36" i="1885"/>
  <c r="H36" i="1885"/>
  <c r="D36" i="1885"/>
  <c r="R35" i="1885"/>
  <c r="L19" i="1885" s="1"/>
  <c r="D19" i="1885" s="1"/>
  <c r="H35" i="1885"/>
  <c r="D35" i="1885"/>
  <c r="R34" i="1885"/>
  <c r="L12" i="1885" s="1"/>
  <c r="D12" i="1885" s="1"/>
  <c r="H34" i="1885"/>
  <c r="D34" i="1885"/>
  <c r="R33" i="1885"/>
  <c r="L23" i="1885" s="1"/>
  <c r="D23" i="1885" s="1"/>
  <c r="R32" i="1885"/>
  <c r="R31" i="1885"/>
  <c r="R30" i="1885"/>
  <c r="R29" i="1885"/>
  <c r="R28" i="1885"/>
  <c r="L16" i="1885" s="1"/>
  <c r="D16" i="1885" s="1"/>
  <c r="R27" i="1885"/>
  <c r="D27" i="1885"/>
  <c r="R26" i="1885"/>
  <c r="L26" i="1885"/>
  <c r="D26" i="1885" s="1"/>
  <c r="R25" i="1885"/>
  <c r="L25" i="1885"/>
  <c r="D25" i="1885"/>
  <c r="R24" i="1885"/>
  <c r="D24" i="1885"/>
  <c r="R23" i="1885"/>
  <c r="R22" i="1885"/>
  <c r="L22" i="1885"/>
  <c r="D22" i="1885" s="1"/>
  <c r="R21" i="1885"/>
  <c r="D21" i="1885"/>
  <c r="R20" i="1885"/>
  <c r="L20" i="1885"/>
  <c r="D20" i="1885" s="1"/>
  <c r="R19" i="1885"/>
  <c r="R18" i="1885"/>
  <c r="D18" i="1885"/>
  <c r="R17" i="1885"/>
  <c r="D17" i="1885"/>
  <c r="R16" i="1885"/>
  <c r="R15" i="1885"/>
  <c r="D15" i="1885"/>
  <c r="R14" i="1885"/>
  <c r="D14" i="1885"/>
  <c r="R13" i="1885"/>
  <c r="D13" i="1885"/>
  <c r="R12" i="1885"/>
  <c r="R11" i="1885"/>
  <c r="L11" i="1885"/>
  <c r="D11" i="1885"/>
  <c r="L10" i="1885"/>
  <c r="D10" i="1885" s="1"/>
  <c r="L8" i="1885"/>
  <c r="D8" i="1885" s="1"/>
  <c r="R6" i="1885"/>
  <c r="R5" i="1885"/>
  <c r="R4" i="1885"/>
  <c r="R52" i="1884"/>
  <c r="R51" i="1884"/>
  <c r="D50" i="1884"/>
  <c r="R49" i="1884"/>
  <c r="D49" i="1884"/>
  <c r="R48" i="1884"/>
  <c r="D48" i="1884"/>
  <c r="D46" i="1884"/>
  <c r="D45" i="1884"/>
  <c r="R44" i="1884"/>
  <c r="L28" i="1884" s="1"/>
  <c r="D28" i="1884" s="1"/>
  <c r="D44" i="1884"/>
  <c r="R42" i="1884"/>
  <c r="L6" i="1884" s="1"/>
  <c r="D6" i="1884" s="1"/>
  <c r="D42" i="1884"/>
  <c r="R41" i="1884"/>
  <c r="L7" i="1884" s="1"/>
  <c r="D7" i="1884" s="1"/>
  <c r="D41" i="1884"/>
  <c r="R40" i="1884"/>
  <c r="L8" i="1884" s="1"/>
  <c r="D8" i="1884" s="1"/>
  <c r="D40" i="1884"/>
  <c r="R39" i="1884"/>
  <c r="L20" i="1884" s="1"/>
  <c r="D20" i="1884" s="1"/>
  <c r="H39" i="1884"/>
  <c r="D39" i="1884"/>
  <c r="R38" i="1884"/>
  <c r="L9" i="1884" s="1"/>
  <c r="D9" i="1884" s="1"/>
  <c r="H38" i="1884"/>
  <c r="D38" i="1884"/>
  <c r="R37" i="1884"/>
  <c r="H37" i="1884"/>
  <c r="D37" i="1884"/>
  <c r="R36" i="1884"/>
  <c r="L10" i="1884" s="1"/>
  <c r="D10" i="1884" s="1"/>
  <c r="H36" i="1884"/>
  <c r="D36" i="1884"/>
  <c r="R35" i="1884"/>
  <c r="L19" i="1884" s="1"/>
  <c r="D19" i="1884" s="1"/>
  <c r="H35" i="1884"/>
  <c r="D35" i="1884"/>
  <c r="R34" i="1884"/>
  <c r="L12" i="1884" s="1"/>
  <c r="D12" i="1884" s="1"/>
  <c r="H34" i="1884"/>
  <c r="D34" i="1884"/>
  <c r="R33" i="1884"/>
  <c r="L23" i="1884" s="1"/>
  <c r="D23" i="1884" s="1"/>
  <c r="R32" i="1884"/>
  <c r="R31" i="1884"/>
  <c r="R30" i="1884"/>
  <c r="R29" i="1884"/>
  <c r="R28" i="1884"/>
  <c r="L16" i="1884" s="1"/>
  <c r="D16" i="1884" s="1"/>
  <c r="R27" i="1884"/>
  <c r="D27" i="1884"/>
  <c r="R26" i="1884"/>
  <c r="L26" i="1884"/>
  <c r="D26" i="1884" s="1"/>
  <c r="R25" i="1884"/>
  <c r="L25" i="1884"/>
  <c r="D25" i="1884" s="1"/>
  <c r="R24" i="1884"/>
  <c r="L24" i="1884"/>
  <c r="D24" i="1884" s="1"/>
  <c r="R23" i="1884"/>
  <c r="R22" i="1884"/>
  <c r="L22" i="1884"/>
  <c r="D22" i="1884" s="1"/>
  <c r="R21" i="1884"/>
  <c r="D21" i="1884"/>
  <c r="R20" i="1884"/>
  <c r="R19" i="1884"/>
  <c r="R18" i="1884"/>
  <c r="D18" i="1884"/>
  <c r="R17" i="1884"/>
  <c r="L17" i="1884"/>
  <c r="D17" i="1884" s="1"/>
  <c r="R16" i="1884"/>
  <c r="R15" i="1884"/>
  <c r="D15" i="1884"/>
  <c r="R14" i="1884"/>
  <c r="D14" i="1884"/>
  <c r="R13" i="1884"/>
  <c r="D13" i="1884"/>
  <c r="R12" i="1884"/>
  <c r="R11" i="1884"/>
  <c r="L11" i="1884"/>
  <c r="D11" i="1884" s="1"/>
  <c r="R6" i="1884"/>
  <c r="R5" i="1884"/>
  <c r="R4" i="1884"/>
  <c r="R52" i="1883"/>
  <c r="R51" i="1883"/>
  <c r="D50" i="1883"/>
  <c r="R49" i="1883"/>
  <c r="D49" i="1883"/>
  <c r="R48" i="1883"/>
  <c r="D48" i="1883"/>
  <c r="D46" i="1883"/>
  <c r="D45" i="1883"/>
  <c r="R44" i="1883"/>
  <c r="L28" i="1883" s="1"/>
  <c r="D28" i="1883" s="1"/>
  <c r="D44" i="1883"/>
  <c r="R42" i="1883"/>
  <c r="L6" i="1883" s="1"/>
  <c r="D6" i="1883" s="1"/>
  <c r="D42" i="1883"/>
  <c r="R41" i="1883"/>
  <c r="L7" i="1883" s="1"/>
  <c r="D7" i="1883" s="1"/>
  <c r="D41" i="1883"/>
  <c r="R40" i="1883"/>
  <c r="L8" i="1883" s="1"/>
  <c r="D8" i="1883" s="1"/>
  <c r="D40" i="1883"/>
  <c r="R39" i="1883"/>
  <c r="L20" i="1883" s="1"/>
  <c r="D20" i="1883" s="1"/>
  <c r="H39" i="1883"/>
  <c r="D39" i="1883"/>
  <c r="R38" i="1883"/>
  <c r="L9" i="1883" s="1"/>
  <c r="D9" i="1883" s="1"/>
  <c r="H38" i="1883"/>
  <c r="D38" i="1883"/>
  <c r="R37" i="1883"/>
  <c r="H37" i="1883"/>
  <c r="D37" i="1883"/>
  <c r="R36" i="1883"/>
  <c r="L10" i="1883" s="1"/>
  <c r="D10" i="1883" s="1"/>
  <c r="H36" i="1883"/>
  <c r="D36" i="1883"/>
  <c r="R35" i="1883"/>
  <c r="H35" i="1883"/>
  <c r="D35" i="1883"/>
  <c r="R34" i="1883"/>
  <c r="H34" i="1883"/>
  <c r="D34" i="1883"/>
  <c r="R33" i="1883"/>
  <c r="R32" i="1883"/>
  <c r="L11" i="1883" s="1"/>
  <c r="D11" i="1883" s="1"/>
  <c r="R31" i="1883"/>
  <c r="R30" i="1883"/>
  <c r="R29" i="1883"/>
  <c r="R28" i="1883"/>
  <c r="L16" i="1883" s="1"/>
  <c r="D16" i="1883" s="1"/>
  <c r="R27" i="1883"/>
  <c r="D27" i="1883"/>
  <c r="R26" i="1883"/>
  <c r="L26" i="1883"/>
  <c r="D26" i="1883" s="1"/>
  <c r="R25" i="1883"/>
  <c r="L25" i="1883"/>
  <c r="D25" i="1883" s="1"/>
  <c r="R24" i="1883"/>
  <c r="L24" i="1883"/>
  <c r="D24" i="1883" s="1"/>
  <c r="R23" i="1883"/>
  <c r="D23" i="1883"/>
  <c r="R22" i="1883"/>
  <c r="D22" i="1883"/>
  <c r="R21" i="1883"/>
  <c r="D21" i="1883"/>
  <c r="R20" i="1883"/>
  <c r="R19" i="1883"/>
  <c r="D19" i="1883"/>
  <c r="R18" i="1883"/>
  <c r="D18" i="1883"/>
  <c r="R17" i="1883"/>
  <c r="L17" i="1883"/>
  <c r="D17" i="1883" s="1"/>
  <c r="R16" i="1883"/>
  <c r="R15" i="1883"/>
  <c r="D15" i="1883"/>
  <c r="R14" i="1883"/>
  <c r="D14" i="1883"/>
  <c r="R13" i="1883"/>
  <c r="D13" i="1883"/>
  <c r="R12" i="1883"/>
  <c r="L12" i="1883"/>
  <c r="D12" i="1883" s="1"/>
  <c r="R11" i="1883"/>
  <c r="R6" i="1883"/>
  <c r="R5" i="1883"/>
  <c r="R4" i="1883"/>
  <c r="R52" i="1882"/>
  <c r="R51" i="1882"/>
  <c r="D50" i="1882"/>
  <c r="R49" i="1882"/>
  <c r="G49" i="1882"/>
  <c r="D49" i="1882"/>
  <c r="R48" i="1882"/>
  <c r="D48" i="1882"/>
  <c r="D46" i="1882"/>
  <c r="D45" i="1882"/>
  <c r="D44" i="1882"/>
  <c r="R42" i="1882"/>
  <c r="L6" i="1882" s="1"/>
  <c r="D6" i="1882" s="1"/>
  <c r="D42" i="1882"/>
  <c r="R41" i="1882"/>
  <c r="L7" i="1882" s="1"/>
  <c r="D7" i="1882" s="1"/>
  <c r="D41" i="1882"/>
  <c r="R40" i="1882"/>
  <c r="L8" i="1882" s="1"/>
  <c r="D8" i="1882" s="1"/>
  <c r="D40" i="1882"/>
  <c r="R39" i="1882"/>
  <c r="D39" i="1882"/>
  <c r="R38" i="1882"/>
  <c r="D38" i="1882"/>
  <c r="R37" i="1882"/>
  <c r="D37" i="1882"/>
  <c r="R36" i="1882"/>
  <c r="L10" i="1882" s="1"/>
  <c r="D10" i="1882" s="1"/>
  <c r="D36" i="1882"/>
  <c r="R35" i="1882"/>
  <c r="L19" i="1882" s="1"/>
  <c r="D19" i="1882" s="1"/>
  <c r="D35" i="1882"/>
  <c r="R34" i="1882"/>
  <c r="L12" i="1882" s="1"/>
  <c r="D12" i="1882" s="1"/>
  <c r="D34" i="1882"/>
  <c r="R33" i="1882"/>
  <c r="L23" i="1882" s="1"/>
  <c r="D23" i="1882" s="1"/>
  <c r="R32" i="1882"/>
  <c r="L11" i="1882" s="1"/>
  <c r="D11" i="1882" s="1"/>
  <c r="R31" i="1882"/>
  <c r="R30" i="1882"/>
  <c r="R29" i="1882"/>
  <c r="R28" i="1882"/>
  <c r="L16" i="1882" s="1"/>
  <c r="D16" i="1882" s="1"/>
  <c r="D28" i="1882"/>
  <c r="R27" i="1882"/>
  <c r="D27" i="1882"/>
  <c r="R26" i="1882"/>
  <c r="L26" i="1882"/>
  <c r="D26" i="1882" s="1"/>
  <c r="R25" i="1882"/>
  <c r="L25" i="1882"/>
  <c r="D25" i="1882" s="1"/>
  <c r="R24" i="1882"/>
  <c r="D24" i="1882"/>
  <c r="R23" i="1882"/>
  <c r="R22" i="1882"/>
  <c r="L22" i="1882"/>
  <c r="D22" i="1882" s="1"/>
  <c r="R21" i="1882"/>
  <c r="D21" i="1882"/>
  <c r="R20" i="1882"/>
  <c r="L20" i="1882"/>
  <c r="D20" i="1882"/>
  <c r="R19" i="1882"/>
  <c r="R18" i="1882"/>
  <c r="D18" i="1882"/>
  <c r="R17" i="1882"/>
  <c r="D17" i="1882"/>
  <c r="R16" i="1882"/>
  <c r="S15" i="1882"/>
  <c r="R15" i="1882"/>
  <c r="D15" i="1882"/>
  <c r="S14" i="1882"/>
  <c r="R14" i="1882"/>
  <c r="D14" i="1882"/>
  <c r="R13" i="1882"/>
  <c r="D13" i="1882"/>
  <c r="R12" i="1882"/>
  <c r="R11" i="1882"/>
  <c r="L9" i="1882"/>
  <c r="D9" i="1882" s="1"/>
  <c r="R6" i="1882"/>
  <c r="R5" i="1882"/>
  <c r="R4" i="1882"/>
  <c r="R52" i="1881"/>
  <c r="L22" i="1881" s="1"/>
  <c r="D22" i="1881" s="1"/>
  <c r="R51" i="1881"/>
  <c r="D50" i="1881"/>
  <c r="R49" i="1881"/>
  <c r="D49" i="1881"/>
  <c r="R48" i="1881"/>
  <c r="D48" i="1881"/>
  <c r="D46" i="1881"/>
  <c r="D45" i="1881"/>
  <c r="R44" i="1881"/>
  <c r="L28" i="1881" s="1"/>
  <c r="D28" i="1881" s="1"/>
  <c r="D44" i="1881"/>
  <c r="R42" i="1881"/>
  <c r="L6" i="1881" s="1"/>
  <c r="D6" i="1881" s="1"/>
  <c r="D42" i="1881"/>
  <c r="R41" i="1881"/>
  <c r="L7" i="1881" s="1"/>
  <c r="D7" i="1881" s="1"/>
  <c r="D41" i="1881"/>
  <c r="R40" i="1881"/>
  <c r="L8" i="1881" s="1"/>
  <c r="D8" i="1881" s="1"/>
  <c r="D40" i="1881"/>
  <c r="R39" i="1881"/>
  <c r="H39" i="1881"/>
  <c r="D39" i="1881"/>
  <c r="R38" i="1881"/>
  <c r="L9" i="1881" s="1"/>
  <c r="D9" i="1881" s="1"/>
  <c r="H38" i="1881"/>
  <c r="D38" i="1881"/>
  <c r="R37" i="1881"/>
  <c r="H37" i="1881"/>
  <c r="D37" i="1881"/>
  <c r="R36" i="1881"/>
  <c r="L10" i="1881" s="1"/>
  <c r="D10" i="1881" s="1"/>
  <c r="H36" i="1881"/>
  <c r="D36" i="1881"/>
  <c r="R35" i="1881"/>
  <c r="L19" i="1881" s="1"/>
  <c r="D19" i="1881" s="1"/>
  <c r="H35" i="1881"/>
  <c r="D35" i="1881"/>
  <c r="R34" i="1881"/>
  <c r="L12" i="1881" s="1"/>
  <c r="D12" i="1881" s="1"/>
  <c r="H34" i="1881"/>
  <c r="D34" i="1881"/>
  <c r="R33" i="1881"/>
  <c r="L23" i="1881" s="1"/>
  <c r="D23" i="1881" s="1"/>
  <c r="R32" i="1881"/>
  <c r="L11" i="1881" s="1"/>
  <c r="D11" i="1881" s="1"/>
  <c r="R31" i="1881"/>
  <c r="R30" i="1881"/>
  <c r="R29" i="1881"/>
  <c r="R28" i="1881"/>
  <c r="R27" i="1881"/>
  <c r="D27" i="1881"/>
  <c r="R26" i="1881"/>
  <c r="L26" i="1881"/>
  <c r="D26" i="1881" s="1"/>
  <c r="R25" i="1881"/>
  <c r="L25" i="1881"/>
  <c r="D25" i="1881" s="1"/>
  <c r="R24" i="1881"/>
  <c r="D24" i="1881"/>
  <c r="R23" i="1881"/>
  <c r="R22" i="1881"/>
  <c r="R21" i="1881"/>
  <c r="D21" i="1881"/>
  <c r="R20" i="1881"/>
  <c r="L20" i="1881"/>
  <c r="D20" i="1881" s="1"/>
  <c r="R19" i="1881"/>
  <c r="R18" i="1881"/>
  <c r="D18" i="1881"/>
  <c r="R17" i="1881"/>
  <c r="D17" i="1881"/>
  <c r="R16" i="1881"/>
  <c r="L16" i="1881"/>
  <c r="D16" i="1881" s="1"/>
  <c r="R15" i="1881"/>
  <c r="D15" i="1881"/>
  <c r="R14" i="1881"/>
  <c r="D14" i="1881"/>
  <c r="R13" i="1881"/>
  <c r="D13" i="1881"/>
  <c r="R12" i="1881"/>
  <c r="R11" i="1881"/>
  <c r="R6" i="1881"/>
  <c r="R5" i="1881"/>
  <c r="R4" i="1881"/>
  <c r="R52" i="1880"/>
  <c r="R51" i="1880"/>
  <c r="D50" i="1880"/>
  <c r="R49" i="1880"/>
  <c r="D49" i="1880"/>
  <c r="R48" i="1880"/>
  <c r="D48" i="1880"/>
  <c r="D46" i="1880"/>
  <c r="D45" i="1880"/>
  <c r="R44" i="1880"/>
  <c r="L28" i="1880" s="1"/>
  <c r="D28" i="1880" s="1"/>
  <c r="D44" i="1880"/>
  <c r="R42" i="1880"/>
  <c r="L6" i="1880" s="1"/>
  <c r="D6" i="1880" s="1"/>
  <c r="D42" i="1880"/>
  <c r="R41" i="1880"/>
  <c r="L7" i="1880" s="1"/>
  <c r="D7" i="1880" s="1"/>
  <c r="D41" i="1880"/>
  <c r="R40" i="1880"/>
  <c r="L8" i="1880" s="1"/>
  <c r="D8" i="1880" s="1"/>
  <c r="D40" i="1880"/>
  <c r="R39" i="1880"/>
  <c r="H39" i="1880"/>
  <c r="D39" i="1880"/>
  <c r="R38" i="1880"/>
  <c r="L9" i="1880" s="1"/>
  <c r="D9" i="1880" s="1"/>
  <c r="H38" i="1880"/>
  <c r="D38" i="1880"/>
  <c r="R37" i="1880"/>
  <c r="H37" i="1880"/>
  <c r="D37" i="1880"/>
  <c r="R36" i="1880"/>
  <c r="L10" i="1880" s="1"/>
  <c r="D10" i="1880" s="1"/>
  <c r="H36" i="1880"/>
  <c r="D36" i="1880"/>
  <c r="R35" i="1880"/>
  <c r="L19" i="1880" s="1"/>
  <c r="D19" i="1880" s="1"/>
  <c r="H35" i="1880"/>
  <c r="D35" i="1880"/>
  <c r="R34" i="1880"/>
  <c r="H34" i="1880"/>
  <c r="D34" i="1880"/>
  <c r="R33" i="1880"/>
  <c r="L23" i="1880" s="1"/>
  <c r="D23" i="1880" s="1"/>
  <c r="R32" i="1880"/>
  <c r="L11" i="1880" s="1"/>
  <c r="D11" i="1880" s="1"/>
  <c r="R31" i="1880"/>
  <c r="R30" i="1880"/>
  <c r="R29" i="1880"/>
  <c r="R28" i="1880"/>
  <c r="L16" i="1880" s="1"/>
  <c r="D16" i="1880" s="1"/>
  <c r="R27" i="1880"/>
  <c r="D27" i="1880"/>
  <c r="R26" i="1880"/>
  <c r="L26" i="1880"/>
  <c r="D26" i="1880"/>
  <c r="R25" i="1880"/>
  <c r="L25" i="1880"/>
  <c r="D25" i="1880" s="1"/>
  <c r="R24" i="1880"/>
  <c r="L24" i="1880"/>
  <c r="D24" i="1880" s="1"/>
  <c r="R23" i="1880"/>
  <c r="R22" i="1880"/>
  <c r="L22" i="1880"/>
  <c r="D22" i="1880" s="1"/>
  <c r="R21" i="1880"/>
  <c r="L17" i="1880" s="1"/>
  <c r="D17" i="1880" s="1"/>
  <c r="D21" i="1880"/>
  <c r="R20" i="1880"/>
  <c r="L20" i="1880"/>
  <c r="D20" i="1880" s="1"/>
  <c r="R19" i="1880"/>
  <c r="R18" i="1880"/>
  <c r="D18" i="1880"/>
  <c r="R17" i="1880"/>
  <c r="R16" i="1880"/>
  <c r="R15" i="1880"/>
  <c r="D15" i="1880"/>
  <c r="R14" i="1880"/>
  <c r="D14" i="1880"/>
  <c r="R13" i="1880"/>
  <c r="D13" i="1880"/>
  <c r="R12" i="1880"/>
  <c r="L12" i="1880"/>
  <c r="D12" i="1880"/>
  <c r="R11" i="1880"/>
  <c r="R6" i="1880"/>
  <c r="R5" i="1880"/>
  <c r="R4" i="1880"/>
  <c r="R52" i="1879"/>
  <c r="R51" i="1879"/>
  <c r="D50" i="1879"/>
  <c r="R49" i="1879"/>
  <c r="D49" i="1879"/>
  <c r="R48" i="1879"/>
  <c r="D48" i="1879"/>
  <c r="D46" i="1879"/>
  <c r="D45" i="1879"/>
  <c r="R44" i="1879"/>
  <c r="L28" i="1879" s="1"/>
  <c r="D28" i="1879" s="1"/>
  <c r="D44" i="1879"/>
  <c r="R42" i="1879"/>
  <c r="L6" i="1879" s="1"/>
  <c r="D6" i="1879" s="1"/>
  <c r="D42" i="1879"/>
  <c r="R41" i="1879"/>
  <c r="L7" i="1879" s="1"/>
  <c r="D7" i="1879" s="1"/>
  <c r="D41" i="1879"/>
  <c r="R40" i="1879"/>
  <c r="L8" i="1879" s="1"/>
  <c r="D8" i="1879" s="1"/>
  <c r="D40" i="1879"/>
  <c r="R39" i="1879"/>
  <c r="L20" i="1879" s="1"/>
  <c r="D20" i="1879" s="1"/>
  <c r="H39" i="1879"/>
  <c r="D39" i="1879"/>
  <c r="R38" i="1879"/>
  <c r="L9" i="1879" s="1"/>
  <c r="D9" i="1879" s="1"/>
  <c r="H38" i="1879"/>
  <c r="D38" i="1879"/>
  <c r="R37" i="1879"/>
  <c r="H37" i="1879"/>
  <c r="D37" i="1879"/>
  <c r="R36" i="1879"/>
  <c r="L10" i="1879" s="1"/>
  <c r="D10" i="1879" s="1"/>
  <c r="H36" i="1879"/>
  <c r="D36" i="1879"/>
  <c r="R35" i="1879"/>
  <c r="H35" i="1879"/>
  <c r="D35" i="1879"/>
  <c r="R34" i="1879"/>
  <c r="L12" i="1879" s="1"/>
  <c r="D12" i="1879" s="1"/>
  <c r="H34" i="1879"/>
  <c r="D34" i="1879"/>
  <c r="R33" i="1879"/>
  <c r="R32" i="1879"/>
  <c r="L11" i="1879" s="1"/>
  <c r="D11" i="1879" s="1"/>
  <c r="R31" i="1879"/>
  <c r="R30" i="1879"/>
  <c r="R29" i="1879"/>
  <c r="R28" i="1879"/>
  <c r="L16" i="1879" s="1"/>
  <c r="D16" i="1879" s="1"/>
  <c r="R27" i="1879"/>
  <c r="D27" i="1879"/>
  <c r="R26" i="1879"/>
  <c r="L26" i="1879"/>
  <c r="D26" i="1879"/>
  <c r="R25" i="1879"/>
  <c r="L25" i="1879"/>
  <c r="D25" i="1879" s="1"/>
  <c r="R24" i="1879"/>
  <c r="L24" i="1879"/>
  <c r="D24" i="1879" s="1"/>
  <c r="R23" i="1879"/>
  <c r="D23" i="1879"/>
  <c r="R22" i="1879"/>
  <c r="D22" i="1879"/>
  <c r="R21" i="1879"/>
  <c r="D21" i="1879"/>
  <c r="R20" i="1879"/>
  <c r="R19" i="1879"/>
  <c r="D19" i="1879"/>
  <c r="R18" i="1879"/>
  <c r="D18" i="1879"/>
  <c r="R17" i="1879"/>
  <c r="L17" i="1879"/>
  <c r="D17" i="1879" s="1"/>
  <c r="R16" i="1879"/>
  <c r="R15" i="1879"/>
  <c r="D15" i="1879"/>
  <c r="R14" i="1879"/>
  <c r="D14" i="1879"/>
  <c r="R13" i="1879"/>
  <c r="D13" i="1879"/>
  <c r="R12" i="1879"/>
  <c r="R11" i="1879"/>
  <c r="R6" i="1879"/>
  <c r="R5" i="1879"/>
  <c r="R4" i="1879"/>
  <c r="R52" i="1878"/>
  <c r="R51" i="1878"/>
  <c r="D50" i="1878"/>
  <c r="R49" i="1878"/>
  <c r="G49" i="1878"/>
  <c r="D49" i="1878"/>
  <c r="R48" i="1878"/>
  <c r="D48" i="1878"/>
  <c r="D46" i="1878"/>
  <c r="D45" i="1878"/>
  <c r="D44" i="1878"/>
  <c r="R42" i="1878"/>
  <c r="L6" i="1878" s="1"/>
  <c r="D6" i="1878" s="1"/>
  <c r="D42" i="1878"/>
  <c r="R41" i="1878"/>
  <c r="L7" i="1878" s="1"/>
  <c r="D7" i="1878" s="1"/>
  <c r="D41" i="1878"/>
  <c r="R40" i="1878"/>
  <c r="L8" i="1878" s="1"/>
  <c r="D8" i="1878" s="1"/>
  <c r="D40" i="1878"/>
  <c r="R39" i="1878"/>
  <c r="D39" i="1878"/>
  <c r="R38" i="1878"/>
  <c r="L9" i="1878" s="1"/>
  <c r="D9" i="1878" s="1"/>
  <c r="D38" i="1878"/>
  <c r="R37" i="1878"/>
  <c r="D37" i="1878"/>
  <c r="R36" i="1878"/>
  <c r="L10" i="1878" s="1"/>
  <c r="D10" i="1878" s="1"/>
  <c r="D36" i="1878"/>
  <c r="R35" i="1878"/>
  <c r="L19" i="1878" s="1"/>
  <c r="D19" i="1878" s="1"/>
  <c r="D35" i="1878"/>
  <c r="R34" i="1878"/>
  <c r="D34" i="1878"/>
  <c r="R33" i="1878"/>
  <c r="L23" i="1878" s="1"/>
  <c r="D23" i="1878" s="1"/>
  <c r="R32" i="1878"/>
  <c r="L11" i="1878" s="1"/>
  <c r="D11" i="1878" s="1"/>
  <c r="R31" i="1878"/>
  <c r="R30" i="1878"/>
  <c r="R29" i="1878"/>
  <c r="R28" i="1878"/>
  <c r="L16" i="1878" s="1"/>
  <c r="D16" i="1878" s="1"/>
  <c r="D28" i="1878"/>
  <c r="R27" i="1878"/>
  <c r="D27" i="1878"/>
  <c r="R26" i="1878"/>
  <c r="L26" i="1878"/>
  <c r="D26" i="1878" s="1"/>
  <c r="R25" i="1878"/>
  <c r="L25" i="1878"/>
  <c r="D25" i="1878"/>
  <c r="R24" i="1878"/>
  <c r="D24" i="1878"/>
  <c r="R23" i="1878"/>
  <c r="R22" i="1878"/>
  <c r="L22" i="1878"/>
  <c r="D22" i="1878" s="1"/>
  <c r="R21" i="1878"/>
  <c r="D21" i="1878"/>
  <c r="R20" i="1878"/>
  <c r="L20" i="1878"/>
  <c r="D20" i="1878" s="1"/>
  <c r="R19" i="1878"/>
  <c r="R18" i="1878"/>
  <c r="D18" i="1878"/>
  <c r="R17" i="1878"/>
  <c r="D17" i="1878"/>
  <c r="R16" i="1878"/>
  <c r="S15" i="1878"/>
  <c r="R15" i="1878"/>
  <c r="D15" i="1878"/>
  <c r="S14" i="1878"/>
  <c r="R14" i="1878"/>
  <c r="D14" i="1878"/>
  <c r="R13" i="1878"/>
  <c r="D13" i="1878"/>
  <c r="R12" i="1878"/>
  <c r="L12" i="1878"/>
  <c r="D12" i="1878" s="1"/>
  <c r="R11" i="1878"/>
  <c r="R6" i="1878"/>
  <c r="R5" i="1878"/>
  <c r="R4" i="1878"/>
  <c r="R52" i="1877"/>
  <c r="L22" i="1877" s="1"/>
  <c r="D22" i="1877" s="1"/>
  <c r="R51" i="1877"/>
  <c r="D50" i="1877"/>
  <c r="R49" i="1877"/>
  <c r="D49" i="1877"/>
  <c r="R48" i="1877"/>
  <c r="D48" i="1877"/>
  <c r="D46" i="1877"/>
  <c r="D45" i="1877"/>
  <c r="R44" i="1877"/>
  <c r="L28" i="1877" s="1"/>
  <c r="D28" i="1877" s="1"/>
  <c r="D44" i="1877"/>
  <c r="R42" i="1877"/>
  <c r="L6" i="1877" s="1"/>
  <c r="D6" i="1877" s="1"/>
  <c r="D42" i="1877"/>
  <c r="R41" i="1877"/>
  <c r="L7" i="1877" s="1"/>
  <c r="D7" i="1877" s="1"/>
  <c r="D41" i="1877"/>
  <c r="R40" i="1877"/>
  <c r="L8" i="1877" s="1"/>
  <c r="D8" i="1877" s="1"/>
  <c r="D40" i="1877"/>
  <c r="R39" i="1877"/>
  <c r="H39" i="1877"/>
  <c r="D39" i="1877"/>
  <c r="R38" i="1877"/>
  <c r="L9" i="1877" s="1"/>
  <c r="D9" i="1877" s="1"/>
  <c r="H38" i="1877"/>
  <c r="D38" i="1877"/>
  <c r="R37" i="1877"/>
  <c r="H37" i="1877"/>
  <c r="D37" i="1877"/>
  <c r="R36" i="1877"/>
  <c r="L10" i="1877" s="1"/>
  <c r="D10" i="1877" s="1"/>
  <c r="H36" i="1877"/>
  <c r="D36" i="1877"/>
  <c r="R35" i="1877"/>
  <c r="L19" i="1877" s="1"/>
  <c r="D19" i="1877" s="1"/>
  <c r="H35" i="1877"/>
  <c r="D35" i="1877"/>
  <c r="R34" i="1877"/>
  <c r="L12" i="1877" s="1"/>
  <c r="D12" i="1877" s="1"/>
  <c r="H34" i="1877"/>
  <c r="D34" i="1877"/>
  <c r="R33" i="1877"/>
  <c r="L23" i="1877" s="1"/>
  <c r="D23" i="1877" s="1"/>
  <c r="R32" i="1877"/>
  <c r="L11" i="1877" s="1"/>
  <c r="D11" i="1877" s="1"/>
  <c r="R31" i="1877"/>
  <c r="R30" i="1877"/>
  <c r="R29" i="1877"/>
  <c r="R28" i="1877"/>
  <c r="L16" i="1877" s="1"/>
  <c r="D16" i="1877" s="1"/>
  <c r="R27" i="1877"/>
  <c r="D27" i="1877"/>
  <c r="R26" i="1877"/>
  <c r="L26" i="1877"/>
  <c r="D26" i="1877" s="1"/>
  <c r="R25" i="1877"/>
  <c r="L25" i="1877"/>
  <c r="D25" i="1877" s="1"/>
  <c r="R24" i="1877"/>
  <c r="D24" i="1877"/>
  <c r="R23" i="1877"/>
  <c r="R22" i="1877"/>
  <c r="R21" i="1877"/>
  <c r="D21" i="1877"/>
  <c r="R20" i="1877"/>
  <c r="L20" i="1877"/>
  <c r="D20" i="1877" s="1"/>
  <c r="R19" i="1877"/>
  <c r="R18" i="1877"/>
  <c r="D18" i="1877"/>
  <c r="R17" i="1877"/>
  <c r="D17" i="1877"/>
  <c r="R16" i="1877"/>
  <c r="R15" i="1877"/>
  <c r="D15" i="1877"/>
  <c r="R14" i="1877"/>
  <c r="D14" i="1877"/>
  <c r="R13" i="1877"/>
  <c r="D13" i="1877"/>
  <c r="R12" i="1877"/>
  <c r="R11" i="1877"/>
  <c r="R6" i="1877"/>
  <c r="R5" i="1877"/>
  <c r="R4" i="1877"/>
  <c r="R52" i="1876"/>
  <c r="R51" i="1876"/>
  <c r="D50" i="1876"/>
  <c r="R49" i="1876"/>
  <c r="D49" i="1876"/>
  <c r="R48" i="1876"/>
  <c r="D48" i="1876"/>
  <c r="D46" i="1876"/>
  <c r="D45" i="1876"/>
  <c r="R44" i="1876"/>
  <c r="D44" i="1876"/>
  <c r="R42" i="1876"/>
  <c r="L6" i="1876" s="1"/>
  <c r="D6" i="1876" s="1"/>
  <c r="D42" i="1876"/>
  <c r="R41" i="1876"/>
  <c r="D41" i="1876"/>
  <c r="R40" i="1876"/>
  <c r="L8" i="1876" s="1"/>
  <c r="D8" i="1876" s="1"/>
  <c r="D40" i="1876"/>
  <c r="R39" i="1876"/>
  <c r="L20" i="1876" s="1"/>
  <c r="D20" i="1876" s="1"/>
  <c r="H39" i="1876"/>
  <c r="D39" i="1876"/>
  <c r="R38" i="1876"/>
  <c r="L9" i="1876" s="1"/>
  <c r="D9" i="1876" s="1"/>
  <c r="H38" i="1876"/>
  <c r="D38" i="1876"/>
  <c r="R37" i="1876"/>
  <c r="H37" i="1876"/>
  <c r="D37" i="1876"/>
  <c r="R36" i="1876"/>
  <c r="L10" i="1876" s="1"/>
  <c r="D10" i="1876" s="1"/>
  <c r="H36" i="1876"/>
  <c r="D36" i="1876"/>
  <c r="R35" i="1876"/>
  <c r="L19" i="1876" s="1"/>
  <c r="D19" i="1876" s="1"/>
  <c r="H35" i="1876"/>
  <c r="D35" i="1876"/>
  <c r="R34" i="1876"/>
  <c r="L12" i="1876" s="1"/>
  <c r="D12" i="1876" s="1"/>
  <c r="H34" i="1876"/>
  <c r="D34" i="1876"/>
  <c r="R33" i="1876"/>
  <c r="L23" i="1876" s="1"/>
  <c r="D23" i="1876" s="1"/>
  <c r="R32" i="1876"/>
  <c r="L11" i="1876" s="1"/>
  <c r="D11" i="1876" s="1"/>
  <c r="R31" i="1876"/>
  <c r="R30" i="1876"/>
  <c r="R29" i="1876"/>
  <c r="R28" i="1876"/>
  <c r="L28" i="1876"/>
  <c r="D28" i="1876" s="1"/>
  <c r="R27" i="1876"/>
  <c r="D27" i="1876"/>
  <c r="R26" i="1876"/>
  <c r="L26" i="1876"/>
  <c r="D26" i="1876" s="1"/>
  <c r="R25" i="1876"/>
  <c r="L25" i="1876"/>
  <c r="D25" i="1876" s="1"/>
  <c r="R24" i="1876"/>
  <c r="L24" i="1876"/>
  <c r="D24" i="1876"/>
  <c r="R23" i="1876"/>
  <c r="R22" i="1876"/>
  <c r="L22" i="1876"/>
  <c r="D22" i="1876" s="1"/>
  <c r="R21" i="1876"/>
  <c r="L17" i="1876" s="1"/>
  <c r="D17" i="1876" s="1"/>
  <c r="D21" i="1876"/>
  <c r="R20" i="1876"/>
  <c r="R19" i="1876"/>
  <c r="R18" i="1876"/>
  <c r="D18" i="1876"/>
  <c r="R17" i="1876"/>
  <c r="R16" i="1876"/>
  <c r="L16" i="1876"/>
  <c r="D16" i="1876" s="1"/>
  <c r="R15" i="1876"/>
  <c r="D15" i="1876"/>
  <c r="R14" i="1876"/>
  <c r="D14" i="1876"/>
  <c r="R13" i="1876"/>
  <c r="D13" i="1876"/>
  <c r="R12" i="1876"/>
  <c r="R11" i="1876"/>
  <c r="L7" i="1876"/>
  <c r="D7" i="1876" s="1"/>
  <c r="R6" i="1876"/>
  <c r="R5" i="1876"/>
  <c r="R4" i="1876"/>
  <c r="R52" i="1875"/>
  <c r="R51" i="1875"/>
  <c r="D50" i="1875"/>
  <c r="R49" i="1875"/>
  <c r="D49" i="1875"/>
  <c r="R48" i="1875"/>
  <c r="D48" i="1875"/>
  <c r="D46" i="1875"/>
  <c r="D45" i="1875"/>
  <c r="R44" i="1875"/>
  <c r="L28" i="1875" s="1"/>
  <c r="D28" i="1875" s="1"/>
  <c r="D44" i="1875"/>
  <c r="R42" i="1875"/>
  <c r="L6" i="1875" s="1"/>
  <c r="D6" i="1875" s="1"/>
  <c r="D42" i="1875"/>
  <c r="R41" i="1875"/>
  <c r="L7" i="1875" s="1"/>
  <c r="D7" i="1875" s="1"/>
  <c r="D41" i="1875"/>
  <c r="R40" i="1875"/>
  <c r="L8" i="1875" s="1"/>
  <c r="D8" i="1875" s="1"/>
  <c r="D40" i="1875"/>
  <c r="R39" i="1875"/>
  <c r="L20" i="1875" s="1"/>
  <c r="D20" i="1875" s="1"/>
  <c r="H39" i="1875"/>
  <c r="D39" i="1875"/>
  <c r="R38" i="1875"/>
  <c r="L9" i="1875" s="1"/>
  <c r="D9" i="1875" s="1"/>
  <c r="H38" i="1875"/>
  <c r="D38" i="1875"/>
  <c r="R37" i="1875"/>
  <c r="H37" i="1875"/>
  <c r="D37" i="1875"/>
  <c r="R36" i="1875"/>
  <c r="L10" i="1875" s="1"/>
  <c r="D10" i="1875" s="1"/>
  <c r="H36" i="1875"/>
  <c r="D36" i="1875"/>
  <c r="R35" i="1875"/>
  <c r="H35" i="1875"/>
  <c r="D35" i="1875"/>
  <c r="R34" i="1875"/>
  <c r="L12" i="1875" s="1"/>
  <c r="D12" i="1875" s="1"/>
  <c r="H34" i="1875"/>
  <c r="D34" i="1875"/>
  <c r="R33" i="1875"/>
  <c r="R32" i="1875"/>
  <c r="L11" i="1875" s="1"/>
  <c r="D11" i="1875" s="1"/>
  <c r="R31" i="1875"/>
  <c r="R30" i="1875"/>
  <c r="R29" i="1875"/>
  <c r="R28" i="1875"/>
  <c r="L16" i="1875" s="1"/>
  <c r="D16" i="1875" s="1"/>
  <c r="R27" i="1875"/>
  <c r="D27" i="1875"/>
  <c r="R26" i="1875"/>
  <c r="L26" i="1875"/>
  <c r="D26" i="1875"/>
  <c r="R25" i="1875"/>
  <c r="L25" i="1875"/>
  <c r="D25" i="1875" s="1"/>
  <c r="R24" i="1875"/>
  <c r="L24" i="1875"/>
  <c r="D24" i="1875"/>
  <c r="R23" i="1875"/>
  <c r="D23" i="1875"/>
  <c r="R22" i="1875"/>
  <c r="D22" i="1875"/>
  <c r="R21" i="1875"/>
  <c r="D21" i="1875"/>
  <c r="R20" i="1875"/>
  <c r="R19" i="1875"/>
  <c r="D19" i="1875"/>
  <c r="R18" i="1875"/>
  <c r="D18" i="1875"/>
  <c r="R17" i="1875"/>
  <c r="L17" i="1875"/>
  <c r="D17" i="1875" s="1"/>
  <c r="R16" i="1875"/>
  <c r="R15" i="1875"/>
  <c r="D15" i="1875"/>
  <c r="R14" i="1875"/>
  <c r="D14" i="1875"/>
  <c r="R13" i="1875"/>
  <c r="D13" i="1875"/>
  <c r="R12" i="1875"/>
  <c r="R11" i="1875"/>
  <c r="R6" i="1875"/>
  <c r="R5" i="1875"/>
  <c r="R4" i="1875"/>
  <c r="R52" i="1874"/>
  <c r="R51" i="1874"/>
  <c r="D50" i="1874"/>
  <c r="R49" i="1874"/>
  <c r="G49" i="1874"/>
  <c r="D49" i="1874"/>
  <c r="R48" i="1874"/>
  <c r="D48" i="1874"/>
  <c r="D46" i="1874"/>
  <c r="D45" i="1874"/>
  <c r="D44" i="1874"/>
  <c r="R42" i="1874"/>
  <c r="L6" i="1874" s="1"/>
  <c r="D6" i="1874" s="1"/>
  <c r="D42" i="1874"/>
  <c r="R41" i="1874"/>
  <c r="L7" i="1874" s="1"/>
  <c r="D7" i="1874" s="1"/>
  <c r="D41" i="1874"/>
  <c r="R40" i="1874"/>
  <c r="L8" i="1874" s="1"/>
  <c r="D8" i="1874" s="1"/>
  <c r="D40" i="1874"/>
  <c r="R39" i="1874"/>
  <c r="D39" i="1874"/>
  <c r="R38" i="1874"/>
  <c r="D38" i="1874"/>
  <c r="R37" i="1874"/>
  <c r="D37" i="1874"/>
  <c r="R36" i="1874"/>
  <c r="L10" i="1874" s="1"/>
  <c r="D10" i="1874" s="1"/>
  <c r="D36" i="1874"/>
  <c r="R35" i="1874"/>
  <c r="D35" i="1874"/>
  <c r="R34" i="1874"/>
  <c r="L12" i="1874" s="1"/>
  <c r="D12" i="1874" s="1"/>
  <c r="D34" i="1874"/>
  <c r="R33" i="1874"/>
  <c r="L23" i="1874" s="1"/>
  <c r="D23" i="1874" s="1"/>
  <c r="R32" i="1874"/>
  <c r="L11" i="1874" s="1"/>
  <c r="D11" i="1874" s="1"/>
  <c r="R31" i="1874"/>
  <c r="R30" i="1874"/>
  <c r="R29" i="1874"/>
  <c r="R28" i="1874"/>
  <c r="L16" i="1874" s="1"/>
  <c r="D16" i="1874" s="1"/>
  <c r="D28" i="1874"/>
  <c r="R27" i="1874"/>
  <c r="D27" i="1874"/>
  <c r="R26" i="1874"/>
  <c r="L26" i="1874"/>
  <c r="D26" i="1874" s="1"/>
  <c r="R25" i="1874"/>
  <c r="L25" i="1874"/>
  <c r="D25" i="1874" s="1"/>
  <c r="R24" i="1874"/>
  <c r="D24" i="1874"/>
  <c r="R23" i="1874"/>
  <c r="R22" i="1874"/>
  <c r="L22" i="1874"/>
  <c r="D22" i="1874"/>
  <c r="R21" i="1874"/>
  <c r="D21" i="1874"/>
  <c r="R20" i="1874"/>
  <c r="L20" i="1874"/>
  <c r="D20" i="1874" s="1"/>
  <c r="R19" i="1874"/>
  <c r="L19" i="1874"/>
  <c r="D19" i="1874" s="1"/>
  <c r="R18" i="1874"/>
  <c r="D18" i="1874"/>
  <c r="R17" i="1874"/>
  <c r="D17" i="1874"/>
  <c r="R16" i="1874"/>
  <c r="S15" i="1874"/>
  <c r="R15" i="1874"/>
  <c r="D15" i="1874"/>
  <c r="S14" i="1874"/>
  <c r="R14" i="1874"/>
  <c r="D14" i="1874"/>
  <c r="R13" i="1874"/>
  <c r="D13" i="1874"/>
  <c r="R12" i="1874"/>
  <c r="R11" i="1874"/>
  <c r="L9" i="1874"/>
  <c r="D9" i="1874" s="1"/>
  <c r="R6" i="1874"/>
  <c r="R5" i="1874"/>
  <c r="R4" i="1874"/>
  <c r="R52" i="1873"/>
  <c r="L22" i="1873" s="1"/>
  <c r="D22" i="1873" s="1"/>
  <c r="R51" i="1873"/>
  <c r="D50" i="1873"/>
  <c r="R49" i="1873"/>
  <c r="D49" i="1873"/>
  <c r="R48" i="1873"/>
  <c r="D48" i="1873"/>
  <c r="D46" i="1873"/>
  <c r="D45" i="1873"/>
  <c r="R44" i="1873"/>
  <c r="L28" i="1873" s="1"/>
  <c r="D28" i="1873" s="1"/>
  <c r="D44" i="1873"/>
  <c r="R42" i="1873"/>
  <c r="L6" i="1873" s="1"/>
  <c r="D6" i="1873" s="1"/>
  <c r="D42" i="1873"/>
  <c r="R41" i="1873"/>
  <c r="L7" i="1873" s="1"/>
  <c r="D7" i="1873" s="1"/>
  <c r="D41" i="1873"/>
  <c r="R40" i="1873"/>
  <c r="L8" i="1873" s="1"/>
  <c r="D8" i="1873" s="1"/>
  <c r="D40" i="1873"/>
  <c r="R39" i="1873"/>
  <c r="H39" i="1873"/>
  <c r="D39" i="1873"/>
  <c r="R38" i="1873"/>
  <c r="L9" i="1873" s="1"/>
  <c r="D9" i="1873" s="1"/>
  <c r="H38" i="1873"/>
  <c r="D38" i="1873"/>
  <c r="R37" i="1873"/>
  <c r="H37" i="1873"/>
  <c r="D37" i="1873"/>
  <c r="R36" i="1873"/>
  <c r="L10" i="1873" s="1"/>
  <c r="D10" i="1873" s="1"/>
  <c r="H36" i="1873"/>
  <c r="D36" i="1873"/>
  <c r="R35" i="1873"/>
  <c r="L19" i="1873" s="1"/>
  <c r="D19" i="1873" s="1"/>
  <c r="H35" i="1873"/>
  <c r="D35" i="1873"/>
  <c r="R34" i="1873"/>
  <c r="L12" i="1873" s="1"/>
  <c r="D12" i="1873" s="1"/>
  <c r="H34" i="1873"/>
  <c r="D34" i="1873"/>
  <c r="R33" i="1873"/>
  <c r="L23" i="1873" s="1"/>
  <c r="D23" i="1873" s="1"/>
  <c r="R32" i="1873"/>
  <c r="L11" i="1873" s="1"/>
  <c r="D11" i="1873" s="1"/>
  <c r="R31" i="1873"/>
  <c r="R30" i="1873"/>
  <c r="R29" i="1873"/>
  <c r="R28" i="1873"/>
  <c r="R27" i="1873"/>
  <c r="D27" i="1873"/>
  <c r="R26" i="1873"/>
  <c r="L26" i="1873"/>
  <c r="D26" i="1873" s="1"/>
  <c r="R25" i="1873"/>
  <c r="L25" i="1873"/>
  <c r="D25" i="1873" s="1"/>
  <c r="R24" i="1873"/>
  <c r="D24" i="1873"/>
  <c r="R23" i="1873"/>
  <c r="R22" i="1873"/>
  <c r="R21" i="1873"/>
  <c r="D21" i="1873"/>
  <c r="R20" i="1873"/>
  <c r="L20" i="1873"/>
  <c r="D20" i="1873" s="1"/>
  <c r="R19" i="1873"/>
  <c r="R18" i="1873"/>
  <c r="D18" i="1873"/>
  <c r="R17" i="1873"/>
  <c r="D17" i="1873"/>
  <c r="R16" i="1873"/>
  <c r="L16" i="1873"/>
  <c r="D16" i="1873" s="1"/>
  <c r="R15" i="1873"/>
  <c r="D15" i="1873"/>
  <c r="R14" i="1873"/>
  <c r="D14" i="1873"/>
  <c r="R13" i="1873"/>
  <c r="D13" i="1873"/>
  <c r="R12" i="1873"/>
  <c r="R11" i="1873"/>
  <c r="R6" i="1873"/>
  <c r="R5" i="1873"/>
  <c r="R4" i="1873"/>
  <c r="R52" i="1872"/>
  <c r="R51" i="1872"/>
  <c r="D50" i="1872"/>
  <c r="R49" i="1872"/>
  <c r="D49" i="1872"/>
  <c r="R48" i="1872"/>
  <c r="D48" i="1872"/>
  <c r="D46" i="1872"/>
  <c r="D45" i="1872"/>
  <c r="R44" i="1872"/>
  <c r="L28" i="1872" s="1"/>
  <c r="D28" i="1872" s="1"/>
  <c r="D44" i="1872"/>
  <c r="R42" i="1872"/>
  <c r="L6" i="1872" s="1"/>
  <c r="D6" i="1872" s="1"/>
  <c r="D42" i="1872"/>
  <c r="R41" i="1872"/>
  <c r="L7" i="1872" s="1"/>
  <c r="D7" i="1872" s="1"/>
  <c r="D41" i="1872"/>
  <c r="R40" i="1872"/>
  <c r="L8" i="1872" s="1"/>
  <c r="D8" i="1872" s="1"/>
  <c r="D40" i="1872"/>
  <c r="R39" i="1872"/>
  <c r="H39" i="1872"/>
  <c r="D39" i="1872"/>
  <c r="R38" i="1872"/>
  <c r="L9" i="1872" s="1"/>
  <c r="D9" i="1872" s="1"/>
  <c r="H38" i="1872"/>
  <c r="D38" i="1872"/>
  <c r="R37" i="1872"/>
  <c r="H37" i="1872"/>
  <c r="D37" i="1872"/>
  <c r="R36" i="1872"/>
  <c r="L10" i="1872" s="1"/>
  <c r="D10" i="1872" s="1"/>
  <c r="H36" i="1872"/>
  <c r="D36" i="1872"/>
  <c r="R35" i="1872"/>
  <c r="L19" i="1872" s="1"/>
  <c r="D19" i="1872" s="1"/>
  <c r="H35" i="1872"/>
  <c r="D35" i="1872"/>
  <c r="R34" i="1872"/>
  <c r="H34" i="1872"/>
  <c r="D34" i="1872"/>
  <c r="R33" i="1872"/>
  <c r="L23" i="1872" s="1"/>
  <c r="D23" i="1872" s="1"/>
  <c r="R32" i="1872"/>
  <c r="L11" i="1872" s="1"/>
  <c r="D11" i="1872" s="1"/>
  <c r="R31" i="1872"/>
  <c r="R30" i="1872"/>
  <c r="R29" i="1872"/>
  <c r="R28" i="1872"/>
  <c r="L16" i="1872" s="1"/>
  <c r="D16" i="1872" s="1"/>
  <c r="R27" i="1872"/>
  <c r="D27" i="1872"/>
  <c r="R26" i="1872"/>
  <c r="L26" i="1872"/>
  <c r="D26" i="1872" s="1"/>
  <c r="R25" i="1872"/>
  <c r="L25" i="1872"/>
  <c r="D25" i="1872" s="1"/>
  <c r="R24" i="1872"/>
  <c r="L24" i="1872"/>
  <c r="D24" i="1872" s="1"/>
  <c r="R23" i="1872"/>
  <c r="R22" i="1872"/>
  <c r="L22" i="1872"/>
  <c r="D22" i="1872" s="1"/>
  <c r="R21" i="1872"/>
  <c r="L17" i="1872" s="1"/>
  <c r="D17" i="1872" s="1"/>
  <c r="D21" i="1872"/>
  <c r="R20" i="1872"/>
  <c r="L20" i="1872"/>
  <c r="D20" i="1872" s="1"/>
  <c r="R19" i="1872"/>
  <c r="R18" i="1872"/>
  <c r="D18" i="1872"/>
  <c r="R17" i="1872"/>
  <c r="R16" i="1872"/>
  <c r="R15" i="1872"/>
  <c r="D15" i="1872"/>
  <c r="R14" i="1872"/>
  <c r="D14" i="1872"/>
  <c r="R13" i="1872"/>
  <c r="D13" i="1872"/>
  <c r="R12" i="1872"/>
  <c r="L12" i="1872"/>
  <c r="D12" i="1872" s="1"/>
  <c r="R11" i="1872"/>
  <c r="R6" i="1872"/>
  <c r="R5" i="1872"/>
  <c r="R4" i="1872"/>
  <c r="R52" i="1871"/>
  <c r="R51" i="1871"/>
  <c r="D50" i="1871"/>
  <c r="R49" i="1871"/>
  <c r="D49" i="1871"/>
  <c r="R48" i="1871"/>
  <c r="D48" i="1871"/>
  <c r="D46" i="1871"/>
  <c r="D45" i="1871"/>
  <c r="R44" i="1871"/>
  <c r="L28" i="1871" s="1"/>
  <c r="D28" i="1871" s="1"/>
  <c r="D44" i="1871"/>
  <c r="R42" i="1871"/>
  <c r="L6" i="1871" s="1"/>
  <c r="D6" i="1871" s="1"/>
  <c r="D42" i="1871"/>
  <c r="R41" i="1871"/>
  <c r="D41" i="1871"/>
  <c r="R40" i="1871"/>
  <c r="L8" i="1871" s="1"/>
  <c r="D8" i="1871" s="1"/>
  <c r="D40" i="1871"/>
  <c r="R39" i="1871"/>
  <c r="L20" i="1871" s="1"/>
  <c r="D20" i="1871" s="1"/>
  <c r="H39" i="1871"/>
  <c r="D39" i="1871"/>
  <c r="R38" i="1871"/>
  <c r="H38" i="1871"/>
  <c r="D38" i="1871"/>
  <c r="R37" i="1871"/>
  <c r="H37" i="1871"/>
  <c r="D37" i="1871"/>
  <c r="R36" i="1871"/>
  <c r="L10" i="1871" s="1"/>
  <c r="D10" i="1871" s="1"/>
  <c r="H36" i="1871"/>
  <c r="D36" i="1871"/>
  <c r="R35" i="1871"/>
  <c r="H35" i="1871"/>
  <c r="D35" i="1871"/>
  <c r="R34" i="1871"/>
  <c r="L12" i="1871" s="1"/>
  <c r="D12" i="1871" s="1"/>
  <c r="H34" i="1871"/>
  <c r="D34" i="1871"/>
  <c r="R33" i="1871"/>
  <c r="R32" i="1871"/>
  <c r="L11" i="1871" s="1"/>
  <c r="D11" i="1871" s="1"/>
  <c r="R31" i="1871"/>
  <c r="R30" i="1871"/>
  <c r="R29" i="1871"/>
  <c r="R28" i="1871"/>
  <c r="L16" i="1871" s="1"/>
  <c r="D16" i="1871" s="1"/>
  <c r="R27" i="1871"/>
  <c r="D27" i="1871"/>
  <c r="R26" i="1871"/>
  <c r="L26" i="1871"/>
  <c r="D26" i="1871" s="1"/>
  <c r="R25" i="1871"/>
  <c r="L25" i="1871"/>
  <c r="D25" i="1871" s="1"/>
  <c r="R24" i="1871"/>
  <c r="L24" i="1871"/>
  <c r="D24" i="1871"/>
  <c r="R23" i="1871"/>
  <c r="D23" i="1871"/>
  <c r="R22" i="1871"/>
  <c r="D22" i="1871"/>
  <c r="R21" i="1871"/>
  <c r="D21" i="1871"/>
  <c r="R20" i="1871"/>
  <c r="R19" i="1871"/>
  <c r="D19" i="1871"/>
  <c r="R18" i="1871"/>
  <c r="D18" i="1871"/>
  <c r="R17" i="1871"/>
  <c r="L17" i="1871"/>
  <c r="D17" i="1871" s="1"/>
  <c r="R16" i="1871"/>
  <c r="R15" i="1871"/>
  <c r="D15" i="1871"/>
  <c r="R14" i="1871"/>
  <c r="D14" i="1871"/>
  <c r="R13" i="1871"/>
  <c r="D13" i="1871"/>
  <c r="R12" i="1871"/>
  <c r="R11" i="1871"/>
  <c r="L9" i="1871"/>
  <c r="D9" i="1871" s="1"/>
  <c r="L7" i="1871"/>
  <c r="D7" i="1871" s="1"/>
  <c r="R6" i="1871"/>
  <c r="R5" i="1871"/>
  <c r="R4" i="1871"/>
  <c r="R52" i="1870"/>
  <c r="R51" i="1870"/>
  <c r="D50" i="1870"/>
  <c r="R49" i="1870"/>
  <c r="G49" i="1870"/>
  <c r="D49" i="1870"/>
  <c r="R48" i="1870"/>
  <c r="D48" i="1870"/>
  <c r="D46" i="1870"/>
  <c r="D45" i="1870"/>
  <c r="D44" i="1870"/>
  <c r="R42" i="1870"/>
  <c r="L6" i="1870" s="1"/>
  <c r="D6" i="1870" s="1"/>
  <c r="D42" i="1870"/>
  <c r="R41" i="1870"/>
  <c r="L7" i="1870" s="1"/>
  <c r="D7" i="1870" s="1"/>
  <c r="D41" i="1870"/>
  <c r="R40" i="1870"/>
  <c r="L8" i="1870" s="1"/>
  <c r="D8" i="1870" s="1"/>
  <c r="D40" i="1870"/>
  <c r="R39" i="1870"/>
  <c r="D39" i="1870"/>
  <c r="R38" i="1870"/>
  <c r="L9" i="1870" s="1"/>
  <c r="D9" i="1870" s="1"/>
  <c r="D38" i="1870"/>
  <c r="R37" i="1870"/>
  <c r="D37" i="1870"/>
  <c r="R36" i="1870"/>
  <c r="L10" i="1870" s="1"/>
  <c r="D10" i="1870" s="1"/>
  <c r="D36" i="1870"/>
  <c r="R35" i="1870"/>
  <c r="D35" i="1870"/>
  <c r="R34" i="1870"/>
  <c r="L12" i="1870" s="1"/>
  <c r="D12" i="1870" s="1"/>
  <c r="D34" i="1870"/>
  <c r="R33" i="1870"/>
  <c r="L23" i="1870" s="1"/>
  <c r="D23" i="1870" s="1"/>
  <c r="R32" i="1870"/>
  <c r="R31" i="1870"/>
  <c r="R30" i="1870"/>
  <c r="R29" i="1870"/>
  <c r="R28" i="1870"/>
  <c r="L16" i="1870" s="1"/>
  <c r="D16" i="1870" s="1"/>
  <c r="D28" i="1870"/>
  <c r="R27" i="1870"/>
  <c r="D27" i="1870"/>
  <c r="R26" i="1870"/>
  <c r="L26" i="1870"/>
  <c r="D26" i="1870"/>
  <c r="R25" i="1870"/>
  <c r="L25" i="1870"/>
  <c r="D25" i="1870" s="1"/>
  <c r="R24" i="1870"/>
  <c r="D24" i="1870"/>
  <c r="R23" i="1870"/>
  <c r="R22" i="1870"/>
  <c r="L22" i="1870"/>
  <c r="D22" i="1870"/>
  <c r="R21" i="1870"/>
  <c r="D21" i="1870"/>
  <c r="R20" i="1870"/>
  <c r="L20" i="1870"/>
  <c r="D20" i="1870" s="1"/>
  <c r="R19" i="1870"/>
  <c r="L19" i="1870"/>
  <c r="D19" i="1870" s="1"/>
  <c r="R18" i="1870"/>
  <c r="D18" i="1870"/>
  <c r="R17" i="1870"/>
  <c r="D17" i="1870"/>
  <c r="R16" i="1870"/>
  <c r="S15" i="1870"/>
  <c r="R15" i="1870"/>
  <c r="D15" i="1870"/>
  <c r="S14" i="1870"/>
  <c r="R14" i="1870"/>
  <c r="D14" i="1870"/>
  <c r="R13" i="1870"/>
  <c r="D13" i="1870"/>
  <c r="R12" i="1870"/>
  <c r="R11" i="1870"/>
  <c r="L11" i="1870"/>
  <c r="D11" i="1870" s="1"/>
  <c r="R6" i="1870"/>
  <c r="R5" i="1870"/>
  <c r="R4" i="1870"/>
  <c r="R52" i="1869"/>
  <c r="L22" i="1869" s="1"/>
  <c r="D22" i="1869" s="1"/>
  <c r="R51" i="1869"/>
  <c r="D50" i="1869"/>
  <c r="R49" i="1869"/>
  <c r="D49" i="1869"/>
  <c r="R48" i="1869"/>
  <c r="D48" i="1869"/>
  <c r="D46" i="1869"/>
  <c r="D45" i="1869"/>
  <c r="R44" i="1869"/>
  <c r="L28" i="1869" s="1"/>
  <c r="D28" i="1869" s="1"/>
  <c r="D44" i="1869"/>
  <c r="R42" i="1869"/>
  <c r="L6" i="1869" s="1"/>
  <c r="D6" i="1869" s="1"/>
  <c r="D42" i="1869"/>
  <c r="R41" i="1869"/>
  <c r="D41" i="1869"/>
  <c r="R40" i="1869"/>
  <c r="L8" i="1869" s="1"/>
  <c r="D8" i="1869" s="1"/>
  <c r="D40" i="1869"/>
  <c r="R39" i="1869"/>
  <c r="H39" i="1869"/>
  <c r="D39" i="1869"/>
  <c r="R38" i="1869"/>
  <c r="L9" i="1869" s="1"/>
  <c r="D9" i="1869" s="1"/>
  <c r="H38" i="1869"/>
  <c r="D38" i="1869"/>
  <c r="R37" i="1869"/>
  <c r="H37" i="1869"/>
  <c r="D37" i="1869"/>
  <c r="R36" i="1869"/>
  <c r="L10" i="1869" s="1"/>
  <c r="D10" i="1869" s="1"/>
  <c r="H36" i="1869"/>
  <c r="D36" i="1869"/>
  <c r="R35" i="1869"/>
  <c r="H35" i="1869"/>
  <c r="D35" i="1869"/>
  <c r="R34" i="1869"/>
  <c r="L12" i="1869" s="1"/>
  <c r="D12" i="1869" s="1"/>
  <c r="H34" i="1869"/>
  <c r="D34" i="1869"/>
  <c r="R33" i="1869"/>
  <c r="L23" i="1869" s="1"/>
  <c r="D23" i="1869" s="1"/>
  <c r="R32" i="1869"/>
  <c r="L11" i="1869" s="1"/>
  <c r="D11" i="1869" s="1"/>
  <c r="R31" i="1869"/>
  <c r="R30" i="1869"/>
  <c r="R29" i="1869"/>
  <c r="R28" i="1869"/>
  <c r="L16" i="1869" s="1"/>
  <c r="D16" i="1869" s="1"/>
  <c r="R27" i="1869"/>
  <c r="D27" i="1869"/>
  <c r="R26" i="1869"/>
  <c r="L26" i="1869"/>
  <c r="D26" i="1869" s="1"/>
  <c r="R25" i="1869"/>
  <c r="L25" i="1869"/>
  <c r="D25" i="1869" s="1"/>
  <c r="R24" i="1869"/>
  <c r="D24" i="1869"/>
  <c r="R23" i="1869"/>
  <c r="R22" i="1869"/>
  <c r="R21" i="1869"/>
  <c r="D21" i="1869"/>
  <c r="R20" i="1869"/>
  <c r="L20" i="1869"/>
  <c r="D20" i="1869" s="1"/>
  <c r="R19" i="1869"/>
  <c r="L19" i="1869"/>
  <c r="D19" i="1869" s="1"/>
  <c r="R18" i="1869"/>
  <c r="D18" i="1869"/>
  <c r="R17" i="1869"/>
  <c r="D17" i="1869"/>
  <c r="R16" i="1869"/>
  <c r="R15" i="1869"/>
  <c r="D15" i="1869"/>
  <c r="R14" i="1869"/>
  <c r="D14" i="1869"/>
  <c r="R13" i="1869"/>
  <c r="D13" i="1869"/>
  <c r="R12" i="1869"/>
  <c r="R11" i="1869"/>
  <c r="L7" i="1869"/>
  <c r="D7" i="1869" s="1"/>
  <c r="R6" i="1869"/>
  <c r="R5" i="1869"/>
  <c r="R4" i="1869"/>
  <c r="R52" i="1868"/>
  <c r="R51" i="1868"/>
  <c r="D50" i="1868"/>
  <c r="R49" i="1868"/>
  <c r="D49" i="1868"/>
  <c r="R48" i="1868"/>
  <c r="D48" i="1868"/>
  <c r="D46" i="1868"/>
  <c r="D45" i="1868"/>
  <c r="R44" i="1868"/>
  <c r="L28" i="1868" s="1"/>
  <c r="D28" i="1868" s="1"/>
  <c r="D44" i="1868"/>
  <c r="R42" i="1868"/>
  <c r="L6" i="1868" s="1"/>
  <c r="D6" i="1868" s="1"/>
  <c r="D42" i="1868"/>
  <c r="R41" i="1868"/>
  <c r="L7" i="1868" s="1"/>
  <c r="D7" i="1868" s="1"/>
  <c r="D41" i="1868"/>
  <c r="R40" i="1868"/>
  <c r="L8" i="1868" s="1"/>
  <c r="D8" i="1868" s="1"/>
  <c r="D40" i="1868"/>
  <c r="R39" i="1868"/>
  <c r="L20" i="1868" s="1"/>
  <c r="D20" i="1868" s="1"/>
  <c r="H39" i="1868"/>
  <c r="D39" i="1868"/>
  <c r="R38" i="1868"/>
  <c r="L9" i="1868" s="1"/>
  <c r="D9" i="1868" s="1"/>
  <c r="H38" i="1868"/>
  <c r="D38" i="1868"/>
  <c r="R37" i="1868"/>
  <c r="H37" i="1868"/>
  <c r="D37" i="1868"/>
  <c r="R36" i="1868"/>
  <c r="L10" i="1868" s="1"/>
  <c r="D10" i="1868" s="1"/>
  <c r="H36" i="1868"/>
  <c r="D36" i="1868"/>
  <c r="R35" i="1868"/>
  <c r="L19" i="1868" s="1"/>
  <c r="D19" i="1868" s="1"/>
  <c r="H35" i="1868"/>
  <c r="D35" i="1868"/>
  <c r="R34" i="1868"/>
  <c r="L12" i="1868" s="1"/>
  <c r="D12" i="1868" s="1"/>
  <c r="H34" i="1868"/>
  <c r="D34" i="1868"/>
  <c r="R33" i="1868"/>
  <c r="L23" i="1868" s="1"/>
  <c r="D23" i="1868" s="1"/>
  <c r="R32" i="1868"/>
  <c r="R31" i="1868"/>
  <c r="R30" i="1868"/>
  <c r="R29" i="1868"/>
  <c r="R28" i="1868"/>
  <c r="L16" i="1868" s="1"/>
  <c r="D16" i="1868" s="1"/>
  <c r="R27" i="1868"/>
  <c r="D27" i="1868"/>
  <c r="R26" i="1868"/>
  <c r="L26" i="1868"/>
  <c r="D26" i="1868" s="1"/>
  <c r="R25" i="1868"/>
  <c r="L25" i="1868"/>
  <c r="D25" i="1868" s="1"/>
  <c r="R24" i="1868"/>
  <c r="L24" i="1868"/>
  <c r="D24" i="1868"/>
  <c r="R23" i="1868"/>
  <c r="R22" i="1868"/>
  <c r="L22" i="1868"/>
  <c r="D22" i="1868" s="1"/>
  <c r="R21" i="1868"/>
  <c r="L17" i="1868" s="1"/>
  <c r="D17" i="1868" s="1"/>
  <c r="D21" i="1868"/>
  <c r="R20" i="1868"/>
  <c r="R19" i="1868"/>
  <c r="R18" i="1868"/>
  <c r="D18" i="1868"/>
  <c r="R17" i="1868"/>
  <c r="R16" i="1868"/>
  <c r="R15" i="1868"/>
  <c r="D15" i="1868"/>
  <c r="R14" i="1868"/>
  <c r="D14" i="1868"/>
  <c r="R13" i="1868"/>
  <c r="D13" i="1868"/>
  <c r="R12" i="1868"/>
  <c r="R11" i="1868"/>
  <c r="L11" i="1868"/>
  <c r="D11" i="1868" s="1"/>
  <c r="R6" i="1868"/>
  <c r="R5" i="1868"/>
  <c r="R4" i="1868"/>
  <c r="R52" i="1867"/>
  <c r="R51" i="1867"/>
  <c r="D50" i="1867"/>
  <c r="R49" i="1867"/>
  <c r="D49" i="1867"/>
  <c r="R48" i="1867"/>
  <c r="D48" i="1867"/>
  <c r="D46" i="1867"/>
  <c r="D45" i="1867"/>
  <c r="R44" i="1867"/>
  <c r="L28" i="1867" s="1"/>
  <c r="D28" i="1867" s="1"/>
  <c r="D44" i="1867"/>
  <c r="R42" i="1867"/>
  <c r="L6" i="1867" s="1"/>
  <c r="D6" i="1867" s="1"/>
  <c r="D42" i="1867"/>
  <c r="R41" i="1867"/>
  <c r="L7" i="1867" s="1"/>
  <c r="D7" i="1867" s="1"/>
  <c r="D41" i="1867"/>
  <c r="R40" i="1867"/>
  <c r="L8" i="1867" s="1"/>
  <c r="D8" i="1867" s="1"/>
  <c r="D40" i="1867"/>
  <c r="R39" i="1867"/>
  <c r="L20" i="1867" s="1"/>
  <c r="D20" i="1867" s="1"/>
  <c r="H39" i="1867"/>
  <c r="D39" i="1867"/>
  <c r="R38" i="1867"/>
  <c r="H38" i="1867"/>
  <c r="D38" i="1867"/>
  <c r="R37" i="1867"/>
  <c r="H37" i="1867"/>
  <c r="D37" i="1867"/>
  <c r="R36" i="1867"/>
  <c r="H36" i="1867"/>
  <c r="D36" i="1867"/>
  <c r="R35" i="1867"/>
  <c r="H35" i="1867"/>
  <c r="D35" i="1867"/>
  <c r="R34" i="1867"/>
  <c r="L12" i="1867" s="1"/>
  <c r="D12" i="1867" s="1"/>
  <c r="H34" i="1867"/>
  <c r="D34" i="1867"/>
  <c r="R33" i="1867"/>
  <c r="R32" i="1867"/>
  <c r="L11" i="1867" s="1"/>
  <c r="D11" i="1867" s="1"/>
  <c r="R31" i="1867"/>
  <c r="R30" i="1867"/>
  <c r="R29" i="1867"/>
  <c r="R28" i="1867"/>
  <c r="R27" i="1867"/>
  <c r="D27" i="1867"/>
  <c r="R26" i="1867"/>
  <c r="L26" i="1867"/>
  <c r="D26" i="1867" s="1"/>
  <c r="R25" i="1867"/>
  <c r="L25" i="1867"/>
  <c r="D25" i="1867" s="1"/>
  <c r="R24" i="1867"/>
  <c r="L24" i="1867"/>
  <c r="D24" i="1867" s="1"/>
  <c r="R23" i="1867"/>
  <c r="D23" i="1867"/>
  <c r="R22" i="1867"/>
  <c r="D22" i="1867"/>
  <c r="R21" i="1867"/>
  <c r="D21" i="1867"/>
  <c r="R20" i="1867"/>
  <c r="R19" i="1867"/>
  <c r="D19" i="1867"/>
  <c r="R18" i="1867"/>
  <c r="D18" i="1867"/>
  <c r="R17" i="1867"/>
  <c r="L17" i="1867"/>
  <c r="D17" i="1867" s="1"/>
  <c r="R16" i="1867"/>
  <c r="L16" i="1867"/>
  <c r="D16" i="1867" s="1"/>
  <c r="R15" i="1867"/>
  <c r="D15" i="1867"/>
  <c r="R14" i="1867"/>
  <c r="D14" i="1867"/>
  <c r="R13" i="1867"/>
  <c r="D13" i="1867"/>
  <c r="R12" i="1867"/>
  <c r="R11" i="1867"/>
  <c r="L10" i="1867"/>
  <c r="D10" i="1867" s="1"/>
  <c r="L9" i="1867"/>
  <c r="D9" i="1867" s="1"/>
  <c r="R6" i="1867"/>
  <c r="R5" i="1867"/>
  <c r="R4" i="1867"/>
  <c r="R52" i="1866"/>
  <c r="R51" i="1866"/>
  <c r="D50" i="1866"/>
  <c r="R49" i="1866"/>
  <c r="G49" i="1866"/>
  <c r="D49" i="1866"/>
  <c r="R48" i="1866"/>
  <c r="D48" i="1866"/>
  <c r="D46" i="1866"/>
  <c r="D45" i="1866"/>
  <c r="D44" i="1866"/>
  <c r="R42" i="1866"/>
  <c r="L6" i="1866" s="1"/>
  <c r="D6" i="1866" s="1"/>
  <c r="D42" i="1866"/>
  <c r="R41" i="1866"/>
  <c r="L7" i="1866" s="1"/>
  <c r="D7" i="1866" s="1"/>
  <c r="D41" i="1866"/>
  <c r="R40" i="1866"/>
  <c r="L8" i="1866" s="1"/>
  <c r="D8" i="1866" s="1"/>
  <c r="D40" i="1866"/>
  <c r="R39" i="1866"/>
  <c r="D39" i="1866"/>
  <c r="R38" i="1866"/>
  <c r="L9" i="1866" s="1"/>
  <c r="D9" i="1866" s="1"/>
  <c r="D38" i="1866"/>
  <c r="R37" i="1866"/>
  <c r="D37" i="1866"/>
  <c r="R36" i="1866"/>
  <c r="L10" i="1866" s="1"/>
  <c r="D10" i="1866" s="1"/>
  <c r="D36" i="1866"/>
  <c r="R35" i="1866"/>
  <c r="L19" i="1866" s="1"/>
  <c r="D19" i="1866" s="1"/>
  <c r="D35" i="1866"/>
  <c r="R34" i="1866"/>
  <c r="L12" i="1866" s="1"/>
  <c r="D12" i="1866" s="1"/>
  <c r="D34" i="1866"/>
  <c r="R33" i="1866"/>
  <c r="L23" i="1866" s="1"/>
  <c r="D23" i="1866" s="1"/>
  <c r="R32" i="1866"/>
  <c r="L11" i="1866" s="1"/>
  <c r="D11" i="1866" s="1"/>
  <c r="R31" i="1866"/>
  <c r="R30" i="1866"/>
  <c r="R29" i="1866"/>
  <c r="R28" i="1866"/>
  <c r="L16" i="1866" s="1"/>
  <c r="D16" i="1866" s="1"/>
  <c r="D28" i="1866"/>
  <c r="R27" i="1866"/>
  <c r="D27" i="1866"/>
  <c r="R26" i="1866"/>
  <c r="L26" i="1866"/>
  <c r="D26" i="1866" s="1"/>
  <c r="R25" i="1866"/>
  <c r="L25" i="1866"/>
  <c r="D25" i="1866" s="1"/>
  <c r="R24" i="1866"/>
  <c r="D24" i="1866"/>
  <c r="R23" i="1866"/>
  <c r="R22" i="1866"/>
  <c r="L22" i="1866"/>
  <c r="D22" i="1866" s="1"/>
  <c r="R21" i="1866"/>
  <c r="D21" i="1866"/>
  <c r="R20" i="1866"/>
  <c r="L20" i="1866"/>
  <c r="D20" i="1866" s="1"/>
  <c r="R19" i="1866"/>
  <c r="R18" i="1866"/>
  <c r="D18" i="1866"/>
  <c r="R17" i="1866"/>
  <c r="D17" i="1866"/>
  <c r="R16" i="1866"/>
  <c r="S15" i="1866"/>
  <c r="R15" i="1866"/>
  <c r="D15" i="1866"/>
  <c r="S14" i="1866"/>
  <c r="R14" i="1866"/>
  <c r="D14" i="1866"/>
  <c r="R13" i="1866"/>
  <c r="D13" i="1866"/>
  <c r="R12" i="1866"/>
  <c r="R11" i="1866"/>
  <c r="R6" i="1866"/>
  <c r="R5" i="1866"/>
  <c r="R4" i="1866"/>
  <c r="G49" i="1889" l="1"/>
  <c r="D54" i="1869"/>
  <c r="H14" i="1869" s="1"/>
  <c r="G49" i="1885"/>
  <c r="G49" i="1868"/>
  <c r="D54" i="1880"/>
  <c r="H14" i="1880" s="1"/>
  <c r="D54" i="1881"/>
  <c r="H14" i="1881" s="1"/>
  <c r="G49" i="1877"/>
  <c r="D54" i="1879"/>
  <c r="H14" i="1879" s="1"/>
  <c r="G49" i="1881"/>
  <c r="D54" i="1867"/>
  <c r="H14" i="1867" s="1"/>
  <c r="D29" i="1881"/>
  <c r="H13" i="1881" s="1"/>
  <c r="H15" i="1881" s="1"/>
  <c r="H29" i="1881" s="1"/>
  <c r="D29" i="1887"/>
  <c r="H13" i="1887" s="1"/>
  <c r="H15" i="1887" s="1"/>
  <c r="H29" i="1887" s="1"/>
  <c r="D29" i="1866"/>
  <c r="H13" i="1866" s="1"/>
  <c r="H15" i="1866" s="1"/>
  <c r="H29" i="1866" s="1"/>
  <c r="G51" i="1866" s="1"/>
  <c r="D54" i="1874"/>
  <c r="H14" i="1874" s="1"/>
  <c r="D54" i="1878"/>
  <c r="H14" i="1878" s="1"/>
  <c r="G49" i="1883"/>
  <c r="D54" i="1884"/>
  <c r="H14" i="1884" s="1"/>
  <c r="G49" i="1888"/>
  <c r="D54" i="1871"/>
  <c r="H14" i="1871" s="1"/>
  <c r="G49" i="1884"/>
  <c r="G49" i="1872"/>
  <c r="D54" i="1876"/>
  <c r="H14" i="1876" s="1"/>
  <c r="D54" i="1883"/>
  <c r="H14" i="1883" s="1"/>
  <c r="D54" i="1888"/>
  <c r="H14" i="1888" s="1"/>
  <c r="G49" i="1869"/>
  <c r="G49" i="1867"/>
  <c r="D54" i="1868"/>
  <c r="H14" i="1868" s="1"/>
  <c r="D54" i="1885"/>
  <c r="H14" i="1885" s="1"/>
  <c r="D54" i="1886"/>
  <c r="H14" i="1886" s="1"/>
  <c r="D54" i="1889"/>
  <c r="H14" i="1889" s="1"/>
  <c r="D29" i="1869"/>
  <c r="H13" i="1869" s="1"/>
  <c r="D54" i="1882"/>
  <c r="H14" i="1882" s="1"/>
  <c r="D54" i="1873"/>
  <c r="H14" i="1873" s="1"/>
  <c r="D54" i="1866"/>
  <c r="H14" i="1866" s="1"/>
  <c r="G49" i="1871"/>
  <c r="D54" i="1872"/>
  <c r="H14" i="1872" s="1"/>
  <c r="G49" i="1873"/>
  <c r="D54" i="1875"/>
  <c r="H14" i="1875" s="1"/>
  <c r="G49" i="1879"/>
  <c r="D54" i="1887"/>
  <c r="H14" i="1887" s="1"/>
  <c r="G49" i="1875"/>
  <c r="G49" i="1876"/>
  <c r="G49" i="1887"/>
  <c r="G51" i="1887" s="1"/>
  <c r="D54" i="1877"/>
  <c r="H14" i="1877" s="1"/>
  <c r="D29" i="1882"/>
  <c r="H13" i="1882" s="1"/>
  <c r="D54" i="1870"/>
  <c r="H14" i="1870" s="1"/>
  <c r="G49" i="1880"/>
  <c r="D29" i="1889"/>
  <c r="H13" i="1889" s="1"/>
  <c r="D29" i="1888"/>
  <c r="H13" i="1888" s="1"/>
  <c r="H15" i="1888" s="1"/>
  <c r="H29" i="1888" s="1"/>
  <c r="D29" i="1886"/>
  <c r="H13" i="1886" s="1"/>
  <c r="D29" i="1885"/>
  <c r="H13" i="1885" s="1"/>
  <c r="D29" i="1884"/>
  <c r="H13" i="1884" s="1"/>
  <c r="D29" i="1883"/>
  <c r="H13" i="1883" s="1"/>
  <c r="G51" i="1881"/>
  <c r="D29" i="1880"/>
  <c r="H13" i="1880" s="1"/>
  <c r="H15" i="1880" s="1"/>
  <c r="H29" i="1880" s="1"/>
  <c r="G51" i="1880"/>
  <c r="D29" i="1879"/>
  <c r="H13" i="1879" s="1"/>
  <c r="D29" i="1878"/>
  <c r="H13" i="1878" s="1"/>
  <c r="H15" i="1878" s="1"/>
  <c r="H29" i="1878" s="1"/>
  <c r="G51" i="1878" s="1"/>
  <c r="D29" i="1877"/>
  <c r="H13" i="1877" s="1"/>
  <c r="D29" i="1876"/>
  <c r="H13" i="1876" s="1"/>
  <c r="D29" i="1875"/>
  <c r="H13" i="1875" s="1"/>
  <c r="D29" i="1874"/>
  <c r="H13" i="1874" s="1"/>
  <c r="D29" i="1873"/>
  <c r="H13" i="1873" s="1"/>
  <c r="D29" i="1872"/>
  <c r="H13" i="1872" s="1"/>
  <c r="D29" i="1871"/>
  <c r="H13" i="1871" s="1"/>
  <c r="D29" i="1870"/>
  <c r="H13" i="1870" s="1"/>
  <c r="H15" i="1870" s="1"/>
  <c r="H29" i="1870" s="1"/>
  <c r="G51" i="1870" s="1"/>
  <c r="D29" i="1868"/>
  <c r="H13" i="1868" s="1"/>
  <c r="D29" i="1867"/>
  <c r="H13" i="1867" s="1"/>
  <c r="H16" i="1861"/>
  <c r="C21" i="1859"/>
  <c r="G51" i="1888" l="1"/>
  <c r="H15" i="1889"/>
  <c r="H29" i="1889" s="1"/>
  <c r="G51" i="1889" s="1"/>
  <c r="H15" i="1885"/>
  <c r="H29" i="1885" s="1"/>
  <c r="G51" i="1885" s="1"/>
  <c r="H15" i="1876"/>
  <c r="H29" i="1876" s="1"/>
  <c r="G51" i="1876" s="1"/>
  <c r="H15" i="1873"/>
  <c r="H29" i="1873" s="1"/>
  <c r="G51" i="1873" s="1"/>
  <c r="H15" i="1868"/>
  <c r="H29" i="1868" s="1"/>
  <c r="G51" i="1868" s="1"/>
  <c r="H15" i="1879"/>
  <c r="H29" i="1879" s="1"/>
  <c r="G51" i="1879" s="1"/>
  <c r="H15" i="1871"/>
  <c r="H29" i="1871" s="1"/>
  <c r="G51" i="1871" s="1"/>
  <c r="H15" i="1884"/>
  <c r="H29" i="1884" s="1"/>
  <c r="G51" i="1884" s="1"/>
  <c r="H15" i="1869"/>
  <c r="H29" i="1869" s="1"/>
  <c r="G51" i="1869" s="1"/>
  <c r="H15" i="1867"/>
  <c r="H29" i="1867" s="1"/>
  <c r="G51" i="1867" s="1"/>
  <c r="H15" i="1872"/>
  <c r="H29" i="1872" s="1"/>
  <c r="G51" i="1872" s="1"/>
  <c r="H15" i="1883"/>
  <c r="H29" i="1883" s="1"/>
  <c r="G51" i="1883" s="1"/>
  <c r="H15" i="1882"/>
  <c r="H29" i="1882" s="1"/>
  <c r="G51" i="1882" s="1"/>
  <c r="H15" i="1874"/>
  <c r="H29" i="1874" s="1"/>
  <c r="G51" i="1874" s="1"/>
  <c r="H15" i="1875"/>
  <c r="H29" i="1875" s="1"/>
  <c r="G51" i="1875" s="1"/>
  <c r="H15" i="1877"/>
  <c r="H29" i="1877" s="1"/>
  <c r="G51" i="1877" s="1"/>
  <c r="H15" i="1886"/>
  <c r="H29" i="1886" s="1"/>
  <c r="G51" i="1886" s="1"/>
  <c r="H16" i="1851"/>
  <c r="H16" i="1852"/>
  <c r="C20" i="1852"/>
  <c r="C19" i="1852"/>
  <c r="C21" i="1852"/>
  <c r="H16" i="1848" l="1"/>
  <c r="H16" i="1847"/>
  <c r="H16" i="1849"/>
  <c r="H16" i="1844" l="1"/>
  <c r="H16" i="1845"/>
  <c r="C21" i="1843"/>
  <c r="H16" i="1821" l="1"/>
  <c r="H16" i="1820"/>
  <c r="L25" i="1820"/>
  <c r="L24" i="1820"/>
  <c r="H16" i="1819" l="1"/>
  <c r="R52" i="1865" l="1"/>
  <c r="L22" i="1865" s="1"/>
  <c r="D22" i="1865" s="1"/>
  <c r="R51" i="1865"/>
  <c r="D50" i="1865"/>
  <c r="R49" i="1865"/>
  <c r="D49" i="1865"/>
  <c r="R48" i="1865"/>
  <c r="D48" i="1865"/>
  <c r="D46" i="1865"/>
  <c r="D45" i="1865"/>
  <c r="R44" i="1865"/>
  <c r="L28" i="1865" s="1"/>
  <c r="D28" i="1865" s="1"/>
  <c r="D44" i="1865"/>
  <c r="R42" i="1865"/>
  <c r="L6" i="1865" s="1"/>
  <c r="D6" i="1865" s="1"/>
  <c r="D42" i="1865"/>
  <c r="R41" i="1865"/>
  <c r="L7" i="1865" s="1"/>
  <c r="D7" i="1865" s="1"/>
  <c r="D41" i="1865"/>
  <c r="R40" i="1865"/>
  <c r="D40" i="1865"/>
  <c r="R39" i="1865"/>
  <c r="H39" i="1865"/>
  <c r="D39" i="1865"/>
  <c r="R38" i="1865"/>
  <c r="L9" i="1865" s="1"/>
  <c r="D9" i="1865" s="1"/>
  <c r="H38" i="1865"/>
  <c r="D38" i="1865"/>
  <c r="R37" i="1865"/>
  <c r="H37" i="1865"/>
  <c r="D37" i="1865"/>
  <c r="R36" i="1865"/>
  <c r="L10" i="1865" s="1"/>
  <c r="D10" i="1865" s="1"/>
  <c r="H36" i="1865"/>
  <c r="D36" i="1865"/>
  <c r="R35" i="1865"/>
  <c r="L19" i="1865" s="1"/>
  <c r="D19" i="1865" s="1"/>
  <c r="H35" i="1865"/>
  <c r="D35" i="1865"/>
  <c r="R34" i="1865"/>
  <c r="L12" i="1865" s="1"/>
  <c r="D12" i="1865" s="1"/>
  <c r="H34" i="1865"/>
  <c r="D34" i="1865"/>
  <c r="R33" i="1865"/>
  <c r="L23" i="1865" s="1"/>
  <c r="D23" i="1865" s="1"/>
  <c r="R32" i="1865"/>
  <c r="L11" i="1865" s="1"/>
  <c r="D11" i="1865" s="1"/>
  <c r="R31" i="1865"/>
  <c r="R30" i="1865"/>
  <c r="R29" i="1865"/>
  <c r="R28" i="1865"/>
  <c r="L16" i="1865" s="1"/>
  <c r="D16" i="1865" s="1"/>
  <c r="R27" i="1865"/>
  <c r="D27" i="1865"/>
  <c r="R26" i="1865"/>
  <c r="L26" i="1865"/>
  <c r="D26" i="1865" s="1"/>
  <c r="R25" i="1865"/>
  <c r="L25" i="1865"/>
  <c r="D25" i="1865" s="1"/>
  <c r="R24" i="1865"/>
  <c r="D24" i="1865"/>
  <c r="R23" i="1865"/>
  <c r="R22" i="1865"/>
  <c r="R21" i="1865"/>
  <c r="D21" i="1865"/>
  <c r="R20" i="1865"/>
  <c r="L20" i="1865"/>
  <c r="D20" i="1865" s="1"/>
  <c r="R19" i="1865"/>
  <c r="R18" i="1865"/>
  <c r="D18" i="1865"/>
  <c r="R17" i="1865"/>
  <c r="D17" i="1865"/>
  <c r="R16" i="1865"/>
  <c r="R15" i="1865"/>
  <c r="D15" i="1865"/>
  <c r="R14" i="1865"/>
  <c r="D14" i="1865"/>
  <c r="R13" i="1865"/>
  <c r="D13" i="1865"/>
  <c r="R12" i="1865"/>
  <c r="R11" i="1865"/>
  <c r="L8" i="1865"/>
  <c r="D8" i="1865" s="1"/>
  <c r="R6" i="1865"/>
  <c r="R5" i="1865"/>
  <c r="R4" i="1865"/>
  <c r="R52" i="1864"/>
  <c r="R51" i="1864"/>
  <c r="D50" i="1864"/>
  <c r="R49" i="1864"/>
  <c r="D49" i="1864"/>
  <c r="R48" i="1864"/>
  <c r="D48" i="1864"/>
  <c r="D46" i="1864"/>
  <c r="D45" i="1864"/>
  <c r="R44" i="1864"/>
  <c r="L28" i="1864" s="1"/>
  <c r="D28" i="1864" s="1"/>
  <c r="D44" i="1864"/>
  <c r="R42" i="1864"/>
  <c r="L6" i="1864" s="1"/>
  <c r="D6" i="1864" s="1"/>
  <c r="D42" i="1864"/>
  <c r="R41" i="1864"/>
  <c r="L7" i="1864" s="1"/>
  <c r="D7" i="1864" s="1"/>
  <c r="D41" i="1864"/>
  <c r="R40" i="1864"/>
  <c r="D40" i="1864"/>
  <c r="R39" i="1864"/>
  <c r="L20" i="1864" s="1"/>
  <c r="D20" i="1864" s="1"/>
  <c r="H39" i="1864"/>
  <c r="D39" i="1864"/>
  <c r="R38" i="1864"/>
  <c r="L9" i="1864" s="1"/>
  <c r="D9" i="1864" s="1"/>
  <c r="H38" i="1864"/>
  <c r="D38" i="1864"/>
  <c r="R37" i="1864"/>
  <c r="H37" i="1864"/>
  <c r="D37" i="1864"/>
  <c r="R36" i="1864"/>
  <c r="L10" i="1864" s="1"/>
  <c r="D10" i="1864" s="1"/>
  <c r="H36" i="1864"/>
  <c r="D36" i="1864"/>
  <c r="R35" i="1864"/>
  <c r="L19" i="1864" s="1"/>
  <c r="D19" i="1864" s="1"/>
  <c r="H35" i="1864"/>
  <c r="D35" i="1864"/>
  <c r="R34" i="1864"/>
  <c r="L12" i="1864" s="1"/>
  <c r="D12" i="1864" s="1"/>
  <c r="H34" i="1864"/>
  <c r="D34" i="1864"/>
  <c r="R33" i="1864"/>
  <c r="L23" i="1864" s="1"/>
  <c r="D23" i="1864" s="1"/>
  <c r="R32" i="1864"/>
  <c r="L11" i="1864" s="1"/>
  <c r="D11" i="1864" s="1"/>
  <c r="R31" i="1864"/>
  <c r="R30" i="1864"/>
  <c r="R29" i="1864"/>
  <c r="R28" i="1864"/>
  <c r="R27" i="1864"/>
  <c r="D27" i="1864"/>
  <c r="R26" i="1864"/>
  <c r="L26" i="1864"/>
  <c r="D26" i="1864" s="1"/>
  <c r="R25" i="1864"/>
  <c r="L25" i="1864"/>
  <c r="D25" i="1864"/>
  <c r="R24" i="1864"/>
  <c r="L24" i="1864"/>
  <c r="D24" i="1864" s="1"/>
  <c r="R23" i="1864"/>
  <c r="R22" i="1864"/>
  <c r="L22" i="1864"/>
  <c r="D22" i="1864" s="1"/>
  <c r="R21" i="1864"/>
  <c r="L17" i="1864" s="1"/>
  <c r="D17" i="1864" s="1"/>
  <c r="D21" i="1864"/>
  <c r="R20" i="1864"/>
  <c r="R19" i="1864"/>
  <c r="R18" i="1864"/>
  <c r="D18" i="1864"/>
  <c r="R17" i="1864"/>
  <c r="R16" i="1864"/>
  <c r="L16" i="1864"/>
  <c r="D16" i="1864" s="1"/>
  <c r="R15" i="1864"/>
  <c r="D15" i="1864"/>
  <c r="R14" i="1864"/>
  <c r="D14" i="1864"/>
  <c r="R13" i="1864"/>
  <c r="D13" i="1864"/>
  <c r="R12" i="1864"/>
  <c r="R11" i="1864"/>
  <c r="L8" i="1864"/>
  <c r="D8" i="1864" s="1"/>
  <c r="R6" i="1864"/>
  <c r="R5" i="1864"/>
  <c r="R4" i="1864"/>
  <c r="R52" i="1863"/>
  <c r="R51" i="1863"/>
  <c r="D50" i="1863"/>
  <c r="R49" i="1863"/>
  <c r="D49" i="1863"/>
  <c r="R48" i="1863"/>
  <c r="D48" i="1863"/>
  <c r="D46" i="1863"/>
  <c r="D45" i="1863"/>
  <c r="R44" i="1863"/>
  <c r="L28" i="1863" s="1"/>
  <c r="D28" i="1863" s="1"/>
  <c r="D44" i="1863"/>
  <c r="R42" i="1863"/>
  <c r="L6" i="1863" s="1"/>
  <c r="D6" i="1863" s="1"/>
  <c r="D42" i="1863"/>
  <c r="R41" i="1863"/>
  <c r="L7" i="1863" s="1"/>
  <c r="D7" i="1863" s="1"/>
  <c r="D41" i="1863"/>
  <c r="R40" i="1863"/>
  <c r="L8" i="1863" s="1"/>
  <c r="D8" i="1863" s="1"/>
  <c r="D40" i="1863"/>
  <c r="R39" i="1863"/>
  <c r="L20" i="1863" s="1"/>
  <c r="D20" i="1863" s="1"/>
  <c r="H39" i="1863"/>
  <c r="D39" i="1863"/>
  <c r="R38" i="1863"/>
  <c r="L9" i="1863" s="1"/>
  <c r="D9" i="1863" s="1"/>
  <c r="H38" i="1863"/>
  <c r="D38" i="1863"/>
  <c r="R37" i="1863"/>
  <c r="H37" i="1863"/>
  <c r="D37" i="1863"/>
  <c r="R36" i="1863"/>
  <c r="L10" i="1863" s="1"/>
  <c r="D10" i="1863" s="1"/>
  <c r="H36" i="1863"/>
  <c r="D36" i="1863"/>
  <c r="R35" i="1863"/>
  <c r="H35" i="1863"/>
  <c r="D35" i="1863"/>
  <c r="R34" i="1863"/>
  <c r="L12" i="1863" s="1"/>
  <c r="D12" i="1863" s="1"/>
  <c r="H34" i="1863"/>
  <c r="D34" i="1863"/>
  <c r="R33" i="1863"/>
  <c r="R32" i="1863"/>
  <c r="L11" i="1863" s="1"/>
  <c r="D11" i="1863" s="1"/>
  <c r="R31" i="1863"/>
  <c r="R30" i="1863"/>
  <c r="R29" i="1863"/>
  <c r="R28" i="1863"/>
  <c r="L16" i="1863" s="1"/>
  <c r="D16" i="1863" s="1"/>
  <c r="R27" i="1863"/>
  <c r="D27" i="1863"/>
  <c r="R26" i="1863"/>
  <c r="L26" i="1863"/>
  <c r="D26" i="1863" s="1"/>
  <c r="R25" i="1863"/>
  <c r="L25" i="1863"/>
  <c r="D25" i="1863" s="1"/>
  <c r="R24" i="1863"/>
  <c r="D24" i="1863"/>
  <c r="R23" i="1863"/>
  <c r="D23" i="1863"/>
  <c r="R22" i="1863"/>
  <c r="D22" i="1863"/>
  <c r="R21" i="1863"/>
  <c r="D21" i="1863"/>
  <c r="R20" i="1863"/>
  <c r="R19" i="1863"/>
  <c r="D19" i="1863"/>
  <c r="R18" i="1863"/>
  <c r="D18" i="1863"/>
  <c r="R17" i="1863"/>
  <c r="L17" i="1863"/>
  <c r="D17" i="1863" s="1"/>
  <c r="R16" i="1863"/>
  <c r="R15" i="1863"/>
  <c r="D15" i="1863"/>
  <c r="R14" i="1863"/>
  <c r="D14" i="1863"/>
  <c r="R13" i="1863"/>
  <c r="D13" i="1863"/>
  <c r="R12" i="1863"/>
  <c r="R11" i="1863"/>
  <c r="R6" i="1863"/>
  <c r="R5" i="1863"/>
  <c r="R4" i="1863"/>
  <c r="R52" i="1862"/>
  <c r="R51" i="1862"/>
  <c r="D50" i="1862"/>
  <c r="R49" i="1862"/>
  <c r="G49" i="1862"/>
  <c r="D49" i="1862"/>
  <c r="R48" i="1862"/>
  <c r="D48" i="1862"/>
  <c r="D46" i="1862"/>
  <c r="D45" i="1862"/>
  <c r="D44" i="1862"/>
  <c r="R42" i="1862"/>
  <c r="L6" i="1862" s="1"/>
  <c r="D6" i="1862" s="1"/>
  <c r="D42" i="1862"/>
  <c r="R41" i="1862"/>
  <c r="L7" i="1862" s="1"/>
  <c r="D7" i="1862" s="1"/>
  <c r="D41" i="1862"/>
  <c r="R40" i="1862"/>
  <c r="L8" i="1862" s="1"/>
  <c r="D8" i="1862" s="1"/>
  <c r="D40" i="1862"/>
  <c r="R39" i="1862"/>
  <c r="D39" i="1862"/>
  <c r="R38" i="1862"/>
  <c r="L9" i="1862" s="1"/>
  <c r="D9" i="1862" s="1"/>
  <c r="D38" i="1862"/>
  <c r="R37" i="1862"/>
  <c r="D37" i="1862"/>
  <c r="R36" i="1862"/>
  <c r="L10" i="1862" s="1"/>
  <c r="D10" i="1862" s="1"/>
  <c r="D36" i="1862"/>
  <c r="R35" i="1862"/>
  <c r="L19" i="1862" s="1"/>
  <c r="D19" i="1862" s="1"/>
  <c r="D35" i="1862"/>
  <c r="R34" i="1862"/>
  <c r="L12" i="1862" s="1"/>
  <c r="D12" i="1862" s="1"/>
  <c r="D34" i="1862"/>
  <c r="R33" i="1862"/>
  <c r="L23" i="1862" s="1"/>
  <c r="D23" i="1862" s="1"/>
  <c r="R32" i="1862"/>
  <c r="R31" i="1862"/>
  <c r="R30" i="1862"/>
  <c r="R29" i="1862"/>
  <c r="R28" i="1862"/>
  <c r="L16" i="1862" s="1"/>
  <c r="D16" i="1862" s="1"/>
  <c r="D28" i="1862"/>
  <c r="R27" i="1862"/>
  <c r="D27" i="1862"/>
  <c r="R26" i="1862"/>
  <c r="L26" i="1862"/>
  <c r="D26" i="1862" s="1"/>
  <c r="R25" i="1862"/>
  <c r="L25" i="1862"/>
  <c r="D25" i="1862"/>
  <c r="R24" i="1862"/>
  <c r="D24" i="1862"/>
  <c r="R23" i="1862"/>
  <c r="R22" i="1862"/>
  <c r="L22" i="1862"/>
  <c r="D22" i="1862" s="1"/>
  <c r="R21" i="1862"/>
  <c r="D21" i="1862"/>
  <c r="R20" i="1862"/>
  <c r="L20" i="1862"/>
  <c r="D20" i="1862" s="1"/>
  <c r="R19" i="1862"/>
  <c r="R18" i="1862"/>
  <c r="D18" i="1862"/>
  <c r="R17" i="1862"/>
  <c r="D17" i="1862"/>
  <c r="R16" i="1862"/>
  <c r="S15" i="1862"/>
  <c r="R15" i="1862"/>
  <c r="D15" i="1862"/>
  <c r="S14" i="1862"/>
  <c r="R14" i="1862"/>
  <c r="D14" i="1862"/>
  <c r="R13" i="1862"/>
  <c r="D13" i="1862"/>
  <c r="R12" i="1862"/>
  <c r="R11" i="1862"/>
  <c r="L11" i="1862"/>
  <c r="D11" i="1862" s="1"/>
  <c r="R6" i="1862"/>
  <c r="R5" i="1862"/>
  <c r="R4" i="1862"/>
  <c r="R52" i="1861"/>
  <c r="L22" i="1861" s="1"/>
  <c r="D22" i="1861" s="1"/>
  <c r="R51" i="1861"/>
  <c r="D50" i="1861"/>
  <c r="R49" i="1861"/>
  <c r="D49" i="1861"/>
  <c r="R48" i="1861"/>
  <c r="D48" i="1861"/>
  <c r="D46" i="1861"/>
  <c r="D45" i="1861"/>
  <c r="R44" i="1861"/>
  <c r="L28" i="1861" s="1"/>
  <c r="D28" i="1861" s="1"/>
  <c r="D44" i="1861"/>
  <c r="R42" i="1861"/>
  <c r="L6" i="1861" s="1"/>
  <c r="D6" i="1861" s="1"/>
  <c r="D42" i="1861"/>
  <c r="R41" i="1861"/>
  <c r="L7" i="1861" s="1"/>
  <c r="D7" i="1861" s="1"/>
  <c r="D41" i="1861"/>
  <c r="R40" i="1861"/>
  <c r="D40" i="1861"/>
  <c r="R39" i="1861"/>
  <c r="H39" i="1861"/>
  <c r="D39" i="1861"/>
  <c r="R38" i="1861"/>
  <c r="L9" i="1861" s="1"/>
  <c r="D9" i="1861" s="1"/>
  <c r="H38" i="1861"/>
  <c r="D38" i="1861"/>
  <c r="R37" i="1861"/>
  <c r="H37" i="1861"/>
  <c r="D37" i="1861"/>
  <c r="R36" i="1861"/>
  <c r="L10" i="1861" s="1"/>
  <c r="D10" i="1861" s="1"/>
  <c r="H36" i="1861"/>
  <c r="D36" i="1861"/>
  <c r="R35" i="1861"/>
  <c r="L19" i="1861" s="1"/>
  <c r="D19" i="1861" s="1"/>
  <c r="H35" i="1861"/>
  <c r="D35" i="1861"/>
  <c r="R34" i="1861"/>
  <c r="L12" i="1861" s="1"/>
  <c r="D12" i="1861" s="1"/>
  <c r="H34" i="1861"/>
  <c r="D34" i="1861"/>
  <c r="R33" i="1861"/>
  <c r="L23" i="1861" s="1"/>
  <c r="D23" i="1861" s="1"/>
  <c r="R32" i="1861"/>
  <c r="L11" i="1861" s="1"/>
  <c r="D11" i="1861" s="1"/>
  <c r="R31" i="1861"/>
  <c r="R30" i="1861"/>
  <c r="R29" i="1861"/>
  <c r="R28" i="1861"/>
  <c r="L16" i="1861" s="1"/>
  <c r="D16" i="1861" s="1"/>
  <c r="R27" i="1861"/>
  <c r="D27" i="1861"/>
  <c r="R26" i="1861"/>
  <c r="L26" i="1861"/>
  <c r="D26" i="1861" s="1"/>
  <c r="R25" i="1861"/>
  <c r="L25" i="1861"/>
  <c r="D25" i="1861" s="1"/>
  <c r="R24" i="1861"/>
  <c r="D24" i="1861"/>
  <c r="R23" i="1861"/>
  <c r="R22" i="1861"/>
  <c r="R21" i="1861"/>
  <c r="D21" i="1861"/>
  <c r="R20" i="1861"/>
  <c r="L20" i="1861"/>
  <c r="D20" i="1861" s="1"/>
  <c r="R19" i="1861"/>
  <c r="R18" i="1861"/>
  <c r="D18" i="1861"/>
  <c r="R17" i="1861"/>
  <c r="D17" i="1861"/>
  <c r="R16" i="1861"/>
  <c r="R15" i="1861"/>
  <c r="D15" i="1861"/>
  <c r="R14" i="1861"/>
  <c r="D14" i="1861"/>
  <c r="R13" i="1861"/>
  <c r="D13" i="1861"/>
  <c r="R12" i="1861"/>
  <c r="R11" i="1861"/>
  <c r="L8" i="1861"/>
  <c r="D8" i="1861" s="1"/>
  <c r="R6" i="1861"/>
  <c r="R5" i="1861"/>
  <c r="R4" i="1861"/>
  <c r="R52" i="1860"/>
  <c r="R51" i="1860"/>
  <c r="D50" i="1860"/>
  <c r="R49" i="1860"/>
  <c r="D49" i="1860"/>
  <c r="R48" i="1860"/>
  <c r="D48" i="1860"/>
  <c r="D46" i="1860"/>
  <c r="D45" i="1860"/>
  <c r="R44" i="1860"/>
  <c r="L28" i="1860" s="1"/>
  <c r="D28" i="1860" s="1"/>
  <c r="D44" i="1860"/>
  <c r="R42" i="1860"/>
  <c r="L6" i="1860" s="1"/>
  <c r="D6" i="1860" s="1"/>
  <c r="D42" i="1860"/>
  <c r="R41" i="1860"/>
  <c r="L7" i="1860" s="1"/>
  <c r="D7" i="1860" s="1"/>
  <c r="D41" i="1860"/>
  <c r="R40" i="1860"/>
  <c r="L8" i="1860" s="1"/>
  <c r="D8" i="1860" s="1"/>
  <c r="D40" i="1860"/>
  <c r="R39" i="1860"/>
  <c r="L20" i="1860" s="1"/>
  <c r="D20" i="1860" s="1"/>
  <c r="H39" i="1860"/>
  <c r="D39" i="1860"/>
  <c r="R38" i="1860"/>
  <c r="L9" i="1860" s="1"/>
  <c r="D9" i="1860" s="1"/>
  <c r="H38" i="1860"/>
  <c r="D38" i="1860"/>
  <c r="R37" i="1860"/>
  <c r="H37" i="1860"/>
  <c r="D37" i="1860"/>
  <c r="R36" i="1860"/>
  <c r="L10" i="1860" s="1"/>
  <c r="D10" i="1860" s="1"/>
  <c r="H36" i="1860"/>
  <c r="D36" i="1860"/>
  <c r="R35" i="1860"/>
  <c r="L19" i="1860" s="1"/>
  <c r="D19" i="1860" s="1"/>
  <c r="H35" i="1860"/>
  <c r="D35" i="1860"/>
  <c r="R34" i="1860"/>
  <c r="H34" i="1860"/>
  <c r="D34" i="1860"/>
  <c r="R33" i="1860"/>
  <c r="L23" i="1860" s="1"/>
  <c r="D23" i="1860" s="1"/>
  <c r="R32" i="1860"/>
  <c r="L11" i="1860" s="1"/>
  <c r="D11" i="1860" s="1"/>
  <c r="R31" i="1860"/>
  <c r="R30" i="1860"/>
  <c r="R29" i="1860"/>
  <c r="R28" i="1860"/>
  <c r="L16" i="1860" s="1"/>
  <c r="D16" i="1860" s="1"/>
  <c r="R27" i="1860"/>
  <c r="D27" i="1860"/>
  <c r="R26" i="1860"/>
  <c r="L26" i="1860"/>
  <c r="D26" i="1860" s="1"/>
  <c r="R25" i="1860"/>
  <c r="L25" i="1860"/>
  <c r="D25" i="1860" s="1"/>
  <c r="R24" i="1860"/>
  <c r="L24" i="1860"/>
  <c r="D24" i="1860" s="1"/>
  <c r="R23" i="1860"/>
  <c r="R22" i="1860"/>
  <c r="L22" i="1860"/>
  <c r="D22" i="1860" s="1"/>
  <c r="R21" i="1860"/>
  <c r="D21" i="1860"/>
  <c r="R20" i="1860"/>
  <c r="R19" i="1860"/>
  <c r="R18" i="1860"/>
  <c r="D18" i="1860"/>
  <c r="R17" i="1860"/>
  <c r="L17" i="1860"/>
  <c r="D17" i="1860" s="1"/>
  <c r="R16" i="1860"/>
  <c r="R15" i="1860"/>
  <c r="D15" i="1860"/>
  <c r="R14" i="1860"/>
  <c r="D14" i="1860"/>
  <c r="R13" i="1860"/>
  <c r="D13" i="1860"/>
  <c r="R12" i="1860"/>
  <c r="L12" i="1860"/>
  <c r="D12" i="1860" s="1"/>
  <c r="R11" i="1860"/>
  <c r="R6" i="1860"/>
  <c r="R5" i="1860"/>
  <c r="R4" i="1860"/>
  <c r="R52" i="1859"/>
  <c r="R51" i="1859"/>
  <c r="D50" i="1859"/>
  <c r="R49" i="1859"/>
  <c r="D49" i="1859"/>
  <c r="R48" i="1859"/>
  <c r="D48" i="1859"/>
  <c r="D46" i="1859"/>
  <c r="D45" i="1859"/>
  <c r="R44" i="1859"/>
  <c r="D44" i="1859"/>
  <c r="R42" i="1859"/>
  <c r="L6" i="1859" s="1"/>
  <c r="D6" i="1859" s="1"/>
  <c r="D42" i="1859"/>
  <c r="R41" i="1859"/>
  <c r="L7" i="1859" s="1"/>
  <c r="D7" i="1859" s="1"/>
  <c r="D41" i="1859"/>
  <c r="R40" i="1859"/>
  <c r="L8" i="1859" s="1"/>
  <c r="D8" i="1859" s="1"/>
  <c r="D40" i="1859"/>
  <c r="R39" i="1859"/>
  <c r="H39" i="1859"/>
  <c r="D39" i="1859"/>
  <c r="R38" i="1859"/>
  <c r="L9" i="1859" s="1"/>
  <c r="D9" i="1859" s="1"/>
  <c r="H38" i="1859"/>
  <c r="D38" i="1859"/>
  <c r="R37" i="1859"/>
  <c r="H37" i="1859"/>
  <c r="D37" i="1859"/>
  <c r="R36" i="1859"/>
  <c r="H36" i="1859"/>
  <c r="D36" i="1859"/>
  <c r="R35" i="1859"/>
  <c r="H35" i="1859"/>
  <c r="D35" i="1859"/>
  <c r="R34" i="1859"/>
  <c r="L12" i="1859" s="1"/>
  <c r="D12" i="1859" s="1"/>
  <c r="H34" i="1859"/>
  <c r="D34" i="1859"/>
  <c r="R33" i="1859"/>
  <c r="R32" i="1859"/>
  <c r="L11" i="1859" s="1"/>
  <c r="D11" i="1859" s="1"/>
  <c r="R31" i="1859"/>
  <c r="R30" i="1859"/>
  <c r="R29" i="1859"/>
  <c r="R28" i="1859"/>
  <c r="L16" i="1859" s="1"/>
  <c r="D16" i="1859" s="1"/>
  <c r="L28" i="1859"/>
  <c r="D28" i="1859" s="1"/>
  <c r="R27" i="1859"/>
  <c r="D27" i="1859"/>
  <c r="R26" i="1859"/>
  <c r="L26" i="1859"/>
  <c r="D26" i="1859" s="1"/>
  <c r="R25" i="1859"/>
  <c r="L25" i="1859"/>
  <c r="D25" i="1859" s="1"/>
  <c r="R24" i="1859"/>
  <c r="L24" i="1859"/>
  <c r="D24" i="1859" s="1"/>
  <c r="R23" i="1859"/>
  <c r="D23" i="1859"/>
  <c r="R22" i="1859"/>
  <c r="D22" i="1859"/>
  <c r="R21" i="1859"/>
  <c r="D21" i="1859"/>
  <c r="R20" i="1859"/>
  <c r="L20" i="1859"/>
  <c r="D20" i="1859" s="1"/>
  <c r="R19" i="1859"/>
  <c r="D19" i="1859"/>
  <c r="R18" i="1859"/>
  <c r="D18" i="1859"/>
  <c r="R17" i="1859"/>
  <c r="L17" i="1859"/>
  <c r="D17" i="1859" s="1"/>
  <c r="R16" i="1859"/>
  <c r="R15" i="1859"/>
  <c r="D15" i="1859"/>
  <c r="R14" i="1859"/>
  <c r="D14" i="1859"/>
  <c r="R13" i="1859"/>
  <c r="D13" i="1859"/>
  <c r="R12" i="1859"/>
  <c r="R11" i="1859"/>
  <c r="L10" i="1859"/>
  <c r="D10" i="1859" s="1"/>
  <c r="R6" i="1859"/>
  <c r="R5" i="1859"/>
  <c r="R4" i="1859"/>
  <c r="R52" i="1858"/>
  <c r="R51" i="1858"/>
  <c r="D50" i="1858"/>
  <c r="R49" i="1858"/>
  <c r="G49" i="1858"/>
  <c r="D49" i="1858"/>
  <c r="R48" i="1858"/>
  <c r="D48" i="1858"/>
  <c r="D46" i="1858"/>
  <c r="D45" i="1858"/>
  <c r="D44" i="1858"/>
  <c r="R42" i="1858"/>
  <c r="L6" i="1858" s="1"/>
  <c r="D6" i="1858" s="1"/>
  <c r="D42" i="1858"/>
  <c r="R41" i="1858"/>
  <c r="L7" i="1858" s="1"/>
  <c r="D7" i="1858" s="1"/>
  <c r="D41" i="1858"/>
  <c r="R40" i="1858"/>
  <c r="L8" i="1858" s="1"/>
  <c r="D8" i="1858" s="1"/>
  <c r="D40" i="1858"/>
  <c r="R39" i="1858"/>
  <c r="D39" i="1858"/>
  <c r="R38" i="1858"/>
  <c r="L9" i="1858" s="1"/>
  <c r="D9" i="1858" s="1"/>
  <c r="D38" i="1858"/>
  <c r="R37" i="1858"/>
  <c r="D37" i="1858"/>
  <c r="R36" i="1858"/>
  <c r="L10" i="1858" s="1"/>
  <c r="D10" i="1858" s="1"/>
  <c r="D36" i="1858"/>
  <c r="R35" i="1858"/>
  <c r="L19" i="1858" s="1"/>
  <c r="D19" i="1858" s="1"/>
  <c r="D35" i="1858"/>
  <c r="R34" i="1858"/>
  <c r="L12" i="1858" s="1"/>
  <c r="D12" i="1858" s="1"/>
  <c r="D34" i="1858"/>
  <c r="R33" i="1858"/>
  <c r="L23" i="1858" s="1"/>
  <c r="D23" i="1858" s="1"/>
  <c r="R32" i="1858"/>
  <c r="L11" i="1858" s="1"/>
  <c r="D11" i="1858" s="1"/>
  <c r="R31" i="1858"/>
  <c r="R30" i="1858"/>
  <c r="R29" i="1858"/>
  <c r="R28" i="1858"/>
  <c r="L16" i="1858" s="1"/>
  <c r="D16" i="1858" s="1"/>
  <c r="D28" i="1858"/>
  <c r="R27" i="1858"/>
  <c r="D27" i="1858"/>
  <c r="R26" i="1858"/>
  <c r="L26" i="1858"/>
  <c r="D26" i="1858" s="1"/>
  <c r="R25" i="1858"/>
  <c r="L25" i="1858"/>
  <c r="D25" i="1858" s="1"/>
  <c r="R24" i="1858"/>
  <c r="D24" i="1858"/>
  <c r="R23" i="1858"/>
  <c r="R22" i="1858"/>
  <c r="L22" i="1858"/>
  <c r="D22" i="1858" s="1"/>
  <c r="R21" i="1858"/>
  <c r="D21" i="1858"/>
  <c r="R20" i="1858"/>
  <c r="L20" i="1858"/>
  <c r="D20" i="1858" s="1"/>
  <c r="R19" i="1858"/>
  <c r="R18" i="1858"/>
  <c r="D18" i="1858"/>
  <c r="R17" i="1858"/>
  <c r="D17" i="1858"/>
  <c r="R16" i="1858"/>
  <c r="S15" i="1858"/>
  <c r="R15" i="1858"/>
  <c r="D15" i="1858"/>
  <c r="S14" i="1858"/>
  <c r="R14" i="1858"/>
  <c r="D14" i="1858"/>
  <c r="R13" i="1858"/>
  <c r="D13" i="1858"/>
  <c r="R12" i="1858"/>
  <c r="R11" i="1858"/>
  <c r="R6" i="1858"/>
  <c r="R5" i="1858"/>
  <c r="R4" i="1858"/>
  <c r="R52" i="1857"/>
  <c r="L22" i="1857" s="1"/>
  <c r="D22" i="1857" s="1"/>
  <c r="R51" i="1857"/>
  <c r="D50" i="1857"/>
  <c r="R49" i="1857"/>
  <c r="D49" i="1857"/>
  <c r="R48" i="1857"/>
  <c r="D48" i="1857"/>
  <c r="D46" i="1857"/>
  <c r="D45" i="1857"/>
  <c r="R44" i="1857"/>
  <c r="D44" i="1857"/>
  <c r="R42" i="1857"/>
  <c r="L6" i="1857" s="1"/>
  <c r="D6" i="1857" s="1"/>
  <c r="D42" i="1857"/>
  <c r="R41" i="1857"/>
  <c r="L7" i="1857" s="1"/>
  <c r="D7" i="1857" s="1"/>
  <c r="D41" i="1857"/>
  <c r="R40" i="1857"/>
  <c r="D40" i="1857"/>
  <c r="R39" i="1857"/>
  <c r="H39" i="1857"/>
  <c r="D39" i="1857"/>
  <c r="R38" i="1857"/>
  <c r="L9" i="1857" s="1"/>
  <c r="D9" i="1857" s="1"/>
  <c r="H38" i="1857"/>
  <c r="D38" i="1857"/>
  <c r="R37" i="1857"/>
  <c r="H37" i="1857"/>
  <c r="D37" i="1857"/>
  <c r="R36" i="1857"/>
  <c r="L10" i="1857" s="1"/>
  <c r="D10" i="1857" s="1"/>
  <c r="H36" i="1857"/>
  <c r="D36" i="1857"/>
  <c r="R35" i="1857"/>
  <c r="H35" i="1857"/>
  <c r="D35" i="1857"/>
  <c r="R34" i="1857"/>
  <c r="L12" i="1857" s="1"/>
  <c r="D12" i="1857" s="1"/>
  <c r="H34" i="1857"/>
  <c r="D34" i="1857"/>
  <c r="R33" i="1857"/>
  <c r="L23" i="1857" s="1"/>
  <c r="D23" i="1857" s="1"/>
  <c r="R32" i="1857"/>
  <c r="L11" i="1857" s="1"/>
  <c r="D11" i="1857" s="1"/>
  <c r="R31" i="1857"/>
  <c r="R30" i="1857"/>
  <c r="R29" i="1857"/>
  <c r="R28" i="1857"/>
  <c r="L16" i="1857" s="1"/>
  <c r="D16" i="1857" s="1"/>
  <c r="L28" i="1857"/>
  <c r="D28" i="1857"/>
  <c r="R27" i="1857"/>
  <c r="D27" i="1857"/>
  <c r="R26" i="1857"/>
  <c r="L26" i="1857"/>
  <c r="D26" i="1857" s="1"/>
  <c r="R25" i="1857"/>
  <c r="L25" i="1857"/>
  <c r="D25" i="1857" s="1"/>
  <c r="R24" i="1857"/>
  <c r="D24" i="1857"/>
  <c r="R23" i="1857"/>
  <c r="R22" i="1857"/>
  <c r="R21" i="1857"/>
  <c r="D21" i="1857"/>
  <c r="R20" i="1857"/>
  <c r="L20" i="1857"/>
  <c r="D20" i="1857" s="1"/>
  <c r="R19" i="1857"/>
  <c r="L19" i="1857"/>
  <c r="D19" i="1857" s="1"/>
  <c r="R18" i="1857"/>
  <c r="D18" i="1857"/>
  <c r="R17" i="1857"/>
  <c r="D17" i="1857"/>
  <c r="R16" i="1857"/>
  <c r="R15" i="1857"/>
  <c r="D15" i="1857"/>
  <c r="R14" i="1857"/>
  <c r="D14" i="1857"/>
  <c r="R13" i="1857"/>
  <c r="D13" i="1857"/>
  <c r="R12" i="1857"/>
  <c r="R11" i="1857"/>
  <c r="L8" i="1857"/>
  <c r="D8" i="1857" s="1"/>
  <c r="R6" i="1857"/>
  <c r="R5" i="1857"/>
  <c r="R4" i="1857"/>
  <c r="R52" i="1856"/>
  <c r="R51" i="1856"/>
  <c r="D50" i="1856"/>
  <c r="R49" i="1856"/>
  <c r="D49" i="1856"/>
  <c r="R48" i="1856"/>
  <c r="D48" i="1856"/>
  <c r="D46" i="1856"/>
  <c r="D45" i="1856"/>
  <c r="R44" i="1856"/>
  <c r="L28" i="1856" s="1"/>
  <c r="D28" i="1856" s="1"/>
  <c r="D44" i="1856"/>
  <c r="R42" i="1856"/>
  <c r="D42" i="1856"/>
  <c r="R41" i="1856"/>
  <c r="L7" i="1856" s="1"/>
  <c r="D7" i="1856" s="1"/>
  <c r="D41" i="1856"/>
  <c r="R40" i="1856"/>
  <c r="L8" i="1856" s="1"/>
  <c r="D8" i="1856" s="1"/>
  <c r="D40" i="1856"/>
  <c r="R39" i="1856"/>
  <c r="L20" i="1856" s="1"/>
  <c r="D20" i="1856" s="1"/>
  <c r="H39" i="1856"/>
  <c r="D39" i="1856"/>
  <c r="R38" i="1856"/>
  <c r="L9" i="1856" s="1"/>
  <c r="D9" i="1856" s="1"/>
  <c r="H38" i="1856"/>
  <c r="D38" i="1856"/>
  <c r="R37" i="1856"/>
  <c r="H37" i="1856"/>
  <c r="D37" i="1856"/>
  <c r="R36" i="1856"/>
  <c r="L10" i="1856" s="1"/>
  <c r="D10" i="1856" s="1"/>
  <c r="H36" i="1856"/>
  <c r="D36" i="1856"/>
  <c r="R35" i="1856"/>
  <c r="L19" i="1856" s="1"/>
  <c r="D19" i="1856" s="1"/>
  <c r="H35" i="1856"/>
  <c r="D35" i="1856"/>
  <c r="R34" i="1856"/>
  <c r="L12" i="1856" s="1"/>
  <c r="D12" i="1856" s="1"/>
  <c r="H34" i="1856"/>
  <c r="D34" i="1856"/>
  <c r="R33" i="1856"/>
  <c r="R32" i="1856"/>
  <c r="L11" i="1856" s="1"/>
  <c r="D11" i="1856" s="1"/>
  <c r="R31" i="1856"/>
  <c r="R30" i="1856"/>
  <c r="R29" i="1856"/>
  <c r="R28" i="1856"/>
  <c r="L16" i="1856" s="1"/>
  <c r="D16" i="1856" s="1"/>
  <c r="R27" i="1856"/>
  <c r="D27" i="1856"/>
  <c r="R26" i="1856"/>
  <c r="L26" i="1856"/>
  <c r="D26" i="1856"/>
  <c r="R25" i="1856"/>
  <c r="L25" i="1856"/>
  <c r="D25" i="1856"/>
  <c r="R24" i="1856"/>
  <c r="L24" i="1856"/>
  <c r="D24" i="1856" s="1"/>
  <c r="R23" i="1856"/>
  <c r="L23" i="1856"/>
  <c r="D23" i="1856" s="1"/>
  <c r="R22" i="1856"/>
  <c r="L22" i="1856"/>
  <c r="D22" i="1856" s="1"/>
  <c r="R21" i="1856"/>
  <c r="L17" i="1856" s="1"/>
  <c r="D17" i="1856" s="1"/>
  <c r="D21" i="1856"/>
  <c r="R20" i="1856"/>
  <c r="R19" i="1856"/>
  <c r="R18" i="1856"/>
  <c r="D18" i="1856"/>
  <c r="R17" i="1856"/>
  <c r="R16" i="1856"/>
  <c r="R15" i="1856"/>
  <c r="D15" i="1856"/>
  <c r="R14" i="1856"/>
  <c r="D14" i="1856"/>
  <c r="R13" i="1856"/>
  <c r="D13" i="1856"/>
  <c r="R12" i="1856"/>
  <c r="R11" i="1856"/>
  <c r="R6" i="1856"/>
  <c r="L6" i="1856"/>
  <c r="D6" i="1856" s="1"/>
  <c r="R5" i="1856"/>
  <c r="R4" i="1856"/>
  <c r="R52" i="1855"/>
  <c r="R51" i="1855"/>
  <c r="D50" i="1855"/>
  <c r="R49" i="1855"/>
  <c r="D49" i="1855"/>
  <c r="R48" i="1855"/>
  <c r="D48" i="1855"/>
  <c r="D46" i="1855"/>
  <c r="D45" i="1855"/>
  <c r="R44" i="1855"/>
  <c r="L28" i="1855" s="1"/>
  <c r="D28" i="1855" s="1"/>
  <c r="D44" i="1855"/>
  <c r="R42" i="1855"/>
  <c r="L6" i="1855" s="1"/>
  <c r="D6" i="1855" s="1"/>
  <c r="D42" i="1855"/>
  <c r="R41" i="1855"/>
  <c r="L7" i="1855" s="1"/>
  <c r="D7" i="1855" s="1"/>
  <c r="D41" i="1855"/>
  <c r="R40" i="1855"/>
  <c r="L8" i="1855" s="1"/>
  <c r="D8" i="1855" s="1"/>
  <c r="D40" i="1855"/>
  <c r="R39" i="1855"/>
  <c r="L20" i="1855" s="1"/>
  <c r="D20" i="1855" s="1"/>
  <c r="H39" i="1855"/>
  <c r="D39" i="1855"/>
  <c r="R38" i="1855"/>
  <c r="L9" i="1855" s="1"/>
  <c r="D9" i="1855" s="1"/>
  <c r="H38" i="1855"/>
  <c r="D38" i="1855"/>
  <c r="R37" i="1855"/>
  <c r="H37" i="1855"/>
  <c r="D37" i="1855"/>
  <c r="R36" i="1855"/>
  <c r="L10" i="1855" s="1"/>
  <c r="D10" i="1855" s="1"/>
  <c r="H36" i="1855"/>
  <c r="D36" i="1855"/>
  <c r="R35" i="1855"/>
  <c r="H35" i="1855"/>
  <c r="D35" i="1855"/>
  <c r="R34" i="1855"/>
  <c r="L12" i="1855" s="1"/>
  <c r="D12" i="1855" s="1"/>
  <c r="H34" i="1855"/>
  <c r="D34" i="1855"/>
  <c r="R33" i="1855"/>
  <c r="R32" i="1855"/>
  <c r="L11" i="1855" s="1"/>
  <c r="D11" i="1855" s="1"/>
  <c r="R31" i="1855"/>
  <c r="R30" i="1855"/>
  <c r="R29" i="1855"/>
  <c r="R28" i="1855"/>
  <c r="R27" i="1855"/>
  <c r="D27" i="1855"/>
  <c r="R26" i="1855"/>
  <c r="L26" i="1855"/>
  <c r="D26" i="1855" s="1"/>
  <c r="R25" i="1855"/>
  <c r="L25" i="1855"/>
  <c r="D25" i="1855" s="1"/>
  <c r="R24" i="1855"/>
  <c r="L24" i="1855"/>
  <c r="D24" i="1855" s="1"/>
  <c r="R23" i="1855"/>
  <c r="D23" i="1855"/>
  <c r="R22" i="1855"/>
  <c r="D22" i="1855"/>
  <c r="R21" i="1855"/>
  <c r="D21" i="1855"/>
  <c r="R20" i="1855"/>
  <c r="R19" i="1855"/>
  <c r="D19" i="1855"/>
  <c r="R18" i="1855"/>
  <c r="D18" i="1855"/>
  <c r="R17" i="1855"/>
  <c r="L17" i="1855"/>
  <c r="D17" i="1855"/>
  <c r="R16" i="1855"/>
  <c r="L16" i="1855"/>
  <c r="D16" i="1855" s="1"/>
  <c r="R15" i="1855"/>
  <c r="D15" i="1855"/>
  <c r="R14" i="1855"/>
  <c r="D14" i="1855"/>
  <c r="R13" i="1855"/>
  <c r="D13" i="1855"/>
  <c r="R12" i="1855"/>
  <c r="R11" i="1855"/>
  <c r="R6" i="1855"/>
  <c r="R5" i="1855"/>
  <c r="R4" i="1855"/>
  <c r="R52" i="1854"/>
  <c r="R51" i="1854"/>
  <c r="D50" i="1854"/>
  <c r="R49" i="1854"/>
  <c r="G49" i="1854"/>
  <c r="D49" i="1854"/>
  <c r="R48" i="1854"/>
  <c r="D48" i="1854"/>
  <c r="D46" i="1854"/>
  <c r="D45" i="1854"/>
  <c r="D44" i="1854"/>
  <c r="R42" i="1854"/>
  <c r="L6" i="1854" s="1"/>
  <c r="D6" i="1854" s="1"/>
  <c r="D42" i="1854"/>
  <c r="R41" i="1854"/>
  <c r="L7" i="1854" s="1"/>
  <c r="D7" i="1854" s="1"/>
  <c r="D41" i="1854"/>
  <c r="R40" i="1854"/>
  <c r="L8" i="1854" s="1"/>
  <c r="D8" i="1854" s="1"/>
  <c r="D40" i="1854"/>
  <c r="R39" i="1854"/>
  <c r="D39" i="1854"/>
  <c r="R38" i="1854"/>
  <c r="L9" i="1854" s="1"/>
  <c r="D9" i="1854" s="1"/>
  <c r="D38" i="1854"/>
  <c r="R37" i="1854"/>
  <c r="D37" i="1854"/>
  <c r="R36" i="1854"/>
  <c r="L10" i="1854" s="1"/>
  <c r="D10" i="1854" s="1"/>
  <c r="D36" i="1854"/>
  <c r="R35" i="1854"/>
  <c r="L19" i="1854" s="1"/>
  <c r="D19" i="1854" s="1"/>
  <c r="D35" i="1854"/>
  <c r="R34" i="1854"/>
  <c r="L12" i="1854" s="1"/>
  <c r="D12" i="1854" s="1"/>
  <c r="D34" i="1854"/>
  <c r="R33" i="1854"/>
  <c r="L23" i="1854" s="1"/>
  <c r="D23" i="1854" s="1"/>
  <c r="R32" i="1854"/>
  <c r="L11" i="1854" s="1"/>
  <c r="D11" i="1854" s="1"/>
  <c r="R31" i="1854"/>
  <c r="R30" i="1854"/>
  <c r="R29" i="1854"/>
  <c r="R28" i="1854"/>
  <c r="L16" i="1854" s="1"/>
  <c r="D16" i="1854" s="1"/>
  <c r="D28" i="1854"/>
  <c r="R27" i="1854"/>
  <c r="D27" i="1854"/>
  <c r="R26" i="1854"/>
  <c r="L26" i="1854"/>
  <c r="D26" i="1854" s="1"/>
  <c r="R25" i="1854"/>
  <c r="L25" i="1854"/>
  <c r="D25" i="1854" s="1"/>
  <c r="R24" i="1854"/>
  <c r="D24" i="1854"/>
  <c r="R23" i="1854"/>
  <c r="R22" i="1854"/>
  <c r="L22" i="1854"/>
  <c r="D22" i="1854" s="1"/>
  <c r="R21" i="1854"/>
  <c r="D21" i="1854"/>
  <c r="R20" i="1854"/>
  <c r="L20" i="1854"/>
  <c r="D20" i="1854" s="1"/>
  <c r="R19" i="1854"/>
  <c r="R18" i="1854"/>
  <c r="D18" i="1854"/>
  <c r="R17" i="1854"/>
  <c r="D17" i="1854"/>
  <c r="R16" i="1854"/>
  <c r="S15" i="1854"/>
  <c r="R15" i="1854"/>
  <c r="D15" i="1854"/>
  <c r="S14" i="1854"/>
  <c r="R14" i="1854"/>
  <c r="D14" i="1854"/>
  <c r="R13" i="1854"/>
  <c r="D13" i="1854"/>
  <c r="R12" i="1854"/>
  <c r="R11" i="1854"/>
  <c r="R6" i="1854"/>
  <c r="R5" i="1854"/>
  <c r="R4" i="1854"/>
  <c r="R52" i="1853"/>
  <c r="L22" i="1853" s="1"/>
  <c r="D22" i="1853" s="1"/>
  <c r="R51" i="1853"/>
  <c r="D50" i="1853"/>
  <c r="R49" i="1853"/>
  <c r="D49" i="1853"/>
  <c r="R48" i="1853"/>
  <c r="D48" i="1853"/>
  <c r="D46" i="1853"/>
  <c r="D45" i="1853"/>
  <c r="R44" i="1853"/>
  <c r="L28" i="1853" s="1"/>
  <c r="D28" i="1853" s="1"/>
  <c r="D44" i="1853"/>
  <c r="R42" i="1853"/>
  <c r="L6" i="1853" s="1"/>
  <c r="D6" i="1853" s="1"/>
  <c r="D42" i="1853"/>
  <c r="R41" i="1853"/>
  <c r="L7" i="1853" s="1"/>
  <c r="D7" i="1853" s="1"/>
  <c r="D41" i="1853"/>
  <c r="R40" i="1853"/>
  <c r="L8" i="1853" s="1"/>
  <c r="D8" i="1853" s="1"/>
  <c r="D40" i="1853"/>
  <c r="R39" i="1853"/>
  <c r="H39" i="1853"/>
  <c r="D39" i="1853"/>
  <c r="R38" i="1853"/>
  <c r="L9" i="1853" s="1"/>
  <c r="D9" i="1853" s="1"/>
  <c r="H38" i="1853"/>
  <c r="D38" i="1853"/>
  <c r="R37" i="1853"/>
  <c r="H37" i="1853"/>
  <c r="D37" i="1853"/>
  <c r="R36" i="1853"/>
  <c r="L10" i="1853" s="1"/>
  <c r="D10" i="1853" s="1"/>
  <c r="H36" i="1853"/>
  <c r="D36" i="1853"/>
  <c r="R35" i="1853"/>
  <c r="L19" i="1853" s="1"/>
  <c r="D19" i="1853" s="1"/>
  <c r="H35" i="1853"/>
  <c r="D35" i="1853"/>
  <c r="R34" i="1853"/>
  <c r="L12" i="1853" s="1"/>
  <c r="D12" i="1853" s="1"/>
  <c r="H34" i="1853"/>
  <c r="D34" i="1853"/>
  <c r="R33" i="1853"/>
  <c r="L23" i="1853" s="1"/>
  <c r="D23" i="1853" s="1"/>
  <c r="R32" i="1853"/>
  <c r="R31" i="1853"/>
  <c r="R30" i="1853"/>
  <c r="R29" i="1853"/>
  <c r="R28" i="1853"/>
  <c r="L16" i="1853" s="1"/>
  <c r="D16" i="1853" s="1"/>
  <c r="R27" i="1853"/>
  <c r="D27" i="1853"/>
  <c r="R26" i="1853"/>
  <c r="L26" i="1853"/>
  <c r="D26" i="1853" s="1"/>
  <c r="R25" i="1853"/>
  <c r="L25" i="1853"/>
  <c r="D25" i="1853" s="1"/>
  <c r="R24" i="1853"/>
  <c r="D24" i="1853"/>
  <c r="R23" i="1853"/>
  <c r="R22" i="1853"/>
  <c r="R21" i="1853"/>
  <c r="D21" i="1853"/>
  <c r="R20" i="1853"/>
  <c r="L20" i="1853"/>
  <c r="D20" i="1853"/>
  <c r="R19" i="1853"/>
  <c r="R18" i="1853"/>
  <c r="D18" i="1853"/>
  <c r="R17" i="1853"/>
  <c r="D17" i="1853"/>
  <c r="R16" i="1853"/>
  <c r="R15" i="1853"/>
  <c r="D15" i="1853"/>
  <c r="R14" i="1853"/>
  <c r="D14" i="1853"/>
  <c r="R13" i="1853"/>
  <c r="D13" i="1853"/>
  <c r="R12" i="1853"/>
  <c r="R11" i="1853"/>
  <c r="L11" i="1853"/>
  <c r="D11" i="1853"/>
  <c r="R6" i="1853"/>
  <c r="R5" i="1853"/>
  <c r="R4" i="1853"/>
  <c r="R52" i="1852"/>
  <c r="R51" i="1852"/>
  <c r="D50" i="1852"/>
  <c r="R49" i="1852"/>
  <c r="D49" i="1852"/>
  <c r="R48" i="1852"/>
  <c r="D48" i="1852"/>
  <c r="D46" i="1852"/>
  <c r="D45" i="1852"/>
  <c r="R44" i="1852"/>
  <c r="L28" i="1852" s="1"/>
  <c r="D28" i="1852" s="1"/>
  <c r="D44" i="1852"/>
  <c r="R42" i="1852"/>
  <c r="L6" i="1852" s="1"/>
  <c r="D6" i="1852" s="1"/>
  <c r="D42" i="1852"/>
  <c r="R41" i="1852"/>
  <c r="L7" i="1852" s="1"/>
  <c r="D7" i="1852" s="1"/>
  <c r="D41" i="1852"/>
  <c r="R40" i="1852"/>
  <c r="L8" i="1852" s="1"/>
  <c r="D8" i="1852" s="1"/>
  <c r="D40" i="1852"/>
  <c r="R39" i="1852"/>
  <c r="L20" i="1852" s="1"/>
  <c r="D20" i="1852" s="1"/>
  <c r="H39" i="1852"/>
  <c r="D39" i="1852"/>
  <c r="R38" i="1852"/>
  <c r="L9" i="1852" s="1"/>
  <c r="D9" i="1852" s="1"/>
  <c r="H38" i="1852"/>
  <c r="D38" i="1852"/>
  <c r="R37" i="1852"/>
  <c r="H37" i="1852"/>
  <c r="D37" i="1852"/>
  <c r="R36" i="1852"/>
  <c r="L10" i="1852" s="1"/>
  <c r="D10" i="1852" s="1"/>
  <c r="H36" i="1852"/>
  <c r="D36" i="1852"/>
  <c r="R35" i="1852"/>
  <c r="L19" i="1852" s="1"/>
  <c r="D19" i="1852" s="1"/>
  <c r="H35" i="1852"/>
  <c r="D35" i="1852"/>
  <c r="R34" i="1852"/>
  <c r="L12" i="1852" s="1"/>
  <c r="D12" i="1852" s="1"/>
  <c r="H34" i="1852"/>
  <c r="D34" i="1852"/>
  <c r="R33" i="1852"/>
  <c r="R32" i="1852"/>
  <c r="L11" i="1852" s="1"/>
  <c r="D11" i="1852" s="1"/>
  <c r="R31" i="1852"/>
  <c r="R30" i="1852"/>
  <c r="R29" i="1852"/>
  <c r="R28" i="1852"/>
  <c r="L16" i="1852" s="1"/>
  <c r="D16" i="1852" s="1"/>
  <c r="R27" i="1852"/>
  <c r="D27" i="1852"/>
  <c r="R26" i="1852"/>
  <c r="L26" i="1852"/>
  <c r="D26" i="1852" s="1"/>
  <c r="R25" i="1852"/>
  <c r="L25" i="1852"/>
  <c r="D25" i="1852" s="1"/>
  <c r="R24" i="1852"/>
  <c r="L24" i="1852"/>
  <c r="D24" i="1852" s="1"/>
  <c r="R23" i="1852"/>
  <c r="D23" i="1852"/>
  <c r="R22" i="1852"/>
  <c r="L22" i="1852"/>
  <c r="D22" i="1852" s="1"/>
  <c r="R21" i="1852"/>
  <c r="L17" i="1852" s="1"/>
  <c r="D17" i="1852" s="1"/>
  <c r="D21" i="1852"/>
  <c r="R20" i="1852"/>
  <c r="R19" i="1852"/>
  <c r="R18" i="1852"/>
  <c r="D18" i="1852"/>
  <c r="R17" i="1852"/>
  <c r="R16" i="1852"/>
  <c r="R15" i="1852"/>
  <c r="D15" i="1852"/>
  <c r="R14" i="1852"/>
  <c r="D14" i="1852"/>
  <c r="R13" i="1852"/>
  <c r="D13" i="1852"/>
  <c r="R12" i="1852"/>
  <c r="R11" i="1852"/>
  <c r="R6" i="1852"/>
  <c r="R5" i="1852"/>
  <c r="R4" i="1852"/>
  <c r="R52" i="1851"/>
  <c r="R51" i="1851"/>
  <c r="D50" i="1851"/>
  <c r="R49" i="1851"/>
  <c r="D49" i="1851"/>
  <c r="R48" i="1851"/>
  <c r="D48" i="1851"/>
  <c r="D46" i="1851"/>
  <c r="D45" i="1851"/>
  <c r="R44" i="1851"/>
  <c r="L28" i="1851" s="1"/>
  <c r="D28" i="1851" s="1"/>
  <c r="D44" i="1851"/>
  <c r="R42" i="1851"/>
  <c r="L6" i="1851" s="1"/>
  <c r="D6" i="1851" s="1"/>
  <c r="D42" i="1851"/>
  <c r="R41" i="1851"/>
  <c r="L7" i="1851" s="1"/>
  <c r="D7" i="1851" s="1"/>
  <c r="D41" i="1851"/>
  <c r="R40" i="1851"/>
  <c r="L8" i="1851" s="1"/>
  <c r="D8" i="1851" s="1"/>
  <c r="D40" i="1851"/>
  <c r="R39" i="1851"/>
  <c r="L20" i="1851" s="1"/>
  <c r="D20" i="1851" s="1"/>
  <c r="H39" i="1851"/>
  <c r="D39" i="1851"/>
  <c r="R38" i="1851"/>
  <c r="L9" i="1851" s="1"/>
  <c r="D9" i="1851" s="1"/>
  <c r="H38" i="1851"/>
  <c r="D38" i="1851"/>
  <c r="R37" i="1851"/>
  <c r="H37" i="1851"/>
  <c r="D37" i="1851"/>
  <c r="R36" i="1851"/>
  <c r="L10" i="1851" s="1"/>
  <c r="D10" i="1851" s="1"/>
  <c r="H36" i="1851"/>
  <c r="D36" i="1851"/>
  <c r="R35" i="1851"/>
  <c r="H35" i="1851"/>
  <c r="D35" i="1851"/>
  <c r="R34" i="1851"/>
  <c r="H34" i="1851"/>
  <c r="D34" i="1851"/>
  <c r="R33" i="1851"/>
  <c r="R32" i="1851"/>
  <c r="L11" i="1851" s="1"/>
  <c r="D11" i="1851" s="1"/>
  <c r="R31" i="1851"/>
  <c r="R30" i="1851"/>
  <c r="R29" i="1851"/>
  <c r="R28" i="1851"/>
  <c r="L16" i="1851" s="1"/>
  <c r="D16" i="1851" s="1"/>
  <c r="R27" i="1851"/>
  <c r="D27" i="1851"/>
  <c r="R26" i="1851"/>
  <c r="L26" i="1851"/>
  <c r="D26" i="1851" s="1"/>
  <c r="R25" i="1851"/>
  <c r="L25" i="1851"/>
  <c r="D25" i="1851" s="1"/>
  <c r="R24" i="1851"/>
  <c r="L24" i="1851"/>
  <c r="D24" i="1851" s="1"/>
  <c r="R23" i="1851"/>
  <c r="D23" i="1851"/>
  <c r="R22" i="1851"/>
  <c r="D22" i="1851"/>
  <c r="R21" i="1851"/>
  <c r="D21" i="1851"/>
  <c r="R20" i="1851"/>
  <c r="R19" i="1851"/>
  <c r="D19" i="1851"/>
  <c r="R18" i="1851"/>
  <c r="D18" i="1851"/>
  <c r="R17" i="1851"/>
  <c r="L17" i="1851"/>
  <c r="D17" i="1851" s="1"/>
  <c r="R16" i="1851"/>
  <c r="R15" i="1851"/>
  <c r="D15" i="1851"/>
  <c r="R14" i="1851"/>
  <c r="D14" i="1851"/>
  <c r="R13" i="1851"/>
  <c r="D13" i="1851"/>
  <c r="R12" i="1851"/>
  <c r="L12" i="1851"/>
  <c r="D12" i="1851"/>
  <c r="R11" i="1851"/>
  <c r="R6" i="1851"/>
  <c r="R5" i="1851"/>
  <c r="R4" i="1851"/>
  <c r="R52" i="1850"/>
  <c r="R51" i="1850"/>
  <c r="D50" i="1850"/>
  <c r="R49" i="1850"/>
  <c r="G49" i="1850"/>
  <c r="D49" i="1850"/>
  <c r="R48" i="1850"/>
  <c r="D48" i="1850"/>
  <c r="D46" i="1850"/>
  <c r="D45" i="1850"/>
  <c r="D44" i="1850"/>
  <c r="R42" i="1850"/>
  <c r="L6" i="1850" s="1"/>
  <c r="D6" i="1850" s="1"/>
  <c r="D42" i="1850"/>
  <c r="R41" i="1850"/>
  <c r="L7" i="1850" s="1"/>
  <c r="D7" i="1850" s="1"/>
  <c r="D41" i="1850"/>
  <c r="R40" i="1850"/>
  <c r="L8" i="1850" s="1"/>
  <c r="D8" i="1850" s="1"/>
  <c r="D40" i="1850"/>
  <c r="R39" i="1850"/>
  <c r="D39" i="1850"/>
  <c r="R38" i="1850"/>
  <c r="L9" i="1850" s="1"/>
  <c r="D9" i="1850" s="1"/>
  <c r="D38" i="1850"/>
  <c r="R37" i="1850"/>
  <c r="D37" i="1850"/>
  <c r="R36" i="1850"/>
  <c r="L10" i="1850" s="1"/>
  <c r="D10" i="1850" s="1"/>
  <c r="D36" i="1850"/>
  <c r="R35" i="1850"/>
  <c r="L19" i="1850" s="1"/>
  <c r="D19" i="1850" s="1"/>
  <c r="D35" i="1850"/>
  <c r="R34" i="1850"/>
  <c r="L12" i="1850" s="1"/>
  <c r="D12" i="1850" s="1"/>
  <c r="D34" i="1850"/>
  <c r="R33" i="1850"/>
  <c r="L23" i="1850" s="1"/>
  <c r="D23" i="1850" s="1"/>
  <c r="R32" i="1850"/>
  <c r="L11" i="1850" s="1"/>
  <c r="D11" i="1850" s="1"/>
  <c r="R31" i="1850"/>
  <c r="R30" i="1850"/>
  <c r="R29" i="1850"/>
  <c r="R28" i="1850"/>
  <c r="L16" i="1850" s="1"/>
  <c r="D16" i="1850" s="1"/>
  <c r="D28" i="1850"/>
  <c r="R27" i="1850"/>
  <c r="D27" i="1850"/>
  <c r="R26" i="1850"/>
  <c r="L26" i="1850"/>
  <c r="D26" i="1850" s="1"/>
  <c r="R25" i="1850"/>
  <c r="L25" i="1850"/>
  <c r="D25" i="1850" s="1"/>
  <c r="R24" i="1850"/>
  <c r="D24" i="1850"/>
  <c r="R23" i="1850"/>
  <c r="R22" i="1850"/>
  <c r="L22" i="1850"/>
  <c r="D22" i="1850" s="1"/>
  <c r="R21" i="1850"/>
  <c r="D21" i="1850"/>
  <c r="R20" i="1850"/>
  <c r="L20" i="1850"/>
  <c r="D20" i="1850" s="1"/>
  <c r="R19" i="1850"/>
  <c r="R18" i="1850"/>
  <c r="D18" i="1850"/>
  <c r="R17" i="1850"/>
  <c r="D17" i="1850"/>
  <c r="R16" i="1850"/>
  <c r="S15" i="1850"/>
  <c r="R15" i="1850"/>
  <c r="D15" i="1850"/>
  <c r="S14" i="1850"/>
  <c r="R14" i="1850"/>
  <c r="D14" i="1850"/>
  <c r="R13" i="1850"/>
  <c r="D13" i="1850"/>
  <c r="R12" i="1850"/>
  <c r="R11" i="1850"/>
  <c r="R6" i="1850"/>
  <c r="R5" i="1850"/>
  <c r="R4" i="1850"/>
  <c r="R52" i="1849"/>
  <c r="L22" i="1849" s="1"/>
  <c r="D22" i="1849" s="1"/>
  <c r="R51" i="1849"/>
  <c r="D50" i="1849"/>
  <c r="R49" i="1849"/>
  <c r="D49" i="1849"/>
  <c r="R48" i="1849"/>
  <c r="D48" i="1849"/>
  <c r="D46" i="1849"/>
  <c r="D45" i="1849"/>
  <c r="R44" i="1849"/>
  <c r="L28" i="1849" s="1"/>
  <c r="D28" i="1849" s="1"/>
  <c r="D44" i="1849"/>
  <c r="R42" i="1849"/>
  <c r="L6" i="1849" s="1"/>
  <c r="D6" i="1849" s="1"/>
  <c r="D42" i="1849"/>
  <c r="R41" i="1849"/>
  <c r="L7" i="1849" s="1"/>
  <c r="D7" i="1849" s="1"/>
  <c r="D41" i="1849"/>
  <c r="R40" i="1849"/>
  <c r="L8" i="1849" s="1"/>
  <c r="D8" i="1849" s="1"/>
  <c r="D40" i="1849"/>
  <c r="R39" i="1849"/>
  <c r="H39" i="1849"/>
  <c r="D39" i="1849"/>
  <c r="R38" i="1849"/>
  <c r="L9" i="1849" s="1"/>
  <c r="D9" i="1849" s="1"/>
  <c r="H38" i="1849"/>
  <c r="D38" i="1849"/>
  <c r="R37" i="1849"/>
  <c r="H37" i="1849"/>
  <c r="D37" i="1849"/>
  <c r="R36" i="1849"/>
  <c r="L10" i="1849" s="1"/>
  <c r="D10" i="1849" s="1"/>
  <c r="H36" i="1849"/>
  <c r="D36" i="1849"/>
  <c r="R35" i="1849"/>
  <c r="L19" i="1849" s="1"/>
  <c r="D19" i="1849" s="1"/>
  <c r="H35" i="1849"/>
  <c r="D35" i="1849"/>
  <c r="R34" i="1849"/>
  <c r="L12" i="1849" s="1"/>
  <c r="D12" i="1849" s="1"/>
  <c r="H34" i="1849"/>
  <c r="D34" i="1849"/>
  <c r="R33" i="1849"/>
  <c r="R32" i="1849"/>
  <c r="L11" i="1849" s="1"/>
  <c r="D11" i="1849" s="1"/>
  <c r="R31" i="1849"/>
  <c r="R30" i="1849"/>
  <c r="R29" i="1849"/>
  <c r="R28" i="1849"/>
  <c r="R27" i="1849"/>
  <c r="D27" i="1849"/>
  <c r="R26" i="1849"/>
  <c r="L26" i="1849"/>
  <c r="D26" i="1849" s="1"/>
  <c r="R25" i="1849"/>
  <c r="L25" i="1849"/>
  <c r="D25" i="1849" s="1"/>
  <c r="R24" i="1849"/>
  <c r="D24" i="1849"/>
  <c r="R23" i="1849"/>
  <c r="L23" i="1849"/>
  <c r="D23" i="1849"/>
  <c r="R22" i="1849"/>
  <c r="R21" i="1849"/>
  <c r="D21" i="1849"/>
  <c r="R20" i="1849"/>
  <c r="L20" i="1849"/>
  <c r="D20" i="1849" s="1"/>
  <c r="R19" i="1849"/>
  <c r="R18" i="1849"/>
  <c r="D18" i="1849"/>
  <c r="R17" i="1849"/>
  <c r="D17" i="1849"/>
  <c r="R16" i="1849"/>
  <c r="L16" i="1849"/>
  <c r="D16" i="1849" s="1"/>
  <c r="R15" i="1849"/>
  <c r="D15" i="1849"/>
  <c r="R14" i="1849"/>
  <c r="D14" i="1849"/>
  <c r="R13" i="1849"/>
  <c r="D13" i="1849"/>
  <c r="R12" i="1849"/>
  <c r="R11" i="1849"/>
  <c r="R6" i="1849"/>
  <c r="R5" i="1849"/>
  <c r="R4" i="1849"/>
  <c r="R52" i="1848"/>
  <c r="R51" i="1848"/>
  <c r="D50" i="1848"/>
  <c r="R49" i="1848"/>
  <c r="D49" i="1848"/>
  <c r="R48" i="1848"/>
  <c r="D48" i="1848"/>
  <c r="D46" i="1848"/>
  <c r="D45" i="1848"/>
  <c r="R44" i="1848"/>
  <c r="L28" i="1848" s="1"/>
  <c r="D28" i="1848" s="1"/>
  <c r="D44" i="1848"/>
  <c r="R42" i="1848"/>
  <c r="L6" i="1848" s="1"/>
  <c r="D6" i="1848" s="1"/>
  <c r="D42" i="1848"/>
  <c r="R41" i="1848"/>
  <c r="L7" i="1848" s="1"/>
  <c r="D7" i="1848" s="1"/>
  <c r="D41" i="1848"/>
  <c r="R40" i="1848"/>
  <c r="L8" i="1848" s="1"/>
  <c r="D8" i="1848" s="1"/>
  <c r="D40" i="1848"/>
  <c r="R39" i="1848"/>
  <c r="L20" i="1848" s="1"/>
  <c r="D20" i="1848" s="1"/>
  <c r="H39" i="1848"/>
  <c r="D39" i="1848"/>
  <c r="R38" i="1848"/>
  <c r="L9" i="1848" s="1"/>
  <c r="D9" i="1848" s="1"/>
  <c r="H38" i="1848"/>
  <c r="D38" i="1848"/>
  <c r="R37" i="1848"/>
  <c r="H37" i="1848"/>
  <c r="D37" i="1848"/>
  <c r="R36" i="1848"/>
  <c r="L10" i="1848" s="1"/>
  <c r="D10" i="1848" s="1"/>
  <c r="H36" i="1848"/>
  <c r="D36" i="1848"/>
  <c r="R35" i="1848"/>
  <c r="L19" i="1848" s="1"/>
  <c r="D19" i="1848" s="1"/>
  <c r="H35" i="1848"/>
  <c r="D35" i="1848"/>
  <c r="R34" i="1848"/>
  <c r="H34" i="1848"/>
  <c r="D34" i="1848"/>
  <c r="R33" i="1848"/>
  <c r="R32" i="1848"/>
  <c r="R31" i="1848"/>
  <c r="R30" i="1848"/>
  <c r="R29" i="1848"/>
  <c r="R28" i="1848"/>
  <c r="L16" i="1848" s="1"/>
  <c r="D16" i="1848" s="1"/>
  <c r="R27" i="1848"/>
  <c r="D27" i="1848"/>
  <c r="R26" i="1848"/>
  <c r="L26" i="1848"/>
  <c r="D26" i="1848" s="1"/>
  <c r="R25" i="1848"/>
  <c r="L25" i="1848"/>
  <c r="D25" i="1848" s="1"/>
  <c r="R24" i="1848"/>
  <c r="L24" i="1848"/>
  <c r="D24" i="1848" s="1"/>
  <c r="R23" i="1848"/>
  <c r="L23" i="1848"/>
  <c r="D23" i="1848" s="1"/>
  <c r="R22" i="1848"/>
  <c r="L22" i="1848"/>
  <c r="D22" i="1848" s="1"/>
  <c r="R21" i="1848"/>
  <c r="L17" i="1848" s="1"/>
  <c r="D17" i="1848" s="1"/>
  <c r="D21" i="1848"/>
  <c r="R20" i="1848"/>
  <c r="R19" i="1848"/>
  <c r="R18" i="1848"/>
  <c r="D18" i="1848"/>
  <c r="R17" i="1848"/>
  <c r="R16" i="1848"/>
  <c r="R15" i="1848"/>
  <c r="D15" i="1848"/>
  <c r="R14" i="1848"/>
  <c r="D14" i="1848"/>
  <c r="R13" i="1848"/>
  <c r="D13" i="1848"/>
  <c r="R12" i="1848"/>
  <c r="L12" i="1848"/>
  <c r="D12" i="1848" s="1"/>
  <c r="R11" i="1848"/>
  <c r="L11" i="1848"/>
  <c r="D11" i="1848"/>
  <c r="R6" i="1848"/>
  <c r="R5" i="1848"/>
  <c r="R4" i="1848"/>
  <c r="R52" i="1847"/>
  <c r="R51" i="1847"/>
  <c r="D50" i="1847"/>
  <c r="R49" i="1847"/>
  <c r="D49" i="1847"/>
  <c r="R48" i="1847"/>
  <c r="D48" i="1847"/>
  <c r="D46" i="1847"/>
  <c r="D45" i="1847"/>
  <c r="R44" i="1847"/>
  <c r="L28" i="1847" s="1"/>
  <c r="D28" i="1847" s="1"/>
  <c r="D44" i="1847"/>
  <c r="R42" i="1847"/>
  <c r="D42" i="1847"/>
  <c r="R41" i="1847"/>
  <c r="L7" i="1847" s="1"/>
  <c r="D7" i="1847" s="1"/>
  <c r="D41" i="1847"/>
  <c r="R40" i="1847"/>
  <c r="L8" i="1847" s="1"/>
  <c r="D8" i="1847" s="1"/>
  <c r="D40" i="1847"/>
  <c r="R39" i="1847"/>
  <c r="L20" i="1847" s="1"/>
  <c r="D20" i="1847" s="1"/>
  <c r="H39" i="1847"/>
  <c r="D39" i="1847"/>
  <c r="R38" i="1847"/>
  <c r="L9" i="1847" s="1"/>
  <c r="D9" i="1847" s="1"/>
  <c r="H38" i="1847"/>
  <c r="D38" i="1847"/>
  <c r="R37" i="1847"/>
  <c r="H37" i="1847"/>
  <c r="D37" i="1847"/>
  <c r="R36" i="1847"/>
  <c r="L10" i="1847" s="1"/>
  <c r="D10" i="1847" s="1"/>
  <c r="H36" i="1847"/>
  <c r="D36" i="1847"/>
  <c r="R35" i="1847"/>
  <c r="H35" i="1847"/>
  <c r="D35" i="1847"/>
  <c r="R34" i="1847"/>
  <c r="L12" i="1847" s="1"/>
  <c r="D12" i="1847" s="1"/>
  <c r="H34" i="1847"/>
  <c r="D34" i="1847"/>
  <c r="R33" i="1847"/>
  <c r="R32" i="1847"/>
  <c r="L11" i="1847" s="1"/>
  <c r="D11" i="1847" s="1"/>
  <c r="R31" i="1847"/>
  <c r="R30" i="1847"/>
  <c r="R29" i="1847"/>
  <c r="R28" i="1847"/>
  <c r="L16" i="1847" s="1"/>
  <c r="D16" i="1847" s="1"/>
  <c r="R27" i="1847"/>
  <c r="D27" i="1847"/>
  <c r="R26" i="1847"/>
  <c r="L26" i="1847"/>
  <c r="D26" i="1847" s="1"/>
  <c r="R25" i="1847"/>
  <c r="L25" i="1847"/>
  <c r="D25" i="1847" s="1"/>
  <c r="R24" i="1847"/>
  <c r="L24" i="1847"/>
  <c r="D24" i="1847" s="1"/>
  <c r="R23" i="1847"/>
  <c r="D23" i="1847"/>
  <c r="R22" i="1847"/>
  <c r="D22" i="1847"/>
  <c r="R21" i="1847"/>
  <c r="D21" i="1847"/>
  <c r="R20" i="1847"/>
  <c r="R19" i="1847"/>
  <c r="D19" i="1847"/>
  <c r="R18" i="1847"/>
  <c r="D18" i="1847"/>
  <c r="R17" i="1847"/>
  <c r="L17" i="1847"/>
  <c r="D17" i="1847" s="1"/>
  <c r="R16" i="1847"/>
  <c r="R15" i="1847"/>
  <c r="D15" i="1847"/>
  <c r="R14" i="1847"/>
  <c r="D14" i="1847"/>
  <c r="R13" i="1847"/>
  <c r="D13" i="1847"/>
  <c r="R12" i="1847"/>
  <c r="R11" i="1847"/>
  <c r="R6" i="1847"/>
  <c r="L6" i="1847"/>
  <c r="D6" i="1847" s="1"/>
  <c r="R5" i="1847"/>
  <c r="R4" i="1847"/>
  <c r="R52" i="1846"/>
  <c r="R51" i="1846"/>
  <c r="D50" i="1846"/>
  <c r="R49" i="1846"/>
  <c r="G49" i="1846"/>
  <c r="D49" i="1846"/>
  <c r="R48" i="1846"/>
  <c r="D48" i="1846"/>
  <c r="D46" i="1846"/>
  <c r="D45" i="1846"/>
  <c r="D44" i="1846"/>
  <c r="R42" i="1846"/>
  <c r="L6" i="1846" s="1"/>
  <c r="D6" i="1846" s="1"/>
  <c r="D42" i="1846"/>
  <c r="R41" i="1846"/>
  <c r="L7" i="1846" s="1"/>
  <c r="D7" i="1846" s="1"/>
  <c r="D41" i="1846"/>
  <c r="R40" i="1846"/>
  <c r="L8" i="1846" s="1"/>
  <c r="D8" i="1846" s="1"/>
  <c r="D40" i="1846"/>
  <c r="R39" i="1846"/>
  <c r="D39" i="1846"/>
  <c r="R38" i="1846"/>
  <c r="L9" i="1846" s="1"/>
  <c r="D9" i="1846" s="1"/>
  <c r="D38" i="1846"/>
  <c r="R37" i="1846"/>
  <c r="D37" i="1846"/>
  <c r="R36" i="1846"/>
  <c r="L10" i="1846" s="1"/>
  <c r="D10" i="1846" s="1"/>
  <c r="D36" i="1846"/>
  <c r="R35" i="1846"/>
  <c r="D35" i="1846"/>
  <c r="R34" i="1846"/>
  <c r="L12" i="1846" s="1"/>
  <c r="D12" i="1846" s="1"/>
  <c r="D34" i="1846"/>
  <c r="R33" i="1846"/>
  <c r="L23" i="1846" s="1"/>
  <c r="D23" i="1846" s="1"/>
  <c r="R32" i="1846"/>
  <c r="L11" i="1846" s="1"/>
  <c r="D11" i="1846" s="1"/>
  <c r="R31" i="1846"/>
  <c r="R30" i="1846"/>
  <c r="R29" i="1846"/>
  <c r="R28" i="1846"/>
  <c r="L16" i="1846" s="1"/>
  <c r="D16" i="1846" s="1"/>
  <c r="D28" i="1846"/>
  <c r="R27" i="1846"/>
  <c r="D27" i="1846"/>
  <c r="R26" i="1846"/>
  <c r="L26" i="1846"/>
  <c r="D26" i="1846" s="1"/>
  <c r="R25" i="1846"/>
  <c r="L25" i="1846"/>
  <c r="D25" i="1846" s="1"/>
  <c r="R24" i="1846"/>
  <c r="D24" i="1846"/>
  <c r="R23" i="1846"/>
  <c r="R22" i="1846"/>
  <c r="L22" i="1846"/>
  <c r="D22" i="1846"/>
  <c r="R21" i="1846"/>
  <c r="D21" i="1846"/>
  <c r="R20" i="1846"/>
  <c r="L20" i="1846"/>
  <c r="D20" i="1846" s="1"/>
  <c r="R19" i="1846"/>
  <c r="L19" i="1846"/>
  <c r="D19" i="1846"/>
  <c r="R18" i="1846"/>
  <c r="D18" i="1846"/>
  <c r="R17" i="1846"/>
  <c r="D17" i="1846"/>
  <c r="R16" i="1846"/>
  <c r="S15" i="1846"/>
  <c r="R15" i="1846"/>
  <c r="D15" i="1846"/>
  <c r="S14" i="1846"/>
  <c r="R14" i="1846"/>
  <c r="D14" i="1846"/>
  <c r="R13" i="1846"/>
  <c r="D13" i="1846"/>
  <c r="R12" i="1846"/>
  <c r="R11" i="1846"/>
  <c r="R6" i="1846"/>
  <c r="R5" i="1846"/>
  <c r="R4" i="1846"/>
  <c r="R52" i="1845"/>
  <c r="L22" i="1845" s="1"/>
  <c r="D22" i="1845" s="1"/>
  <c r="R51" i="1845"/>
  <c r="D50" i="1845"/>
  <c r="R49" i="1845"/>
  <c r="D49" i="1845"/>
  <c r="R48" i="1845"/>
  <c r="D48" i="1845"/>
  <c r="D46" i="1845"/>
  <c r="D45" i="1845"/>
  <c r="R44" i="1845"/>
  <c r="L28" i="1845" s="1"/>
  <c r="D28" i="1845" s="1"/>
  <c r="D44" i="1845"/>
  <c r="R42" i="1845"/>
  <c r="L6" i="1845" s="1"/>
  <c r="D6" i="1845" s="1"/>
  <c r="D42" i="1845"/>
  <c r="R41" i="1845"/>
  <c r="L7" i="1845" s="1"/>
  <c r="D7" i="1845" s="1"/>
  <c r="D41" i="1845"/>
  <c r="R40" i="1845"/>
  <c r="L8" i="1845" s="1"/>
  <c r="D8" i="1845" s="1"/>
  <c r="D40" i="1845"/>
  <c r="R39" i="1845"/>
  <c r="H39" i="1845"/>
  <c r="D39" i="1845"/>
  <c r="R38" i="1845"/>
  <c r="H38" i="1845"/>
  <c r="D38" i="1845"/>
  <c r="R37" i="1845"/>
  <c r="H37" i="1845"/>
  <c r="D37" i="1845"/>
  <c r="R36" i="1845"/>
  <c r="L10" i="1845" s="1"/>
  <c r="D10" i="1845" s="1"/>
  <c r="H36" i="1845"/>
  <c r="D36" i="1845"/>
  <c r="R35" i="1845"/>
  <c r="L19" i="1845" s="1"/>
  <c r="D19" i="1845" s="1"/>
  <c r="H35" i="1845"/>
  <c r="D35" i="1845"/>
  <c r="R34" i="1845"/>
  <c r="L12" i="1845" s="1"/>
  <c r="D12" i="1845" s="1"/>
  <c r="H34" i="1845"/>
  <c r="D34" i="1845"/>
  <c r="R33" i="1845"/>
  <c r="L23" i="1845" s="1"/>
  <c r="D23" i="1845" s="1"/>
  <c r="R32" i="1845"/>
  <c r="L11" i="1845" s="1"/>
  <c r="D11" i="1845" s="1"/>
  <c r="R31" i="1845"/>
  <c r="R30" i="1845"/>
  <c r="R29" i="1845"/>
  <c r="R28" i="1845"/>
  <c r="L16" i="1845" s="1"/>
  <c r="D16" i="1845" s="1"/>
  <c r="R27" i="1845"/>
  <c r="D27" i="1845"/>
  <c r="R26" i="1845"/>
  <c r="L26" i="1845"/>
  <c r="D26" i="1845" s="1"/>
  <c r="R25" i="1845"/>
  <c r="L25" i="1845"/>
  <c r="D25" i="1845" s="1"/>
  <c r="R24" i="1845"/>
  <c r="D24" i="1845"/>
  <c r="R23" i="1845"/>
  <c r="R22" i="1845"/>
  <c r="R21" i="1845"/>
  <c r="D21" i="1845"/>
  <c r="R20" i="1845"/>
  <c r="L20" i="1845"/>
  <c r="D20" i="1845" s="1"/>
  <c r="R19" i="1845"/>
  <c r="R18" i="1845"/>
  <c r="D18" i="1845"/>
  <c r="R17" i="1845"/>
  <c r="D17" i="1845"/>
  <c r="R16" i="1845"/>
  <c r="R15" i="1845"/>
  <c r="D15" i="1845"/>
  <c r="R14" i="1845"/>
  <c r="D14" i="1845"/>
  <c r="R13" i="1845"/>
  <c r="D13" i="1845"/>
  <c r="R12" i="1845"/>
  <c r="R11" i="1845"/>
  <c r="L9" i="1845"/>
  <c r="D9" i="1845" s="1"/>
  <c r="R6" i="1845"/>
  <c r="R5" i="1845"/>
  <c r="R4" i="1845"/>
  <c r="R52" i="1844"/>
  <c r="R51" i="1844"/>
  <c r="D50" i="1844"/>
  <c r="R49" i="1844"/>
  <c r="D49" i="1844"/>
  <c r="R48" i="1844"/>
  <c r="D48" i="1844"/>
  <c r="D46" i="1844"/>
  <c r="D45" i="1844"/>
  <c r="R44" i="1844"/>
  <c r="L28" i="1844" s="1"/>
  <c r="D28" i="1844" s="1"/>
  <c r="D44" i="1844"/>
  <c r="R42" i="1844"/>
  <c r="L6" i="1844" s="1"/>
  <c r="D6" i="1844" s="1"/>
  <c r="D42" i="1844"/>
  <c r="R41" i="1844"/>
  <c r="L7" i="1844" s="1"/>
  <c r="D7" i="1844" s="1"/>
  <c r="D41" i="1844"/>
  <c r="R40" i="1844"/>
  <c r="L8" i="1844" s="1"/>
  <c r="D8" i="1844" s="1"/>
  <c r="D40" i="1844"/>
  <c r="R39" i="1844"/>
  <c r="H39" i="1844"/>
  <c r="D39" i="1844"/>
  <c r="R38" i="1844"/>
  <c r="L9" i="1844" s="1"/>
  <c r="D9" i="1844" s="1"/>
  <c r="H38" i="1844"/>
  <c r="D38" i="1844"/>
  <c r="R37" i="1844"/>
  <c r="H37" i="1844"/>
  <c r="D37" i="1844"/>
  <c r="R36" i="1844"/>
  <c r="L10" i="1844" s="1"/>
  <c r="D10" i="1844" s="1"/>
  <c r="H36" i="1844"/>
  <c r="D36" i="1844"/>
  <c r="R35" i="1844"/>
  <c r="L19" i="1844" s="1"/>
  <c r="D19" i="1844" s="1"/>
  <c r="H35" i="1844"/>
  <c r="D35" i="1844"/>
  <c r="R34" i="1844"/>
  <c r="L12" i="1844" s="1"/>
  <c r="D12" i="1844" s="1"/>
  <c r="H34" i="1844"/>
  <c r="D34" i="1844"/>
  <c r="R33" i="1844"/>
  <c r="L23" i="1844" s="1"/>
  <c r="D23" i="1844" s="1"/>
  <c r="R32" i="1844"/>
  <c r="L11" i="1844" s="1"/>
  <c r="D11" i="1844" s="1"/>
  <c r="R31" i="1844"/>
  <c r="R30" i="1844"/>
  <c r="R29" i="1844"/>
  <c r="R28" i="1844"/>
  <c r="L16" i="1844" s="1"/>
  <c r="D16" i="1844" s="1"/>
  <c r="R27" i="1844"/>
  <c r="D27" i="1844"/>
  <c r="R26" i="1844"/>
  <c r="L26" i="1844"/>
  <c r="D26" i="1844" s="1"/>
  <c r="R25" i="1844"/>
  <c r="L25" i="1844"/>
  <c r="D25" i="1844" s="1"/>
  <c r="R24" i="1844"/>
  <c r="L24" i="1844"/>
  <c r="D24" i="1844" s="1"/>
  <c r="R23" i="1844"/>
  <c r="R22" i="1844"/>
  <c r="L22" i="1844"/>
  <c r="D22" i="1844" s="1"/>
  <c r="R21" i="1844"/>
  <c r="L17" i="1844" s="1"/>
  <c r="D17" i="1844" s="1"/>
  <c r="D21" i="1844"/>
  <c r="R20" i="1844"/>
  <c r="L20" i="1844"/>
  <c r="D20" i="1844" s="1"/>
  <c r="R19" i="1844"/>
  <c r="R18" i="1844"/>
  <c r="D18" i="1844"/>
  <c r="R17" i="1844"/>
  <c r="R16" i="1844"/>
  <c r="R15" i="1844"/>
  <c r="D15" i="1844"/>
  <c r="R14" i="1844"/>
  <c r="D14" i="1844"/>
  <c r="R13" i="1844"/>
  <c r="D13" i="1844"/>
  <c r="R12" i="1844"/>
  <c r="R11" i="1844"/>
  <c r="R6" i="1844"/>
  <c r="R5" i="1844"/>
  <c r="R4" i="1844"/>
  <c r="R52" i="1843"/>
  <c r="R51" i="1843"/>
  <c r="D50" i="1843"/>
  <c r="R49" i="1843"/>
  <c r="D49" i="1843"/>
  <c r="R48" i="1843"/>
  <c r="D48" i="1843"/>
  <c r="D46" i="1843"/>
  <c r="D45" i="1843"/>
  <c r="R44" i="1843"/>
  <c r="L28" i="1843" s="1"/>
  <c r="D28" i="1843" s="1"/>
  <c r="D44" i="1843"/>
  <c r="R42" i="1843"/>
  <c r="L6" i="1843" s="1"/>
  <c r="D6" i="1843" s="1"/>
  <c r="D42" i="1843"/>
  <c r="R41" i="1843"/>
  <c r="L7" i="1843" s="1"/>
  <c r="D7" i="1843" s="1"/>
  <c r="D41" i="1843"/>
  <c r="R40" i="1843"/>
  <c r="L8" i="1843" s="1"/>
  <c r="D8" i="1843" s="1"/>
  <c r="D40" i="1843"/>
  <c r="R39" i="1843"/>
  <c r="L20" i="1843" s="1"/>
  <c r="D20" i="1843" s="1"/>
  <c r="H39" i="1843"/>
  <c r="D39" i="1843"/>
  <c r="R38" i="1843"/>
  <c r="L9" i="1843" s="1"/>
  <c r="D9" i="1843" s="1"/>
  <c r="H38" i="1843"/>
  <c r="D38" i="1843"/>
  <c r="R37" i="1843"/>
  <c r="H37" i="1843"/>
  <c r="D37" i="1843"/>
  <c r="R36" i="1843"/>
  <c r="L10" i="1843" s="1"/>
  <c r="D10" i="1843" s="1"/>
  <c r="H36" i="1843"/>
  <c r="D36" i="1843"/>
  <c r="R35" i="1843"/>
  <c r="H35" i="1843"/>
  <c r="D35" i="1843"/>
  <c r="R34" i="1843"/>
  <c r="L12" i="1843" s="1"/>
  <c r="D12" i="1843" s="1"/>
  <c r="H34" i="1843"/>
  <c r="D34" i="1843"/>
  <c r="R33" i="1843"/>
  <c r="R32" i="1843"/>
  <c r="L11" i="1843" s="1"/>
  <c r="D11" i="1843" s="1"/>
  <c r="R31" i="1843"/>
  <c r="R30" i="1843"/>
  <c r="R29" i="1843"/>
  <c r="R28" i="1843"/>
  <c r="L16" i="1843" s="1"/>
  <c r="D16" i="1843" s="1"/>
  <c r="R27" i="1843"/>
  <c r="D27" i="1843"/>
  <c r="R26" i="1843"/>
  <c r="L26" i="1843"/>
  <c r="D26" i="1843" s="1"/>
  <c r="R25" i="1843"/>
  <c r="L25" i="1843"/>
  <c r="D25" i="1843" s="1"/>
  <c r="R24" i="1843"/>
  <c r="L24" i="1843"/>
  <c r="D24" i="1843" s="1"/>
  <c r="R23" i="1843"/>
  <c r="D23" i="1843"/>
  <c r="R22" i="1843"/>
  <c r="D22" i="1843"/>
  <c r="R21" i="1843"/>
  <c r="D21" i="1843"/>
  <c r="R20" i="1843"/>
  <c r="R19" i="1843"/>
  <c r="D19" i="1843"/>
  <c r="R18" i="1843"/>
  <c r="D18" i="1843"/>
  <c r="R17" i="1843"/>
  <c r="L17" i="1843"/>
  <c r="D17" i="1843" s="1"/>
  <c r="R16" i="1843"/>
  <c r="R15" i="1843"/>
  <c r="D15" i="1843"/>
  <c r="R14" i="1843"/>
  <c r="D14" i="1843"/>
  <c r="R13" i="1843"/>
  <c r="D13" i="1843"/>
  <c r="R12" i="1843"/>
  <c r="R11" i="1843"/>
  <c r="R6" i="1843"/>
  <c r="R5" i="1843"/>
  <c r="R4" i="1843"/>
  <c r="R52" i="1842"/>
  <c r="R51" i="1842"/>
  <c r="D50" i="1842"/>
  <c r="R49" i="1842"/>
  <c r="G49" i="1842"/>
  <c r="D49" i="1842"/>
  <c r="R48" i="1842"/>
  <c r="D48" i="1842"/>
  <c r="D46" i="1842"/>
  <c r="D45" i="1842"/>
  <c r="D44" i="1842"/>
  <c r="R42" i="1842"/>
  <c r="L6" i="1842" s="1"/>
  <c r="D6" i="1842" s="1"/>
  <c r="D42" i="1842"/>
  <c r="R41" i="1842"/>
  <c r="L7" i="1842" s="1"/>
  <c r="D7" i="1842" s="1"/>
  <c r="D41" i="1842"/>
  <c r="R40" i="1842"/>
  <c r="L8" i="1842" s="1"/>
  <c r="D8" i="1842" s="1"/>
  <c r="D40" i="1842"/>
  <c r="R39" i="1842"/>
  <c r="D39" i="1842"/>
  <c r="R38" i="1842"/>
  <c r="L9" i="1842" s="1"/>
  <c r="D9" i="1842" s="1"/>
  <c r="D38" i="1842"/>
  <c r="R37" i="1842"/>
  <c r="D37" i="1842"/>
  <c r="R36" i="1842"/>
  <c r="L10" i="1842" s="1"/>
  <c r="D10" i="1842" s="1"/>
  <c r="D36" i="1842"/>
  <c r="R35" i="1842"/>
  <c r="L19" i="1842" s="1"/>
  <c r="D19" i="1842" s="1"/>
  <c r="D35" i="1842"/>
  <c r="R34" i="1842"/>
  <c r="L12" i="1842" s="1"/>
  <c r="D12" i="1842" s="1"/>
  <c r="D34" i="1842"/>
  <c r="R33" i="1842"/>
  <c r="L23" i="1842" s="1"/>
  <c r="D23" i="1842" s="1"/>
  <c r="R32" i="1842"/>
  <c r="L11" i="1842" s="1"/>
  <c r="D11" i="1842" s="1"/>
  <c r="R31" i="1842"/>
  <c r="R30" i="1842"/>
  <c r="R29" i="1842"/>
  <c r="R28" i="1842"/>
  <c r="L16" i="1842" s="1"/>
  <c r="D16" i="1842" s="1"/>
  <c r="D28" i="1842"/>
  <c r="R27" i="1842"/>
  <c r="D27" i="1842"/>
  <c r="R26" i="1842"/>
  <c r="L26" i="1842"/>
  <c r="D26" i="1842"/>
  <c r="R25" i="1842"/>
  <c r="L25" i="1842"/>
  <c r="D25" i="1842" s="1"/>
  <c r="R24" i="1842"/>
  <c r="D24" i="1842"/>
  <c r="R23" i="1842"/>
  <c r="R22" i="1842"/>
  <c r="L22" i="1842"/>
  <c r="D22" i="1842" s="1"/>
  <c r="R21" i="1842"/>
  <c r="D21" i="1842"/>
  <c r="R20" i="1842"/>
  <c r="L20" i="1842"/>
  <c r="D20" i="1842" s="1"/>
  <c r="R19" i="1842"/>
  <c r="R18" i="1842"/>
  <c r="D18" i="1842"/>
  <c r="R17" i="1842"/>
  <c r="D17" i="1842"/>
  <c r="R16" i="1842"/>
  <c r="S15" i="1842"/>
  <c r="R15" i="1842"/>
  <c r="D15" i="1842"/>
  <c r="S14" i="1842"/>
  <c r="R14" i="1842"/>
  <c r="D14" i="1842"/>
  <c r="R13" i="1842"/>
  <c r="D13" i="1842"/>
  <c r="R12" i="1842"/>
  <c r="R11" i="1842"/>
  <c r="R6" i="1842"/>
  <c r="R5" i="1842"/>
  <c r="R4" i="1842"/>
  <c r="D54" i="1853" l="1"/>
  <c r="H14" i="1853" s="1"/>
  <c r="G49" i="1853"/>
  <c r="D54" i="1856"/>
  <c r="H14" i="1856" s="1"/>
  <c r="D54" i="1854"/>
  <c r="H14" i="1854" s="1"/>
  <c r="D54" i="1864"/>
  <c r="H14" i="1864" s="1"/>
  <c r="D54" i="1842"/>
  <c r="H14" i="1842" s="1"/>
  <c r="D29" i="1862"/>
  <c r="H13" i="1862" s="1"/>
  <c r="D29" i="1865"/>
  <c r="H13" i="1865" s="1"/>
  <c r="D29" i="1861"/>
  <c r="H13" i="1861" s="1"/>
  <c r="G49" i="1860"/>
  <c r="D54" i="1846"/>
  <c r="H14" i="1846" s="1"/>
  <c r="G49" i="1861"/>
  <c r="D54" i="1862"/>
  <c r="H14" i="1862" s="1"/>
  <c r="G49" i="1863"/>
  <c r="D54" i="1858"/>
  <c r="H14" i="1858" s="1"/>
  <c r="D54" i="1865"/>
  <c r="H14" i="1865" s="1"/>
  <c r="D54" i="1850"/>
  <c r="H14" i="1850" s="1"/>
  <c r="D29" i="1853"/>
  <c r="H13" i="1853" s="1"/>
  <c r="D54" i="1863"/>
  <c r="H14" i="1863" s="1"/>
  <c r="G49" i="1865"/>
  <c r="G49" i="1856"/>
  <c r="D54" i="1861"/>
  <c r="H14" i="1861" s="1"/>
  <c r="G49" i="1864"/>
  <c r="G49" i="1859"/>
  <c r="D54" i="1860"/>
  <c r="H14" i="1860" s="1"/>
  <c r="D54" i="1859"/>
  <c r="H14" i="1859" s="1"/>
  <c r="G49" i="1857"/>
  <c r="D54" i="1857"/>
  <c r="H14" i="1857" s="1"/>
  <c r="G49" i="1855"/>
  <c r="D54" i="1855"/>
  <c r="H14" i="1855" s="1"/>
  <c r="D29" i="1855"/>
  <c r="H13" i="1855" s="1"/>
  <c r="G49" i="1851"/>
  <c r="G49" i="1852"/>
  <c r="D54" i="1852"/>
  <c r="H14" i="1852" s="1"/>
  <c r="D54" i="1851"/>
  <c r="H14" i="1851" s="1"/>
  <c r="D54" i="1849"/>
  <c r="H14" i="1849" s="1"/>
  <c r="D54" i="1847"/>
  <c r="H14" i="1847" s="1"/>
  <c r="D54" i="1848"/>
  <c r="H14" i="1848" s="1"/>
  <c r="D29" i="1848"/>
  <c r="H13" i="1848" s="1"/>
  <c r="G49" i="1848"/>
  <c r="G49" i="1847"/>
  <c r="G49" i="1849"/>
  <c r="G49" i="1844"/>
  <c r="G49" i="1845"/>
  <c r="G49" i="1843"/>
  <c r="D54" i="1845"/>
  <c r="H14" i="1845" s="1"/>
  <c r="D54" i="1844"/>
  <c r="H14" i="1844" s="1"/>
  <c r="D54" i="1843"/>
  <c r="H14" i="1843" s="1"/>
  <c r="D29" i="1864"/>
  <c r="H13" i="1864" s="1"/>
  <c r="D29" i="1863"/>
  <c r="H13" i="1863" s="1"/>
  <c r="D29" i="1860"/>
  <c r="H13" i="1860" s="1"/>
  <c r="D29" i="1859"/>
  <c r="H13" i="1859" s="1"/>
  <c r="D29" i="1858"/>
  <c r="H13" i="1858" s="1"/>
  <c r="H15" i="1858" s="1"/>
  <c r="H29" i="1858" s="1"/>
  <c r="G51" i="1858" s="1"/>
  <c r="D29" i="1857"/>
  <c r="H13" i="1857" s="1"/>
  <c r="D29" i="1856"/>
  <c r="H13" i="1856" s="1"/>
  <c r="D29" i="1854"/>
  <c r="H13" i="1854" s="1"/>
  <c r="D29" i="1852"/>
  <c r="H13" i="1852" s="1"/>
  <c r="D29" i="1851"/>
  <c r="H13" i="1851" s="1"/>
  <c r="D29" i="1850"/>
  <c r="H13" i="1850" s="1"/>
  <c r="D29" i="1849"/>
  <c r="H13" i="1849" s="1"/>
  <c r="D29" i="1847"/>
  <c r="H13" i="1847" s="1"/>
  <c r="D29" i="1846"/>
  <c r="H13" i="1846" s="1"/>
  <c r="D29" i="1845"/>
  <c r="H13" i="1845" s="1"/>
  <c r="D29" i="1844"/>
  <c r="H13" i="1844" s="1"/>
  <c r="D29" i="1843"/>
  <c r="H13" i="1843" s="1"/>
  <c r="D29" i="1842"/>
  <c r="H13" i="1842" s="1"/>
  <c r="H15" i="1842" s="1"/>
  <c r="H29" i="1842" s="1"/>
  <c r="G51" i="1842" s="1"/>
  <c r="R52" i="1821"/>
  <c r="L22" i="1821" s="1"/>
  <c r="D22" i="1821" s="1"/>
  <c r="R51" i="1821"/>
  <c r="D50" i="1821"/>
  <c r="R49" i="1821"/>
  <c r="D49" i="1821"/>
  <c r="R48" i="1821"/>
  <c r="D48" i="1821"/>
  <c r="D46" i="1821"/>
  <c r="D45" i="1821"/>
  <c r="R44" i="1821"/>
  <c r="L28" i="1821" s="1"/>
  <c r="D28" i="1821" s="1"/>
  <c r="D44" i="1821"/>
  <c r="R42" i="1821"/>
  <c r="L6" i="1821" s="1"/>
  <c r="D6" i="1821" s="1"/>
  <c r="D42" i="1821"/>
  <c r="R41" i="1821"/>
  <c r="L7" i="1821" s="1"/>
  <c r="D7" i="1821" s="1"/>
  <c r="D41" i="1821"/>
  <c r="R40" i="1821"/>
  <c r="L8" i="1821" s="1"/>
  <c r="D8" i="1821" s="1"/>
  <c r="D40" i="1821"/>
  <c r="R39" i="1821"/>
  <c r="H39" i="1821"/>
  <c r="D39" i="1821"/>
  <c r="R38" i="1821"/>
  <c r="L9" i="1821" s="1"/>
  <c r="D9" i="1821" s="1"/>
  <c r="H38" i="1821"/>
  <c r="D38" i="1821"/>
  <c r="R37" i="1821"/>
  <c r="H37" i="1821"/>
  <c r="D37" i="1821"/>
  <c r="R36" i="1821"/>
  <c r="L10" i="1821" s="1"/>
  <c r="D10" i="1821" s="1"/>
  <c r="H36" i="1821"/>
  <c r="D36" i="1821"/>
  <c r="R35" i="1821"/>
  <c r="L19" i="1821" s="1"/>
  <c r="D19" i="1821" s="1"/>
  <c r="H35" i="1821"/>
  <c r="D35" i="1821"/>
  <c r="R34" i="1821"/>
  <c r="L12" i="1821" s="1"/>
  <c r="D12" i="1821" s="1"/>
  <c r="H34" i="1821"/>
  <c r="D34" i="1821"/>
  <c r="R33" i="1821"/>
  <c r="L23" i="1821" s="1"/>
  <c r="D23" i="1821" s="1"/>
  <c r="R32" i="1821"/>
  <c r="L11" i="1821" s="1"/>
  <c r="D11" i="1821" s="1"/>
  <c r="R31" i="1821"/>
  <c r="R30" i="1821"/>
  <c r="R29" i="1821"/>
  <c r="R28" i="1821"/>
  <c r="L16" i="1821" s="1"/>
  <c r="D16" i="1821" s="1"/>
  <c r="R27" i="1821"/>
  <c r="D27" i="1821"/>
  <c r="R26" i="1821"/>
  <c r="L26" i="1821"/>
  <c r="D26" i="1821" s="1"/>
  <c r="R25" i="1821"/>
  <c r="L25" i="1821"/>
  <c r="D25" i="1821" s="1"/>
  <c r="R24" i="1821"/>
  <c r="D24" i="1821"/>
  <c r="R23" i="1821"/>
  <c r="R22" i="1821"/>
  <c r="R21" i="1821"/>
  <c r="D21" i="1821"/>
  <c r="R20" i="1821"/>
  <c r="L20" i="1821"/>
  <c r="D20" i="1821" s="1"/>
  <c r="R19" i="1821"/>
  <c r="R18" i="1821"/>
  <c r="D18" i="1821"/>
  <c r="R17" i="1821"/>
  <c r="D17" i="1821"/>
  <c r="R16" i="1821"/>
  <c r="R15" i="1821"/>
  <c r="D15" i="1821"/>
  <c r="R14" i="1821"/>
  <c r="D14" i="1821"/>
  <c r="R13" i="1821"/>
  <c r="D13" i="1821"/>
  <c r="R12" i="1821"/>
  <c r="R11" i="1821"/>
  <c r="R6" i="1821"/>
  <c r="R5" i="1821"/>
  <c r="R4" i="1821"/>
  <c r="R52" i="1820"/>
  <c r="R51" i="1820"/>
  <c r="D50" i="1820"/>
  <c r="R49" i="1820"/>
  <c r="D49" i="1820"/>
  <c r="R48" i="1820"/>
  <c r="D48" i="1820"/>
  <c r="D46" i="1820"/>
  <c r="D45" i="1820"/>
  <c r="R44" i="1820"/>
  <c r="L28" i="1820" s="1"/>
  <c r="D28" i="1820" s="1"/>
  <c r="D44" i="1820"/>
  <c r="R42" i="1820"/>
  <c r="L6" i="1820" s="1"/>
  <c r="D6" i="1820" s="1"/>
  <c r="D42" i="1820"/>
  <c r="R41" i="1820"/>
  <c r="L7" i="1820" s="1"/>
  <c r="D7" i="1820" s="1"/>
  <c r="D41" i="1820"/>
  <c r="R40" i="1820"/>
  <c r="L8" i="1820" s="1"/>
  <c r="D8" i="1820" s="1"/>
  <c r="D40" i="1820"/>
  <c r="R39" i="1820"/>
  <c r="L20" i="1820" s="1"/>
  <c r="D20" i="1820" s="1"/>
  <c r="H39" i="1820"/>
  <c r="D39" i="1820"/>
  <c r="R38" i="1820"/>
  <c r="L9" i="1820" s="1"/>
  <c r="D9" i="1820" s="1"/>
  <c r="H38" i="1820"/>
  <c r="D38" i="1820"/>
  <c r="R37" i="1820"/>
  <c r="H37" i="1820"/>
  <c r="D37" i="1820"/>
  <c r="R36" i="1820"/>
  <c r="L10" i="1820" s="1"/>
  <c r="D10" i="1820" s="1"/>
  <c r="H36" i="1820"/>
  <c r="D36" i="1820"/>
  <c r="R35" i="1820"/>
  <c r="L19" i="1820" s="1"/>
  <c r="D19" i="1820" s="1"/>
  <c r="H35" i="1820"/>
  <c r="D35" i="1820"/>
  <c r="R34" i="1820"/>
  <c r="L12" i="1820" s="1"/>
  <c r="D12" i="1820" s="1"/>
  <c r="H34" i="1820"/>
  <c r="D34" i="1820"/>
  <c r="R33" i="1820"/>
  <c r="L23" i="1820" s="1"/>
  <c r="D23" i="1820" s="1"/>
  <c r="R32" i="1820"/>
  <c r="L11" i="1820" s="1"/>
  <c r="D11" i="1820" s="1"/>
  <c r="R31" i="1820"/>
  <c r="R30" i="1820"/>
  <c r="R29" i="1820"/>
  <c r="R28" i="1820"/>
  <c r="L16" i="1820" s="1"/>
  <c r="D16" i="1820" s="1"/>
  <c r="R27" i="1820"/>
  <c r="D27" i="1820"/>
  <c r="R26" i="1820"/>
  <c r="L26" i="1820"/>
  <c r="D26" i="1820" s="1"/>
  <c r="R25" i="1820"/>
  <c r="D25" i="1820"/>
  <c r="R24" i="1820"/>
  <c r="D24" i="1820"/>
  <c r="R23" i="1820"/>
  <c r="R22" i="1820"/>
  <c r="L22" i="1820"/>
  <c r="D22" i="1820" s="1"/>
  <c r="R21" i="1820"/>
  <c r="L17" i="1820" s="1"/>
  <c r="D17" i="1820" s="1"/>
  <c r="D21" i="1820"/>
  <c r="R20" i="1820"/>
  <c r="R19" i="1820"/>
  <c r="R18" i="1820"/>
  <c r="D18" i="1820"/>
  <c r="R17" i="1820"/>
  <c r="R16" i="1820"/>
  <c r="R15" i="1820"/>
  <c r="D15" i="1820"/>
  <c r="R14" i="1820"/>
  <c r="D14" i="1820"/>
  <c r="R13" i="1820"/>
  <c r="D13" i="1820"/>
  <c r="R12" i="1820"/>
  <c r="R11" i="1820"/>
  <c r="R6" i="1820"/>
  <c r="R5" i="1820"/>
  <c r="R4" i="1820"/>
  <c r="R52" i="1819"/>
  <c r="R51" i="1819"/>
  <c r="D50" i="1819"/>
  <c r="R49" i="1819"/>
  <c r="D49" i="1819"/>
  <c r="R48" i="1819"/>
  <c r="D48" i="1819"/>
  <c r="D46" i="1819"/>
  <c r="D45" i="1819"/>
  <c r="R44" i="1819"/>
  <c r="L28" i="1819" s="1"/>
  <c r="D28" i="1819" s="1"/>
  <c r="D44" i="1819"/>
  <c r="R42" i="1819"/>
  <c r="D42" i="1819"/>
  <c r="R41" i="1819"/>
  <c r="L7" i="1819" s="1"/>
  <c r="D7" i="1819" s="1"/>
  <c r="D41" i="1819"/>
  <c r="R40" i="1819"/>
  <c r="L8" i="1819" s="1"/>
  <c r="D8" i="1819" s="1"/>
  <c r="D40" i="1819"/>
  <c r="R39" i="1819"/>
  <c r="L20" i="1819" s="1"/>
  <c r="D20" i="1819" s="1"/>
  <c r="H39" i="1819"/>
  <c r="D39" i="1819"/>
  <c r="R38" i="1819"/>
  <c r="L9" i="1819" s="1"/>
  <c r="D9" i="1819" s="1"/>
  <c r="H38" i="1819"/>
  <c r="D38" i="1819"/>
  <c r="R37" i="1819"/>
  <c r="H37" i="1819"/>
  <c r="D37" i="1819"/>
  <c r="R36" i="1819"/>
  <c r="H36" i="1819"/>
  <c r="D36" i="1819"/>
  <c r="R35" i="1819"/>
  <c r="H35" i="1819"/>
  <c r="D35" i="1819"/>
  <c r="R34" i="1819"/>
  <c r="L12" i="1819" s="1"/>
  <c r="D12" i="1819" s="1"/>
  <c r="H34" i="1819"/>
  <c r="D34" i="1819"/>
  <c r="R33" i="1819"/>
  <c r="R32" i="1819"/>
  <c r="L11" i="1819" s="1"/>
  <c r="D11" i="1819" s="1"/>
  <c r="R31" i="1819"/>
  <c r="R30" i="1819"/>
  <c r="R29" i="1819"/>
  <c r="R28" i="1819"/>
  <c r="L16" i="1819" s="1"/>
  <c r="D16" i="1819" s="1"/>
  <c r="R27" i="1819"/>
  <c r="D27" i="1819"/>
  <c r="R26" i="1819"/>
  <c r="L26" i="1819"/>
  <c r="D26" i="1819" s="1"/>
  <c r="R25" i="1819"/>
  <c r="L25" i="1819"/>
  <c r="D25" i="1819" s="1"/>
  <c r="R24" i="1819"/>
  <c r="L24" i="1819"/>
  <c r="D24" i="1819"/>
  <c r="R23" i="1819"/>
  <c r="D23" i="1819"/>
  <c r="R22" i="1819"/>
  <c r="D22" i="1819"/>
  <c r="R21" i="1819"/>
  <c r="D21" i="1819"/>
  <c r="R20" i="1819"/>
  <c r="R19" i="1819"/>
  <c r="D19" i="1819"/>
  <c r="R18" i="1819"/>
  <c r="D18" i="1819"/>
  <c r="R17" i="1819"/>
  <c r="L17" i="1819"/>
  <c r="D17" i="1819" s="1"/>
  <c r="R16" i="1819"/>
  <c r="R15" i="1819"/>
  <c r="D15" i="1819"/>
  <c r="R14" i="1819"/>
  <c r="D14" i="1819"/>
  <c r="R13" i="1819"/>
  <c r="D13" i="1819"/>
  <c r="R12" i="1819"/>
  <c r="R11" i="1819"/>
  <c r="L10" i="1819"/>
  <c r="D10" i="1819" s="1"/>
  <c r="R6" i="1819"/>
  <c r="L6" i="1819"/>
  <c r="D6" i="1819" s="1"/>
  <c r="R5" i="1819"/>
  <c r="R4" i="1819"/>
  <c r="R52" i="1818"/>
  <c r="R51" i="1818"/>
  <c r="D50" i="1818"/>
  <c r="R49" i="1818"/>
  <c r="G49" i="1818"/>
  <c r="D49" i="1818"/>
  <c r="R48" i="1818"/>
  <c r="D48" i="1818"/>
  <c r="D46" i="1818"/>
  <c r="D45" i="1818"/>
  <c r="D44" i="1818"/>
  <c r="R42" i="1818"/>
  <c r="L6" i="1818" s="1"/>
  <c r="D6" i="1818" s="1"/>
  <c r="D42" i="1818"/>
  <c r="R41" i="1818"/>
  <c r="L7" i="1818" s="1"/>
  <c r="D7" i="1818" s="1"/>
  <c r="D41" i="1818"/>
  <c r="R40" i="1818"/>
  <c r="L8" i="1818" s="1"/>
  <c r="D8" i="1818" s="1"/>
  <c r="D40" i="1818"/>
  <c r="R39" i="1818"/>
  <c r="D39" i="1818"/>
  <c r="R38" i="1818"/>
  <c r="L9" i="1818" s="1"/>
  <c r="D9" i="1818" s="1"/>
  <c r="D38" i="1818"/>
  <c r="R37" i="1818"/>
  <c r="D37" i="1818"/>
  <c r="R36" i="1818"/>
  <c r="L10" i="1818" s="1"/>
  <c r="D10" i="1818" s="1"/>
  <c r="D36" i="1818"/>
  <c r="R35" i="1818"/>
  <c r="D35" i="1818"/>
  <c r="R34" i="1818"/>
  <c r="L12" i="1818" s="1"/>
  <c r="D12" i="1818" s="1"/>
  <c r="D34" i="1818"/>
  <c r="R33" i="1818"/>
  <c r="L23" i="1818" s="1"/>
  <c r="D23" i="1818" s="1"/>
  <c r="R32" i="1818"/>
  <c r="L11" i="1818" s="1"/>
  <c r="D11" i="1818" s="1"/>
  <c r="R31" i="1818"/>
  <c r="R30" i="1818"/>
  <c r="R29" i="1818"/>
  <c r="R28" i="1818"/>
  <c r="L16" i="1818" s="1"/>
  <c r="D16" i="1818" s="1"/>
  <c r="D28" i="1818"/>
  <c r="R27" i="1818"/>
  <c r="D27" i="1818"/>
  <c r="R26" i="1818"/>
  <c r="L26" i="1818"/>
  <c r="D26" i="1818"/>
  <c r="R25" i="1818"/>
  <c r="L25" i="1818"/>
  <c r="D25" i="1818" s="1"/>
  <c r="R24" i="1818"/>
  <c r="D24" i="1818"/>
  <c r="R23" i="1818"/>
  <c r="R22" i="1818"/>
  <c r="L22" i="1818"/>
  <c r="D22" i="1818" s="1"/>
  <c r="R21" i="1818"/>
  <c r="D21" i="1818"/>
  <c r="R20" i="1818"/>
  <c r="L20" i="1818"/>
  <c r="D20" i="1818"/>
  <c r="R19" i="1818"/>
  <c r="L19" i="1818"/>
  <c r="D19" i="1818" s="1"/>
  <c r="R18" i="1818"/>
  <c r="D18" i="1818"/>
  <c r="R17" i="1818"/>
  <c r="D17" i="1818"/>
  <c r="R16" i="1818"/>
  <c r="S15" i="1818"/>
  <c r="R15" i="1818"/>
  <c r="D15" i="1818"/>
  <c r="S14" i="1818"/>
  <c r="R14" i="1818"/>
  <c r="D14" i="1818"/>
  <c r="R13" i="1818"/>
  <c r="D13" i="1818"/>
  <c r="R12" i="1818"/>
  <c r="R11" i="1818"/>
  <c r="R6" i="1818"/>
  <c r="R5" i="1818"/>
  <c r="R4" i="1818"/>
  <c r="H15" i="1853" l="1"/>
  <c r="H29" i="1853" s="1"/>
  <c r="G51" i="1853" s="1"/>
  <c r="H15" i="1846"/>
  <c r="H29" i="1846" s="1"/>
  <c r="G51" i="1846" s="1"/>
  <c r="H15" i="1850"/>
  <c r="H29" i="1850" s="1"/>
  <c r="G51" i="1850" s="1"/>
  <c r="H15" i="1854"/>
  <c r="H29" i="1854" s="1"/>
  <c r="G51" i="1854" s="1"/>
  <c r="H15" i="1856"/>
  <c r="H29" i="1856" s="1"/>
  <c r="G51" i="1856" s="1"/>
  <c r="H15" i="1864"/>
  <c r="H29" i="1864" s="1"/>
  <c r="G51" i="1864" s="1"/>
  <c r="H15" i="1863"/>
  <c r="H29" i="1863" s="1"/>
  <c r="G51" i="1863" s="1"/>
  <c r="D54" i="1818"/>
  <c r="H14" i="1818" s="1"/>
  <c r="H15" i="1861"/>
  <c r="H29" i="1861" s="1"/>
  <c r="G51" i="1861" s="1"/>
  <c r="H15" i="1865"/>
  <c r="H29" i="1865" s="1"/>
  <c r="G51" i="1865" s="1"/>
  <c r="H15" i="1862"/>
  <c r="H29" i="1862" s="1"/>
  <c r="G51" i="1862" s="1"/>
  <c r="H15" i="1860"/>
  <c r="H29" i="1860" s="1"/>
  <c r="G51" i="1860" s="1"/>
  <c r="H15" i="1859"/>
  <c r="H29" i="1859" s="1"/>
  <c r="G51" i="1859" s="1"/>
  <c r="H15" i="1857"/>
  <c r="H29" i="1857" s="1"/>
  <c r="G51" i="1857" s="1"/>
  <c r="H15" i="1855"/>
  <c r="H29" i="1855" s="1"/>
  <c r="G51" i="1855" s="1"/>
  <c r="H15" i="1852"/>
  <c r="H29" i="1852" s="1"/>
  <c r="G51" i="1852" s="1"/>
  <c r="H15" i="1851"/>
  <c r="H29" i="1851" s="1"/>
  <c r="G51" i="1851" s="1"/>
  <c r="H15" i="1849"/>
  <c r="H29" i="1849" s="1"/>
  <c r="G51" i="1849" s="1"/>
  <c r="H15" i="1847"/>
  <c r="H29" i="1847" s="1"/>
  <c r="G51" i="1847" s="1"/>
  <c r="H15" i="1848"/>
  <c r="H29" i="1848" s="1"/>
  <c r="G51" i="1848" s="1"/>
  <c r="H15" i="1845"/>
  <c r="H29" i="1845" s="1"/>
  <c r="G51" i="1845" s="1"/>
  <c r="H15" i="1844"/>
  <c r="H29" i="1844" s="1"/>
  <c r="G51" i="1844" s="1"/>
  <c r="H15" i="1843"/>
  <c r="H29" i="1843" s="1"/>
  <c r="G51" i="1843" s="1"/>
  <c r="G49" i="1821"/>
  <c r="G49" i="1820"/>
  <c r="D54" i="1821"/>
  <c r="H14" i="1821" s="1"/>
  <c r="D54" i="1820"/>
  <c r="H14" i="1820" s="1"/>
  <c r="D54" i="1819"/>
  <c r="H14" i="1819" s="1"/>
  <c r="G49" i="1819"/>
  <c r="D29" i="1821"/>
  <c r="H13" i="1821" s="1"/>
  <c r="D29" i="1820"/>
  <c r="H13" i="1820" s="1"/>
  <c r="D29" i="1819"/>
  <c r="H13" i="1819" s="1"/>
  <c r="D29" i="1818"/>
  <c r="H13" i="1818" s="1"/>
  <c r="H15" i="1818" s="1"/>
  <c r="H29" i="1818" s="1"/>
  <c r="G51" i="1818" s="1"/>
  <c r="H15" i="1821" l="1"/>
  <c r="H29" i="1821" s="1"/>
  <c r="G51" i="1821" s="1"/>
  <c r="H15" i="1820"/>
  <c r="H29" i="1820" s="1"/>
  <c r="G51" i="1820" s="1"/>
  <c r="H15" i="1819"/>
  <c r="H29" i="1819" s="1"/>
  <c r="G51" i="1819" s="1"/>
</calcChain>
</file>

<file path=xl/sharedStrings.xml><?xml version="1.0" encoding="utf-8"?>
<sst xmlns="http://schemas.openxmlformats.org/spreadsheetml/2006/main" count="14065" uniqueCount="226">
  <si>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</si>
  <si>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</si>
  <si>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</si>
  <si>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</si>
  <si>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</si>
  <si>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</si>
  <si>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</si>
  <si>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</si>
  <si>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</si>
  <si>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</si>
  <si>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</si>
  <si>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</si>
  <si>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</si>
  <si>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</si>
  <si>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</si>
  <si>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</si>
  <si>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</si>
  <si>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</si>
  <si>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</si>
  <si>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</si>
  <si>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</si>
  <si>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</si>
  <si>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</si>
  <si>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</si>
  <si>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</si>
  <si>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</si>
  <si>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</si>
  <si>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</si>
  <si>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</si>
  <si>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</si>
  <si>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</si>
  <si>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</si>
  <si>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</si>
  <si>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</si>
  <si>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</si>
  <si>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</si>
  <si>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</si>
  <si>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</si>
  <si>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CALI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</si>
  <si>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</si>
  <si>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</si>
  <si>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</si>
  <si>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</si>
  <si>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</si>
  <si>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</si>
  <si>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</si>
  <si>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</si>
  <si>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</si>
  <si>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</si>
  <si>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</si>
  <si>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</si>
  <si>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</si>
  <si>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</si>
  <si>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</si>
  <si>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</si>
  <si>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</si>
  <si>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</si>
  <si>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</si>
  <si>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</si>
  <si>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</si>
  <si>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</si>
  <si>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</si>
  <si>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</si>
  <si>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</si>
  <si>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</si>
  <si>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</si>
  <si>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</si>
  <si>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</si>
  <si>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</si>
  <si>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</si>
  <si>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</si>
  <si>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</si>
  <si>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</si>
  <si>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</si>
  <si>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</si>
  <si>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</si>
  <si>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</si>
  <si>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</si>
  <si>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</si>
  <si>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</si>
  <si>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</si>
  <si>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</si>
  <si>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</si>
  <si>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</si>
  <si>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</si>
  <si>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</si>
  <si>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</si>
  <si>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</si>
  <si>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</si>
  <si>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</si>
  <si>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</si>
  <si>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</si>
  <si>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</si>
  <si>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PAMB</t>
  </si>
  <si>
    <t>CNB</t>
  </si>
  <si>
    <t>CIB</t>
  </si>
  <si>
    <t>FBLYC</t>
  </si>
  <si>
    <t>RHSL</t>
  </si>
  <si>
    <t>S.I. NO.</t>
  </si>
  <si>
    <t>LESS: CREDIT</t>
  </si>
  <si>
    <t>ADD: COLLECTION</t>
  </si>
  <si>
    <t>RH500C</t>
  </si>
  <si>
    <t>CHOCO LAGER CAN</t>
  </si>
  <si>
    <t>RED HORSE 500 CAN</t>
  </si>
  <si>
    <t>GE1000</t>
  </si>
  <si>
    <t>FBA BOTT.</t>
  </si>
  <si>
    <t>RED HORSE SUPER 1000</t>
  </si>
  <si>
    <t>SMLC/RHC</t>
  </si>
  <si>
    <t>SMFC</t>
  </si>
  <si>
    <t>CHOCO LAG</t>
  </si>
  <si>
    <t>HSC</t>
  </si>
  <si>
    <t>DANDAYO, RONNEL</t>
  </si>
  <si>
    <t>PAMC</t>
  </si>
  <si>
    <t>ENCLONAR, JEROME</t>
  </si>
  <si>
    <t>SALIG, JOVANI</t>
  </si>
  <si>
    <t>SDC</t>
  </si>
  <si>
    <t>FBAC</t>
  </si>
  <si>
    <t>OTHERS/PROMO</t>
  </si>
  <si>
    <t>RHS BOTT.</t>
  </si>
  <si>
    <t>PPC/RHC</t>
  </si>
  <si>
    <t>PL BOTT.</t>
  </si>
  <si>
    <t>RHSL BOTT.</t>
  </si>
  <si>
    <t>SMLC/PPC/RHC</t>
  </si>
  <si>
    <t>CC/CIC</t>
  </si>
  <si>
    <t>PAMC/CBC</t>
  </si>
  <si>
    <t>SHORT / OVER</t>
  </si>
  <si>
    <t>PORMENTO, ESTEMARK</t>
  </si>
  <si>
    <t>BAOC, PRECILLANO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</si>
  <si>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</si>
  <si>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>FBAC/FBLC</t>
  </si>
  <si>
    <t>GOMORA, JURLAN</t>
  </si>
  <si>
    <t>CC/CIC/C10C</t>
  </si>
  <si>
    <t>CBB</t>
  </si>
  <si>
    <t>CLC/SDC</t>
  </si>
  <si>
    <t>SMZB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</si>
  <si>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</si>
  <si>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t>SAN MIG FREE 330ml</t>
  </si>
  <si>
    <t>SAN MIG HARD SELTZER CAN 330ml</t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</si>
  <si>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</si>
  <si>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RACAZA, ALEX</t>
  </si>
  <si>
    <t xml:space="preserve">                           RONNEL DANDAYO</t>
  </si>
  <si>
    <t>GICA, GRACE</t>
  </si>
  <si>
    <t xml:space="preserve">                            GRACE B. GICA</t>
  </si>
  <si>
    <t xml:space="preserve">                            ESTEMARK PORMENTO</t>
  </si>
  <si>
    <t>SALIG, JULIVEN</t>
  </si>
  <si>
    <t>BDO</t>
  </si>
  <si>
    <t>PNB</t>
  </si>
  <si>
    <t>146636</t>
  </si>
  <si>
    <t>BANK TRANSFER</t>
  </si>
  <si>
    <t>FBAC/FBLYC</t>
  </si>
  <si>
    <t>PP BOTT.</t>
  </si>
  <si>
    <t>PAMC/MGYZ</t>
  </si>
  <si>
    <t>132730</t>
  </si>
  <si>
    <r>
      <rPr>
        <sz val="11"/>
        <color rgb="FFFF0000"/>
        <rFont val="Calibri"/>
        <family val="2"/>
        <scheme val="minor"/>
      </rPr>
      <t>(</t>
    </r>
    <r>
      <rPr>
        <u/>
        <sz val="11"/>
        <color rgb="FFFF0000"/>
        <rFont val="Calibri"/>
        <family val="2"/>
        <scheme val="minor"/>
      </rPr>
      <t>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 </t>
    </r>
  </si>
  <si>
    <t>1ST VB</t>
  </si>
  <si>
    <t>G-CASH</t>
  </si>
  <si>
    <t>52488</t>
  </si>
  <si>
    <t>5089379</t>
  </si>
  <si>
    <t>BOSS RIE</t>
  </si>
  <si>
    <t>SIR JOK</t>
  </si>
  <si>
    <t>2000002937</t>
  </si>
  <si>
    <t>JOHN PASAMANTE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</si>
  <si>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 xml:space="preserve">/ OVER </t>
    </r>
  </si>
  <si>
    <t>52505</t>
  </si>
  <si>
    <t>BALWARTE</t>
  </si>
  <si>
    <t>147317</t>
  </si>
  <si>
    <t>9125</t>
  </si>
  <si>
    <t>PAMC/CBC/CLC</t>
  </si>
  <si>
    <t>MGYZ</t>
  </si>
  <si>
    <t>PPC/RHC/SMLC</t>
  </si>
  <si>
    <t>147590</t>
  </si>
  <si>
    <t>42996</t>
  </si>
  <si>
    <t>PSBC</t>
  </si>
  <si>
    <t>2120012901</t>
  </si>
  <si>
    <t>SOUND CHECK</t>
  </si>
  <si>
    <t>147592</t>
  </si>
  <si>
    <t>FBLC/FBLYC</t>
  </si>
  <si>
    <t>2000007773</t>
  </si>
  <si>
    <t>2000002966</t>
  </si>
  <si>
    <t>PP BOT.</t>
  </si>
  <si>
    <t>5089388</t>
  </si>
  <si>
    <t>146662</t>
  </si>
  <si>
    <t>2130020804</t>
  </si>
  <si>
    <t>2130020805</t>
  </si>
  <si>
    <r>
      <rPr>
        <sz val="11"/>
        <color theme="1"/>
        <rFont val="Calibri"/>
        <family val="2"/>
        <scheme val="minor"/>
      </rPr>
      <t xml:space="preserve">SHORT / </t>
    </r>
    <r>
      <rPr>
        <u/>
        <sz val="11"/>
        <color theme="1"/>
        <rFont val="Calibri"/>
        <family val="2"/>
        <scheme val="minor"/>
      </rPr>
      <t>OVER</t>
    </r>
  </si>
  <si>
    <t>2968</t>
  </si>
  <si>
    <t>2971</t>
  </si>
  <si>
    <t>147357</t>
  </si>
  <si>
    <t>43002</t>
  </si>
  <si>
    <t>132736</t>
  </si>
  <si>
    <t>5872</t>
  </si>
  <si>
    <t>52525</t>
  </si>
  <si>
    <t>2000007786</t>
  </si>
  <si>
    <t>2000002985</t>
  </si>
  <si>
    <r>
      <rPr>
        <sz val="11"/>
        <color theme="1"/>
        <rFont val="Calibri"/>
        <family val="2"/>
        <scheme val="minor"/>
      </rPr>
      <t xml:space="preserve">SHORT / </t>
    </r>
    <r>
      <rPr>
        <u/>
        <sz val="11"/>
        <color theme="1"/>
        <rFont val="Calibri"/>
        <family val="2"/>
        <scheme val="minor"/>
      </rPr>
      <t>OVER</t>
    </r>
  </si>
  <si>
    <t>43006</t>
  </si>
  <si>
    <t>1VB</t>
  </si>
  <si>
    <t>5089389</t>
  </si>
  <si>
    <t xml:space="preserve">                            RONNEL DANDAYO</t>
  </si>
  <si>
    <t>SMLC/RHC/PPC</t>
  </si>
  <si>
    <t>43811</t>
  </si>
  <si>
    <t>147624</t>
  </si>
  <si>
    <t>2130020819</t>
  </si>
  <si>
    <t>146699</t>
  </si>
  <si>
    <t>147697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</si>
  <si>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</si>
  <si>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142268</t>
  </si>
  <si>
    <t>52548</t>
  </si>
  <si>
    <t>CB/CIB</t>
  </si>
  <si>
    <t>PAMB/CBB</t>
  </si>
  <si>
    <t>PAMB/CBB/SDB/CNB</t>
  </si>
  <si>
    <t>LANI SUERTE</t>
  </si>
  <si>
    <t>SIR NEIL</t>
  </si>
  <si>
    <t>2000008001</t>
  </si>
  <si>
    <t>2000003004</t>
  </si>
  <si>
    <t>43009</t>
  </si>
  <si>
    <t>2130020828</t>
  </si>
  <si>
    <t>ALEJANDRO PIZON</t>
  </si>
  <si>
    <t>2120042929</t>
  </si>
  <si>
    <t>PIZON ALEJANDRO</t>
  </si>
  <si>
    <r>
      <rPr>
        <sz val="11"/>
        <color theme="1"/>
        <rFont val="Calibri"/>
        <family val="2"/>
        <scheme val="minor"/>
      </rPr>
      <t>SHORT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/ OVER</t>
    </r>
  </si>
  <si>
    <t>147725</t>
  </si>
  <si>
    <t>2000008006</t>
  </si>
  <si>
    <t>RACAZA, ALEXANDER</t>
  </si>
  <si>
    <t>2000003015</t>
  </si>
  <si>
    <t>147648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</si>
</sst>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3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9" fillId="0" borderId="21" xfId="0" applyFont="1" applyBorder="1"/>
    <xf numFmtId="49" fontId="23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0" fontId="24" fillId="0" borderId="21" xfId="0" applyFont="1" applyBorder="1"/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4" fillId="0" borderId="16" xfId="0" applyFont="1" applyBorder="1"/>
    <xf numFmtId="0" fontId="4" fillId="0" borderId="16" xfId="0" applyFont="1" applyFill="1" applyBorder="1"/>
    <xf numFmtId="0" fontId="23" fillId="0" borderId="21" xfId="0" applyFont="1" applyBorder="1"/>
    <xf numFmtId="49" fontId="0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49" fontId="9" fillId="0" borderId="16" xfId="0" applyNumberFormat="1" applyFont="1" applyBorder="1" applyAlignment="1">
      <alignment horizontal="right"/>
    </xf>
    <xf numFmtId="0" fontId="0" fillId="0" borderId="1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0" fillId="0" borderId="6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19" fillId="0" borderId="6" xfId="0" applyNumberFormat="1" applyFont="1" applyBorder="1" applyAlignment="1">
      <alignment horizontal="left" vertical="center"/>
    </xf>
    <xf numFmtId="165" fontId="19" fillId="0" borderId="4" xfId="0" applyNumberFormat="1" applyFont="1" applyBorder="1" applyAlignment="1">
      <alignment horizontal="left" vertical="center"/>
    </xf>
    <xf numFmtId="165" fontId="19" fillId="0" borderId="7" xfId="0" applyNumberFormat="1" applyFont="1" applyBorder="1" applyAlignment="1">
      <alignment horizontal="left" vertical="center"/>
    </xf>
    <xf numFmtId="165" fontId="19" fillId="0" borderId="50" xfId="0" applyNumberFormat="1" applyFont="1" applyBorder="1" applyAlignment="1">
      <alignment horizontal="left" vertical="center"/>
    </xf>
    <xf numFmtId="165" fontId="19" fillId="0" borderId="51" xfId="0" applyNumberFormat="1" applyFont="1" applyBorder="1" applyAlignment="1">
      <alignment horizontal="left" vertical="center"/>
    </xf>
    <xf numFmtId="165" fontId="19" fillId="0" borderId="52" xfId="0" applyNumberFormat="1" applyFont="1" applyBorder="1" applyAlignment="1">
      <alignment horizontal="left" vertic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9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0" fontId="0" fillId="3" borderId="16" xfId="0" applyFill="1" applyBorder="1" applyAlignment="1">
      <alignment horizont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165" fontId="21" fillId="0" borderId="6" xfId="0" applyNumberFormat="1" applyFont="1" applyBorder="1" applyAlignment="1">
      <alignment horizontal="left" vertical="center"/>
    </xf>
    <xf numFmtId="165" fontId="21" fillId="0" borderId="4" xfId="0" applyNumberFormat="1" applyFont="1" applyBorder="1" applyAlignment="1">
      <alignment horizontal="left" vertical="center"/>
    </xf>
    <xf numFmtId="165" fontId="21" fillId="0" borderId="7" xfId="0" applyNumberFormat="1" applyFont="1" applyBorder="1" applyAlignment="1">
      <alignment horizontal="left" vertical="center"/>
    </xf>
    <xf numFmtId="165" fontId="21" fillId="0" borderId="50" xfId="0" applyNumberFormat="1" applyFont="1" applyBorder="1" applyAlignment="1">
      <alignment horizontal="left" vertical="center"/>
    </xf>
    <xf numFmtId="165" fontId="21" fillId="0" borderId="51" xfId="0" applyNumberFormat="1" applyFont="1" applyBorder="1" applyAlignment="1">
      <alignment horizontal="left" vertical="center"/>
    </xf>
    <xf numFmtId="165" fontId="21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44" fontId="0" fillId="3" borderId="16" xfId="0" applyNumberFormat="1" applyFill="1" applyBorder="1" applyAlignment="1">
      <alignment horizontal="right"/>
    </xf>
    <xf numFmtId="44" fontId="12" fillId="3" borderId="16" xfId="0" applyNumberFormat="1" applyFont="1" applyFill="1" applyBorder="1" applyAlignment="1">
      <alignment horizontal="right"/>
    </xf>
    <xf numFmtId="0" fontId="0" fillId="0" borderId="10" xfId="0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165" fontId="8" fillId="0" borderId="6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5" fontId="8" fillId="0" borderId="7" xfId="0" applyNumberFormat="1" applyFont="1" applyBorder="1" applyAlignment="1">
      <alignment horizontal="left" vertical="center"/>
    </xf>
    <xf numFmtId="165" fontId="8" fillId="0" borderId="50" xfId="0" applyNumberFormat="1" applyFont="1" applyBorder="1" applyAlignment="1">
      <alignment horizontal="left" vertical="center"/>
    </xf>
    <xf numFmtId="165" fontId="8" fillId="0" borderId="51" xfId="0" applyNumberFormat="1" applyFont="1" applyBorder="1" applyAlignment="1">
      <alignment horizontal="left" vertical="center"/>
    </xf>
    <xf numFmtId="165" fontId="8" fillId="0" borderId="52" xfId="0" applyNumberFormat="1" applyFont="1" applyBorder="1" applyAlignment="1">
      <alignment horizontal="left" vertical="center"/>
    </xf>
    <xf numFmtId="0" fontId="0" fillId="0" borderId="10" xfId="0" applyFont="1" applyBorder="1" applyAlignment="1">
      <alignment horizontal="right" vertical="center" wrapText="1"/>
    </xf>
    <xf numFmtId="0" fontId="0" fillId="0" borderId="21" xfId="0" applyFont="1" applyBorder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styles" Target="styles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calcChain" Target="calcChain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675EB-04EB-4CB3-8CC5-A8E748458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C91C7C-41C3-42C7-92F8-033B1988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6FEA1-9A98-4E5C-8843-BEB7AD340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B81C2-7D02-4049-BB74-BD9D5E1F0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6F6C73-20B9-4193-AA14-2AE4C5C7B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24A97-DDE3-42D1-8BF5-F4FA8126E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085DA1-7D53-471E-A6BA-2ED3CC754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2FC46-AD4D-4648-ADB9-2916DB4E6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323EA-19D5-440B-A1B5-A7C612024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EEDEF-5EB7-4088-B127-F6A2585F7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842448-6AE6-4074-8451-602791138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5E2DB-377E-4DD2-B5D3-64EFC055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DD293-B550-4AA4-A4CE-B8FFEFE95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952A3-A03A-4144-8B3D-030140134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9CE05-D2CA-4430-8EF2-C8DFE3A60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C1DBC5-2CFF-4A44-B4D7-8273DA732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5A2A13-17F5-4C98-B126-A70CE9547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1D5BA-F84F-4A78-9A55-CA8B85380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EC14A-8C4C-46B7-AC7C-4414D3551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45A89-6329-4D2F-83A1-3C152512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579CFB-4B88-49D8-9737-8B41C3150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49AFA-BE10-48FB-8694-085158398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913F7C-829F-46F1-B268-D3BFB87AE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4E4E1-F86B-4538-9BF6-1AC65178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DE8787-CAEF-4F12-B1D7-DE8A4159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09AAAA-579C-421C-B600-27F90F494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74B69C-B580-4F76-BFED-30735996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8C1C04-19A7-47D8-84A6-98E011D84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11F4F-5EC0-4C60-AAC9-830BC5553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A0432-A0B1-4045-BDE9-6BDC589AB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5C042-B5ED-4A95-B439-341B29CAD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4B6BC-6C34-4AF5-889E-ACC489427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AA96A0-576A-4A5E-8DB1-7FF765605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89C48-1DBC-41FC-AB5E-F0C07DEB4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32DB5-62C5-49D4-814F-B875F0462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74A6DA-A006-4F74-A954-685C79A1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900DC6-3BF0-4709-8882-C58FBEE52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EAFC5-C9BA-41E6-AD50-D6800A5AC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7878B-8A91-45DD-938E-7DB96724C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A51C8-B4B3-429B-9E87-79385D380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CFDB3-1A68-4FE9-86B3-FC6364A0A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0A013-E0A2-4E07-8D0E-CB72BD8A9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19F4E-A94F-4292-A121-10640D401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8302C8-1CFA-45BD-BD2F-4B926AD9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0503D-85F6-41FA-95D3-93F79EC68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725F3B-AF57-418C-A772-E0F412AC7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2C95A-4409-4FD2-9378-1F8734C85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D0082-FCA7-490B-886F-1FDF41B41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23162-9FBC-4F30-B0B5-24239F934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F9B4CB-FAB1-4FAB-AFEC-64771F281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F29212-524F-44EC-976E-BC2CB34F8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53</xdr:row>
      <xdr:rowOff>184507</xdr:rowOff>
    </xdr:from>
    <xdr:to>
      <xdr:col>3</xdr:col>
      <xdr:colOff>695325</xdr:colOff>
      <xdr:row>58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93FD80-E471-42BD-AA22-9DA493F2D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23850" y="10547707"/>
          <a:ext cx="2181225" cy="777518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FB0D5-CEFA-4469-BFB7-9BAD726F8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530BB3-8600-4779-A63F-93381C63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FDCC58-74F6-49B1-AEDC-91212E53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31E1DC-8DA0-4B7B-95C4-4FB441BC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02F49-1AC9-4BF2-97C2-E40B012CF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04C7D-25ED-4589-AAC0-0A3CB299E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4F2F3-83E5-473D-BA89-36599B681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4DE639-3326-4F48-BCC1-2B6BB5DFF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AFCA7-2455-4C73-BE7E-A84C323B3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FB59D-9075-464B-829B-918C1B443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2A098-8F40-400F-8EF7-3DE465B0C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C8DAA-50D2-4AB9-849F-8EAA8B7B3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9A8F36-C38A-432E-8B53-000B78EE9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7BD2B-12F2-4AF7-B747-2FE3995CD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DE797-3A44-4553-BAFC-FDE959111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7725B-0384-41FE-B8FC-CEE78F7CE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0A543-6FF1-4E42-B2FA-61071D692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5BF6A-B24B-4898-A1EA-6EC879A8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179EE4-3B4B-4119-8814-0BA185F13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799E8B-D58D-465A-9388-680B7002F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339BBC-5236-420E-9AB9-F244C6A3B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E22B87-5837-4F94-9C1B-711889D86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686FF4-5E1C-497A-8278-B6381617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124FF-185E-4622-90F4-2F352F255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8A00A-6A09-40C0-9567-6A2E50C21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5CBB3-71E7-4FB6-9EAD-18A630C13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A5002E-D318-48B4-AB6D-27A711290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A9DB48-92EE-4AC2-9D12-6C263D8C4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F2AD5-A322-4B18-A5A1-AABC207FA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08DB1F-FA86-4E07-8F0C-18E857517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44F91-9C5A-400A-BA98-F24EA5E01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AFC75-74A1-419A-B0D6-3CF175F0B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8B4311-95F9-4301-BE34-664E4DC8F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F6F4E-96C6-4D0E-A732-1FBC5B395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E7AA2-EF7F-4B1F-8031-C6B3809A9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92D910-DAC7-4347-BB8A-C35391F12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69979-7B75-451A-BA8B-6C568EA0A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57CAB-16CA-4831-8A00-E32F68A72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E42C06-73F1-48CF-8C92-6CDA75C0A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CE09D-7E65-4AC1-BC9C-9E5B8E3AE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F61849-0740-4C36-B270-48FE3F9F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D4D41-9C2E-449D-BE34-8C05AA47D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A0D812-3DB2-490E-B645-5C4319DF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0956C8-11C2-423F-AA6C-37958D75E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71AF6-9270-47D6-A366-8AA99AFE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518B8B-FD83-41CB-AFE3-19030044C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52F89E-04F7-42B6-8205-737C18898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BC85E-6A59-4629-B7BF-7F0877FF7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B12D2-7709-4891-8E6C-6DBFF35FB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54</xdr:row>
      <xdr:rowOff>93791</xdr:rowOff>
    </xdr:from>
    <xdr:to>
      <xdr:col>3</xdr:col>
      <xdr:colOff>514350</xdr:colOff>
      <xdr:row>57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95CB68-FCA5-412E-9114-A0099434B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76250" y="10647491"/>
          <a:ext cx="1847850" cy="65868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49</xdr:row>
      <xdr:rowOff>90366</xdr:rowOff>
    </xdr:from>
    <xdr:to>
      <xdr:col>3</xdr:col>
      <xdr:colOff>876300</xdr:colOff>
      <xdr:row>62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BFE61-75D5-4370-9B9A-28E3EE338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9662991"/>
          <a:ext cx="1905000" cy="2538534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676276</xdr:colOff>
      <xdr:row>54</xdr:row>
      <xdr:rowOff>57727</xdr:rowOff>
    </xdr:from>
    <xdr:to>
      <xdr:col>3</xdr:col>
      <xdr:colOff>219076</xdr:colOff>
      <xdr:row>56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16261D-F579-45C7-B27D-E389C8877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0611427"/>
          <a:ext cx="1162050" cy="408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I4" sqref="I4:J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D2B3-49A0-4239-88D5-D34331C56E7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4E27-AEDD-4FB2-B67D-6A76106A609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46083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308</v>
      </c>
      <c r="D6" s="13">
        <f t="shared" ref="D6:D28" si="1">C6*L6</f>
        <v>234388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12</v>
      </c>
      <c r="D7" s="13">
        <f t="shared" si="1"/>
        <v>9372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1</v>
      </c>
      <c r="D8" s="13">
        <f t="shared" si="1"/>
        <v>1093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18</v>
      </c>
      <c r="D9" s="13">
        <f t="shared" si="1"/>
        <v>13194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2</v>
      </c>
      <c r="D10" s="13">
        <f t="shared" si="1"/>
        <v>2064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2</v>
      </c>
      <c r="D12" s="48">
        <f t="shared" si="1"/>
        <v>1984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6</v>
      </c>
      <c r="D13" s="48">
        <f t="shared" si="1"/>
        <v>1842</v>
      </c>
      <c r="F13" s="240" t="s">
        <v>36</v>
      </c>
      <c r="G13" s="204"/>
      <c r="H13" s="195">
        <f>D29</f>
        <v>265882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5</v>
      </c>
      <c r="D14" s="31">
        <f t="shared" si="1"/>
        <v>55</v>
      </c>
      <c r="F14" s="198" t="s">
        <v>39</v>
      </c>
      <c r="G14" s="199"/>
      <c r="H14" s="200">
        <f>D54</f>
        <v>30599.25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>
        <v>1</v>
      </c>
      <c r="D15" s="31">
        <f t="shared" si="1"/>
        <v>620</v>
      </c>
      <c r="F15" s="203" t="s">
        <v>40</v>
      </c>
      <c r="G15" s="204"/>
      <c r="H15" s="205">
        <f>H13-H14</f>
        <v>235282.75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216*6+10*6</f>
        <v>1356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265882</v>
      </c>
      <c r="F29" s="112" t="s">
        <v>55</v>
      </c>
      <c r="G29" s="174"/>
      <c r="H29" s="134">
        <f>H15-H16-H17-H18-H19-H20-H22-H23-H24+H26+H27+H28</f>
        <v>233926.75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64</v>
      </c>
      <c r="H34" s="156">
        <f t="shared" ref="H34:H39" si="2">F34*G34</f>
        <v>64000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13</v>
      </c>
      <c r="H35" s="156">
        <f t="shared" si="2"/>
        <v>6500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20</v>
      </c>
      <c r="D36" s="12">
        <f>C36*1.5</f>
        <v>30</v>
      </c>
      <c r="F36" s="12">
        <v>200</v>
      </c>
      <c r="G36" s="37">
        <v>2</v>
      </c>
      <c r="H36" s="156">
        <f t="shared" si="2"/>
        <v>400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240</v>
      </c>
      <c r="D37" s="12">
        <f>C37*111</f>
        <v>26640</v>
      </c>
      <c r="F37" s="12">
        <v>100</v>
      </c>
      <c r="G37" s="39">
        <v>43</v>
      </c>
      <c r="H37" s="156">
        <f t="shared" si="2"/>
        <v>4300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22</v>
      </c>
      <c r="H38" s="156">
        <f t="shared" si="2"/>
        <v>1100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22</v>
      </c>
      <c r="D40" s="12">
        <f>C40*111</f>
        <v>2442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7</v>
      </c>
      <c r="D42" s="12">
        <f>C42*2.25</f>
        <v>15.75</v>
      </c>
      <c r="F42" s="39" t="s">
        <v>79</v>
      </c>
      <c r="G42" s="156">
        <v>30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3</v>
      </c>
      <c r="D44" s="12">
        <f>C44*120</f>
        <v>360</v>
      </c>
      <c r="F44" s="37" t="s">
        <v>145</v>
      </c>
      <c r="G44" s="62" t="s">
        <v>147</v>
      </c>
      <c r="H44" s="151">
        <v>150017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2</v>
      </c>
      <c r="D45" s="12">
        <f>C45*84</f>
        <v>168</v>
      </c>
      <c r="F45" s="37" t="s">
        <v>146</v>
      </c>
      <c r="G45" s="84" t="s">
        <v>148</v>
      </c>
      <c r="H45" s="151">
        <v>7564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11</v>
      </c>
      <c r="D46" s="12">
        <f>C46*1.5</f>
        <v>16.5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7</v>
      </c>
      <c r="D48" s="12">
        <f>C48*78</f>
        <v>546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233911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3</v>
      </c>
      <c r="D50" s="12">
        <f>C50*1.5</f>
        <v>4.5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-15.75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30599.25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2EEE-E618-4585-8393-F4AAE3CCDD0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46083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351</v>
      </c>
      <c r="D6" s="13">
        <f t="shared" ref="D6:D28" si="1">C6*L6</f>
        <v>267111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</v>
      </c>
      <c r="D7" s="13">
        <f t="shared" si="1"/>
        <v>781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40</v>
      </c>
      <c r="D9" s="13">
        <f t="shared" si="1"/>
        <v>29320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10</v>
      </c>
      <c r="D10" s="13">
        <f t="shared" si="1"/>
        <v>10320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9</v>
      </c>
      <c r="D13" s="48">
        <f t="shared" si="1"/>
        <v>2763</v>
      </c>
      <c r="F13" s="240" t="s">
        <v>36</v>
      </c>
      <c r="G13" s="204"/>
      <c r="H13" s="195">
        <f>D29</f>
        <v>313708.5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3</v>
      </c>
      <c r="D14" s="31">
        <f t="shared" si="1"/>
        <v>33</v>
      </c>
      <c r="F14" s="198" t="s">
        <v>39</v>
      </c>
      <c r="G14" s="199"/>
      <c r="H14" s="200">
        <f>D54</f>
        <v>55225.5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258483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230*6</f>
        <v>1380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149</v>
      </c>
      <c r="C19" s="10">
        <v>1</v>
      </c>
      <c r="D19" s="48">
        <f t="shared" si="1"/>
        <v>1102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150</v>
      </c>
      <c r="C24" s="10">
        <v>12</v>
      </c>
      <c r="D24" s="48">
        <f t="shared" si="1"/>
        <v>474</v>
      </c>
      <c r="F24" s="38"/>
      <c r="G24" s="37"/>
      <c r="H24" s="182"/>
      <c r="I24" s="151"/>
      <c r="J24" s="151"/>
      <c r="L24" s="47">
        <f>912/24+1.5</f>
        <v>39.5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118</v>
      </c>
      <c r="C25" s="10">
        <v>12</v>
      </c>
      <c r="D25" s="48">
        <f t="shared" si="1"/>
        <v>504.5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973/24+1.5</f>
        <v>42.041666666666664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313708.5</v>
      </c>
      <c r="F29" s="112" t="s">
        <v>55</v>
      </c>
      <c r="G29" s="174"/>
      <c r="H29" s="134">
        <f>H15-H16-H17-H18-H19-H20-H22-H23-H24+H26+H27</f>
        <v>257103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9</v>
      </c>
      <c r="D34" s="30">
        <f>C34*120</f>
        <v>1080</v>
      </c>
      <c r="F34" s="12">
        <v>1000</v>
      </c>
      <c r="G34" s="74">
        <v>101</v>
      </c>
      <c r="H34" s="156">
        <f>F34*G34</f>
        <v>101000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22</v>
      </c>
      <c r="H35" s="156">
        <f t="shared" ref="H35:H39" si="2">F35*G35</f>
        <v>11000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10</v>
      </c>
      <c r="D36" s="12">
        <f>C36*1.5</f>
        <v>15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465</v>
      </c>
      <c r="D37" s="12">
        <f>C37*111</f>
        <v>51615</v>
      </c>
      <c r="F37" s="12">
        <v>100</v>
      </c>
      <c r="G37" s="39">
        <v>1</v>
      </c>
      <c r="H37" s="156">
        <f t="shared" si="2"/>
        <v>100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10</v>
      </c>
      <c r="D38" s="12">
        <f>C38*84</f>
        <v>840</v>
      </c>
      <c r="F38" s="30">
        <v>50</v>
      </c>
      <c r="G38" s="39">
        <v>1</v>
      </c>
      <c r="H38" s="156">
        <f t="shared" si="2"/>
        <v>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2</v>
      </c>
      <c r="D42" s="12">
        <f>C42*2.25</f>
        <v>4.5</v>
      </c>
      <c r="F42" s="39" t="s">
        <v>79</v>
      </c>
      <c r="G42" s="156">
        <v>136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145</v>
      </c>
      <c r="G44" s="62" t="s">
        <v>152</v>
      </c>
      <c r="H44" s="151">
        <v>144193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1</v>
      </c>
      <c r="D45" s="12">
        <f>C45*84</f>
        <v>84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36</v>
      </c>
      <c r="D46" s="12">
        <f>C46*1.5</f>
        <v>54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22</v>
      </c>
      <c r="D49" s="12">
        <f>C49*42</f>
        <v>924</v>
      </c>
      <c r="F49" s="132" t="s">
        <v>86</v>
      </c>
      <c r="G49" s="134">
        <f>H34+H35+H36+H37+H38+H39+H40+H41+G42+H44+H45+H46</f>
        <v>256479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5</v>
      </c>
      <c r="D50" s="12">
        <f>C50*1.5</f>
        <v>7.5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153</v>
      </c>
      <c r="G51" s="241">
        <f>G49-H29</f>
        <v>-624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55225.5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A2A3-074A-4D0C-B58C-7B3CBC5FB56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46083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266</v>
      </c>
      <c r="D6" s="13">
        <f t="shared" ref="D6:D28" si="1">C6*L6</f>
        <v>202426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9</v>
      </c>
      <c r="D7" s="13">
        <f t="shared" si="1"/>
        <v>7029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57</v>
      </c>
      <c r="D9" s="13">
        <f t="shared" si="1"/>
        <v>41781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1</v>
      </c>
      <c r="D10" s="13">
        <f t="shared" si="1"/>
        <v>1032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2</v>
      </c>
      <c r="D12" s="48">
        <f t="shared" si="1"/>
        <v>1984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12</v>
      </c>
      <c r="D13" s="48">
        <f t="shared" si="1"/>
        <v>3684</v>
      </c>
      <c r="F13" s="240" t="s">
        <v>36</v>
      </c>
      <c r="G13" s="204"/>
      <c r="H13" s="195">
        <f>D29</f>
        <v>259606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8</v>
      </c>
      <c r="D14" s="31">
        <f t="shared" si="1"/>
        <v>88</v>
      </c>
      <c r="F14" s="198" t="s">
        <v>39</v>
      </c>
      <c r="G14" s="199"/>
      <c r="H14" s="200">
        <f>D54</f>
        <v>36129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223477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115*6</f>
        <v>690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151</v>
      </c>
      <c r="C17" s="10">
        <v>1</v>
      </c>
      <c r="D17" s="48">
        <f t="shared" si="1"/>
        <v>1582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>
        <v>50</v>
      </c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259606</v>
      </c>
      <c r="F29" s="112" t="s">
        <v>55</v>
      </c>
      <c r="G29" s="174"/>
      <c r="H29" s="134">
        <f>H15-H16-H17-H18-H19-H20-H22-H23-H24+H26+H27</f>
        <v>222737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41</v>
      </c>
      <c r="H34" s="156">
        <f>F34*G34</f>
        <v>41000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7</v>
      </c>
      <c r="H35" s="156">
        <f>F35*G35</f>
        <v>3500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12</v>
      </c>
      <c r="D36" s="12">
        <f>C36*1.5</f>
        <v>18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284</v>
      </c>
      <c r="D37" s="12">
        <f>C37*111</f>
        <v>31524</v>
      </c>
      <c r="F37" s="12">
        <v>100</v>
      </c>
      <c r="G37" s="39">
        <v>1</v>
      </c>
      <c r="H37" s="156">
        <f t="shared" si="2"/>
        <v>100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17</v>
      </c>
      <c r="D38" s="12">
        <f>C38*84</f>
        <v>1428</v>
      </c>
      <c r="F38" s="30">
        <v>50</v>
      </c>
      <c r="G38" s="39">
        <v>2</v>
      </c>
      <c r="H38" s="156">
        <f t="shared" si="2"/>
        <v>100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16</v>
      </c>
      <c r="D40" s="12">
        <f>C40*111</f>
        <v>1776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10</v>
      </c>
      <c r="D42" s="12">
        <f>C42*2.25</f>
        <v>22.5</v>
      </c>
      <c r="F42" s="39" t="s">
        <v>79</v>
      </c>
      <c r="G42" s="156">
        <v>88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2</v>
      </c>
      <c r="D44" s="12">
        <f>C44*120</f>
        <v>240</v>
      </c>
      <c r="F44" s="37" t="s">
        <v>145</v>
      </c>
      <c r="G44" s="76" t="s">
        <v>156</v>
      </c>
      <c r="H44" s="151">
        <v>75280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154</v>
      </c>
      <c r="G45" s="76" t="s">
        <v>157</v>
      </c>
      <c r="H45" s="151">
        <v>101194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10</v>
      </c>
      <c r="D46" s="12">
        <f>C46*1.5</f>
        <v>15</v>
      </c>
      <c r="F46" s="37" t="s">
        <v>155</v>
      </c>
      <c r="G46" s="62"/>
      <c r="H46" s="152">
        <v>1582</v>
      </c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12</v>
      </c>
      <c r="D48" s="12">
        <f>C48*78</f>
        <v>936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222844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</v>
      </c>
      <c r="D50" s="12">
        <f>C50*1.5</f>
        <v>1.5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107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36129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F4B8E-B384-4651-8C61-42BE14A6AC6A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1778-1822-423D-B47A-69C74143B1A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46084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382</v>
      </c>
      <c r="D6" s="13">
        <f t="shared" ref="D6:D28" si="1">C6*L6</f>
        <v>290702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7</v>
      </c>
      <c r="D7" s="13">
        <f t="shared" si="1"/>
        <v>5467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31</v>
      </c>
      <c r="D9" s="13">
        <f t="shared" si="1"/>
        <v>22723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322724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9</v>
      </c>
      <c r="D14" s="31">
        <f t="shared" si="1"/>
        <v>99</v>
      </c>
      <c r="F14" s="198" t="s">
        <v>39</v>
      </c>
      <c r="G14" s="199"/>
      <c r="H14" s="200">
        <f>D54</f>
        <v>44362.5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278361.5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f>1+1</f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>
        <v>3</v>
      </c>
      <c r="D28" s="48">
        <f t="shared" si="1"/>
        <v>2433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322724</v>
      </c>
      <c r="F29" s="112" t="s">
        <v>55</v>
      </c>
      <c r="G29" s="174"/>
      <c r="H29" s="134">
        <f>H15-H16-H17-H18-H19-H20-H22-H23-H24+H26+H27+H28</f>
        <v>278361.5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212</v>
      </c>
      <c r="H34" s="156">
        <f t="shared" ref="H34:H39" si="2">F34*G34</f>
        <v>212000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36</v>
      </c>
      <c r="H35" s="156">
        <f t="shared" si="2"/>
        <v>18000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56">
        <f t="shared" si="2"/>
        <v>400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393</v>
      </c>
      <c r="D37" s="12">
        <f>C37*111</f>
        <v>43623</v>
      </c>
      <c r="F37" s="12">
        <v>100</v>
      </c>
      <c r="G37" s="39">
        <v>27</v>
      </c>
      <c r="H37" s="156">
        <f t="shared" si="2"/>
        <v>2700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23</v>
      </c>
      <c r="H38" s="156">
        <f t="shared" si="2"/>
        <v>1150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>
        <v>2</v>
      </c>
      <c r="H39" s="156">
        <f t="shared" si="2"/>
        <v>40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2</v>
      </c>
      <c r="D42" s="12">
        <f>C42*2.25</f>
        <v>4.5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155</v>
      </c>
      <c r="G44" s="62" t="s">
        <v>158</v>
      </c>
      <c r="H44" s="151">
        <v>10000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155</v>
      </c>
      <c r="G45" s="62" t="s">
        <v>159</v>
      </c>
      <c r="H45" s="151">
        <v>35000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279290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8</v>
      </c>
      <c r="D50" s="12">
        <f>C50*1.5</f>
        <v>12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928.5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44362.5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8E36-22DC-4194-9416-CB91F78DB7D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46084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224</v>
      </c>
      <c r="D6" s="13">
        <f t="shared" ref="D6:D28" si="1">C6*L6</f>
        <v>170464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2</v>
      </c>
      <c r="D7" s="13">
        <f t="shared" si="1"/>
        <v>1562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71</v>
      </c>
      <c r="D9" s="13">
        <f t="shared" si="1"/>
        <v>52043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7</v>
      </c>
      <c r="D13" s="48">
        <f t="shared" si="1"/>
        <v>2149</v>
      </c>
      <c r="F13" s="240" t="s">
        <v>36</v>
      </c>
      <c r="G13" s="204"/>
      <c r="H13" s="195">
        <f>D29</f>
        <v>228774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14</v>
      </c>
      <c r="D14" s="31">
        <f t="shared" si="1"/>
        <v>154</v>
      </c>
      <c r="F14" s="198" t="s">
        <v>39</v>
      </c>
      <c r="G14" s="199"/>
      <c r="H14" s="200">
        <f>D54</f>
        <v>35040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193734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122*6</f>
        <v>732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149</v>
      </c>
      <c r="C19" s="10">
        <v>1</v>
      </c>
      <c r="D19" s="48">
        <f t="shared" si="1"/>
        <v>1102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 t="s">
        <v>161</v>
      </c>
      <c r="G22" s="73">
        <v>9463</v>
      </c>
      <c r="H22" s="181">
        <v>265</v>
      </c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228774</v>
      </c>
      <c r="F29" s="112" t="s">
        <v>55</v>
      </c>
      <c r="G29" s="174"/>
      <c r="H29" s="134">
        <f>H15-H16-H17-H18-H19-H20-H22-H23-H24+H26+H27</f>
        <v>192737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140</v>
      </c>
      <c r="H34" s="156">
        <f>F34*G34</f>
        <v>140000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93</v>
      </c>
      <c r="H35" s="156">
        <f t="shared" ref="H35:H39" si="2">F35*G35</f>
        <v>46500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56">
        <f>F36*G36</f>
        <v>400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282</v>
      </c>
      <c r="D37" s="12">
        <f>C37*111</f>
        <v>31302</v>
      </c>
      <c r="F37" s="12">
        <v>100</v>
      </c>
      <c r="G37" s="39">
        <v>43</v>
      </c>
      <c r="H37" s="156">
        <f t="shared" si="2"/>
        <v>4300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31</v>
      </c>
      <c r="D38" s="12">
        <f>C38*84</f>
        <v>2604</v>
      </c>
      <c r="F38" s="30">
        <v>50</v>
      </c>
      <c r="G38" s="39">
        <v>27</v>
      </c>
      <c r="H38" s="156">
        <f t="shared" si="2"/>
        <v>1350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45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1</v>
      </c>
      <c r="D46" s="12">
        <f>C46*1.5</f>
        <v>1.5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3</v>
      </c>
      <c r="D49" s="12">
        <f>C49*42</f>
        <v>126</v>
      </c>
      <c r="F49" s="132" t="s">
        <v>86</v>
      </c>
      <c r="G49" s="134">
        <f>H34+H35+H36+H37+H38+H39+H40+H41+G42+H44+H45+H46</f>
        <v>192595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19</v>
      </c>
      <c r="D50" s="12">
        <f>C50*1.5</f>
        <v>28.5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162</v>
      </c>
      <c r="G51" s="241">
        <f>G49-H29</f>
        <v>-142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35040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98FC-8A93-4282-8BF7-DB31A8636CB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46084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291</v>
      </c>
      <c r="D6" s="13">
        <f t="shared" ref="D6:D28" si="1">C6*L6</f>
        <v>221451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20</v>
      </c>
      <c r="D7" s="13">
        <f t="shared" si="1"/>
        <v>15620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1</v>
      </c>
      <c r="D8" s="13">
        <f t="shared" si="1"/>
        <v>1093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36</v>
      </c>
      <c r="D9" s="13">
        <f t="shared" si="1"/>
        <v>26388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3</v>
      </c>
      <c r="D12" s="48">
        <f t="shared" si="1"/>
        <v>2976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15</v>
      </c>
      <c r="D13" s="48">
        <f t="shared" si="1"/>
        <v>4605</v>
      </c>
      <c r="F13" s="240" t="s">
        <v>36</v>
      </c>
      <c r="G13" s="204"/>
      <c r="H13" s="195">
        <f>D29</f>
        <v>273403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40279.5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>
        <v>1</v>
      </c>
      <c r="D15" s="31">
        <f t="shared" si="1"/>
        <v>620</v>
      </c>
      <c r="F15" s="203" t="s">
        <v>40</v>
      </c>
      <c r="G15" s="204"/>
      <c r="H15" s="205">
        <f>H13-H14</f>
        <v>233123.5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153*6</f>
        <v>918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273403</v>
      </c>
      <c r="F29" s="112" t="s">
        <v>55</v>
      </c>
      <c r="G29" s="174"/>
      <c r="H29" s="134">
        <f>H15-H16-H17-H18-H19-H20-H22-H23-H24+H26+H27</f>
        <v>232205.5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75</v>
      </c>
      <c r="H34" s="156">
        <f>F34*G34</f>
        <v>75000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97</v>
      </c>
      <c r="H35" s="156">
        <f>F35*G35</f>
        <v>48500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302</v>
      </c>
      <c r="D37" s="12">
        <f>C37*111</f>
        <v>33522</v>
      </c>
      <c r="F37" s="12">
        <v>100</v>
      </c>
      <c r="G37" s="39">
        <v>60</v>
      </c>
      <c r="H37" s="156">
        <f t="shared" si="2"/>
        <v>6000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43</v>
      </c>
      <c r="H38" s="156">
        <f t="shared" si="2"/>
        <v>2150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46</v>
      </c>
      <c r="D40" s="12">
        <f>C40*111</f>
        <v>5106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12</v>
      </c>
      <c r="D42" s="12">
        <f>C42*2.25</f>
        <v>27</v>
      </c>
      <c r="F42" s="39" t="s">
        <v>79</v>
      </c>
      <c r="G42" s="156">
        <v>74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2</v>
      </c>
      <c r="D44" s="12">
        <f>C44*120</f>
        <v>240</v>
      </c>
      <c r="F44" s="37" t="s">
        <v>146</v>
      </c>
      <c r="G44" s="76" t="s">
        <v>160</v>
      </c>
      <c r="H44" s="151">
        <v>100483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64</v>
      </c>
      <c r="D46" s="12">
        <f>C46*1.5</f>
        <v>96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8</v>
      </c>
      <c r="D48" s="12">
        <f>C48*78</f>
        <v>624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3</v>
      </c>
      <c r="D49" s="12">
        <f>C49*42</f>
        <v>126</v>
      </c>
      <c r="F49" s="132" t="s">
        <v>86</v>
      </c>
      <c r="G49" s="134">
        <f>H34+H35+H36+H37+H38+H39+H40+H41+G42+H44+H45+H46</f>
        <v>232207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22</v>
      </c>
      <c r="D50" s="12">
        <f>C50*1.5</f>
        <v>33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1.5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40279.5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2641-0112-46AB-A2F6-D2DA4D02B7E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1568-7FAD-436D-B181-6D7F577681D6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46085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359</v>
      </c>
      <c r="D6" s="13">
        <f t="shared" ref="D6:D28" si="1">C6*L6</f>
        <v>273199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6</v>
      </c>
      <c r="D7" s="13">
        <f t="shared" si="1"/>
        <v>4686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117</v>
      </c>
      <c r="D9" s="13">
        <f t="shared" si="1"/>
        <v>85761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10</v>
      </c>
      <c r="D10" s="13">
        <f t="shared" si="1"/>
        <v>10320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2</v>
      </c>
      <c r="D11" s="13">
        <f t="shared" si="1"/>
        <v>2340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3</v>
      </c>
      <c r="D12" s="48">
        <f t="shared" si="1"/>
        <v>2976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18</v>
      </c>
      <c r="D13" s="48">
        <f t="shared" si="1"/>
        <v>5526</v>
      </c>
      <c r="F13" s="240" t="s">
        <v>36</v>
      </c>
      <c r="G13" s="204"/>
      <c r="H13" s="195">
        <f>D29</f>
        <v>387395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14</v>
      </c>
      <c r="D14" s="31">
        <f t="shared" si="1"/>
        <v>154</v>
      </c>
      <c r="F14" s="198" t="s">
        <v>39</v>
      </c>
      <c r="G14" s="199"/>
      <c r="H14" s="200">
        <f>D54</f>
        <v>43563.75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343831.25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334*6</f>
        <v>2004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 t="s">
        <v>164</v>
      </c>
      <c r="G22" s="73">
        <v>8425</v>
      </c>
      <c r="H22" s="181">
        <v>100339</v>
      </c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 t="s">
        <v>164</v>
      </c>
      <c r="G26" s="65">
        <v>9125</v>
      </c>
      <c r="H26" s="151">
        <v>98532</v>
      </c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>
        <v>3</v>
      </c>
      <c r="D28" s="48">
        <f t="shared" si="1"/>
        <v>2433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387395</v>
      </c>
      <c r="F29" s="112" t="s">
        <v>55</v>
      </c>
      <c r="G29" s="174"/>
      <c r="H29" s="134">
        <f>H15-H16-H17-H18-H19-H20-H22-H23-H24+H26+H27+H28</f>
        <v>340020.25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40">
        <v>10</v>
      </c>
      <c r="H34" s="156">
        <f t="shared" ref="H34:H39" si="2">F34*G34</f>
        <v>10000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>
        <v>1</v>
      </c>
      <c r="D35" s="30">
        <f>C35*84</f>
        <v>84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20</v>
      </c>
      <c r="D36" s="12">
        <f>C36*1.5</f>
        <v>30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360</v>
      </c>
      <c r="D37" s="12">
        <f>C37*111</f>
        <v>39960</v>
      </c>
      <c r="F37" s="12">
        <v>100</v>
      </c>
      <c r="G37" s="39">
        <v>1</v>
      </c>
      <c r="H37" s="156">
        <f t="shared" si="2"/>
        <v>100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14</v>
      </c>
      <c r="D38" s="12">
        <f>C38*84</f>
        <v>1176</v>
      </c>
      <c r="F38" s="30">
        <v>50</v>
      </c>
      <c r="G38" s="39">
        <v>2</v>
      </c>
      <c r="H38" s="156">
        <f t="shared" si="2"/>
        <v>100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7</v>
      </c>
      <c r="D42" s="12">
        <f>C42*2.25</f>
        <v>15.75</v>
      </c>
      <c r="F42" s="39" t="s">
        <v>79</v>
      </c>
      <c r="G42" s="156">
        <v>10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4</v>
      </c>
      <c r="D44" s="12">
        <f>C44*120</f>
        <v>480</v>
      </c>
      <c r="F44" s="37" t="s">
        <v>145</v>
      </c>
      <c r="G44" s="62" t="s">
        <v>165</v>
      </c>
      <c r="H44" s="151">
        <v>230441.5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164</v>
      </c>
      <c r="G45" s="62" t="s">
        <v>166</v>
      </c>
      <c r="H45" s="151">
        <v>98532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2</v>
      </c>
      <c r="D46" s="12">
        <f>C46*1.5</f>
        <v>3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7</v>
      </c>
      <c r="D49" s="12">
        <f>C49*42</f>
        <v>294</v>
      </c>
      <c r="F49" s="132" t="s">
        <v>86</v>
      </c>
      <c r="G49" s="134">
        <f>H34+H35+H36+H37+H38+H39+H40+H41+G42+H44+H45+H46</f>
        <v>339183.5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17</v>
      </c>
      <c r="D50" s="12">
        <f>C50*1.5</f>
        <v>25.5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-836.75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43563.75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C2E2-B957-4DF6-BC9F-21540716AD3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46085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326</v>
      </c>
      <c r="D6" s="13">
        <f t="shared" ref="D6:D28" si="1">C6*L6</f>
        <v>248086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14</v>
      </c>
      <c r="D13" s="48">
        <f t="shared" si="1"/>
        <v>4298</v>
      </c>
      <c r="F13" s="240" t="s">
        <v>36</v>
      </c>
      <c r="G13" s="204"/>
      <c r="H13" s="195">
        <f>D29</f>
        <v>253739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5</v>
      </c>
      <c r="D14" s="31">
        <f t="shared" si="1"/>
        <v>55</v>
      </c>
      <c r="F14" s="198" t="s">
        <v>39</v>
      </c>
      <c r="G14" s="199"/>
      <c r="H14" s="200">
        <f>D54</f>
        <v>36819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216920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324*6</f>
        <v>1944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165">
        <v>50</v>
      </c>
      <c r="I19" s="165"/>
      <c r="J19" s="16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253739</v>
      </c>
      <c r="F29" s="112" t="s">
        <v>55</v>
      </c>
      <c r="G29" s="174"/>
      <c r="H29" s="134">
        <f>H15-H16-H17-H18-H19-H20-H22-H23-H24+H26+H27</f>
        <v>214926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214</v>
      </c>
      <c r="H34" s="156">
        <f>F34*G34</f>
        <v>214000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1</v>
      </c>
      <c r="H35" s="156">
        <f t="shared" ref="H35:H39" si="2">F35*G35</f>
        <v>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325</v>
      </c>
      <c r="D37" s="12">
        <f>C37*111</f>
        <v>36075</v>
      </c>
      <c r="F37" s="12">
        <v>100</v>
      </c>
      <c r="G37" s="39">
        <v>3</v>
      </c>
      <c r="H37" s="156">
        <f t="shared" si="2"/>
        <v>300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</v>
      </c>
      <c r="H38" s="156">
        <f t="shared" si="2"/>
        <v>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32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10</v>
      </c>
      <c r="D49" s="12">
        <f>C49*42</f>
        <v>420</v>
      </c>
      <c r="F49" s="132" t="s">
        <v>86</v>
      </c>
      <c r="G49" s="134">
        <f>H34+H35+H36+H37+H38+H39+H40+H41+G42+H44+H45+H46</f>
        <v>214882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</v>
      </c>
      <c r="D50" s="12">
        <f>C50*1.5</f>
        <v>1.5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162</v>
      </c>
      <c r="G51" s="241">
        <f>G49-H29</f>
        <v>-44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36819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8F58-0D98-4069-B016-F3395E73D25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46085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270</v>
      </c>
      <c r="D6" s="13">
        <f t="shared" ref="D6:D28" si="1">C6*L6</f>
        <v>205470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29</v>
      </c>
      <c r="D9" s="13">
        <f t="shared" si="1"/>
        <v>21257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8</v>
      </c>
      <c r="D13" s="48">
        <f t="shared" si="1"/>
        <v>2456</v>
      </c>
      <c r="F13" s="240" t="s">
        <v>36</v>
      </c>
      <c r="G13" s="204"/>
      <c r="H13" s="195">
        <f>D29</f>
        <v>236285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7</v>
      </c>
      <c r="D14" s="31">
        <f t="shared" si="1"/>
        <v>77</v>
      </c>
      <c r="F14" s="198" t="s">
        <v>39</v>
      </c>
      <c r="G14" s="199"/>
      <c r="H14" s="200">
        <f>D54</f>
        <v>33749.25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202535.75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50*6+80*6+63*6</f>
        <v>1158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165">
        <v>50</v>
      </c>
      <c r="I19" s="165"/>
      <c r="J19" s="16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>
        <v>9</v>
      </c>
      <c r="D21" s="48">
        <f t="shared" si="1"/>
        <v>5850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>
        <v>1</v>
      </c>
      <c r="D23" s="48">
        <f t="shared" si="1"/>
        <v>1175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236285</v>
      </c>
      <c r="F29" s="112" t="s">
        <v>55</v>
      </c>
      <c r="G29" s="174"/>
      <c r="H29" s="134">
        <f>H15-H16-H17-H18-H19-H20-H22-H23-H24+H26+H27</f>
        <v>201327.75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94</v>
      </c>
      <c r="H34" s="156">
        <f>F34*G34</f>
        <v>94000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108</v>
      </c>
      <c r="H35" s="156">
        <f>F35*G35</f>
        <v>54000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297</v>
      </c>
      <c r="D37" s="12">
        <f>C37*111</f>
        <v>32967</v>
      </c>
      <c r="F37" s="12">
        <v>100</v>
      </c>
      <c r="G37" s="39">
        <v>124</v>
      </c>
      <c r="H37" s="156">
        <f t="shared" si="2"/>
        <v>12400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2</v>
      </c>
      <c r="H38" s="156">
        <f t="shared" si="2"/>
        <v>100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17</v>
      </c>
      <c r="D42" s="12">
        <f>C42*2.25</f>
        <v>38.25</v>
      </c>
      <c r="F42" s="39" t="s">
        <v>79</v>
      </c>
      <c r="G42" s="156">
        <v>94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145</v>
      </c>
      <c r="G44" s="62" t="s">
        <v>163</v>
      </c>
      <c r="H44" s="151">
        <v>40666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4</v>
      </c>
      <c r="D49" s="12">
        <f>C49*42</f>
        <v>168</v>
      </c>
      <c r="F49" s="132" t="s">
        <v>86</v>
      </c>
      <c r="G49" s="134">
        <f>H34+H35+H36+H37+H38+H39+H40+H41+G42+H44+H45+H46</f>
        <v>201260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6</v>
      </c>
      <c r="D50" s="12">
        <f>C50*1.5</f>
        <v>9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-67.75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33749.25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9811-2FD6-469A-9A99-39989D72077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7A32-E119-4F2E-A4C2-447BC983724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46086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377</v>
      </c>
      <c r="D6" s="13">
        <f t="shared" ref="D6:D28" si="1">C6*L6</f>
        <v>286897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10</v>
      </c>
      <c r="D9" s="13">
        <f t="shared" si="1"/>
        <v>7330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1</v>
      </c>
      <c r="D11" s="13">
        <f t="shared" si="1"/>
        <v>1170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10</v>
      </c>
      <c r="D13" s="48">
        <f t="shared" si="1"/>
        <v>3070</v>
      </c>
      <c r="F13" s="240" t="s">
        <v>36</v>
      </c>
      <c r="G13" s="204"/>
      <c r="H13" s="195">
        <f>D29</f>
        <v>301631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55843.5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245787.5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325*6</f>
        <v>1950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90" t="s">
        <v>167</v>
      </c>
      <c r="C22" s="10">
        <v>2</v>
      </c>
      <c r="D22" s="48">
        <f t="shared" si="1"/>
        <v>3164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301631</v>
      </c>
      <c r="F29" s="112" t="s">
        <v>55</v>
      </c>
      <c r="G29" s="174"/>
      <c r="H29" s="134">
        <f>H15-H16-H17-H18-H19-H20-H22-H23-H24+H26+H27+H28</f>
        <v>243837.5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34</v>
      </c>
      <c r="H34" s="156">
        <f t="shared" ref="H34:H39" si="2">F34*G34</f>
        <v>34000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419</v>
      </c>
      <c r="H35" s="156">
        <f t="shared" si="2"/>
        <v>209500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493</v>
      </c>
      <c r="D37" s="12">
        <f>C37*111</f>
        <v>54723</v>
      </c>
      <c r="F37" s="12">
        <v>100</v>
      </c>
      <c r="G37" s="39">
        <v>2</v>
      </c>
      <c r="H37" s="156">
        <f t="shared" si="2"/>
        <v>200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2</v>
      </c>
      <c r="D38" s="12">
        <f>C38*84</f>
        <v>168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56">
        <f t="shared" si="2"/>
        <v>20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26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1</v>
      </c>
      <c r="D45" s="12">
        <f>C45*84</f>
        <v>84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6</v>
      </c>
      <c r="D46" s="12">
        <f>C46*1.5</f>
        <v>9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5</v>
      </c>
      <c r="D48" s="12">
        <f>C48*78</f>
        <v>390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10</v>
      </c>
      <c r="D49" s="12">
        <f>C49*42</f>
        <v>420</v>
      </c>
      <c r="F49" s="132" t="s">
        <v>86</v>
      </c>
      <c r="G49" s="134">
        <f>H34+H35+H36+H37+H38+H39+H40+H41+G42+H44+H45+H46</f>
        <v>243746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18</v>
      </c>
      <c r="D50" s="12">
        <f>C50*1.5</f>
        <v>27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-91.5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55843.5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4954-D18D-4CB8-8326-DF53B23C721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46086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246</v>
      </c>
      <c r="D6" s="13">
        <f t="shared" ref="D6:D28" si="1">C6*L6</f>
        <v>187206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</v>
      </c>
      <c r="D7" s="13">
        <f t="shared" si="1"/>
        <v>781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24</v>
      </c>
      <c r="D9" s="13">
        <f t="shared" si="1"/>
        <v>17592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2</v>
      </c>
      <c r="D12" s="48">
        <f t="shared" si="1"/>
        <v>1984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7</v>
      </c>
      <c r="D13" s="48">
        <f t="shared" si="1"/>
        <v>2149</v>
      </c>
      <c r="F13" s="240" t="s">
        <v>36</v>
      </c>
      <c r="G13" s="204"/>
      <c r="H13" s="195">
        <f>D29</f>
        <v>264640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34920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229720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197*6</f>
        <v>1182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149</v>
      </c>
      <c r="C19" s="10">
        <f>11+3</f>
        <v>14</v>
      </c>
      <c r="D19" s="48">
        <f t="shared" si="1"/>
        <v>15428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90" t="s">
        <v>169</v>
      </c>
      <c r="C20" s="10">
        <f>4+6</f>
        <v>10</v>
      </c>
      <c r="D20" s="13">
        <f t="shared" si="1"/>
        <v>11750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f>17+13</f>
        <v>30</v>
      </c>
      <c r="D21" s="48">
        <f t="shared" si="1"/>
        <v>19500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>
        <v>4</v>
      </c>
      <c r="D23" s="48">
        <f t="shared" si="1"/>
        <v>6668</v>
      </c>
      <c r="F23" s="25"/>
      <c r="G23" s="37"/>
      <c r="H23" s="182"/>
      <c r="I23" s="151"/>
      <c r="J23" s="151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168</v>
      </c>
      <c r="C27" s="10">
        <v>1</v>
      </c>
      <c r="D27" s="44">
        <f t="shared" si="1"/>
        <v>1582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264640</v>
      </c>
      <c r="F29" s="112" t="s">
        <v>55</v>
      </c>
      <c r="G29" s="174"/>
      <c r="H29" s="134">
        <f>H15-H16-H17-H18-H19-H20-H22-H23-H24+H26+H27</f>
        <v>228538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44</v>
      </c>
      <c r="H34" s="156">
        <f>F34*G34</f>
        <v>44000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1</v>
      </c>
      <c r="H35" s="156">
        <f t="shared" ref="H35:H39" si="2">F35*G35</f>
        <v>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304</v>
      </c>
      <c r="D37" s="12">
        <f>C37*111</f>
        <v>33744</v>
      </c>
      <c r="F37" s="12">
        <v>100</v>
      </c>
      <c r="G37" s="39">
        <v>4</v>
      </c>
      <c r="H37" s="156">
        <f t="shared" si="2"/>
        <v>400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3</v>
      </c>
      <c r="H38" s="156">
        <f t="shared" si="2"/>
        <v>150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2</v>
      </c>
      <c r="H39" s="156">
        <f t="shared" si="2"/>
        <v>40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2</v>
      </c>
      <c r="D42" s="12">
        <f>C42*2.25</f>
        <v>4.5</v>
      </c>
      <c r="F42" s="39" t="s">
        <v>79</v>
      </c>
      <c r="G42" s="156">
        <v>69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145</v>
      </c>
      <c r="G44" s="62" t="s">
        <v>170</v>
      </c>
      <c r="H44" s="151">
        <v>179826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10</v>
      </c>
      <c r="D49" s="12">
        <f>C49*42</f>
        <v>420</v>
      </c>
      <c r="F49" s="132" t="s">
        <v>86</v>
      </c>
      <c r="G49" s="134">
        <f>H34+H35+H36+H37+H38+H39+H40+H41+G42+H44+H45+H46</f>
        <v>224985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162</v>
      </c>
      <c r="G51" s="241">
        <f>G49-H29</f>
        <v>-3553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34920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2FA4-E5B7-42C5-9788-A6F4A0C8B1F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46086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8666-145B-4D0E-865A-E203F4D81C6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DF68-D9DD-4D50-959A-8862A15B35C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46087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65"/>
      <c r="I19" s="165"/>
      <c r="J19" s="165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H15-H16-H17-H18-H19-H20-H22-H23-H24+H26+H27+H28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56">
        <f t="shared" ref="H34:H39" si="2"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1397-3E9E-4383-91FA-825D621525C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46087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ref="H35:H39" si="2"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0AB0-88AB-4465-8B44-602BC78E3FF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46087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355</v>
      </c>
      <c r="D6" s="13">
        <f t="shared" ref="D6:D28" si="1">C6*L6</f>
        <v>270155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10</v>
      </c>
      <c r="D7" s="13">
        <f t="shared" si="1"/>
        <v>7810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111</v>
      </c>
      <c r="D9" s="13">
        <f t="shared" si="1"/>
        <v>81363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13</v>
      </c>
      <c r="D13" s="48">
        <f t="shared" si="1"/>
        <v>3991</v>
      </c>
      <c r="F13" s="240" t="s">
        <v>36</v>
      </c>
      <c r="G13" s="204"/>
      <c r="H13" s="195">
        <f>D29</f>
        <v>363462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13</v>
      </c>
      <c r="D14" s="31">
        <f t="shared" si="1"/>
        <v>143</v>
      </c>
      <c r="F14" s="198" t="s">
        <v>39</v>
      </c>
      <c r="G14" s="199"/>
      <c r="H14" s="200">
        <f>D54</f>
        <v>54750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308712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v>2472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>
        <v>50</v>
      </c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363462</v>
      </c>
      <c r="F29" s="112" t="s">
        <v>55</v>
      </c>
      <c r="G29" s="174"/>
      <c r="H29" s="134">
        <f>H15-H16-H17-H18-H19-H20-H22-H23-H24+H26+H27</f>
        <v>306190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63</v>
      </c>
      <c r="H34" s="156">
        <f>F34*G34</f>
        <v>63000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31</v>
      </c>
      <c r="H35" s="156">
        <f>F35*G35</f>
        <v>15500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481</v>
      </c>
      <c r="D37" s="12">
        <f>C37*111</f>
        <v>53391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</v>
      </c>
      <c r="H38" s="156">
        <f t="shared" si="2"/>
        <v>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>
        <v>15</v>
      </c>
      <c r="H39" s="156">
        <f t="shared" si="2"/>
        <v>300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2</v>
      </c>
      <c r="D42" s="12">
        <f>C42*2.25</f>
        <v>4.5</v>
      </c>
      <c r="F42" s="39" t="s">
        <v>79</v>
      </c>
      <c r="G42" s="156">
        <v>3162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145</v>
      </c>
      <c r="G44" s="62" t="s">
        <v>171</v>
      </c>
      <c r="H44" s="151">
        <v>225117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4</v>
      </c>
      <c r="D49" s="12">
        <f>C49*42</f>
        <v>168</v>
      </c>
      <c r="F49" s="132" t="s">
        <v>86</v>
      </c>
      <c r="G49" s="134">
        <f>H34+H35+H36+H37+H38+H39+H40+H41+G42+H44+H45+H46</f>
        <v>307129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9</v>
      </c>
      <c r="D50" s="12">
        <f>C50*1.5</f>
        <v>13.5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939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54750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7FD6-2FEC-4912-8FFE-CE9541AD5AA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E38C-FA70-4BD0-8B23-05EA09AACEBC}">
  <dimension ref="A1:R59"/>
  <sheetViews>
    <sheetView topLeftCell="A1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46088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319</v>
      </c>
      <c r="D6" s="13">
        <f t="shared" ref="D6:D28" si="1">C6*L6</f>
        <v>242759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50</v>
      </c>
      <c r="D8" s="13">
        <f t="shared" si="1"/>
        <v>54650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17</v>
      </c>
      <c r="D9" s="13">
        <f t="shared" si="1"/>
        <v>12461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2</v>
      </c>
      <c r="D11" s="13">
        <f t="shared" si="1"/>
        <v>2340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1</v>
      </c>
      <c r="D12" s="48">
        <f t="shared" si="1"/>
        <v>992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</v>
      </c>
      <c r="D13" s="48">
        <f t="shared" si="1"/>
        <v>307</v>
      </c>
      <c r="F13" s="240" t="s">
        <v>36</v>
      </c>
      <c r="G13" s="204"/>
      <c r="H13" s="195">
        <f>D29</f>
        <v>319434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42474.75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276959.25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>
        <v>2</v>
      </c>
      <c r="D17" s="48">
        <f t="shared" si="1"/>
        <v>3164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f>2+1</f>
        <v>3</v>
      </c>
      <c r="D21" s="48">
        <f t="shared" si="1"/>
        <v>1950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 t="s">
        <v>174</v>
      </c>
      <c r="G22" s="73">
        <v>9435</v>
      </c>
      <c r="H22" s="181">
        <v>51622</v>
      </c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>
        <v>1</v>
      </c>
      <c r="D28" s="48">
        <f t="shared" si="1"/>
        <v>811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319434</v>
      </c>
      <c r="F29" s="112" t="s">
        <v>55</v>
      </c>
      <c r="G29" s="174"/>
      <c r="H29" s="134">
        <f>H15-H16-H17-H18-H19-H20-H22-H23-H24+H26+H27+H28</f>
        <v>225337.25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82</v>
      </c>
      <c r="H34" s="156">
        <f t="shared" ref="H34:H39" si="2">F34*G34</f>
        <v>82000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2</v>
      </c>
      <c r="D36" s="12">
        <f>C36*1.5</f>
        <v>3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317</v>
      </c>
      <c r="D37" s="12">
        <f>C37*111</f>
        <v>35187</v>
      </c>
      <c r="F37" s="12">
        <v>100</v>
      </c>
      <c r="G37" s="39">
        <v>2</v>
      </c>
      <c r="H37" s="156">
        <f t="shared" si="2"/>
        <v>200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</v>
      </c>
      <c r="H38" s="156">
        <f t="shared" si="2"/>
        <v>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62</v>
      </c>
      <c r="D40" s="12">
        <f>C40*111</f>
        <v>6882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9</v>
      </c>
      <c r="D42" s="12">
        <f>C42*2.25</f>
        <v>20.25</v>
      </c>
      <c r="F42" s="39" t="s">
        <v>79</v>
      </c>
      <c r="G42" s="156">
        <v>106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172</v>
      </c>
      <c r="G44" s="76" t="s">
        <v>173</v>
      </c>
      <c r="H44" s="151">
        <v>141334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3</v>
      </c>
      <c r="D46" s="12">
        <f>C46*1.5</f>
        <v>4.5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223690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8</v>
      </c>
      <c r="D50" s="12">
        <f>C50*1.5</f>
        <v>12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-1647.25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42474.75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70E3-8619-4DBD-BBA3-C2B18550923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46088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385</v>
      </c>
      <c r="D6" s="13">
        <f t="shared" ref="D6:D28" si="1">C6*L6</f>
        <v>292985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4</v>
      </c>
      <c r="D7" s="13">
        <f t="shared" si="1"/>
        <v>3124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68</v>
      </c>
      <c r="D9" s="13">
        <f t="shared" si="1"/>
        <v>49844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2</v>
      </c>
      <c r="D12" s="48">
        <f t="shared" si="1"/>
        <v>1984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10</v>
      </c>
      <c r="D13" s="48">
        <f t="shared" si="1"/>
        <v>3070</v>
      </c>
      <c r="F13" s="240" t="s">
        <v>36</v>
      </c>
      <c r="G13" s="204"/>
      <c r="H13" s="195">
        <f>D29</f>
        <v>351657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33426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318231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v>1200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351657</v>
      </c>
      <c r="F29" s="112" t="s">
        <v>55</v>
      </c>
      <c r="G29" s="174"/>
      <c r="H29" s="134">
        <f>H15-H16-H17-H18-H19-H20-H22-H23-H24+H26+H27</f>
        <v>317031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131</v>
      </c>
      <c r="H34" s="156">
        <f>F34*G34</f>
        <v>131000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80</v>
      </c>
      <c r="H35" s="156">
        <f t="shared" ref="H35:H39" si="2">F35*G35</f>
        <v>40000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278</v>
      </c>
      <c r="D37" s="12">
        <f>C37*111</f>
        <v>30858</v>
      </c>
      <c r="F37" s="12">
        <v>100</v>
      </c>
      <c r="G37" s="39">
        <v>4</v>
      </c>
      <c r="H37" s="156">
        <f t="shared" si="2"/>
        <v>400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18</v>
      </c>
      <c r="D38" s="12">
        <f>C38*84</f>
        <v>1512</v>
      </c>
      <c r="F38" s="30">
        <v>50</v>
      </c>
      <c r="G38" s="39">
        <v>1</v>
      </c>
      <c r="H38" s="156">
        <f t="shared" si="2"/>
        <v>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7</v>
      </c>
      <c r="D39" s="31">
        <f>C39*4.5</f>
        <v>31.5</v>
      </c>
      <c r="F39" s="12">
        <v>20</v>
      </c>
      <c r="G39" s="37">
        <v>1</v>
      </c>
      <c r="H39" s="156">
        <f t="shared" si="2"/>
        <v>20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12</v>
      </c>
      <c r="D42" s="12">
        <f>C42*2.25</f>
        <v>27</v>
      </c>
      <c r="F42" s="39" t="s">
        <v>79</v>
      </c>
      <c r="G42" s="156">
        <v>18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145</v>
      </c>
      <c r="G44" s="62" t="s">
        <v>175</v>
      </c>
      <c r="H44" s="151">
        <v>145531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2</v>
      </c>
      <c r="D45" s="12">
        <f>C45*84</f>
        <v>168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</v>
      </c>
      <c r="D49" s="12">
        <f>C49*42</f>
        <v>42</v>
      </c>
      <c r="F49" s="132" t="s">
        <v>86</v>
      </c>
      <c r="G49" s="134">
        <f>H34+H35+H36+H37+H38+H39+H40+H41+G42+H44+H45+H46</f>
        <v>317019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73</v>
      </c>
      <c r="D50" s="12">
        <f>C50*1.5</f>
        <v>109.5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162</v>
      </c>
      <c r="G51" s="241">
        <f>G49-H29</f>
        <v>-12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33426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EE61-1CE5-4146-A5CD-DF51DD3E68D5}">
  <dimension ref="A1:R59"/>
  <sheetViews>
    <sheetView topLeftCell="A30" zoomScaleNormal="100" zoomScaleSheetLayoutView="85" workbookViewId="0">
      <selection activeCell="F51" sqref="F51:F5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46088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432</v>
      </c>
      <c r="D6" s="13">
        <f t="shared" ref="D6:D28" si="1">C6*L6</f>
        <v>328752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12</v>
      </c>
      <c r="D7" s="13">
        <f t="shared" si="1"/>
        <v>9372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59</v>
      </c>
      <c r="D9" s="13">
        <f t="shared" si="1"/>
        <v>43247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2</v>
      </c>
      <c r="D12" s="48">
        <f t="shared" si="1"/>
        <v>1984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19</v>
      </c>
      <c r="D13" s="48">
        <f t="shared" si="1"/>
        <v>5833</v>
      </c>
      <c r="F13" s="240" t="s">
        <v>36</v>
      </c>
      <c r="G13" s="204"/>
      <c r="H13" s="195">
        <f>D29</f>
        <v>412474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58906.5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353567.5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2736</f>
        <v>2736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>
        <v>1</v>
      </c>
      <c r="D17" s="48">
        <f t="shared" si="1"/>
        <v>1582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176</v>
      </c>
      <c r="C19" s="10">
        <v>2</v>
      </c>
      <c r="D19" s="48">
        <f t="shared" si="1"/>
        <v>2204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>
        <v>30</v>
      </c>
      <c r="D21" s="48">
        <f t="shared" si="1"/>
        <v>19500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412474</v>
      </c>
      <c r="F29" s="112" t="s">
        <v>55</v>
      </c>
      <c r="G29" s="174"/>
      <c r="H29" s="134">
        <f>H15-H16-H17-H18-H19-H20-H22-H23-H24+H26+H27</f>
        <v>350831.5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100</v>
      </c>
      <c r="H34" s="156">
        <f>F34*G34</f>
        <v>100000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31</v>
      </c>
      <c r="H35" s="156">
        <f>F35*G35</f>
        <v>15500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510</v>
      </c>
      <c r="D37" s="12">
        <f>C37*111</f>
        <v>56610</v>
      </c>
      <c r="F37" s="12">
        <v>100</v>
      </c>
      <c r="G37" s="39">
        <v>41</v>
      </c>
      <c r="H37" s="156">
        <f t="shared" si="2"/>
        <v>4100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2</v>
      </c>
      <c r="D42" s="12">
        <f>C42*2.25</f>
        <v>4.5</v>
      </c>
      <c r="F42" s="39" t="s">
        <v>79</v>
      </c>
      <c r="G42" s="156">
        <v>24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2</v>
      </c>
      <c r="D44" s="12">
        <f>C44*120</f>
        <v>240</v>
      </c>
      <c r="F44" s="37" t="s">
        <v>146</v>
      </c>
      <c r="G44" s="76" t="s">
        <v>177</v>
      </c>
      <c r="H44" s="151">
        <v>70468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146</v>
      </c>
      <c r="G45" s="76" t="s">
        <v>178</v>
      </c>
      <c r="H45" s="151">
        <v>162086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2</v>
      </c>
      <c r="D46" s="12">
        <f>C46*1.5</f>
        <v>3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12</v>
      </c>
      <c r="D48" s="12">
        <f>C48*78</f>
        <v>936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18</v>
      </c>
      <c r="D49" s="12">
        <f>C49*42</f>
        <v>756</v>
      </c>
      <c r="F49" s="132" t="s">
        <v>86</v>
      </c>
      <c r="G49" s="134">
        <f>H34+H35+H36+H37+H38+H39+H40+H41+G42+H44+H45+H46</f>
        <v>352178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19</v>
      </c>
      <c r="D50" s="12">
        <f>C50*1.5</f>
        <v>28.5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1346.5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58906.5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CD13-1AB8-4C33-9E13-6AB4F2FF47E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F066-6797-4C80-8E6B-60D2D9A8D67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46090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558</v>
      </c>
      <c r="D6" s="13">
        <f t="shared" ref="D6:D28" si="1">C6*L6</f>
        <v>424638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55</v>
      </c>
      <c r="D7" s="13">
        <f t="shared" si="1"/>
        <v>42955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67</v>
      </c>
      <c r="D9" s="13">
        <f t="shared" si="1"/>
        <v>49111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1</v>
      </c>
      <c r="D10" s="13">
        <f t="shared" si="1"/>
        <v>1032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1</v>
      </c>
      <c r="D12" s="48">
        <f t="shared" si="1"/>
        <v>992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20</v>
      </c>
      <c r="D13" s="48">
        <f t="shared" si="1"/>
        <v>6140</v>
      </c>
      <c r="F13" s="240" t="s">
        <v>36</v>
      </c>
      <c r="G13" s="204"/>
      <c r="H13" s="195">
        <f>D29</f>
        <v>529181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5</v>
      </c>
      <c r="D14" s="31">
        <f t="shared" si="1"/>
        <v>55</v>
      </c>
      <c r="F14" s="198" t="s">
        <v>39</v>
      </c>
      <c r="G14" s="199"/>
      <c r="H14" s="200">
        <f>D54</f>
        <v>67908.75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>
        <v>1</v>
      </c>
      <c r="D15" s="31">
        <f t="shared" si="1"/>
        <v>620</v>
      </c>
      <c r="F15" s="203" t="s">
        <v>40</v>
      </c>
      <c r="G15" s="204"/>
      <c r="H15" s="205">
        <f>H13-H14</f>
        <v>461272.25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534*6</f>
        <v>3204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>
        <v>2</v>
      </c>
      <c r="D17" s="48">
        <f t="shared" si="1"/>
        <v>3164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179</v>
      </c>
      <c r="C24" s="10">
        <v>12</v>
      </c>
      <c r="D24" s="48">
        <f t="shared" si="1"/>
        <v>474</v>
      </c>
      <c r="F24" s="77"/>
      <c r="G24" s="79"/>
      <c r="H24" s="247"/>
      <c r="I24" s="248"/>
      <c r="J24" s="248"/>
      <c r="L24" s="47">
        <f>912/24+1.5</f>
        <v>39.5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 t="s">
        <v>174</v>
      </c>
      <c r="G26" s="65">
        <v>9435</v>
      </c>
      <c r="H26" s="151">
        <v>51622</v>
      </c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529181</v>
      </c>
      <c r="F29" s="112" t="s">
        <v>55</v>
      </c>
      <c r="G29" s="174"/>
      <c r="H29" s="134">
        <f>H15-H16-H17-H18-H19-H20-H22-H23-H24+H26+H27+H28</f>
        <v>509690.25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129</v>
      </c>
      <c r="H34" s="156">
        <f t="shared" ref="H34:H39" si="2">F34*G34</f>
        <v>129000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39</v>
      </c>
      <c r="H35" s="156">
        <f t="shared" si="2"/>
        <v>19500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16</v>
      </c>
      <c r="D36" s="12">
        <f>C36*1.5</f>
        <v>24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462</v>
      </c>
      <c r="D37" s="12">
        <f>C37*111</f>
        <v>51282</v>
      </c>
      <c r="F37" s="12">
        <v>100</v>
      </c>
      <c r="G37" s="39">
        <v>5</v>
      </c>
      <c r="H37" s="156">
        <f t="shared" si="2"/>
        <v>500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138</v>
      </c>
      <c r="D38" s="12">
        <f>C38*84</f>
        <v>11592</v>
      </c>
      <c r="F38" s="30">
        <v>50</v>
      </c>
      <c r="G38" s="39">
        <v>1</v>
      </c>
      <c r="H38" s="156">
        <f t="shared" si="2"/>
        <v>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18</v>
      </c>
      <c r="D40" s="12">
        <f>C40*111</f>
        <v>1998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30</v>
      </c>
      <c r="D41" s="12">
        <f>C41*84</f>
        <v>2520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7</v>
      </c>
      <c r="D42" s="12">
        <f>C42*2.25</f>
        <v>15.75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2</v>
      </c>
      <c r="D44" s="12">
        <f>C44*120</f>
        <v>240</v>
      </c>
      <c r="F44" s="37" t="s">
        <v>145</v>
      </c>
      <c r="G44" s="62" t="s">
        <v>181</v>
      </c>
      <c r="H44" s="151">
        <v>359981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1</v>
      </c>
      <c r="D45" s="12">
        <f>C45*84</f>
        <v>84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509031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19</v>
      </c>
      <c r="D50" s="12">
        <f>C50*1.5</f>
        <v>28.5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-659.25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67908.75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2C43-1530-4100-98EA-12BB4D2C993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46090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538</v>
      </c>
      <c r="D6" s="13">
        <f t="shared" ref="D6:D28" si="1">C6*L6</f>
        <v>409418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</v>
      </c>
      <c r="D7" s="13">
        <f t="shared" si="1"/>
        <v>781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118</v>
      </c>
      <c r="D9" s="13">
        <f t="shared" si="1"/>
        <v>86494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20</v>
      </c>
      <c r="D13" s="48">
        <f t="shared" si="1"/>
        <v>6140</v>
      </c>
      <c r="F13" s="240" t="s">
        <v>36</v>
      </c>
      <c r="G13" s="204"/>
      <c r="H13" s="195">
        <f>D29</f>
        <v>502921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8</v>
      </c>
      <c r="D14" s="31">
        <f t="shared" si="1"/>
        <v>88</v>
      </c>
      <c r="F14" s="198" t="s">
        <v>39</v>
      </c>
      <c r="G14" s="199"/>
      <c r="H14" s="200">
        <f>D54</f>
        <v>75838.5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427082.5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900+1824+648</f>
        <v>3372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502921</v>
      </c>
      <c r="F29" s="112" t="s">
        <v>55</v>
      </c>
      <c r="G29" s="174"/>
      <c r="H29" s="134">
        <f>H15-H16-H17-H18-H19-H20-H22-H23-H24+H26+H27</f>
        <v>423710.5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340</v>
      </c>
      <c r="H34" s="156">
        <f>F34*G34</f>
        <v>340000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25</v>
      </c>
      <c r="H35" s="156">
        <f t="shared" ref="H35:H39" si="2">F35*G35</f>
        <v>12500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670</v>
      </c>
      <c r="D37" s="12">
        <f>C37*111</f>
        <v>74370</v>
      </c>
      <c r="F37" s="12">
        <v>100</v>
      </c>
      <c r="G37" s="39">
        <v>4</v>
      </c>
      <c r="H37" s="156">
        <f t="shared" si="2"/>
        <v>400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2</v>
      </c>
      <c r="H39" s="156">
        <f t="shared" si="2"/>
        <v>40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100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172</v>
      </c>
      <c r="G44" s="76" t="s">
        <v>182</v>
      </c>
      <c r="H44" s="151">
        <v>70473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14</v>
      </c>
      <c r="D49" s="12">
        <f>C49*42</f>
        <v>588</v>
      </c>
      <c r="F49" s="132" t="s">
        <v>86</v>
      </c>
      <c r="G49" s="134">
        <f>H34+H35+H36+H37+H38+H39+H40+H41+G42+H44+H45+H46</f>
        <v>423513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21</v>
      </c>
      <c r="D50" s="12">
        <f>C50*1.5</f>
        <v>31.5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162</v>
      </c>
      <c r="G51" s="241">
        <f>G49-H29</f>
        <v>-197.5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75838.5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A814-B354-4E29-B82B-5E2DBA32FA3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46090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369</v>
      </c>
      <c r="D6" s="13">
        <f t="shared" ref="D6:D28" si="1">C6*L6</f>
        <v>280809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11</v>
      </c>
      <c r="D7" s="13">
        <f t="shared" si="1"/>
        <v>8591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1</v>
      </c>
      <c r="D8" s="13">
        <f t="shared" si="1"/>
        <v>1093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63</v>
      </c>
      <c r="D9" s="13">
        <f t="shared" si="1"/>
        <v>46179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2</v>
      </c>
      <c r="D12" s="48">
        <f t="shared" si="1"/>
        <v>1984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15</v>
      </c>
      <c r="D13" s="48">
        <f t="shared" si="1"/>
        <v>4605</v>
      </c>
      <c r="F13" s="240" t="s">
        <v>36</v>
      </c>
      <c r="G13" s="204"/>
      <c r="H13" s="195">
        <f>D29</f>
        <v>344843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25784.25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319058.75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300</f>
        <v>300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>
        <v>1</v>
      </c>
      <c r="D27" s="44">
        <f t="shared" si="1"/>
        <v>1582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344843</v>
      </c>
      <c r="F29" s="112" t="s">
        <v>55</v>
      </c>
      <c r="G29" s="174"/>
      <c r="H29" s="134">
        <f>H15-H16-H17-H18-H19-H20-H22-H23-H24+H26+H27</f>
        <v>318758.75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114</v>
      </c>
      <c r="H34" s="156">
        <f>F34*G34</f>
        <v>114000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66</v>
      </c>
      <c r="H35" s="156">
        <f>F35*G35</f>
        <v>33000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221</v>
      </c>
      <c r="D37" s="12">
        <f>C37*111</f>
        <v>24531</v>
      </c>
      <c r="F37" s="12">
        <v>100</v>
      </c>
      <c r="G37" s="39">
        <v>17</v>
      </c>
      <c r="H37" s="156">
        <f t="shared" si="2"/>
        <v>1700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>
        <v>31</v>
      </c>
      <c r="H38" s="156">
        <f t="shared" si="2"/>
        <v>1550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7</v>
      </c>
      <c r="D42" s="12">
        <f>C42*2.25</f>
        <v>15.75</v>
      </c>
      <c r="F42" s="39" t="s">
        <v>79</v>
      </c>
      <c r="G42" s="156">
        <v>43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1</v>
      </c>
      <c r="D44" s="12">
        <f>C44*120</f>
        <v>120</v>
      </c>
      <c r="F44" s="37" t="s">
        <v>154</v>
      </c>
      <c r="G44" s="62" t="s">
        <v>180</v>
      </c>
      <c r="H44" s="151">
        <v>168245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</v>
      </c>
      <c r="D49" s="12">
        <f>C49*42</f>
        <v>42</v>
      </c>
      <c r="F49" s="132" t="s">
        <v>86</v>
      </c>
      <c r="G49" s="134">
        <f>H34+H35+H36+H37+H38+H39+H40+H41+G42+H44+H45+H46</f>
        <v>318538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9</v>
      </c>
      <c r="D50" s="12">
        <f>C50*1.5</f>
        <v>13.5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-220.75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25784.25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E1DC-8A6B-4DF0-8008-D504F42F86A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44DA-ADB4-4858-97FF-05CE73EE1DF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46091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324</v>
      </c>
      <c r="D6" s="13">
        <f t="shared" ref="D6:D28" si="1">C6*L6</f>
        <v>246564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3</v>
      </c>
      <c r="D7" s="13">
        <f t="shared" si="1"/>
        <v>2343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20</v>
      </c>
      <c r="D9" s="13">
        <f t="shared" si="1"/>
        <v>14660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5</v>
      </c>
      <c r="D13" s="48">
        <f t="shared" si="1"/>
        <v>1535</v>
      </c>
      <c r="F13" s="240" t="s">
        <v>36</v>
      </c>
      <c r="G13" s="204"/>
      <c r="H13" s="195">
        <f>D29</f>
        <v>267570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6</v>
      </c>
      <c r="D14" s="31">
        <f t="shared" si="1"/>
        <v>66</v>
      </c>
      <c r="F14" s="198" t="s">
        <v>39</v>
      </c>
      <c r="G14" s="199"/>
      <c r="H14" s="200">
        <f>D54</f>
        <v>39540.75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228029.25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>
        <v>1</v>
      </c>
      <c r="D19" s="48">
        <f t="shared" si="1"/>
        <v>1102</v>
      </c>
      <c r="F19" s="56"/>
      <c r="G19" s="68" t="s">
        <v>50</v>
      </c>
      <c r="H19" s="165">
        <v>50</v>
      </c>
      <c r="I19" s="165"/>
      <c r="J19" s="165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f>1+1</f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267570</v>
      </c>
      <c r="F29" s="112" t="s">
        <v>55</v>
      </c>
      <c r="G29" s="174"/>
      <c r="H29" s="134">
        <f>H15-H16-H17-H18-H19-H20-H22-H23-H24+H26+H27+H28</f>
        <v>227979.25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195</v>
      </c>
      <c r="H34" s="156">
        <f t="shared" ref="H34:H39" si="2">F34*G34</f>
        <v>195000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54</v>
      </c>
      <c r="H35" s="156">
        <f t="shared" si="2"/>
        <v>27000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>
        <v>4</v>
      </c>
      <c r="H36" s="156">
        <f t="shared" si="2"/>
        <v>800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349</v>
      </c>
      <c r="D37" s="12">
        <f>C37*111</f>
        <v>38739</v>
      </c>
      <c r="F37" s="12">
        <v>100</v>
      </c>
      <c r="G37" s="39">
        <v>42</v>
      </c>
      <c r="H37" s="156">
        <f t="shared" si="2"/>
        <v>4200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24</v>
      </c>
      <c r="H38" s="156">
        <f t="shared" si="2"/>
        <v>1200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2</v>
      </c>
      <c r="H39" s="156">
        <f t="shared" si="2"/>
        <v>40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5</v>
      </c>
      <c r="D42" s="12">
        <f>C42*2.25</f>
        <v>11.25</v>
      </c>
      <c r="F42" s="39" t="s">
        <v>79</v>
      </c>
      <c r="G42" s="156">
        <v>217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</v>
      </c>
      <c r="D49" s="12">
        <f>C49*42</f>
        <v>42</v>
      </c>
      <c r="F49" s="132" t="s">
        <v>86</v>
      </c>
      <c r="G49" s="134">
        <f>H34+H35+H36+H37+H38+H39+H40+H41+G42+H44+H45+H46</f>
        <v>228457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4</v>
      </c>
      <c r="D50" s="12">
        <f>C50*1.5</f>
        <v>6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253" t="s">
        <v>184</v>
      </c>
      <c r="G51" s="255">
        <f>G49-H29</f>
        <v>477.75</v>
      </c>
      <c r="H51" s="256"/>
      <c r="I51" s="256"/>
      <c r="J51" s="257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254"/>
      <c r="G52" s="258"/>
      <c r="H52" s="259"/>
      <c r="I52" s="259"/>
      <c r="J52" s="26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39540.75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620F-165A-4877-8AB3-9E0C5C72805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46091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311</v>
      </c>
      <c r="D6" s="13">
        <f t="shared" ref="D6:D28" si="1">C6*L6</f>
        <v>236671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6</v>
      </c>
      <c r="D7" s="13">
        <f t="shared" si="1"/>
        <v>4686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29</v>
      </c>
      <c r="D9" s="13">
        <f t="shared" si="1"/>
        <v>21257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11</v>
      </c>
      <c r="D13" s="48">
        <f t="shared" si="1"/>
        <v>3377</v>
      </c>
      <c r="F13" s="240" t="s">
        <v>36</v>
      </c>
      <c r="G13" s="204"/>
      <c r="H13" s="195">
        <f>D29</f>
        <v>266386.58333333331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6</v>
      </c>
      <c r="D14" s="31">
        <f t="shared" si="1"/>
        <v>66</v>
      </c>
      <c r="F14" s="198" t="s">
        <v>39</v>
      </c>
      <c r="G14" s="199"/>
      <c r="H14" s="200">
        <f>D54</f>
        <v>52669.5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213717.08333333331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108*6</f>
        <v>648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>
        <v>5</v>
      </c>
      <c r="D27" s="44">
        <f t="shared" si="1"/>
        <v>329.58333333333337</v>
      </c>
      <c r="F27" s="14"/>
      <c r="G27" s="14"/>
      <c r="H27" s="189"/>
      <c r="I27" s="190"/>
      <c r="J27" s="191"/>
      <c r="L27" s="7">
        <f>1582/24</f>
        <v>65.916666666666671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266386.58333333331</v>
      </c>
      <c r="F29" s="112" t="s">
        <v>55</v>
      </c>
      <c r="G29" s="174"/>
      <c r="H29" s="134">
        <f>H15-H16-H17-H18-H19-H20-H22-H23-H24+H26+H27</f>
        <v>213069.08333333331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127</v>
      </c>
      <c r="H34" s="156">
        <f>F34*G34</f>
        <v>127000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51</v>
      </c>
      <c r="H35" s="156">
        <f t="shared" ref="H35:H39" si="2">F35*G35</f>
        <v>25500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449</v>
      </c>
      <c r="D37" s="12">
        <f>C37*111</f>
        <v>49839</v>
      </c>
      <c r="F37" s="12">
        <v>100</v>
      </c>
      <c r="G37" s="39">
        <v>37</v>
      </c>
      <c r="H37" s="156">
        <f t="shared" si="2"/>
        <v>3700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10</v>
      </c>
      <c r="D38" s="12">
        <f>C38*84</f>
        <v>840</v>
      </c>
      <c r="F38" s="30">
        <v>50</v>
      </c>
      <c r="G38" s="39">
        <v>5</v>
      </c>
      <c r="H38" s="156">
        <f t="shared" si="2"/>
        <v>250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9</v>
      </c>
      <c r="D40" s="12">
        <f>C40*111</f>
        <v>999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10</v>
      </c>
      <c r="D42" s="12">
        <f>C42*2.25</f>
        <v>22.5</v>
      </c>
      <c r="F42" s="39" t="s">
        <v>79</v>
      </c>
      <c r="G42" s="156">
        <v>80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172</v>
      </c>
      <c r="G44" s="76" t="s">
        <v>183</v>
      </c>
      <c r="H44" s="151">
        <v>56579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1</v>
      </c>
      <c r="D46" s="12">
        <f>C46*1.5</f>
        <v>1.5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</v>
      </c>
      <c r="D49" s="12">
        <f>C49*42</f>
        <v>42</v>
      </c>
      <c r="F49" s="132" t="s">
        <v>86</v>
      </c>
      <c r="G49" s="134">
        <f>H34+H35+H36+H37+H38+H39+H40+H41+G42+H44+H45+H46</f>
        <v>213109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22</v>
      </c>
      <c r="D50" s="12">
        <f>C50*1.5</f>
        <v>33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39.916666666686069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52669.5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D7F98-AF9F-4E6A-BA37-CFD337E6E11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46091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329</v>
      </c>
      <c r="D6" s="13">
        <f t="shared" ref="D6:D28" si="1">C6*L6</f>
        <v>250369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5</v>
      </c>
      <c r="D7" s="13">
        <f t="shared" si="1"/>
        <v>3905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1</v>
      </c>
      <c r="D8" s="13">
        <f t="shared" si="1"/>
        <v>1093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21</v>
      </c>
      <c r="D9" s="13">
        <f t="shared" si="1"/>
        <v>15393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2</v>
      </c>
      <c r="D10" s="13">
        <f t="shared" si="1"/>
        <v>2064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2</v>
      </c>
      <c r="D12" s="48">
        <f t="shared" si="1"/>
        <v>1984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14</v>
      </c>
      <c r="D13" s="48">
        <f t="shared" si="1"/>
        <v>4298</v>
      </c>
      <c r="F13" s="240" t="s">
        <v>36</v>
      </c>
      <c r="G13" s="204"/>
      <c r="H13" s="195">
        <f>D29</f>
        <v>281186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20</v>
      </c>
      <c r="D14" s="31">
        <f t="shared" si="1"/>
        <v>220</v>
      </c>
      <c r="F14" s="198" t="s">
        <v>39</v>
      </c>
      <c r="G14" s="199"/>
      <c r="H14" s="200">
        <f>D54</f>
        <v>42842.25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>
        <v>1</v>
      </c>
      <c r="D15" s="31">
        <f t="shared" si="1"/>
        <v>620</v>
      </c>
      <c r="F15" s="203" t="s">
        <v>40</v>
      </c>
      <c r="G15" s="204"/>
      <c r="H15" s="205">
        <f>H13-H14</f>
        <v>238343.75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108*6+80*6</f>
        <v>1128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>
        <v>2</v>
      </c>
      <c r="D18" s="48">
        <f t="shared" si="1"/>
        <v>1240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281186</v>
      </c>
      <c r="F29" s="112" t="s">
        <v>55</v>
      </c>
      <c r="G29" s="174"/>
      <c r="H29" s="134">
        <f>H15-H16-H17-H18-H19-H20-H22-H23-H24+H26+H27</f>
        <v>237215.75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88</v>
      </c>
      <c r="H34" s="156">
        <f>F34*G34</f>
        <v>88000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32</v>
      </c>
      <c r="H35" s="156">
        <f>F35*G35</f>
        <v>16000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156">
        <f t="shared" ref="H36:H39" si="2">F36*G36</f>
        <v>600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354</v>
      </c>
      <c r="D37" s="12">
        <f>C37*111</f>
        <v>39294</v>
      </c>
      <c r="F37" s="12">
        <v>100</v>
      </c>
      <c r="G37" s="39">
        <v>66</v>
      </c>
      <c r="H37" s="156">
        <f t="shared" si="2"/>
        <v>6600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>
        <v>14</v>
      </c>
      <c r="H38" s="156">
        <f t="shared" si="2"/>
        <v>700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8</v>
      </c>
      <c r="D39" s="31">
        <f>C39*4.5</f>
        <v>36</v>
      </c>
      <c r="F39" s="12">
        <v>20</v>
      </c>
      <c r="G39" s="37">
        <v>4</v>
      </c>
      <c r="H39" s="156">
        <f t="shared" si="2"/>
        <v>80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12</v>
      </c>
      <c r="D40" s="12">
        <f>C40*111</f>
        <v>1332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3</v>
      </c>
      <c r="D42" s="12">
        <f>C42*2.25</f>
        <v>6.75</v>
      </c>
      <c r="F42" s="39" t="s">
        <v>79</v>
      </c>
      <c r="G42" s="156">
        <v>911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6</v>
      </c>
      <c r="D44" s="12">
        <f>C44*120</f>
        <v>720</v>
      </c>
      <c r="F44" s="37" t="s">
        <v>146</v>
      </c>
      <c r="G44" s="62" t="s">
        <v>185</v>
      </c>
      <c r="H44" s="151">
        <v>71968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146</v>
      </c>
      <c r="G45" s="62" t="s">
        <v>186</v>
      </c>
      <c r="H45" s="151">
        <v>52207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45</v>
      </c>
      <c r="D46" s="12">
        <f>C46*1.5</f>
        <v>67.5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8</v>
      </c>
      <c r="D49" s="12">
        <f>C49*42</f>
        <v>336</v>
      </c>
      <c r="F49" s="132" t="s">
        <v>86</v>
      </c>
      <c r="G49" s="134">
        <f>H34+H35+H36+H37+H38+H39+H40+H41+G42+H44+H45+H46</f>
        <v>237066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16</v>
      </c>
      <c r="D50" s="12">
        <f>C50*1.5</f>
        <v>24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-149.75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42842.25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460E-D933-42B6-8391-C820B5E5C17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D20A-BBAA-46FC-B265-A4F4D1B105A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46092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411</v>
      </c>
      <c r="D6" s="13">
        <f t="shared" ref="D6:D28" si="1">C6*L6</f>
        <v>312771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2</v>
      </c>
      <c r="D7" s="13">
        <f t="shared" si="1"/>
        <v>1562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15</v>
      </c>
      <c r="D13" s="48">
        <f t="shared" si="1"/>
        <v>4605</v>
      </c>
      <c r="F13" s="240" t="s">
        <v>36</v>
      </c>
      <c r="G13" s="204"/>
      <c r="H13" s="195">
        <f>D29</f>
        <v>320439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21</v>
      </c>
      <c r="D14" s="31">
        <f t="shared" si="1"/>
        <v>231</v>
      </c>
      <c r="F14" s="198" t="s">
        <v>39</v>
      </c>
      <c r="G14" s="199"/>
      <c r="H14" s="200">
        <f>D54</f>
        <v>55105.5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>
        <v>1</v>
      </c>
      <c r="D15" s="31">
        <f t="shared" si="1"/>
        <v>620</v>
      </c>
      <c r="F15" s="203" t="s">
        <v>40</v>
      </c>
      <c r="G15" s="204"/>
      <c r="H15" s="205">
        <f>H13-H14</f>
        <v>265333.5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1938</f>
        <v>1938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320439</v>
      </c>
      <c r="F29" s="112" t="s">
        <v>55</v>
      </c>
      <c r="G29" s="174"/>
      <c r="H29" s="134">
        <f>H15-H16-H17-H18-H19-H20-H22-H23-H24+H26+H27+H28</f>
        <v>263395.5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40">
        <v>55</v>
      </c>
      <c r="H34" s="156">
        <f t="shared" ref="H34:H39" si="2">F34*G34</f>
        <v>55000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10</v>
      </c>
      <c r="H35" s="156">
        <f t="shared" si="2"/>
        <v>5000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23</v>
      </c>
      <c r="D36" s="12">
        <f>C36*1.5</f>
        <v>34.5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468</v>
      </c>
      <c r="D37" s="12">
        <f>C37*111</f>
        <v>51948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4</v>
      </c>
      <c r="D38" s="12">
        <f>C38*84</f>
        <v>336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7</v>
      </c>
      <c r="D39" s="31">
        <f>C39*4.5</f>
        <v>31.5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14</v>
      </c>
      <c r="D40" s="12">
        <f>C40*111</f>
        <v>1554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2</v>
      </c>
      <c r="D42" s="12">
        <f>C42*2.25</f>
        <v>4.5</v>
      </c>
      <c r="F42" s="39" t="s">
        <v>79</v>
      </c>
      <c r="G42" s="156">
        <v>13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2</v>
      </c>
      <c r="D44" s="12">
        <f>C44*120</f>
        <v>240</v>
      </c>
      <c r="F44" s="37" t="s">
        <v>145</v>
      </c>
      <c r="G44" s="62" t="s">
        <v>187</v>
      </c>
      <c r="H44" s="151">
        <v>203085.5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1</v>
      </c>
      <c r="D45" s="12">
        <f>C45*84</f>
        <v>84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16</v>
      </c>
      <c r="D46" s="12">
        <f>C46*1.5</f>
        <v>24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</v>
      </c>
      <c r="D49" s="12">
        <f>C49*42</f>
        <v>42</v>
      </c>
      <c r="F49" s="132" t="s">
        <v>86</v>
      </c>
      <c r="G49" s="134">
        <f>H34+H35+H36+H37+H38+H39+H40+H41+G42+H44+H45+H46</f>
        <v>263098.5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34</v>
      </c>
      <c r="D50" s="12">
        <f>C50*1.5</f>
        <v>51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-297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55105.5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26E2-1A78-4A73-BDD6-0AC71B2EB38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46092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348</v>
      </c>
      <c r="D6" s="13">
        <f t="shared" ref="D6:D28" si="1">C6*L6</f>
        <v>264828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10</v>
      </c>
      <c r="D13" s="48">
        <f t="shared" si="1"/>
        <v>3070</v>
      </c>
      <c r="F13" s="240" t="s">
        <v>36</v>
      </c>
      <c r="G13" s="204"/>
      <c r="H13" s="195">
        <f>D29</f>
        <v>268786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7</v>
      </c>
      <c r="D14" s="31">
        <f t="shared" si="1"/>
        <v>77</v>
      </c>
      <c r="F14" s="198" t="s">
        <v>39</v>
      </c>
      <c r="G14" s="199"/>
      <c r="H14" s="200">
        <f>D54</f>
        <v>44764.5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224021.5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1296+480</f>
        <v>1776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165">
        <v>50</v>
      </c>
      <c r="I19" s="165"/>
      <c r="J19" s="16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>
        <v>1</v>
      </c>
      <c r="D28" s="48">
        <f t="shared" si="1"/>
        <v>811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268786</v>
      </c>
      <c r="F29" s="112" t="s">
        <v>55</v>
      </c>
      <c r="G29" s="174"/>
      <c r="H29" s="134">
        <f>H15-H16-H17-H18-H19-H20-H22-H23-H24+H26+H27</f>
        <v>222195.5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142</v>
      </c>
      <c r="H34" s="156">
        <f>F34*G34</f>
        <v>142000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91</v>
      </c>
      <c r="H35" s="156">
        <f t="shared" ref="H35:H39" si="2">F35*G35</f>
        <v>45500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348</v>
      </c>
      <c r="D37" s="12">
        <f>C37*111</f>
        <v>38628</v>
      </c>
      <c r="F37" s="12">
        <v>100</v>
      </c>
      <c r="G37" s="39">
        <v>300</v>
      </c>
      <c r="H37" s="156">
        <f t="shared" si="2"/>
        <v>30000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65</v>
      </c>
      <c r="D38" s="12">
        <f>C38*84</f>
        <v>5460</v>
      </c>
      <c r="F38" s="30">
        <v>50</v>
      </c>
      <c r="G38" s="39">
        <v>69</v>
      </c>
      <c r="H38" s="156">
        <f t="shared" si="2"/>
        <v>3450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72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16</v>
      </c>
      <c r="D49" s="12">
        <f>C49*42</f>
        <v>672</v>
      </c>
      <c r="F49" s="132" t="s">
        <v>86</v>
      </c>
      <c r="G49" s="134">
        <f>H34+H35+H36+H37+H38+H39+H40+H41+G42+H44+H45+H46</f>
        <v>221022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3</v>
      </c>
      <c r="D50" s="12">
        <f>C50*1.5</f>
        <v>4.5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162</v>
      </c>
      <c r="G51" s="241">
        <f>G49-H29</f>
        <v>-1173.5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44764.5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4BD0-B8C7-4F3A-BC81-5527136777E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46092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418</v>
      </c>
      <c r="D6" s="13">
        <f t="shared" ref="D6:D28" si="1">C6*L6</f>
        <v>318098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15</v>
      </c>
      <c r="D7" s="13">
        <f t="shared" si="1"/>
        <v>11715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2</v>
      </c>
      <c r="D8" s="13">
        <f t="shared" si="1"/>
        <v>2186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5</v>
      </c>
      <c r="D9" s="13">
        <f t="shared" si="1"/>
        <v>3665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4</v>
      </c>
      <c r="D10" s="13">
        <f t="shared" si="1"/>
        <v>4128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f>1+2+2</f>
        <v>5</v>
      </c>
      <c r="D12" s="48">
        <f t="shared" si="1"/>
        <v>4960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11</v>
      </c>
      <c r="D13" s="48">
        <f t="shared" si="1"/>
        <v>3377</v>
      </c>
      <c r="F13" s="240" t="s">
        <v>36</v>
      </c>
      <c r="G13" s="204"/>
      <c r="H13" s="195">
        <f>D29</f>
        <v>349583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14</v>
      </c>
      <c r="D14" s="31">
        <f t="shared" si="1"/>
        <v>154</v>
      </c>
      <c r="F14" s="198" t="s">
        <v>39</v>
      </c>
      <c r="G14" s="199"/>
      <c r="H14" s="200">
        <f>D54</f>
        <v>60138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289445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678+1350+360</f>
        <v>2388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165">
        <v>50</v>
      </c>
      <c r="I19" s="165"/>
      <c r="J19" s="16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>
        <f>1+1</f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349583</v>
      </c>
      <c r="F29" s="112" t="s">
        <v>55</v>
      </c>
      <c r="G29" s="174"/>
      <c r="H29" s="134">
        <f>H15-H16-H17-H18-H19-H20-H22-H23-H24+H26+H27</f>
        <v>287007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116</v>
      </c>
      <c r="H34" s="156">
        <f>F34*G34</f>
        <v>116000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21</v>
      </c>
      <c r="H35" s="156">
        <f>F35*G35</f>
        <v>10500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502</v>
      </c>
      <c r="D37" s="12">
        <f>C37*111</f>
        <v>55722</v>
      </c>
      <c r="F37" s="12">
        <v>100</v>
      </c>
      <c r="G37" s="39">
        <v>59</v>
      </c>
      <c r="H37" s="156">
        <f t="shared" si="2"/>
        <v>5900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23</v>
      </c>
      <c r="H38" s="156">
        <f t="shared" si="2"/>
        <v>1150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17</v>
      </c>
      <c r="D40" s="12">
        <f>C40*111</f>
        <v>1887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6</v>
      </c>
      <c r="D42" s="12">
        <f>C42*2.25</f>
        <v>13.5</v>
      </c>
      <c r="F42" s="39" t="s">
        <v>79</v>
      </c>
      <c r="G42" s="156">
        <v>160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11</v>
      </c>
      <c r="D44" s="12">
        <f>C44*120</f>
        <v>1320</v>
      </c>
      <c r="F44" s="37" t="s">
        <v>145</v>
      </c>
      <c r="G44" s="62" t="s">
        <v>188</v>
      </c>
      <c r="H44" s="151">
        <v>153409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31</v>
      </c>
      <c r="D46" s="12">
        <f>C46*1.5</f>
        <v>46.5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3</v>
      </c>
      <c r="D49" s="12">
        <f>C49*42</f>
        <v>126</v>
      </c>
      <c r="F49" s="132" t="s">
        <v>86</v>
      </c>
      <c r="G49" s="134">
        <f>H34+H35+H36+H37+H38+H39+H40+H41+G42+H44+H45+H46</f>
        <v>287119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19</v>
      </c>
      <c r="D50" s="12">
        <f>C50*1.5</f>
        <v>28.5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112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60138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F7A8-CE77-4847-8EF3-7ADC9E6413B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3A9C-2282-4423-86B3-F79EE52EE26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46093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431</v>
      </c>
      <c r="D6" s="13">
        <f t="shared" ref="D6:D28" si="1">C6*L6</f>
        <v>327991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4</v>
      </c>
      <c r="D9" s="13">
        <f t="shared" si="1"/>
        <v>2932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15</v>
      </c>
      <c r="D13" s="48">
        <f t="shared" si="1"/>
        <v>4605</v>
      </c>
      <c r="F13" s="240" t="s">
        <v>36</v>
      </c>
      <c r="G13" s="204"/>
      <c r="H13" s="195">
        <f>D29</f>
        <v>335528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78331.5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257196.5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378*6</f>
        <v>2268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335528</v>
      </c>
      <c r="F29" s="112" t="s">
        <v>55</v>
      </c>
      <c r="G29" s="174"/>
      <c r="H29" s="134">
        <f>H15-H16-H17-H18-H19-H20-H22-H23-H24+H26+H27+H28</f>
        <v>254928.5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191</v>
      </c>
      <c r="H34" s="156">
        <f t="shared" ref="H34:H39" si="2">F34*G34</f>
        <v>191000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69</v>
      </c>
      <c r="H35" s="156">
        <f t="shared" si="2"/>
        <v>34500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688</v>
      </c>
      <c r="D37" s="12">
        <f>C37*111</f>
        <v>76368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7</v>
      </c>
      <c r="D38" s="12">
        <f>C38*84</f>
        <v>588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146</v>
      </c>
      <c r="G44" s="84" t="s">
        <v>148</v>
      </c>
      <c r="H44" s="151">
        <v>24050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146</v>
      </c>
      <c r="G45" s="84" t="s">
        <v>148</v>
      </c>
      <c r="H45" s="151">
        <v>5200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14</v>
      </c>
      <c r="D48" s="12">
        <f>C48*78</f>
        <v>1092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4</v>
      </c>
      <c r="D49" s="12">
        <f>C49*42</f>
        <v>168</v>
      </c>
      <c r="F49" s="132" t="s">
        <v>86</v>
      </c>
      <c r="G49" s="134">
        <f>H34+H35+H36+H37+H38+H39+H40+H41+G42+H44+H45+H46</f>
        <v>254750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-178.5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78331.5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CA32-2722-498D-A361-C9B36166E7D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46093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395</v>
      </c>
      <c r="D6" s="13">
        <f t="shared" ref="D6:D28" si="1">C6*L6</f>
        <v>300595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90</v>
      </c>
      <c r="D9" s="13">
        <f t="shared" si="1"/>
        <v>65970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10</v>
      </c>
      <c r="D10" s="13">
        <f t="shared" si="1"/>
        <v>10320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16</v>
      </c>
      <c r="D13" s="48">
        <f t="shared" si="1"/>
        <v>4912</v>
      </c>
      <c r="F13" s="240" t="s">
        <v>36</v>
      </c>
      <c r="G13" s="204"/>
      <c r="H13" s="195">
        <f>D29</f>
        <v>383159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17</v>
      </c>
      <c r="D14" s="31">
        <f t="shared" si="1"/>
        <v>187</v>
      </c>
      <c r="F14" s="198" t="s">
        <v>39</v>
      </c>
      <c r="G14" s="199"/>
      <c r="H14" s="200">
        <f>D54</f>
        <v>38395.5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344763.5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360*6</f>
        <v>2160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>
        <v>1</v>
      </c>
      <c r="D20" s="13">
        <f t="shared" si="1"/>
        <v>1175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383159</v>
      </c>
      <c r="F29" s="112" t="s">
        <v>55</v>
      </c>
      <c r="G29" s="174"/>
      <c r="H29" s="134">
        <f>H15-H16-H17-H18-H19-H20-H22-H23-H24+H26+H27</f>
        <v>342603.5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5</v>
      </c>
      <c r="D34" s="30">
        <f>C34*120</f>
        <v>600</v>
      </c>
      <c r="F34" s="12">
        <v>1000</v>
      </c>
      <c r="G34" s="74">
        <v>77</v>
      </c>
      <c r="H34" s="156">
        <f>F34*G34</f>
        <v>77000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>
        <v>2</v>
      </c>
      <c r="D35" s="30">
        <f>C35*84</f>
        <v>168</v>
      </c>
      <c r="F35" s="58">
        <v>500</v>
      </c>
      <c r="G35" s="41">
        <v>25</v>
      </c>
      <c r="H35" s="156">
        <f t="shared" ref="H35:H39" si="2">F35*G35</f>
        <v>12500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2</v>
      </c>
      <c r="D36" s="12">
        <f>C36*1.5</f>
        <v>3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303</v>
      </c>
      <c r="D37" s="12">
        <f>C37*111</f>
        <v>33633</v>
      </c>
      <c r="F37" s="12">
        <v>100</v>
      </c>
      <c r="G37" s="39">
        <v>4</v>
      </c>
      <c r="H37" s="156">
        <f t="shared" si="2"/>
        <v>400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25</v>
      </c>
      <c r="D38" s="12">
        <f>C38*84</f>
        <v>2100</v>
      </c>
      <c r="F38" s="30">
        <v>50</v>
      </c>
      <c r="G38" s="39">
        <v>1</v>
      </c>
      <c r="H38" s="156">
        <f t="shared" si="2"/>
        <v>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7</v>
      </c>
      <c r="D39" s="31">
        <f>C39*4.5</f>
        <v>31.5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21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145</v>
      </c>
      <c r="G44" s="62" t="s">
        <v>189</v>
      </c>
      <c r="H44" s="151">
        <v>253213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5</v>
      </c>
      <c r="D45" s="12">
        <f>C45*84</f>
        <v>420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4</v>
      </c>
      <c r="D46" s="12">
        <f>C46*1.5</f>
        <v>6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8</v>
      </c>
      <c r="D48" s="12">
        <f>C48*78</f>
        <v>624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8</v>
      </c>
      <c r="D49" s="12">
        <f>C49*42</f>
        <v>336</v>
      </c>
      <c r="F49" s="132" t="s">
        <v>86</v>
      </c>
      <c r="G49" s="134">
        <f>H34+H35+H36+H37+H38+H39+H40+H41+G42+H44+H45+H46</f>
        <v>343184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20</v>
      </c>
      <c r="D50" s="12">
        <f>C50*1.5</f>
        <v>30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580.5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38395.5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F944-8E4F-43DE-AE88-55577DC4348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46093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363</v>
      </c>
      <c r="D6" s="13">
        <f t="shared" ref="D6:D28" si="1">C6*L6</f>
        <v>276243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15</v>
      </c>
      <c r="D7" s="13">
        <f t="shared" si="1"/>
        <v>11715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30</v>
      </c>
      <c r="D9" s="13">
        <f t="shared" si="1"/>
        <v>21990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2</v>
      </c>
      <c r="D10" s="13">
        <f t="shared" si="1"/>
        <v>2064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3</v>
      </c>
      <c r="D12" s="48">
        <f t="shared" si="1"/>
        <v>2976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14</v>
      </c>
      <c r="D13" s="48">
        <f t="shared" si="1"/>
        <v>4298</v>
      </c>
      <c r="F13" s="240" t="s">
        <v>36</v>
      </c>
      <c r="G13" s="204"/>
      <c r="H13" s="195">
        <f>D29</f>
        <v>320630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4</v>
      </c>
      <c r="D14" s="31">
        <f t="shared" si="1"/>
        <v>44</v>
      </c>
      <c r="F14" s="198" t="s">
        <v>39</v>
      </c>
      <c r="G14" s="199"/>
      <c r="H14" s="200">
        <f>D54</f>
        <v>52599.75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268030.25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942+648+300</f>
        <v>1890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>
        <f>1+1</f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320630</v>
      </c>
      <c r="F29" s="112" t="s">
        <v>55</v>
      </c>
      <c r="G29" s="174"/>
      <c r="H29" s="134">
        <f>H15-H16-H17-H18-H19-H20-H22-H23-H24+H26+H27</f>
        <v>266140.25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81</v>
      </c>
      <c r="H34" s="156">
        <f>F34*G34</f>
        <v>81000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21</v>
      </c>
      <c r="H35" s="156">
        <f>F35*G35</f>
        <v>10500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23</v>
      </c>
      <c r="D36" s="12">
        <f>C36*1.5</f>
        <v>34.5</v>
      </c>
      <c r="F36" s="12">
        <v>200</v>
      </c>
      <c r="G36" s="37">
        <v>1</v>
      </c>
      <c r="H36" s="156">
        <f t="shared" ref="H36:H39" si="2">F36*G36</f>
        <v>200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446</v>
      </c>
      <c r="D37" s="12">
        <f>C37*111</f>
        <v>49506</v>
      </c>
      <c r="F37" s="12">
        <v>100</v>
      </c>
      <c r="G37" s="39">
        <v>49</v>
      </c>
      <c r="H37" s="156">
        <f t="shared" si="2"/>
        <v>4900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6</v>
      </c>
      <c r="H38" s="156">
        <f t="shared" si="2"/>
        <v>300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10</v>
      </c>
      <c r="D40" s="12">
        <f>C40*111</f>
        <v>1110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9</v>
      </c>
      <c r="D42" s="12">
        <f>C42*2.25</f>
        <v>20.25</v>
      </c>
      <c r="F42" s="39" t="s">
        <v>79</v>
      </c>
      <c r="G42" s="156">
        <v>19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1</v>
      </c>
      <c r="D44" s="12">
        <f>C44*120</f>
        <v>120</v>
      </c>
      <c r="F44" s="37" t="s">
        <v>146</v>
      </c>
      <c r="G44" s="76" t="s">
        <v>190</v>
      </c>
      <c r="H44" s="151">
        <v>65078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1</v>
      </c>
      <c r="D45" s="12">
        <f>C45*84</f>
        <v>84</v>
      </c>
      <c r="F45" s="37" t="s">
        <v>145</v>
      </c>
      <c r="G45" s="76" t="s">
        <v>191</v>
      </c>
      <c r="H45" s="151">
        <v>103706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21</v>
      </c>
      <c r="D46" s="12">
        <f>C46*1.5</f>
        <v>31.5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14</v>
      </c>
      <c r="D48" s="12">
        <f>C48*78</f>
        <v>1092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</v>
      </c>
      <c r="D49" s="12">
        <f>C49*42</f>
        <v>42</v>
      </c>
      <c r="F49" s="132" t="s">
        <v>86</v>
      </c>
      <c r="G49" s="134">
        <f>H34+H35+H36+H37+H38+H39+H40+H41+G42+H44+H45+H46</f>
        <v>265703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4</v>
      </c>
      <c r="D50" s="12">
        <f>C50*1.5</f>
        <v>6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-437.25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52599.75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66B91-60C6-4FC9-ABF5-980F6DC0E64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7D8E-6125-4379-B998-ACC6043B746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46094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H15-H16-H17-H18-H19-H20-H22-H23-H24+H26+H27+H28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56">
        <f t="shared" ref="H34:H39" si="2"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0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A28D-DC5A-4423-9A96-80D21D4B8CC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46094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ref="H35:H39" si="2"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6276-AA9C-4F9D-BD25-C09F4A7A3C6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46094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0651-B1BD-4DFD-87A3-9C9150885C5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A807-025A-4B3D-A8F4-41B69BD3AC8D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46095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676</v>
      </c>
      <c r="D6" s="13">
        <f t="shared" ref="D6:D28" si="1">C6*L6</f>
        <v>514436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4</v>
      </c>
      <c r="D7" s="13">
        <f t="shared" si="1"/>
        <v>3124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36</v>
      </c>
      <c r="D9" s="13">
        <f t="shared" si="1"/>
        <v>26388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3</v>
      </c>
      <c r="D10" s="13">
        <f t="shared" si="1"/>
        <v>3096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1</v>
      </c>
      <c r="D11" s="13">
        <f t="shared" si="1"/>
        <v>1170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f>1</f>
        <v>1</v>
      </c>
      <c r="D12" s="48">
        <f t="shared" si="1"/>
        <v>992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20</v>
      </c>
      <c r="D13" s="48">
        <f t="shared" si="1"/>
        <v>6140</v>
      </c>
      <c r="F13" s="240" t="s">
        <v>36</v>
      </c>
      <c r="G13" s="204"/>
      <c r="H13" s="195">
        <f>D29</f>
        <v>561365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4</v>
      </c>
      <c r="D14" s="31">
        <f t="shared" si="1"/>
        <v>44</v>
      </c>
      <c r="F14" s="198" t="s">
        <v>39</v>
      </c>
      <c r="G14" s="199"/>
      <c r="H14" s="200">
        <f>D54</f>
        <v>101851.5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>
        <v>1</v>
      </c>
      <c r="D15" s="31">
        <f t="shared" si="1"/>
        <v>620</v>
      </c>
      <c r="F15" s="203" t="s">
        <v>40</v>
      </c>
      <c r="G15" s="204"/>
      <c r="H15" s="205">
        <f>H13-H14</f>
        <v>459513.5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54+1944</f>
        <v>1998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65">
        <v>50</v>
      </c>
      <c r="I19" s="165"/>
      <c r="J19" s="165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 t="s">
        <v>164</v>
      </c>
      <c r="G22" s="73">
        <v>9573</v>
      </c>
      <c r="H22" s="181">
        <v>102166</v>
      </c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 t="s">
        <v>164</v>
      </c>
      <c r="G26" s="65">
        <v>9425</v>
      </c>
      <c r="H26" s="151">
        <v>100339</v>
      </c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>
        <v>5</v>
      </c>
      <c r="D28" s="48">
        <f t="shared" si="1"/>
        <v>4055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561365</v>
      </c>
      <c r="F29" s="112" t="s">
        <v>55</v>
      </c>
      <c r="G29" s="174"/>
      <c r="H29" s="134">
        <f>H15-H16-H17-H18-H19-H20-H22-H23-H24+H26+H27+H28</f>
        <v>455638.5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281</v>
      </c>
      <c r="H34" s="156">
        <f t="shared" ref="H34:H39" si="2">F34*G34</f>
        <v>281000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90</v>
      </c>
      <c r="H35" s="156">
        <f t="shared" si="2"/>
        <v>45000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10</v>
      </c>
      <c r="D36" s="12">
        <f>C36*1.5</f>
        <v>15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887</v>
      </c>
      <c r="D37" s="12">
        <f>C37*111</f>
        <v>98457</v>
      </c>
      <c r="F37" s="12">
        <v>100</v>
      </c>
      <c r="G37" s="39">
        <v>8</v>
      </c>
      <c r="H37" s="156">
        <f t="shared" si="2"/>
        <v>800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7</v>
      </c>
      <c r="D38" s="12">
        <f>C38*84</f>
        <v>588</v>
      </c>
      <c r="F38" s="30">
        <v>50</v>
      </c>
      <c r="G38" s="39">
        <v>2</v>
      </c>
      <c r="H38" s="156">
        <f t="shared" si="2"/>
        <v>100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3</v>
      </c>
      <c r="H39" s="156">
        <f t="shared" si="2"/>
        <v>60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16</v>
      </c>
      <c r="D42" s="12">
        <f>C42*2.25</f>
        <v>36</v>
      </c>
      <c r="F42" s="39" t="s">
        <v>79</v>
      </c>
      <c r="G42" s="156">
        <v>50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5</v>
      </c>
      <c r="D44" s="12">
        <f>C44*120</f>
        <v>600</v>
      </c>
      <c r="F44" s="37" t="s">
        <v>146</v>
      </c>
      <c r="G44" s="84" t="s">
        <v>148</v>
      </c>
      <c r="H44" s="151">
        <v>90000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3</v>
      </c>
      <c r="D45" s="12">
        <f>C45*84</f>
        <v>252</v>
      </c>
      <c r="F45" s="37" t="s">
        <v>146</v>
      </c>
      <c r="G45" s="84" t="s">
        <v>148</v>
      </c>
      <c r="H45" s="151">
        <v>38720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3</v>
      </c>
      <c r="D46" s="12">
        <f>C46*1.5</f>
        <v>4.5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16</v>
      </c>
      <c r="D49" s="12">
        <f>C49*42</f>
        <v>672</v>
      </c>
      <c r="F49" s="132" t="s">
        <v>86</v>
      </c>
      <c r="G49" s="134">
        <f>H34+H35+H36+H37+H38+H39+H40+H41+G42+H44+H45+H46</f>
        <v>455730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23</v>
      </c>
      <c r="D50" s="12">
        <f>C50*1.5</f>
        <v>34.5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261" t="s">
        <v>194</v>
      </c>
      <c r="G51" s="255">
        <f>G49-H29</f>
        <v>91.5</v>
      </c>
      <c r="H51" s="256"/>
      <c r="I51" s="256"/>
      <c r="J51" s="257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262"/>
      <c r="G52" s="258"/>
      <c r="H52" s="259"/>
      <c r="I52" s="259"/>
      <c r="J52" s="26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101851.5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F815-87C9-4A9A-8DD1-55CD61AA8844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46095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314</v>
      </c>
      <c r="D6" s="13">
        <f t="shared" ref="D6:D28" si="1">C6*L6</f>
        <v>238954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12</v>
      </c>
      <c r="D7" s="13">
        <f t="shared" si="1"/>
        <v>9372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33</v>
      </c>
      <c r="D9" s="13">
        <f t="shared" si="1"/>
        <v>24189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1</v>
      </c>
      <c r="D12" s="48">
        <f t="shared" si="1"/>
        <v>992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8</v>
      </c>
      <c r="D13" s="48">
        <f t="shared" si="1"/>
        <v>2456</v>
      </c>
      <c r="F13" s="240" t="s">
        <v>36</v>
      </c>
      <c r="G13" s="204"/>
      <c r="H13" s="195">
        <f>D29</f>
        <v>279612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7</v>
      </c>
      <c r="D14" s="31">
        <f t="shared" si="1"/>
        <v>77</v>
      </c>
      <c r="F14" s="198" t="s">
        <v>39</v>
      </c>
      <c r="G14" s="199"/>
      <c r="H14" s="200">
        <f>D54</f>
        <v>43846.5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235765.5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165"/>
      <c r="I19" s="165"/>
      <c r="J19" s="16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f>2+1</f>
        <v>3</v>
      </c>
      <c r="D21" s="48">
        <f t="shared" si="1"/>
        <v>1950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>
        <v>2</v>
      </c>
      <c r="D28" s="48">
        <f t="shared" si="1"/>
        <v>1622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279612</v>
      </c>
      <c r="F29" s="112" t="s">
        <v>55</v>
      </c>
      <c r="G29" s="174"/>
      <c r="H29" s="134">
        <f>H15-H16-H17-H18-H19-H20-H22-H23-H24+H26+H27</f>
        <v>235765.5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152</v>
      </c>
      <c r="H34" s="156">
        <f>F34*G34</f>
        <v>152000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123</v>
      </c>
      <c r="H35" s="156">
        <f t="shared" ref="H35:H39" si="2">F35*G35</f>
        <v>61500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359</v>
      </c>
      <c r="D37" s="12">
        <f>C37*111</f>
        <v>39849</v>
      </c>
      <c r="F37" s="12">
        <v>100</v>
      </c>
      <c r="G37" s="39">
        <v>203</v>
      </c>
      <c r="H37" s="156">
        <f t="shared" si="2"/>
        <v>20300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19</v>
      </c>
      <c r="D38" s="12">
        <f>C38*84</f>
        <v>1596</v>
      </c>
      <c r="F38" s="30">
        <v>50</v>
      </c>
      <c r="G38" s="39">
        <v>42</v>
      </c>
      <c r="H38" s="156">
        <f t="shared" si="2"/>
        <v>2100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11</v>
      </c>
      <c r="D40" s="12">
        <f>C40*111</f>
        <v>1221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3</v>
      </c>
      <c r="D41" s="12">
        <f>C41*84</f>
        <v>252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8</v>
      </c>
      <c r="D42" s="12">
        <f>C42*2.25</f>
        <v>18</v>
      </c>
      <c r="F42" s="39" t="s">
        <v>79</v>
      </c>
      <c r="G42" s="156">
        <v>14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1</v>
      </c>
      <c r="D44" s="12">
        <f>C44*120</f>
        <v>120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1</v>
      </c>
      <c r="D45" s="12">
        <f>C45*84</f>
        <v>84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10</v>
      </c>
      <c r="D46" s="12">
        <f>C46*1.5</f>
        <v>15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8</v>
      </c>
      <c r="D48" s="12">
        <f>C48*78</f>
        <v>624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</v>
      </c>
      <c r="D49" s="12">
        <f>C49*42</f>
        <v>42</v>
      </c>
      <c r="F49" s="132" t="s">
        <v>86</v>
      </c>
      <c r="G49" s="134">
        <f>H34+H35+H36+H37+H38+H39+H40+H41+G42+H44+H45+H46</f>
        <v>235914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2</v>
      </c>
      <c r="D50" s="12">
        <f>C50*1.5</f>
        <v>3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148.5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43846.5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56D8-7E5F-4327-A580-E9E7E229FC35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46095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316</v>
      </c>
      <c r="D6" s="13">
        <f t="shared" ref="D6:D28" si="1">C6*L6</f>
        <v>240476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16</v>
      </c>
      <c r="D7" s="13">
        <f t="shared" si="1"/>
        <v>12496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16</v>
      </c>
      <c r="D9" s="13">
        <f t="shared" si="1"/>
        <v>11728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10</v>
      </c>
      <c r="D13" s="48">
        <f t="shared" si="1"/>
        <v>3070</v>
      </c>
      <c r="F13" s="240" t="s">
        <v>36</v>
      </c>
      <c r="G13" s="204"/>
      <c r="H13" s="195">
        <f>D29</f>
        <v>267902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12</v>
      </c>
      <c r="D14" s="31">
        <f t="shared" si="1"/>
        <v>132</v>
      </c>
      <c r="F14" s="198" t="s">
        <v>39</v>
      </c>
      <c r="G14" s="199"/>
      <c r="H14" s="200">
        <f>D54</f>
        <v>40562.25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227339.75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300+648+318</f>
        <v>1266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267902</v>
      </c>
      <c r="F29" s="112" t="s">
        <v>55</v>
      </c>
      <c r="G29" s="174"/>
      <c r="H29" s="134">
        <f>H15-H16-H17-H18-H19-H20-H22-H23-H24+H26+H27</f>
        <v>226073.75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103</v>
      </c>
      <c r="H34" s="156">
        <f>F34*G34</f>
        <v>103000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40</v>
      </c>
      <c r="H35" s="156">
        <f>F35*G35</f>
        <v>20000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336</v>
      </c>
      <c r="D37" s="12">
        <f>C37*111</f>
        <v>37296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8</v>
      </c>
      <c r="D38" s="12">
        <f>C38*84</f>
        <v>672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16</v>
      </c>
      <c r="D40" s="12">
        <f>C40*111</f>
        <v>1776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</v>
      </c>
      <c r="D42" s="12">
        <f>C42*2.25</f>
        <v>2.25</v>
      </c>
      <c r="F42" s="39" t="s">
        <v>79</v>
      </c>
      <c r="G42" s="156">
        <v>78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146</v>
      </c>
      <c r="G44" s="76" t="s">
        <v>192</v>
      </c>
      <c r="H44" s="151">
        <v>32658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146</v>
      </c>
      <c r="G45" s="76" t="s">
        <v>193</v>
      </c>
      <c r="H45" s="151">
        <v>70531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2</v>
      </c>
      <c r="D49" s="12">
        <f>C49*42</f>
        <v>84</v>
      </c>
      <c r="F49" s="132" t="s">
        <v>86</v>
      </c>
      <c r="G49" s="134">
        <f>H34+H35+H36+H37+H38+H39+H40+H41+G42+H44+H45+H46</f>
        <v>226267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8</v>
      </c>
      <c r="D50" s="12">
        <f>C50*1.5</f>
        <v>12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193.25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40562.25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CCC7-CD65-4A01-A24E-C339BC978E9C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86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E1CE-E9AC-404E-BB7B-78E7FCA450F3}">
  <dimension ref="A1:R59"/>
  <sheetViews>
    <sheetView zoomScaleNormal="100" zoomScaleSheetLayoutView="85" workbookViewId="0">
      <selection activeCell="G6" sqref="G6:J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46097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89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H15-H16-H17-H18-H19-H20-H22-H23-H24+H26+H27+H28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56">
        <f t="shared" ref="H34:H39" si="2"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0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F55B-6D3C-4BE2-B507-D17BBE4DC8E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46097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527</v>
      </c>
      <c r="D6" s="13">
        <f t="shared" ref="D6:D28" si="1">C6*L6</f>
        <v>401047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5</v>
      </c>
      <c r="D7" s="13">
        <f t="shared" si="1"/>
        <v>3905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50</v>
      </c>
      <c r="D9" s="13">
        <f t="shared" si="1"/>
        <v>36650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3</v>
      </c>
      <c r="D12" s="48">
        <f t="shared" si="1"/>
        <v>2976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16</v>
      </c>
      <c r="D13" s="48">
        <f t="shared" si="1"/>
        <v>4912</v>
      </c>
      <c r="F13" s="240" t="s">
        <v>36</v>
      </c>
      <c r="G13" s="204"/>
      <c r="H13" s="195">
        <f>D29</f>
        <v>451583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13</v>
      </c>
      <c r="D14" s="31">
        <f t="shared" si="1"/>
        <v>143</v>
      </c>
      <c r="F14" s="198" t="s">
        <v>39</v>
      </c>
      <c r="G14" s="199"/>
      <c r="H14" s="200">
        <f>D54</f>
        <v>66073.5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385509.5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150*6+347*6</f>
        <v>2982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v>3</v>
      </c>
      <c r="D21" s="48">
        <f t="shared" si="1"/>
        <v>1950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451583</v>
      </c>
      <c r="F29" s="112" t="s">
        <v>55</v>
      </c>
      <c r="G29" s="174"/>
      <c r="H29" s="134">
        <f>H15-H16-H17-H18-H19-H20-H22-H23-H24+H26+H27</f>
        <v>382527.5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334</v>
      </c>
      <c r="H34" s="156">
        <f>F34*G34</f>
        <v>334000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86</v>
      </c>
      <c r="H35" s="156">
        <f t="shared" ref="H35:H39" si="2">F35*G35</f>
        <v>43000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582</v>
      </c>
      <c r="D37" s="12">
        <f>C37*111</f>
        <v>64602</v>
      </c>
      <c r="F37" s="12">
        <v>100</v>
      </c>
      <c r="G37" s="39">
        <v>27</v>
      </c>
      <c r="H37" s="156">
        <f t="shared" si="2"/>
        <v>2700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52</v>
      </c>
      <c r="H38" s="156">
        <f t="shared" si="2"/>
        <v>2600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9</v>
      </c>
      <c r="D39" s="31">
        <f>C39*4.5</f>
        <v>40.5</v>
      </c>
      <c r="F39" s="12">
        <v>20</v>
      </c>
      <c r="G39" s="37">
        <v>1</v>
      </c>
      <c r="H39" s="156">
        <f t="shared" si="2"/>
        <v>20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49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1</v>
      </c>
      <c r="D45" s="12">
        <f>C45*84</f>
        <v>84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8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18</v>
      </c>
      <c r="D49" s="12">
        <f>C49*42</f>
        <v>756</v>
      </c>
      <c r="F49" s="132" t="s">
        <v>86</v>
      </c>
      <c r="G49" s="134">
        <f>H34+H35+H36+H37+H38+H39+H40+H41+G42+H44+H45+H46</f>
        <v>382369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10</v>
      </c>
      <c r="D50" s="12">
        <f>C50*1.5</f>
        <v>15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162</v>
      </c>
      <c r="G51" s="241">
        <f>G49-H29</f>
        <v>-158.5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66073.5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74D2-4AB2-494E-A68B-7D3A91DE6DC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85" t="s">
        <v>2</v>
      </c>
      <c r="Q1" s="8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46097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520</v>
      </c>
      <c r="D6" s="13">
        <f t="shared" ref="D6:D28" si="1">C6*L6</f>
        <v>395720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2</v>
      </c>
      <c r="D7" s="13">
        <f t="shared" si="1"/>
        <v>1562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23</v>
      </c>
      <c r="D9" s="13">
        <f t="shared" si="1"/>
        <v>16859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5</v>
      </c>
      <c r="D13" s="48">
        <f t="shared" si="1"/>
        <v>1535</v>
      </c>
      <c r="F13" s="240" t="s">
        <v>36</v>
      </c>
      <c r="G13" s="204"/>
      <c r="H13" s="195">
        <f>D29</f>
        <v>415764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8</v>
      </c>
      <c r="D14" s="31">
        <f t="shared" si="1"/>
        <v>88</v>
      </c>
      <c r="F14" s="198" t="s">
        <v>39</v>
      </c>
      <c r="G14" s="199"/>
      <c r="H14" s="200">
        <f>D54</f>
        <v>38598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377166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216*6+61*6</f>
        <v>1662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165">
        <v>50</v>
      </c>
      <c r="I19" s="165"/>
      <c r="J19" s="16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86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415764</v>
      </c>
      <c r="F29" s="112" t="s">
        <v>55</v>
      </c>
      <c r="G29" s="174"/>
      <c r="H29" s="134">
        <f>H15-H16-H17-H18-H19-H20-H22-H23-H24+H26+H27</f>
        <v>375454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62</v>
      </c>
      <c r="H34" s="156">
        <f>F34*G34</f>
        <v>62000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1</v>
      </c>
      <c r="H35" s="156">
        <f>F35*G35</f>
        <v>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334</v>
      </c>
      <c r="D37" s="12">
        <f>C37*111</f>
        <v>37074</v>
      </c>
      <c r="F37" s="12">
        <v>100</v>
      </c>
      <c r="G37" s="39">
        <v>3</v>
      </c>
      <c r="H37" s="156">
        <f t="shared" si="2"/>
        <v>300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8</v>
      </c>
      <c r="D38" s="12">
        <f>C38*84</f>
        <v>672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7</v>
      </c>
      <c r="D40" s="12">
        <f>C40*111</f>
        <v>777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2</v>
      </c>
      <c r="D42" s="12">
        <f>C42*2.25</f>
        <v>4.5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89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145</v>
      </c>
      <c r="G44" s="76" t="s">
        <v>195</v>
      </c>
      <c r="H44" s="151">
        <v>139824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196</v>
      </c>
      <c r="G45" s="76" t="s">
        <v>197</v>
      </c>
      <c r="H45" s="151">
        <v>173521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</v>
      </c>
      <c r="D49" s="12">
        <f>C49*42</f>
        <v>42</v>
      </c>
      <c r="F49" s="132" t="s">
        <v>86</v>
      </c>
      <c r="G49" s="134">
        <f>H34+H35+H36+H37+H38+H39+H40+H41+G42+H44+H45+H46</f>
        <v>376145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4</v>
      </c>
      <c r="D50" s="12">
        <f>C50*1.5</f>
        <v>6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691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38598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198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5478-9F82-4A48-B791-3727CF32A4D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94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E351-3922-4DF1-A8C2-3215065699DC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46098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840</v>
      </c>
      <c r="D6" s="13">
        <f t="shared" ref="D6:D28" si="1">C6*L6</f>
        <v>639240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3</v>
      </c>
      <c r="D7" s="13">
        <f t="shared" si="1"/>
        <v>2343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118</v>
      </c>
      <c r="D9" s="13">
        <f t="shared" si="1"/>
        <v>86494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20</v>
      </c>
      <c r="D10" s="13">
        <f t="shared" si="1"/>
        <v>20640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15</v>
      </c>
      <c r="D11" s="13">
        <f t="shared" si="1"/>
        <v>17550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10</v>
      </c>
      <c r="D12" s="48">
        <f t="shared" si="1"/>
        <v>9920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36</v>
      </c>
      <c r="D13" s="48">
        <f t="shared" si="1"/>
        <v>11052</v>
      </c>
      <c r="F13" s="240" t="s">
        <v>36</v>
      </c>
      <c r="G13" s="204"/>
      <c r="H13" s="195">
        <f>D29</f>
        <v>793392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6</v>
      </c>
      <c r="D14" s="31">
        <f t="shared" si="1"/>
        <v>66</v>
      </c>
      <c r="F14" s="198" t="s">
        <v>39</v>
      </c>
      <c r="G14" s="199"/>
      <c r="H14" s="200">
        <f>D54</f>
        <v>105668.25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687723.75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678*6+233*6</f>
        <v>5466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>
        <v>3</v>
      </c>
      <c r="D18" s="48">
        <f t="shared" si="1"/>
        <v>1860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>
        <v>1</v>
      </c>
      <c r="D19" s="48">
        <f t="shared" si="1"/>
        <v>1102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>
        <v>1</v>
      </c>
      <c r="D20" s="13">
        <f t="shared" si="1"/>
        <v>1175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f>2+1</f>
        <v>3</v>
      </c>
      <c r="D21" s="48">
        <f t="shared" si="1"/>
        <v>1950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91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793392</v>
      </c>
      <c r="F29" s="112" t="s">
        <v>55</v>
      </c>
      <c r="G29" s="174"/>
      <c r="H29" s="134">
        <f>H15-H16-H17-H18-H19-H20-H22-H23-H24+H26+H27+H28</f>
        <v>682257.75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19</v>
      </c>
      <c r="D34" s="30">
        <f>C34*120</f>
        <v>2280</v>
      </c>
      <c r="F34" s="12">
        <v>1000</v>
      </c>
      <c r="G34" s="40">
        <v>59</v>
      </c>
      <c r="H34" s="156">
        <f t="shared" ref="H34:H39" si="2">F34*G34</f>
        <v>59000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1</v>
      </c>
      <c r="H35" s="156">
        <f t="shared" si="2"/>
        <v>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12</v>
      </c>
      <c r="D36" s="12">
        <f>C36*1.5</f>
        <v>18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882</v>
      </c>
      <c r="D37" s="12">
        <f>C37*111</f>
        <v>97902</v>
      </c>
      <c r="F37" s="12">
        <v>100</v>
      </c>
      <c r="G37" s="39">
        <v>3</v>
      </c>
      <c r="H37" s="156">
        <f t="shared" si="2"/>
        <v>300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7</v>
      </c>
      <c r="D38" s="12">
        <f>C38*84</f>
        <v>588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156">
        <f t="shared" si="2"/>
        <v>20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20</v>
      </c>
      <c r="D40" s="12">
        <f>C40*111</f>
        <v>2220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17</v>
      </c>
      <c r="D42" s="12">
        <f>C42*2.25</f>
        <v>38.25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13</v>
      </c>
      <c r="D44" s="12">
        <f>C44*120</f>
        <v>1560</v>
      </c>
      <c r="F44" s="37" t="s">
        <v>145</v>
      </c>
      <c r="G44" s="62" t="s">
        <v>203</v>
      </c>
      <c r="H44" s="151">
        <v>473393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145</v>
      </c>
      <c r="G45" s="62" t="s">
        <v>204</v>
      </c>
      <c r="H45" s="151">
        <v>148170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1</v>
      </c>
      <c r="D46" s="12">
        <f>C46*1.5</f>
        <v>1.5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10</v>
      </c>
      <c r="D48" s="12">
        <f>C48*78</f>
        <v>780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681383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10</v>
      </c>
      <c r="D50" s="12">
        <f>C50*1.5</f>
        <v>15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-874.75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105668.25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E173-2155-4A75-906D-C593B87FC8BD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46098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395</v>
      </c>
      <c r="D6" s="13">
        <f t="shared" ref="D6:D28" si="1">C6*L6</f>
        <v>300595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</v>
      </c>
      <c r="D7" s="13">
        <f t="shared" si="1"/>
        <v>781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30</v>
      </c>
      <c r="D9" s="13">
        <f t="shared" si="1"/>
        <v>21990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12</v>
      </c>
      <c r="D13" s="48">
        <f t="shared" si="1"/>
        <v>3684</v>
      </c>
      <c r="F13" s="240" t="s">
        <v>36</v>
      </c>
      <c r="G13" s="204"/>
      <c r="H13" s="195">
        <f>D29</f>
        <v>327138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8</v>
      </c>
      <c r="D14" s="31">
        <f t="shared" si="1"/>
        <v>88</v>
      </c>
      <c r="F14" s="198" t="s">
        <v>39</v>
      </c>
      <c r="G14" s="199"/>
      <c r="H14" s="200">
        <f>D54</f>
        <v>58863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268275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216*6+200*6</f>
        <v>2496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327138</v>
      </c>
      <c r="F29" s="112" t="s">
        <v>55</v>
      </c>
      <c r="G29" s="174"/>
      <c r="H29" s="134">
        <f>H15-H16-H17-H18-H19-H20-H22-H23-H24+H26+H27</f>
        <v>265779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4">
        <v>4</v>
      </c>
      <c r="H34" s="156">
        <f>F34*G34</f>
        <v>4000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ref="H35:H39" si="2"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2</v>
      </c>
      <c r="D36" s="12">
        <f>C36*1.5</f>
        <v>3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501</v>
      </c>
      <c r="D37" s="12">
        <f>C37*111</f>
        <v>55611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10</v>
      </c>
      <c r="D38" s="12">
        <f>C38*84</f>
        <v>840</v>
      </c>
      <c r="F38" s="30">
        <v>50</v>
      </c>
      <c r="G38" s="39">
        <v>7</v>
      </c>
      <c r="H38" s="156">
        <f t="shared" si="2"/>
        <v>350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2</v>
      </c>
      <c r="H39" s="156">
        <f t="shared" si="2"/>
        <v>40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10</v>
      </c>
      <c r="D42" s="12">
        <f>C42*2.25</f>
        <v>22.5</v>
      </c>
      <c r="F42" s="39" t="s">
        <v>79</v>
      </c>
      <c r="G42" s="156">
        <v>820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1</v>
      </c>
      <c r="D44" s="12">
        <f>C44*120</f>
        <v>120</v>
      </c>
      <c r="F44" s="37" t="s">
        <v>145</v>
      </c>
      <c r="G44" s="62" t="s">
        <v>201</v>
      </c>
      <c r="H44" s="151">
        <v>113992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5</v>
      </c>
      <c r="D45" s="12">
        <f>C45*84</f>
        <v>420</v>
      </c>
      <c r="F45" s="37" t="s">
        <v>172</v>
      </c>
      <c r="G45" s="62" t="s">
        <v>202</v>
      </c>
      <c r="H45" s="151">
        <v>145035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2</v>
      </c>
      <c r="D46" s="12">
        <f>C46*1.5</f>
        <v>3</v>
      </c>
      <c r="F46" s="37"/>
      <c r="G46" s="9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18</v>
      </c>
      <c r="D49" s="12">
        <f>C49*42</f>
        <v>756</v>
      </c>
      <c r="F49" s="132" t="s">
        <v>86</v>
      </c>
      <c r="G49" s="134">
        <f>H34+H35+H36+H37+H38+H39+H40+H41+G42+H44+H45+H46</f>
        <v>264237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20</v>
      </c>
      <c r="D50" s="12">
        <f>C50*1.5</f>
        <v>30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162</v>
      </c>
      <c r="G51" s="241">
        <f>G49-H29</f>
        <v>-1542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58863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1195-A2B0-4212-A049-80AB75E2D82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46098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97">
        <v>320</v>
      </c>
      <c r="D6" s="13">
        <f t="shared" ref="D6:D28" si="1">C6*L6</f>
        <v>243520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97">
        <v>50</v>
      </c>
      <c r="D7" s="13">
        <f t="shared" si="1"/>
        <v>39050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97">
        <v>20</v>
      </c>
      <c r="D8" s="13">
        <f t="shared" si="1"/>
        <v>21860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97">
        <v>105</v>
      </c>
      <c r="D9" s="13">
        <f t="shared" si="1"/>
        <v>76965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97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97">
        <v>5</v>
      </c>
      <c r="D11" s="13">
        <f t="shared" si="1"/>
        <v>5850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97">
        <f>30+6+2</f>
        <v>38</v>
      </c>
      <c r="D12" s="48">
        <f t="shared" si="1"/>
        <v>37696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97"/>
      <c r="D13" s="48">
        <f t="shared" si="1"/>
        <v>0</v>
      </c>
      <c r="F13" s="240" t="s">
        <v>36</v>
      </c>
      <c r="G13" s="204"/>
      <c r="H13" s="195">
        <f>D29</f>
        <v>454572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97"/>
      <c r="D14" s="31">
        <f t="shared" si="1"/>
        <v>0</v>
      </c>
      <c r="F14" s="198" t="s">
        <v>39</v>
      </c>
      <c r="G14" s="199"/>
      <c r="H14" s="200">
        <f>D54</f>
        <v>43967.25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97">
        <v>5</v>
      </c>
      <c r="D15" s="31">
        <f t="shared" si="1"/>
        <v>3100</v>
      </c>
      <c r="F15" s="203" t="s">
        <v>40</v>
      </c>
      <c r="G15" s="204"/>
      <c r="H15" s="205">
        <f>H13-H14</f>
        <v>410604.75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97">
        <v>1</v>
      </c>
      <c r="D16" s="48">
        <f t="shared" si="1"/>
        <v>1702</v>
      </c>
      <c r="F16" s="67" t="s">
        <v>42</v>
      </c>
      <c r="G16" s="66" t="s">
        <v>43</v>
      </c>
      <c r="H16" s="165"/>
      <c r="I16" s="165"/>
      <c r="J16" s="165"/>
      <c r="L16" s="6">
        <f>1582+120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97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97">
        <v>2</v>
      </c>
      <c r="D18" s="48">
        <f t="shared" si="1"/>
        <v>1240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97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97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97">
        <f>5+2+5</f>
        <v>12</v>
      </c>
      <c r="D21" s="48">
        <f t="shared" si="1"/>
        <v>7800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97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96" t="s">
        <v>199</v>
      </c>
      <c r="C23" s="97">
        <f>2+2</f>
        <v>4</v>
      </c>
      <c r="D23" s="48">
        <f t="shared" si="1"/>
        <v>4700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97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97">
        <v>1</v>
      </c>
      <c r="D25" s="48">
        <f t="shared" si="1"/>
        <v>1277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1157+120</f>
        <v>1277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97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93</v>
      </c>
      <c r="C27" s="97">
        <v>1</v>
      </c>
      <c r="D27" s="44">
        <f t="shared" si="1"/>
        <v>1702</v>
      </c>
      <c r="F27" s="25"/>
      <c r="G27" s="80"/>
      <c r="H27" s="189"/>
      <c r="I27" s="190"/>
      <c r="J27" s="191"/>
      <c r="L27" s="7">
        <f>1582+120</f>
        <v>1702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97">
        <v>10</v>
      </c>
      <c r="D28" s="48">
        <f t="shared" si="1"/>
        <v>8110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454572</v>
      </c>
      <c r="F29" s="112" t="s">
        <v>55</v>
      </c>
      <c r="G29" s="174"/>
      <c r="H29" s="134">
        <f>H15-H16-H17-H18-H19-H20-H22-H23-H24+H26+H27</f>
        <v>410604.75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L31">
        <f>332-572</f>
        <v>-240</v>
      </c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12</v>
      </c>
      <c r="H34" s="156">
        <f>F34*G34</f>
        <v>12000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>
        <v>6</v>
      </c>
      <c r="D35" s="30">
        <f>C35*84</f>
        <v>504</v>
      </c>
      <c r="F35" s="58">
        <v>500</v>
      </c>
      <c r="G35" s="41">
        <v>6</v>
      </c>
      <c r="H35" s="156">
        <f>F35*G35</f>
        <v>3000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14</v>
      </c>
      <c r="D36" s="12">
        <f>C36*1.5</f>
        <v>21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87</v>
      </c>
      <c r="D37" s="12">
        <f>C37*111</f>
        <v>9657</v>
      </c>
      <c r="F37" s="12">
        <v>100</v>
      </c>
      <c r="G37" s="39">
        <v>4</v>
      </c>
      <c r="H37" s="156">
        <f t="shared" si="2"/>
        <v>400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312</v>
      </c>
      <c r="D38" s="12">
        <f>C38*84</f>
        <v>26208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8</v>
      </c>
      <c r="D40" s="12">
        <f>C40*111</f>
        <v>888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34</v>
      </c>
      <c r="D41" s="12">
        <f>C41*84</f>
        <v>2856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56">
        <v>31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2</v>
      </c>
      <c r="D44" s="12">
        <f>C44*120</f>
        <v>240</v>
      </c>
      <c r="F44" s="37" t="s">
        <v>145</v>
      </c>
      <c r="G44" s="76" t="s">
        <v>200</v>
      </c>
      <c r="H44" s="151">
        <v>394931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42</v>
      </c>
      <c r="D45" s="12">
        <f>C45*84</f>
        <v>3528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21</v>
      </c>
      <c r="D46" s="12">
        <f>C46*1.5</f>
        <v>31.5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410362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205</v>
      </c>
      <c r="G51" s="241">
        <f>G49-H29</f>
        <v>-242.75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43967.25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7EB1-FF9D-4684-9991-64990779AA9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94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304F-5ABB-4F35-876E-9A9B6635013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46099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314</v>
      </c>
      <c r="D6" s="13">
        <f t="shared" ref="D6:D28" si="1">C6*L6</f>
        <v>238954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21</v>
      </c>
      <c r="D7" s="13">
        <f t="shared" si="1"/>
        <v>16401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12</v>
      </c>
      <c r="D8" s="13">
        <f t="shared" si="1"/>
        <v>13116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8</v>
      </c>
      <c r="D9" s="13">
        <f t="shared" si="1"/>
        <v>5864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10</v>
      </c>
      <c r="D10" s="13">
        <f t="shared" si="1"/>
        <v>10320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40</v>
      </c>
      <c r="D11" s="13">
        <f t="shared" si="1"/>
        <v>46800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f>25+10</f>
        <v>35</v>
      </c>
      <c r="D12" s="48">
        <f t="shared" si="1"/>
        <v>34720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</v>
      </c>
      <c r="D13" s="48">
        <f t="shared" si="1"/>
        <v>307</v>
      </c>
      <c r="F13" s="240" t="s">
        <v>36</v>
      </c>
      <c r="G13" s="204"/>
      <c r="H13" s="195">
        <f>D29</f>
        <v>401678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13</v>
      </c>
      <c r="D14" s="31">
        <f t="shared" si="1"/>
        <v>143</v>
      </c>
      <c r="F14" s="198" t="s">
        <v>39</v>
      </c>
      <c r="G14" s="199"/>
      <c r="H14" s="200">
        <f>D54</f>
        <v>46828.5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208</v>
      </c>
      <c r="C15" s="10">
        <f>10+5</f>
        <v>15</v>
      </c>
      <c r="D15" s="31">
        <f t="shared" si="1"/>
        <v>9300</v>
      </c>
      <c r="F15" s="203" t="s">
        <v>40</v>
      </c>
      <c r="G15" s="204"/>
      <c r="H15" s="205">
        <f>H13-H14</f>
        <v>354849.5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209</v>
      </c>
      <c r="C16" s="10">
        <f>1+1</f>
        <v>2</v>
      </c>
      <c r="D16" s="48">
        <f t="shared" si="1"/>
        <v>3404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>
        <v>1</v>
      </c>
      <c r="D17" s="48">
        <f t="shared" si="1"/>
        <v>1582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>
        <v>5</v>
      </c>
      <c r="D20" s="13">
        <f t="shared" si="1"/>
        <v>5875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f>5+3</f>
        <v>8</v>
      </c>
      <c r="D21" s="48">
        <f t="shared" si="1"/>
        <v>5200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>
        <v>1</v>
      </c>
      <c r="D22" s="48">
        <f t="shared" si="1"/>
        <v>1582</v>
      </c>
      <c r="F22" s="77"/>
      <c r="G22" s="73"/>
      <c r="H22" s="181"/>
      <c r="I22" s="181"/>
      <c r="J22" s="181"/>
      <c r="L22" s="7">
        <f>1582</f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1582+120</f>
        <v>1702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91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>
        <v>10</v>
      </c>
      <c r="D28" s="48">
        <f t="shared" si="1"/>
        <v>8110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401678</v>
      </c>
      <c r="F29" s="112" t="s">
        <v>55</v>
      </c>
      <c r="G29" s="174"/>
      <c r="H29" s="134">
        <f>H15-H16-H17-H18-H19-H20-H22-H23-H24+H26+H27+H28</f>
        <v>354849.5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</v>
      </c>
      <c r="H34" s="156">
        <f t="shared" ref="H34:H39" si="2">F34*G34</f>
        <v>2000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>
        <v>10</v>
      </c>
      <c r="D35" s="30">
        <f>C35*84</f>
        <v>840</v>
      </c>
      <c r="F35" s="58">
        <v>500</v>
      </c>
      <c r="G35" s="41">
        <v>1</v>
      </c>
      <c r="H35" s="156">
        <f t="shared" si="2"/>
        <v>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62</v>
      </c>
      <c r="D37" s="12">
        <f>C37*111</f>
        <v>6882</v>
      </c>
      <c r="F37" s="12">
        <v>100</v>
      </c>
      <c r="G37" s="39">
        <v>1</v>
      </c>
      <c r="H37" s="156">
        <f t="shared" si="2"/>
        <v>100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322</v>
      </c>
      <c r="D38" s="12">
        <f>C38*84</f>
        <v>27048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33</v>
      </c>
      <c r="D41" s="12">
        <f>C41*84</f>
        <v>2772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4</v>
      </c>
      <c r="D42" s="12">
        <f>C42*2.25</f>
        <v>9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7</v>
      </c>
      <c r="D44" s="12">
        <f>C44*120</f>
        <v>840</v>
      </c>
      <c r="F44" s="37" t="s">
        <v>145</v>
      </c>
      <c r="G44" s="62" t="s">
        <v>206</v>
      </c>
      <c r="H44" s="151">
        <v>351689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98</v>
      </c>
      <c r="D45" s="12">
        <f>C45*84</f>
        <v>8232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3</v>
      </c>
      <c r="D46" s="12">
        <f>C46*1.5</f>
        <v>4.5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354289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8</v>
      </c>
      <c r="D50" s="12">
        <f>C50*1.5</f>
        <v>12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-560.5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46828.5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4CA8-DA72-454D-95AB-62EFCDC2A90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46099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388</v>
      </c>
      <c r="D6" s="13">
        <f t="shared" ref="D6:D28" si="1">C6*L6</f>
        <v>295268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</v>
      </c>
      <c r="D7" s="13">
        <f t="shared" si="1"/>
        <v>781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1</v>
      </c>
      <c r="D8" s="13">
        <f t="shared" si="1"/>
        <v>1093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7</v>
      </c>
      <c r="D9" s="13">
        <f t="shared" si="1"/>
        <v>5131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1</v>
      </c>
      <c r="D10" s="13">
        <f t="shared" si="1"/>
        <v>1032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1</v>
      </c>
      <c r="D11" s="13">
        <f t="shared" si="1"/>
        <v>1170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14</v>
      </c>
      <c r="D13" s="48">
        <f t="shared" si="1"/>
        <v>4298</v>
      </c>
      <c r="F13" s="240" t="s">
        <v>36</v>
      </c>
      <c r="G13" s="204"/>
      <c r="H13" s="195">
        <f>D29</f>
        <v>309448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5</v>
      </c>
      <c r="D14" s="31">
        <f t="shared" si="1"/>
        <v>55</v>
      </c>
      <c r="F14" s="198" t="s">
        <v>39</v>
      </c>
      <c r="G14" s="199"/>
      <c r="H14" s="200">
        <f>D54</f>
        <v>45107.25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>
        <v>1</v>
      </c>
      <c r="D15" s="31">
        <f t="shared" si="1"/>
        <v>620</v>
      </c>
      <c r="F15" s="203" t="s">
        <v>40</v>
      </c>
      <c r="G15" s="204"/>
      <c r="H15" s="205">
        <f>H13-H14</f>
        <v>264340.75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324*6</f>
        <v>1944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309448</v>
      </c>
      <c r="F29" s="112" t="s">
        <v>55</v>
      </c>
      <c r="G29" s="174"/>
      <c r="H29" s="134">
        <f>H15-H16-H17-H18-H19-H20-H22-H23-H24+H26+H27</f>
        <v>262396.75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150</v>
      </c>
      <c r="H34" s="156">
        <f>F34*G34</f>
        <v>150000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223</v>
      </c>
      <c r="H35" s="156">
        <f t="shared" ref="H35:H39" si="2">F35*G35</f>
        <v>111500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2</v>
      </c>
      <c r="D36" s="12">
        <f>C36*1.5</f>
        <v>3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392</v>
      </c>
      <c r="D37" s="12">
        <f>C37*111</f>
        <v>43512</v>
      </c>
      <c r="F37" s="12">
        <v>100</v>
      </c>
      <c r="G37" s="39">
        <v>4</v>
      </c>
      <c r="H37" s="156">
        <f t="shared" si="2"/>
        <v>400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4</v>
      </c>
      <c r="H38" s="156">
        <f t="shared" si="2"/>
        <v>200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5</v>
      </c>
      <c r="D42" s="12">
        <f>C42*2.25</f>
        <v>11.25</v>
      </c>
      <c r="F42" s="39" t="s">
        <v>79</v>
      </c>
      <c r="G42" s="156">
        <v>18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2</v>
      </c>
      <c r="D44" s="12">
        <f>C44*120</f>
        <v>240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1</v>
      </c>
      <c r="D45" s="12">
        <f>C45*84</f>
        <v>84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9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4</v>
      </c>
      <c r="D48" s="12">
        <f>C48*78</f>
        <v>312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11</v>
      </c>
      <c r="D49" s="12">
        <f>C49*42</f>
        <v>462</v>
      </c>
      <c r="F49" s="132" t="s">
        <v>86</v>
      </c>
      <c r="G49" s="134">
        <f>H34+H35+H36+H37+H38+H39+H40+H41+G42+H44+H45+H46</f>
        <v>262118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162</v>
      </c>
      <c r="G51" s="241">
        <f>G49-H29</f>
        <v>-278.75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45107.25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B060-197D-447A-9CC5-8323F7D2FD9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46099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332</v>
      </c>
      <c r="D6" s="13">
        <f t="shared" ref="D6:D28" si="1">C6*L6</f>
        <v>252652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</v>
      </c>
      <c r="D7" s="13">
        <f t="shared" si="1"/>
        <v>781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73</v>
      </c>
      <c r="D9" s="13">
        <f t="shared" si="1"/>
        <v>53509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1</v>
      </c>
      <c r="D12" s="48">
        <f t="shared" si="1"/>
        <v>992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12</v>
      </c>
      <c r="D13" s="48">
        <f t="shared" si="1"/>
        <v>3684</v>
      </c>
      <c r="F13" s="240" t="s">
        <v>36</v>
      </c>
      <c r="G13" s="204"/>
      <c r="H13" s="195">
        <f>D29</f>
        <v>311662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4</v>
      </c>
      <c r="D14" s="31">
        <f t="shared" si="1"/>
        <v>44</v>
      </c>
      <c r="F14" s="198" t="s">
        <v>39</v>
      </c>
      <c r="G14" s="199"/>
      <c r="H14" s="200">
        <f>D54</f>
        <v>43362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268300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600+606</f>
        <v>1206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165">
        <v>70</v>
      </c>
      <c r="I19" s="165"/>
      <c r="J19" s="16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311662</v>
      </c>
      <c r="F29" s="112" t="s">
        <v>55</v>
      </c>
      <c r="G29" s="174"/>
      <c r="H29" s="134">
        <f>H15-H16-H17-H18-H19-H20-H22-H23-H24+H26+H27</f>
        <v>267024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164</v>
      </c>
      <c r="H34" s="156">
        <f>F34*G34</f>
        <v>164000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58</v>
      </c>
      <c r="H35" s="156">
        <f>F35*G35</f>
        <v>29000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379</v>
      </c>
      <c r="D37" s="12">
        <f>C37*111</f>
        <v>42069</v>
      </c>
      <c r="F37" s="12">
        <v>100</v>
      </c>
      <c r="G37" s="39">
        <v>57</v>
      </c>
      <c r="H37" s="156">
        <f t="shared" si="2"/>
        <v>5700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38</v>
      </c>
      <c r="H38" s="156">
        <f t="shared" si="2"/>
        <v>1900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1063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145</v>
      </c>
      <c r="G44" s="76" t="s">
        <v>207</v>
      </c>
      <c r="H44" s="151">
        <v>65622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10</v>
      </c>
      <c r="D48" s="12">
        <f>C48*78</f>
        <v>780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267285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52</v>
      </c>
      <c r="D50" s="12">
        <f>C50*1.5</f>
        <v>78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261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43362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80AB-C1CA-4662-9C6F-2C3038AF0FA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94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9E6C-81A8-41C5-8C07-673EA3962E94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46100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457</v>
      </c>
      <c r="D6" s="13">
        <f t="shared" ref="D6:D28" si="1">C6*L6</f>
        <v>347777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5</v>
      </c>
      <c r="D7" s="13">
        <f t="shared" si="1"/>
        <v>3905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65</v>
      </c>
      <c r="D8" s="13">
        <f t="shared" si="1"/>
        <v>71045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19</v>
      </c>
      <c r="D9" s="13">
        <f t="shared" si="1"/>
        <v>13927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2</v>
      </c>
      <c r="D10" s="13">
        <f t="shared" si="1"/>
        <v>2064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2</v>
      </c>
      <c r="D12" s="48">
        <f t="shared" si="1"/>
        <v>1984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13</v>
      </c>
      <c r="D13" s="48">
        <f t="shared" si="1"/>
        <v>3991</v>
      </c>
      <c r="F13" s="240" t="s">
        <v>36</v>
      </c>
      <c r="G13" s="204"/>
      <c r="H13" s="195">
        <f>D29</f>
        <v>449433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16</v>
      </c>
      <c r="D14" s="31">
        <f t="shared" si="1"/>
        <v>176</v>
      </c>
      <c r="F14" s="198" t="s">
        <v>39</v>
      </c>
      <c r="G14" s="199"/>
      <c r="H14" s="200">
        <f>D54</f>
        <v>82245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>
        <f>1</f>
        <v>1</v>
      </c>
      <c r="D15" s="31">
        <f t="shared" si="1"/>
        <v>620</v>
      </c>
      <c r="F15" s="203" t="s">
        <v>40</v>
      </c>
      <c r="G15" s="204"/>
      <c r="H15" s="205">
        <f>H13-H14</f>
        <v>367188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v>1944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65">
        <v>50</v>
      </c>
      <c r="I19" s="165"/>
      <c r="J19" s="165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98" t="s">
        <v>210</v>
      </c>
      <c r="C22" s="10">
        <v>1</v>
      </c>
      <c r="D22" s="48">
        <f t="shared" si="1"/>
        <v>1702</v>
      </c>
      <c r="F22" s="77" t="s">
        <v>174</v>
      </c>
      <c r="G22" s="73">
        <v>9596</v>
      </c>
      <c r="H22" s="181">
        <v>67313</v>
      </c>
      <c r="I22" s="181"/>
      <c r="J22" s="181"/>
      <c r="L22" s="7">
        <f>1582+120</f>
        <v>1702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91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>
        <v>2</v>
      </c>
      <c r="D28" s="48">
        <f t="shared" si="1"/>
        <v>1622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449433</v>
      </c>
      <c r="F29" s="112" t="s">
        <v>55</v>
      </c>
      <c r="G29" s="174"/>
      <c r="H29" s="134">
        <f>H15-H16-H17-H18-H19-H20-H22-H23-H24+H26+H27+H28</f>
        <v>297881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168</v>
      </c>
      <c r="H34" s="156">
        <f t="shared" ref="H34:H39" si="2">F34*G34</f>
        <v>168000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78</v>
      </c>
      <c r="H35" s="156">
        <f t="shared" si="2"/>
        <v>39000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569</v>
      </c>
      <c r="D37" s="12">
        <f>C37*111</f>
        <v>63159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95</v>
      </c>
      <c r="D38" s="12">
        <f>C38*84</f>
        <v>7980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17</v>
      </c>
      <c r="D40" s="12">
        <f>C40*111</f>
        <v>1887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4</v>
      </c>
      <c r="D42" s="12">
        <f>C42*2.25</f>
        <v>9</v>
      </c>
      <c r="F42" s="39" t="s">
        <v>79</v>
      </c>
      <c r="G42" s="156">
        <v>154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70</v>
      </c>
      <c r="D44" s="12">
        <f>C44*120</f>
        <v>8400</v>
      </c>
      <c r="F44" s="37" t="s">
        <v>146</v>
      </c>
      <c r="G44" s="84" t="s">
        <v>148</v>
      </c>
      <c r="H44" s="151">
        <v>75000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155</v>
      </c>
      <c r="G45" s="99" t="s">
        <v>211</v>
      </c>
      <c r="H45" s="151">
        <v>11700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6</v>
      </c>
      <c r="D46" s="12">
        <f>C46*1.5</f>
        <v>9</v>
      </c>
      <c r="F46" s="37" t="s">
        <v>155</v>
      </c>
      <c r="G46" s="62" t="s">
        <v>212</v>
      </c>
      <c r="H46" s="151">
        <v>3944</v>
      </c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10</v>
      </c>
      <c r="D49" s="12">
        <f>C49*42</f>
        <v>420</v>
      </c>
      <c r="F49" s="132" t="s">
        <v>86</v>
      </c>
      <c r="G49" s="134">
        <f>H34+H35+H36+H37+H38+H39+H40+H41+G42+H44+H45+H46</f>
        <v>297798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14</v>
      </c>
      <c r="D50" s="12">
        <f>C50*1.5</f>
        <v>21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-83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82245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492C-02B1-49EF-AB2C-2BA97E78FFBC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46100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326</v>
      </c>
      <c r="D6" s="13">
        <f t="shared" ref="D6:D28" si="1">C6*L6</f>
        <v>248086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4</v>
      </c>
      <c r="D7" s="13">
        <f t="shared" si="1"/>
        <v>3124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1</v>
      </c>
      <c r="D8" s="13">
        <f t="shared" si="1"/>
        <v>1093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17</v>
      </c>
      <c r="D9" s="13">
        <f t="shared" si="1"/>
        <v>12461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10</v>
      </c>
      <c r="D13" s="48">
        <f t="shared" si="1"/>
        <v>3070</v>
      </c>
      <c r="F13" s="240" t="s">
        <v>36</v>
      </c>
      <c r="G13" s="204"/>
      <c r="H13" s="195">
        <f>D29</f>
        <v>267889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5</v>
      </c>
      <c r="D14" s="31">
        <f t="shared" si="1"/>
        <v>55</v>
      </c>
      <c r="F14" s="198" t="s">
        <v>39</v>
      </c>
      <c r="G14" s="199"/>
      <c r="H14" s="200">
        <f>D54</f>
        <v>40076.25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227812.75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104*6</f>
        <v>624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267889</v>
      </c>
      <c r="F29" s="112" t="s">
        <v>55</v>
      </c>
      <c r="G29" s="174"/>
      <c r="H29" s="134">
        <f>H15-H16-H17-H18-H19-H20-H22-H23-H24+H26+H27</f>
        <v>227188.75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187</v>
      </c>
      <c r="H34" s="156">
        <f>F34*G34</f>
        <v>187000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80</v>
      </c>
      <c r="H35" s="156">
        <f t="shared" ref="H35:H39" si="2">F35*G35</f>
        <v>40000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8</v>
      </c>
      <c r="D36" s="12">
        <f>C36*1.5</f>
        <v>12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335</v>
      </c>
      <c r="D37" s="12">
        <f>C37*111</f>
        <v>37185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12</v>
      </c>
      <c r="D38" s="12">
        <f>C38*84</f>
        <v>1008</v>
      </c>
      <c r="F38" s="30">
        <v>50</v>
      </c>
      <c r="G38" s="39">
        <v>3</v>
      </c>
      <c r="H38" s="156">
        <f t="shared" si="2"/>
        <v>150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4</v>
      </c>
      <c r="D41" s="12">
        <f>C41*84</f>
        <v>336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7</v>
      </c>
      <c r="D42" s="12">
        <f>C42*2.25</f>
        <v>15.75</v>
      </c>
      <c r="F42" s="39" t="s">
        <v>79</v>
      </c>
      <c r="G42" s="156">
        <v>61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2</v>
      </c>
      <c r="D44" s="12">
        <f>C44*120</f>
        <v>240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2</v>
      </c>
      <c r="D45" s="12">
        <f>C45*84</f>
        <v>168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16</v>
      </c>
      <c r="D46" s="12">
        <f>C46*1.5</f>
        <v>24</v>
      </c>
      <c r="F46" s="37"/>
      <c r="G46" s="9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6</v>
      </c>
      <c r="D49" s="12">
        <f>C49*42</f>
        <v>252</v>
      </c>
      <c r="F49" s="132" t="s">
        <v>86</v>
      </c>
      <c r="G49" s="134">
        <f>H34+H35+H36+H37+H38+H39+H40+H41+G42+H44+H45+H46</f>
        <v>227211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14</v>
      </c>
      <c r="D50" s="12">
        <f>C50*1.5</f>
        <v>21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22.25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40076.25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8F16-5BB7-45E1-919A-DB6FB2A17D1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46100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430</v>
      </c>
      <c r="D6" s="13">
        <f t="shared" ref="D6:D28" si="1">C6*L6</f>
        <v>327230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7</v>
      </c>
      <c r="D7" s="13">
        <f t="shared" si="1"/>
        <v>5467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112</v>
      </c>
      <c r="D9" s="13">
        <f t="shared" si="1"/>
        <v>82096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10</v>
      </c>
      <c r="D11" s="13">
        <f t="shared" si="1"/>
        <v>11700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20</v>
      </c>
      <c r="D13" s="48">
        <f t="shared" si="1"/>
        <v>6140</v>
      </c>
      <c r="F13" s="240" t="s">
        <v>36</v>
      </c>
      <c r="G13" s="204"/>
      <c r="H13" s="195">
        <f>D29</f>
        <v>432743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10</v>
      </c>
      <c r="D14" s="31">
        <f t="shared" si="1"/>
        <v>110</v>
      </c>
      <c r="F14" s="198" t="s">
        <v>39</v>
      </c>
      <c r="G14" s="199"/>
      <c r="H14" s="200">
        <f>D54</f>
        <v>88158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344585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648+450+2130</f>
        <v>3228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432743</v>
      </c>
      <c r="F29" s="112" t="s">
        <v>55</v>
      </c>
      <c r="G29" s="174"/>
      <c r="H29" s="134">
        <f>H15-H16-H17-H18-H19-H20-H22-H23-H24+H26+H27</f>
        <v>341357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46</v>
      </c>
      <c r="H34" s="156">
        <f>F34*G34</f>
        <v>46000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21</v>
      </c>
      <c r="H35" s="156">
        <f>F35*G35</f>
        <v>10500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156">
        <f t="shared" ref="H36:H39" si="2">F36*G36</f>
        <v>200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742</v>
      </c>
      <c r="D37" s="12">
        <f>C37*111</f>
        <v>82362</v>
      </c>
      <c r="F37" s="12">
        <v>100</v>
      </c>
      <c r="G37" s="39">
        <v>18</v>
      </c>
      <c r="H37" s="156">
        <f t="shared" si="2"/>
        <v>1800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</v>
      </c>
      <c r="H38" s="156">
        <f t="shared" si="2"/>
        <v>100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20</v>
      </c>
      <c r="D40" s="12">
        <f>C40*111</f>
        <v>2220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4</v>
      </c>
      <c r="D42" s="12">
        <f>C42*2.25</f>
        <v>9</v>
      </c>
      <c r="F42" s="39" t="s">
        <v>79</v>
      </c>
      <c r="G42" s="156">
        <v>79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10</v>
      </c>
      <c r="D44" s="12">
        <f>C44*120</f>
        <v>1200</v>
      </c>
      <c r="F44" s="37" t="s">
        <v>146</v>
      </c>
      <c r="G44" s="76" t="s">
        <v>213</v>
      </c>
      <c r="H44" s="151">
        <v>48987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146</v>
      </c>
      <c r="G45" s="76" t="s">
        <v>214</v>
      </c>
      <c r="H45" s="151">
        <v>233269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24</v>
      </c>
      <c r="D48" s="12">
        <f>C48*78</f>
        <v>1872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9</v>
      </c>
      <c r="D49" s="12">
        <f>C49*42</f>
        <v>378</v>
      </c>
      <c r="F49" s="132" t="s">
        <v>86</v>
      </c>
      <c r="G49" s="134">
        <f>H34+H35+H36+H37+H38+H39+H40+H41+G42+H44+H45+H46</f>
        <v>340935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13</v>
      </c>
      <c r="D50" s="12">
        <f>C50*1.5</f>
        <v>19.5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-422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88158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76BD-8156-400B-82B5-D8701319ACF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94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19BF-BC69-44FA-9772-A8E3210C722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46101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436</v>
      </c>
      <c r="D6" s="13">
        <f t="shared" ref="D6:D28" si="1">C6*L6</f>
        <v>331796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10</v>
      </c>
      <c r="D9" s="13">
        <f t="shared" si="1"/>
        <v>7330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1</v>
      </c>
      <c r="D11" s="13">
        <f t="shared" si="1"/>
        <v>1170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1</v>
      </c>
      <c r="D12" s="48">
        <f t="shared" si="1"/>
        <v>992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7</v>
      </c>
      <c r="D13" s="48">
        <f t="shared" si="1"/>
        <v>2149</v>
      </c>
      <c r="F13" s="240" t="s">
        <v>36</v>
      </c>
      <c r="G13" s="204"/>
      <c r="H13" s="195">
        <f>D29</f>
        <v>343569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12</v>
      </c>
      <c r="D14" s="31">
        <f t="shared" si="1"/>
        <v>132</v>
      </c>
      <c r="F14" s="198" t="s">
        <v>39</v>
      </c>
      <c r="G14" s="199"/>
      <c r="H14" s="200">
        <f>D54</f>
        <v>53209.5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290359.5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65">
        <v>50</v>
      </c>
      <c r="I19" s="165"/>
      <c r="J19" s="165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 t="s">
        <v>217</v>
      </c>
      <c r="G22" s="73">
        <v>9803</v>
      </c>
      <c r="H22" s="181">
        <v>141854</v>
      </c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91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343569</v>
      </c>
      <c r="F29" s="112" t="s">
        <v>55</v>
      </c>
      <c r="G29" s="174"/>
      <c r="H29" s="134">
        <f>H15-H16-H17-H18-H19-H20-H22-H23-H24+H26+H27+H28</f>
        <v>148455.5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126</v>
      </c>
      <c r="H34" s="156">
        <f t="shared" ref="H34:H39" si="2">F34*G34</f>
        <v>126000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38</v>
      </c>
      <c r="H35" s="156">
        <f t="shared" si="2"/>
        <v>19000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156">
        <f t="shared" si="2"/>
        <v>400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466</v>
      </c>
      <c r="D37" s="12">
        <f>C37*111</f>
        <v>51726</v>
      </c>
      <c r="F37" s="12">
        <v>100</v>
      </c>
      <c r="G37" s="39">
        <v>29</v>
      </c>
      <c r="H37" s="156">
        <f t="shared" si="2"/>
        <v>2900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>
        <v>1</v>
      </c>
      <c r="H38" s="156">
        <f t="shared" si="2"/>
        <v>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2</v>
      </c>
      <c r="D40" s="12">
        <f>C40*111</f>
        <v>222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68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1</v>
      </c>
      <c r="D44" s="12">
        <f>C44*120</f>
        <v>120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13</v>
      </c>
      <c r="D48" s="12">
        <f>C48*78</f>
        <v>1014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148418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5</v>
      </c>
      <c r="D50" s="12">
        <f>C50*1.5</f>
        <v>7.5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-37.5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53209.5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E1A4-85EB-45B9-BE01-DDAEE7CFE46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46101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398</v>
      </c>
      <c r="D6" s="13">
        <f t="shared" ref="D6:D28" si="1">C6*L6</f>
        <v>302878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9</v>
      </c>
      <c r="D7" s="13">
        <f t="shared" si="1"/>
        <v>7029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36</v>
      </c>
      <c r="D9" s="13">
        <f t="shared" si="1"/>
        <v>26388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1</v>
      </c>
      <c r="D11" s="13">
        <f t="shared" si="1"/>
        <v>1170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f>2+1</f>
        <v>3</v>
      </c>
      <c r="D12" s="48">
        <f t="shared" si="1"/>
        <v>2976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12</v>
      </c>
      <c r="D13" s="48">
        <f t="shared" si="1"/>
        <v>3684</v>
      </c>
      <c r="F13" s="240" t="s">
        <v>36</v>
      </c>
      <c r="G13" s="204"/>
      <c r="H13" s="195">
        <f>D29</f>
        <v>348180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51591.75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296588.25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108*6</f>
        <v>648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 t="s">
        <v>164</v>
      </c>
      <c r="G22" s="73">
        <v>9736</v>
      </c>
      <c r="H22" s="181">
        <v>94558</v>
      </c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106" t="s">
        <v>164</v>
      </c>
      <c r="G26" s="59">
        <v>9573</v>
      </c>
      <c r="H26" s="186">
        <v>102166</v>
      </c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>
        <v>5</v>
      </c>
      <c r="D28" s="48">
        <f t="shared" si="1"/>
        <v>4055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348180</v>
      </c>
      <c r="F29" s="112" t="s">
        <v>55</v>
      </c>
      <c r="G29" s="174"/>
      <c r="H29" s="134">
        <f>H15-H16-H17-H18-H19-H20-H22-H23-H24+H26+H27</f>
        <v>303548.25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106</v>
      </c>
      <c r="H34" s="156">
        <f>F34*G34</f>
        <v>106000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>
        <v>1</v>
      </c>
      <c r="D35" s="30">
        <f>C35*84</f>
        <v>84</v>
      </c>
      <c r="F35" s="58">
        <v>500</v>
      </c>
      <c r="G35" s="41">
        <v>44</v>
      </c>
      <c r="H35" s="156">
        <f t="shared" ref="H35:H39" si="2">F35*G35</f>
        <v>22000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380</v>
      </c>
      <c r="D37" s="12">
        <f>C37*111</f>
        <v>42180</v>
      </c>
      <c r="F37" s="12">
        <v>100</v>
      </c>
      <c r="G37" s="39">
        <v>33</v>
      </c>
      <c r="H37" s="156">
        <f t="shared" si="2"/>
        <v>3300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89</v>
      </c>
      <c r="D38" s="12">
        <f>C38*84</f>
        <v>7476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156">
        <f t="shared" si="2"/>
        <v>20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3</v>
      </c>
      <c r="D40" s="12">
        <f>C40*111</f>
        <v>333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56">
        <v>68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4</v>
      </c>
      <c r="D44" s="12">
        <f>C44*120</f>
        <v>480</v>
      </c>
      <c r="F44" s="37" t="s">
        <v>172</v>
      </c>
      <c r="G44" s="99" t="s">
        <v>216</v>
      </c>
      <c r="H44" s="151">
        <v>70347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 t="s">
        <v>146</v>
      </c>
      <c r="G45" s="84" t="s">
        <v>148</v>
      </c>
      <c r="H45" s="151">
        <v>102166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4</v>
      </c>
      <c r="D46" s="12">
        <f>C46*1.5</f>
        <v>6</v>
      </c>
      <c r="F46" s="37"/>
      <c r="G46" s="9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9</v>
      </c>
      <c r="D48" s="12">
        <f>C48*78</f>
        <v>702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4</v>
      </c>
      <c r="D49" s="12">
        <f>C49*42</f>
        <v>168</v>
      </c>
      <c r="F49" s="132" t="s">
        <v>86</v>
      </c>
      <c r="G49" s="134">
        <f>H34+H35+H36+H37+H38+H39+H40+H41+G42+H44+H45+H46</f>
        <v>303901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21</v>
      </c>
      <c r="D50" s="12">
        <f>C50*1.5</f>
        <v>31.5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352.75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51591.75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3A81-6BDF-477E-AF31-84444C386F2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46101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372</v>
      </c>
      <c r="D6" s="13">
        <f t="shared" ref="D6:D28" si="1">C6*L6</f>
        <v>283092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7</v>
      </c>
      <c r="D7" s="13">
        <f t="shared" si="1"/>
        <v>5467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25</v>
      </c>
      <c r="D9" s="13">
        <f t="shared" si="1"/>
        <v>18325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3</v>
      </c>
      <c r="D12" s="48">
        <f t="shared" si="1"/>
        <v>2976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12</v>
      </c>
      <c r="D13" s="48">
        <f t="shared" si="1"/>
        <v>3684</v>
      </c>
      <c r="F13" s="240" t="s">
        <v>36</v>
      </c>
      <c r="G13" s="204"/>
      <c r="H13" s="195">
        <f>D29</f>
        <v>313665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11</v>
      </c>
      <c r="D14" s="31">
        <f t="shared" si="1"/>
        <v>121</v>
      </c>
      <c r="F14" s="198" t="s">
        <v>39</v>
      </c>
      <c r="G14" s="199"/>
      <c r="H14" s="200">
        <f>D54</f>
        <v>47919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265746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300+690+1032+30</f>
        <v>2052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165">
        <v>50</v>
      </c>
      <c r="I19" s="165"/>
      <c r="J19" s="16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313665</v>
      </c>
      <c r="F29" s="112" t="s">
        <v>55</v>
      </c>
      <c r="G29" s="174"/>
      <c r="H29" s="134">
        <f>H15-H16-H17-H18-H19-H20-H22-H23-H24+H26+H27</f>
        <v>263644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116</v>
      </c>
      <c r="H34" s="156">
        <f>F34*G34</f>
        <v>116000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61</v>
      </c>
      <c r="H35" s="156">
        <f>F35*G35</f>
        <v>30500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418</v>
      </c>
      <c r="D37" s="12">
        <f>C37*111</f>
        <v>46398</v>
      </c>
      <c r="F37" s="12">
        <v>100</v>
      </c>
      <c r="G37" s="39">
        <v>23</v>
      </c>
      <c r="H37" s="156">
        <f t="shared" si="2"/>
        <v>2300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>
        <v>4</v>
      </c>
      <c r="H38" s="156">
        <f t="shared" si="2"/>
        <v>200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</v>
      </c>
      <c r="D40" s="12">
        <f>C40*111</f>
        <v>111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10</v>
      </c>
      <c r="D42" s="12">
        <f>C42*2.25</f>
        <v>22.5</v>
      </c>
      <c r="F42" s="39" t="s">
        <v>79</v>
      </c>
      <c r="G42" s="156">
        <v>2294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1</v>
      </c>
      <c r="D44" s="12">
        <f>C44*120</f>
        <v>120</v>
      </c>
      <c r="F44" s="37" t="s">
        <v>145</v>
      </c>
      <c r="G44" s="62" t="s">
        <v>215</v>
      </c>
      <c r="H44" s="151">
        <v>112255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11</v>
      </c>
      <c r="D46" s="12">
        <f>C46*1.5</f>
        <v>16.5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11</v>
      </c>
      <c r="D48" s="12">
        <f>C48*78</f>
        <v>858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7</v>
      </c>
      <c r="D49" s="12">
        <f>C49*42</f>
        <v>294</v>
      </c>
      <c r="F49" s="132" t="s">
        <v>86</v>
      </c>
      <c r="G49" s="134">
        <f>H34+H35+H36+H37+H38+H39+H40+H41+G42+H44+H45+H46</f>
        <v>263549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10</v>
      </c>
      <c r="D50" s="12">
        <f>C50*1.5</f>
        <v>15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-95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47919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6C14-9753-4B1A-9729-A5963877FC4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94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8ED4-FD93-482A-8126-6BDE177D3E3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46102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 t="s">
        <v>174</v>
      </c>
      <c r="G26" s="65">
        <v>9596</v>
      </c>
      <c r="H26" s="151">
        <v>67313</v>
      </c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 t="s">
        <v>219</v>
      </c>
      <c r="G27" s="91">
        <v>9803</v>
      </c>
      <c r="H27" s="249">
        <v>141854</v>
      </c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H15-H16-H17-H18-H19-H20-H22-H23-H24+H26+H27+H28</f>
        <v>209167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67</v>
      </c>
      <c r="H34" s="156">
        <f t="shared" ref="H34:H39" si="2">F34*G34</f>
        <v>67000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>
        <v>2</v>
      </c>
      <c r="H37" s="156">
        <f t="shared" si="2"/>
        <v>200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>
        <v>2</v>
      </c>
      <c r="H38" s="156">
        <f t="shared" si="2"/>
        <v>100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13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172</v>
      </c>
      <c r="G44" s="105" t="s">
        <v>218</v>
      </c>
      <c r="H44" s="151">
        <v>141854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209167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220</v>
      </c>
      <c r="G51" s="255">
        <f>G49-H29</f>
        <v>0</v>
      </c>
      <c r="H51" s="256"/>
      <c r="I51" s="256"/>
      <c r="J51" s="257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58"/>
      <c r="H52" s="259"/>
      <c r="I52" s="259"/>
      <c r="J52" s="260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1217-B9DA-452D-B3E8-1C08BB2FC47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46102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ref="H35:H39" si="2"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9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A182-41BD-4A09-9615-002426066E6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46102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CF0C-D899-4B59-B928-0F59DF5D2831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94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ECDEA-92CC-4000-B99A-4684DB32FC1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46104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480</v>
      </c>
      <c r="D6" s="13">
        <f t="shared" ref="D6:D28" si="1">C6*L6</f>
        <v>365280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10</v>
      </c>
      <c r="D7" s="13">
        <f t="shared" si="1"/>
        <v>7810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2</v>
      </c>
      <c r="D8" s="13">
        <f t="shared" si="1"/>
        <v>2186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72</v>
      </c>
      <c r="D9" s="13">
        <f t="shared" si="1"/>
        <v>52776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3</v>
      </c>
      <c r="D10" s="13">
        <f t="shared" si="1"/>
        <v>3096</v>
      </c>
      <c r="F10" s="219" t="s">
        <v>26</v>
      </c>
      <c r="G10" s="234" t="s">
        <v>223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2</v>
      </c>
      <c r="D11" s="13">
        <f t="shared" si="1"/>
        <v>2340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3</v>
      </c>
      <c r="D12" s="48">
        <f t="shared" si="1"/>
        <v>2976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</v>
      </c>
      <c r="D13" s="48">
        <f t="shared" si="1"/>
        <v>307</v>
      </c>
      <c r="F13" s="240" t="s">
        <v>36</v>
      </c>
      <c r="G13" s="204"/>
      <c r="H13" s="195">
        <f>D29</f>
        <v>441683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2</v>
      </c>
      <c r="D14" s="31">
        <f t="shared" si="1"/>
        <v>22</v>
      </c>
      <c r="F14" s="198" t="s">
        <v>39</v>
      </c>
      <c r="G14" s="199"/>
      <c r="H14" s="200">
        <f>D54</f>
        <v>51233.25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>
        <v>1</v>
      </c>
      <c r="D15" s="31">
        <f t="shared" si="1"/>
        <v>620</v>
      </c>
      <c r="F15" s="203" t="s">
        <v>40</v>
      </c>
      <c r="G15" s="204"/>
      <c r="H15" s="205">
        <f>H13-H14</f>
        <v>390449.75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>
        <v>1</v>
      </c>
      <c r="D18" s="48">
        <f t="shared" si="1"/>
        <v>620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>
        <f>1+1</f>
        <v>2</v>
      </c>
      <c r="D20" s="13">
        <f t="shared" si="1"/>
        <v>2350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v>2</v>
      </c>
      <c r="D21" s="48">
        <f t="shared" si="1"/>
        <v>1300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91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441683</v>
      </c>
      <c r="F29" s="112" t="s">
        <v>55</v>
      </c>
      <c r="G29" s="174"/>
      <c r="H29" s="134">
        <f>H15-H16-H17-H18-H19-H20-H22-H23-H24+H26+H27+H28</f>
        <v>390449.75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90</v>
      </c>
      <c r="H34" s="156">
        <f t="shared" ref="H34:H39" si="2">F34*G34</f>
        <v>90000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32</v>
      </c>
      <c r="H35" s="156">
        <f t="shared" si="2"/>
        <v>16000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>
        <v>43</v>
      </c>
      <c r="D36" s="12">
        <f>C36*1.5</f>
        <v>64.5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437</v>
      </c>
      <c r="D37" s="12">
        <f>C37*111</f>
        <v>48507</v>
      </c>
      <c r="F37" s="12">
        <v>100</v>
      </c>
      <c r="G37" s="39">
        <v>27</v>
      </c>
      <c r="H37" s="156">
        <f t="shared" si="2"/>
        <v>2700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10</v>
      </c>
      <c r="H38" s="156">
        <f t="shared" si="2"/>
        <v>500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6</v>
      </c>
      <c r="D40" s="12">
        <f>C40*111</f>
        <v>666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11</v>
      </c>
      <c r="D42" s="12">
        <f>C42*2.25</f>
        <v>24.75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4</v>
      </c>
      <c r="D44" s="12">
        <f>C44*120</f>
        <v>480</v>
      </c>
      <c r="F44" s="37" t="s">
        <v>145</v>
      </c>
      <c r="G44" s="62" t="s">
        <v>221</v>
      </c>
      <c r="H44" s="151">
        <v>266891.5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9</v>
      </c>
      <c r="D45" s="12">
        <f>C45*84</f>
        <v>756</v>
      </c>
      <c r="F45" s="37" t="s">
        <v>146</v>
      </c>
      <c r="G45" s="84" t="s">
        <v>148</v>
      </c>
      <c r="H45" s="151">
        <v>13879</v>
      </c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23</v>
      </c>
      <c r="D46" s="12">
        <f>C46*1.5</f>
        <v>34.5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</v>
      </c>
      <c r="D48" s="12">
        <f>C48*78</f>
        <v>78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389970.5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72</v>
      </c>
      <c r="D50" s="12">
        <f>C50*1.5</f>
        <v>108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-479.25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51233.25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F3B5-8564-4EFC-8BBA-851EEE9F851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46104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349</v>
      </c>
      <c r="D6" s="13">
        <f t="shared" ref="D6:D28" si="1">C6*L6</f>
        <v>265589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1</v>
      </c>
      <c r="D7" s="13">
        <f t="shared" si="1"/>
        <v>781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110</v>
      </c>
      <c r="D9" s="13">
        <f t="shared" si="1"/>
        <v>80630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1</v>
      </c>
      <c r="D12" s="48">
        <f t="shared" si="1"/>
        <v>992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18</v>
      </c>
      <c r="D13" s="48">
        <f t="shared" si="1"/>
        <v>5526</v>
      </c>
      <c r="F13" s="240" t="s">
        <v>36</v>
      </c>
      <c r="G13" s="204"/>
      <c r="H13" s="195">
        <f>D29</f>
        <v>356198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10</v>
      </c>
      <c r="D14" s="31">
        <f t="shared" si="1"/>
        <v>110</v>
      </c>
      <c r="F14" s="198" t="s">
        <v>39</v>
      </c>
      <c r="G14" s="199"/>
      <c r="H14" s="200">
        <f>D54</f>
        <v>52395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>
        <v>1</v>
      </c>
      <c r="D15" s="31">
        <f t="shared" si="1"/>
        <v>620</v>
      </c>
      <c r="F15" s="203" t="s">
        <v>40</v>
      </c>
      <c r="G15" s="204"/>
      <c r="H15" s="205">
        <f>H13-H14</f>
        <v>303803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433*6</f>
        <v>2598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>
        <v>3</v>
      </c>
      <c r="D21" s="48">
        <f t="shared" si="1"/>
        <v>1950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356198</v>
      </c>
      <c r="F29" s="112" t="s">
        <v>55</v>
      </c>
      <c r="G29" s="174"/>
      <c r="H29" s="134">
        <f>H15-H16-H17-H18-H19-H20-H22-H23-H24+H26+H27</f>
        <v>301205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210</v>
      </c>
      <c r="H34" s="156">
        <f>F34*G34</f>
        <v>210000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123</v>
      </c>
      <c r="H35" s="156">
        <f t="shared" ref="H35:H39" si="2">F35*G35</f>
        <v>61500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456</v>
      </c>
      <c r="D37" s="12">
        <f>C37*111</f>
        <v>50616</v>
      </c>
      <c r="F37" s="12">
        <v>100</v>
      </c>
      <c r="G37" s="39">
        <v>201</v>
      </c>
      <c r="H37" s="156">
        <f t="shared" si="2"/>
        <v>20100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>
        <v>197</v>
      </c>
      <c r="H38" s="156">
        <f t="shared" si="2"/>
        <v>9850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7</v>
      </c>
      <c r="D39" s="31">
        <f>C39*4.5</f>
        <v>31.5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2</v>
      </c>
      <c r="D44" s="12">
        <f>C44*120</f>
        <v>240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9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6</v>
      </c>
      <c r="D48" s="12">
        <f>C48*78</f>
        <v>468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14</v>
      </c>
      <c r="D49" s="12">
        <f>C49*42</f>
        <v>588</v>
      </c>
      <c r="F49" s="132" t="s">
        <v>86</v>
      </c>
      <c r="G49" s="134">
        <f>H34+H35+H36+H37+H38+H39+H40+H41+G42+H44+H45+H46</f>
        <v>301450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5</v>
      </c>
      <c r="D50" s="12">
        <f>C50*1.5</f>
        <v>7.5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245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52395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1148-FE3D-486F-8025-F1376843696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93" t="s">
        <v>2</v>
      </c>
      <c r="Q1" s="9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46104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451</v>
      </c>
      <c r="D6" s="13">
        <f t="shared" ref="D6:D28" si="1">C6*L6</f>
        <v>343211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9</v>
      </c>
      <c r="D7" s="13">
        <f t="shared" si="1"/>
        <v>7029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28</v>
      </c>
      <c r="D9" s="13">
        <f t="shared" si="1"/>
        <v>20524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1</v>
      </c>
      <c r="D10" s="13">
        <f t="shared" si="1"/>
        <v>1032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13</v>
      </c>
      <c r="D13" s="48">
        <f t="shared" si="1"/>
        <v>3991</v>
      </c>
      <c r="F13" s="240" t="s">
        <v>36</v>
      </c>
      <c r="G13" s="204"/>
      <c r="H13" s="195">
        <f>D29</f>
        <v>376448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</v>
      </c>
      <c r="D14" s="31">
        <f t="shared" si="1"/>
        <v>11</v>
      </c>
      <c r="F14" s="198" t="s">
        <v>39</v>
      </c>
      <c r="G14" s="199"/>
      <c r="H14" s="200">
        <f>D54</f>
        <v>62977.5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313470.5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1296+300+708</f>
        <v>2304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>
        <v>1</v>
      </c>
      <c r="D21" s="48">
        <f t="shared" si="1"/>
        <v>650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94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376448</v>
      </c>
      <c r="F29" s="112" t="s">
        <v>55</v>
      </c>
      <c r="G29" s="174"/>
      <c r="H29" s="134">
        <f>H15-H16-H17-H18-H19-H20-H22-H23-H24+H26+H27</f>
        <v>311166.5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5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4</v>
      </c>
      <c r="D34" s="30">
        <f>C34*120</f>
        <v>480</v>
      </c>
      <c r="F34" s="12">
        <v>1000</v>
      </c>
      <c r="G34" s="74">
        <v>137</v>
      </c>
      <c r="H34" s="156">
        <f>F34*G34</f>
        <v>137000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63</v>
      </c>
      <c r="H35" s="156">
        <f>F35*G35</f>
        <v>31500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>
        <v>7</v>
      </c>
      <c r="H36" s="156">
        <f t="shared" ref="H36:H39" si="2">F36*G36</f>
        <v>1400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531</v>
      </c>
      <c r="D37" s="12">
        <f>C37*111</f>
        <v>58941</v>
      </c>
      <c r="F37" s="12">
        <v>100</v>
      </c>
      <c r="G37" s="39">
        <v>98</v>
      </c>
      <c r="H37" s="156">
        <f t="shared" si="2"/>
        <v>9800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2</v>
      </c>
      <c r="H38" s="156">
        <f t="shared" si="2"/>
        <v>100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>
        <v>2</v>
      </c>
      <c r="H39" s="156">
        <f t="shared" si="2"/>
        <v>40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17</v>
      </c>
      <c r="D40" s="12">
        <f>C40*111</f>
        <v>1887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>
        <v>36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91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3</v>
      </c>
      <c r="D44" s="12">
        <f>C44*120</f>
        <v>360</v>
      </c>
      <c r="F44" s="37" t="s">
        <v>146</v>
      </c>
      <c r="G44" s="76" t="s">
        <v>222</v>
      </c>
      <c r="H44" s="151">
        <v>131211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>
        <v>1</v>
      </c>
      <c r="D45" s="12">
        <f>C45*84</f>
        <v>84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10</v>
      </c>
      <c r="D48" s="12">
        <f>C48*78</f>
        <v>780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311087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17</v>
      </c>
      <c r="D50" s="12">
        <f>C50*1.5</f>
        <v>25.5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-79.5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62977.5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3432-4C58-4651-B203-5118A08B7E4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101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4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30A0-AEA0-41AB-806A-0E9B4538D1E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46105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458</v>
      </c>
      <c r="D6" s="13">
        <f t="shared" ref="D6:D28" si="1">C6*L6</f>
        <v>348538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5</v>
      </c>
      <c r="D7" s="13">
        <f t="shared" si="1"/>
        <v>3905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223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13</v>
      </c>
      <c r="D13" s="48">
        <f t="shared" si="1"/>
        <v>3991</v>
      </c>
      <c r="F13" s="240" t="s">
        <v>36</v>
      </c>
      <c r="G13" s="204"/>
      <c r="H13" s="195">
        <f>D29</f>
        <v>356654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20</v>
      </c>
      <c r="D14" s="31">
        <f t="shared" si="1"/>
        <v>220</v>
      </c>
      <c r="F14" s="198" t="s">
        <v>39</v>
      </c>
      <c r="G14" s="199"/>
      <c r="H14" s="200">
        <f>D54</f>
        <v>51967.5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304686.5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432*6</f>
        <v>2592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104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01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356654</v>
      </c>
      <c r="F29" s="112" t="s">
        <v>55</v>
      </c>
      <c r="G29" s="174"/>
      <c r="H29" s="134">
        <f>H15-H16-H17-H18-H19-H20-H22-H23-H24+H26+H27+H28</f>
        <v>302094.5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254</v>
      </c>
      <c r="H34" s="156">
        <f t="shared" ref="H34:H39" si="2">F34*G34</f>
        <v>254000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74</v>
      </c>
      <c r="H35" s="156">
        <f t="shared" si="2"/>
        <v>37000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447</v>
      </c>
      <c r="D37" s="12">
        <f>C37*111</f>
        <v>49617</v>
      </c>
      <c r="F37" s="12">
        <v>100</v>
      </c>
      <c r="G37" s="39">
        <v>8</v>
      </c>
      <c r="H37" s="156">
        <f t="shared" si="2"/>
        <v>800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>
        <v>12</v>
      </c>
      <c r="D38" s="12">
        <f>C38*84</f>
        <v>1008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4</v>
      </c>
      <c r="D40" s="12">
        <f>C40*111</f>
        <v>444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6</v>
      </c>
      <c r="D42" s="12">
        <f>C42*2.25</f>
        <v>13.5</v>
      </c>
      <c r="F42" s="39" t="s">
        <v>79</v>
      </c>
      <c r="G42" s="156">
        <v>59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4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155</v>
      </c>
      <c r="G44" s="84"/>
      <c r="H44" s="151">
        <v>10400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8</v>
      </c>
      <c r="D46" s="12">
        <f>C46*1.5</f>
        <v>12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16</v>
      </c>
      <c r="D49" s="12">
        <f>C49*42</f>
        <v>672</v>
      </c>
      <c r="F49" s="132" t="s">
        <v>86</v>
      </c>
      <c r="G49" s="134">
        <f>H34+H35+H36+H37+H38+H39+H40+H41+G42+H44+H45+H46</f>
        <v>302259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22</v>
      </c>
      <c r="D50" s="12">
        <f>C50*1.5</f>
        <v>33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164.5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51967.5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AAD9-601E-44C4-9D82-98CE6E10CD2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46105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350</v>
      </c>
      <c r="D6" s="13">
        <f t="shared" ref="D6:D28" si="1">C6*L6</f>
        <v>266350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4</v>
      </c>
      <c r="D7" s="13">
        <f t="shared" si="1"/>
        <v>3124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23</v>
      </c>
      <c r="D9" s="13">
        <f t="shared" si="1"/>
        <v>16859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>
        <v>1</v>
      </c>
      <c r="D12" s="48">
        <f t="shared" si="1"/>
        <v>992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9</v>
      </c>
      <c r="D13" s="48">
        <f t="shared" si="1"/>
        <v>2763</v>
      </c>
      <c r="F13" s="240" t="s">
        <v>36</v>
      </c>
      <c r="G13" s="204"/>
      <c r="H13" s="195">
        <f>D29</f>
        <v>291721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1</v>
      </c>
      <c r="D14" s="31">
        <f t="shared" si="1"/>
        <v>11</v>
      </c>
      <c r="F14" s="198" t="s">
        <v>39</v>
      </c>
      <c r="G14" s="199"/>
      <c r="H14" s="200">
        <f>D54</f>
        <v>47277.75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244443.25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>
        <f>144*6+200*6</f>
        <v>2064</v>
      </c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>
        <v>2</v>
      </c>
      <c r="D28" s="48">
        <f t="shared" si="1"/>
        <v>1622</v>
      </c>
      <c r="F28" s="101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291721</v>
      </c>
      <c r="F29" s="112" t="s">
        <v>55</v>
      </c>
      <c r="G29" s="174"/>
      <c r="H29" s="134">
        <f>H15-H16-H17-H18-H19-H20-H22-H23-H24+H26+H27</f>
        <v>242379.25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>
        <v>85</v>
      </c>
      <c r="H34" s="156">
        <f>F34*G34</f>
        <v>85000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55</v>
      </c>
      <c r="H35" s="156">
        <f t="shared" ref="H35:H39" si="2">F35*G35</f>
        <v>27500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415</v>
      </c>
      <c r="D37" s="12">
        <f>C37*111</f>
        <v>46065</v>
      </c>
      <c r="F37" s="12">
        <v>100</v>
      </c>
      <c r="G37" s="39">
        <v>35</v>
      </c>
      <c r="H37" s="156">
        <f t="shared" si="2"/>
        <v>3500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>
        <v>6</v>
      </c>
      <c r="H38" s="156">
        <f t="shared" si="2"/>
        <v>300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5</v>
      </c>
      <c r="D40" s="12">
        <f>C40*111</f>
        <v>555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1</v>
      </c>
      <c r="D42" s="12">
        <f>C42*2.25</f>
        <v>2.25</v>
      </c>
      <c r="F42" s="39" t="s">
        <v>79</v>
      </c>
      <c r="G42" s="156">
        <v>110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4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 t="s">
        <v>145</v>
      </c>
      <c r="G44" s="62" t="s">
        <v>225</v>
      </c>
      <c r="H44" s="151">
        <v>125594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103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3</v>
      </c>
      <c r="D48" s="12">
        <f>C48*78</f>
        <v>234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10</v>
      </c>
      <c r="D49" s="12">
        <f>C49*42</f>
        <v>420</v>
      </c>
      <c r="F49" s="132" t="s">
        <v>86</v>
      </c>
      <c r="G49" s="134">
        <f>H34+H35+H36+H37+H38+H39+H40+H41+G42+H44+H45+H46</f>
        <v>242004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1</v>
      </c>
      <c r="D50" s="12">
        <f>C50*1.5</f>
        <v>1.5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162</v>
      </c>
      <c r="G51" s="241">
        <f>G49-H29</f>
        <v>-375.25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47277.75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E60F-D9FC-44C9-BD53-9497EACA63AC}">
  <dimension ref="A1:R59"/>
  <sheetViews>
    <sheetView tabSelected="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46105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>
        <v>441</v>
      </c>
      <c r="D6" s="13">
        <f t="shared" ref="D6:D28" si="1">C6*L6</f>
        <v>335601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>
        <v>5</v>
      </c>
      <c r="D7" s="13">
        <f t="shared" si="1"/>
        <v>3905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>
        <v>2</v>
      </c>
      <c r="D8" s="13">
        <f t="shared" si="1"/>
        <v>2186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>
        <v>15</v>
      </c>
      <c r="D9" s="13">
        <f t="shared" si="1"/>
        <v>10995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>
        <v>1</v>
      </c>
      <c r="D10" s="13">
        <f t="shared" si="1"/>
        <v>1032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>
        <v>2</v>
      </c>
      <c r="D11" s="13">
        <f t="shared" si="1"/>
        <v>2340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>
        <v>18</v>
      </c>
      <c r="D13" s="48">
        <f t="shared" si="1"/>
        <v>5526</v>
      </c>
      <c r="F13" s="240" t="s">
        <v>36</v>
      </c>
      <c r="G13" s="204"/>
      <c r="H13" s="195">
        <f>D29</f>
        <v>362847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>
        <v>2</v>
      </c>
      <c r="D14" s="31">
        <f t="shared" si="1"/>
        <v>22</v>
      </c>
      <c r="F14" s="198" t="s">
        <v>39</v>
      </c>
      <c r="G14" s="199"/>
      <c r="H14" s="200">
        <f>D54</f>
        <v>52308.75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310538.25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>
        <v>2</v>
      </c>
      <c r="D18" s="48">
        <f t="shared" si="1"/>
        <v>1240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01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362847</v>
      </c>
      <c r="F29" s="112" t="s">
        <v>55</v>
      </c>
      <c r="G29" s="174"/>
      <c r="H29" s="134">
        <f>H15-H16-H17-H18-H19-H20-H22-H23-H24+H26+H27</f>
        <v>310538.25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4">
        <v>47</v>
      </c>
      <c r="H34" s="156">
        <f>F34*G34</f>
        <v>47000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>
        <v>61</v>
      </c>
      <c r="H35" s="156">
        <f>F35*G35</f>
        <v>30500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>
        <v>4</v>
      </c>
      <c r="H36" s="156">
        <f t="shared" ref="H36:H39" si="2">F36*G36</f>
        <v>800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>
        <v>437</v>
      </c>
      <c r="D37" s="12">
        <f>C37*111</f>
        <v>48507</v>
      </c>
      <c r="F37" s="12">
        <v>100</v>
      </c>
      <c r="G37" s="39">
        <v>166</v>
      </c>
      <c r="H37" s="156">
        <f t="shared" si="2"/>
        <v>16600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>
        <v>38</v>
      </c>
      <c r="H38" s="156">
        <f t="shared" si="2"/>
        <v>1900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>
        <v>60</v>
      </c>
      <c r="D39" s="31">
        <f>C39*4.5</f>
        <v>270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>
        <v>12</v>
      </c>
      <c r="D40" s="12">
        <f>C40*111</f>
        <v>1332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>
        <v>7</v>
      </c>
      <c r="D42" s="12">
        <f>C42*2.25</f>
        <v>15.75</v>
      </c>
      <c r="F42" s="39" t="s">
        <v>79</v>
      </c>
      <c r="G42" s="156">
        <v>58</v>
      </c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4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>
        <v>6</v>
      </c>
      <c r="D44" s="12">
        <f>C44*120</f>
        <v>720</v>
      </c>
      <c r="F44" s="37" t="s">
        <v>146</v>
      </c>
      <c r="G44" s="76" t="s">
        <v>224</v>
      </c>
      <c r="H44" s="151">
        <v>213577</v>
      </c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>
        <v>13</v>
      </c>
      <c r="D46" s="12">
        <f>C46*1.5</f>
        <v>19.5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>
        <v>2</v>
      </c>
      <c r="D48" s="12">
        <f>C48*78</f>
        <v>156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>
        <v>25</v>
      </c>
      <c r="D49" s="12">
        <f>C49*42</f>
        <v>1050</v>
      </c>
      <c r="F49" s="132" t="s">
        <v>86</v>
      </c>
      <c r="G49" s="134">
        <f>H34+H35+H36+H37+H38+H39+H40+H41+G42+H44+H45+H46</f>
        <v>310435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>
        <v>23</v>
      </c>
      <c r="D50" s="12">
        <f>C50*1.5</f>
        <v>34.5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-103.25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52308.75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1BCE-F45A-4166-B607-F64E4F63E75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100" t="s">
        <v>2</v>
      </c>
      <c r="Q1" s="100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101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4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0CE1-8A0E-4B52-8339-74921893267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46106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104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01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H15-H16-H17-H18-H19-H20-H22-H23-H24+H26+H27+H28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56">
        <f t="shared" ref="H34:H39" si="2"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4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0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A204-ED77-4E5C-BAAE-A75F117A3AB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46106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01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ref="H35:H39" si="2"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4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103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743C3-75D3-4AAE-B5DB-A0365E0F4D3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0" t="s">
        <v>2</v>
      </c>
      <c r="Q1" s="10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46106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01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2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4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909D-6CDD-482C-B153-74A80CE29FE9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110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E67A-D898-443B-A85B-C0153993656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46107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107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H15-H16-H17-H18-H19-H20-H22-H23-H24+H26+H27+H28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56">
        <f t="shared" ref="H34:H39" si="2"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0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6A7B-2109-44BA-9E64-265B3B3F576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46107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ref="H35:H39" si="2"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10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F356-2FE4-46A6-94B2-BE4D8D1B28A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46107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5FEE-B8DA-4732-94CA-64CA1116B10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110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339C-4EFF-43E3-92C2-4F219833CF6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46108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107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H15-H16-H17-H18-H19-H20-H22-H23-H24+H26+H27+H28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56">
        <f t="shared" ref="H34:H39" si="2"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0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4B51-1A04-4239-AE54-2A0F7D852D4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46108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ref="H35:H39" si="2"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10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4B1D-4832-4812-A289-D242873E142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46108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D88A-7EEE-4ACC-A523-2936457E87C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110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722F-EF72-4699-AD3A-F36D017D5D8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46109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107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H15-H16-H17-H18-H19-H20-H22-H23-H24+H26+H27+H28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56">
        <f t="shared" ref="H34:H39" si="2"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0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D2D7-E72E-4055-9E63-24039826536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46109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ref="H35:H39" si="2"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10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1E05-8989-413E-811F-0DE6C543E48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46109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D335-D3A5-4E0D-A090-174D010ECCF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110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87E3-852E-4B6C-A069-5312CAB5014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46111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107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H15-H16-H17-H18-H19-H20-H22-H23-H24+H26+H27+H28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56">
        <f t="shared" ref="H34:H39" si="2"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0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FF0E-4307-45AE-862E-EFB651BA961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46111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ref="H35:H39" si="2"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10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1AFB1-B3A9-4E1E-90CC-133F27BEC18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46111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0227-4F2A-4EB6-8A59-6A39C9C817A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59" t="s">
        <v>7</v>
      </c>
      <c r="B4" s="160"/>
      <c r="C4" s="160"/>
      <c r="D4" s="161"/>
      <c r="F4" s="209" t="s">
        <v>8</v>
      </c>
      <c r="G4" s="211"/>
      <c r="H4" s="213" t="s">
        <v>9</v>
      </c>
      <c r="I4" s="215"/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54"/>
      <c r="B6" s="16"/>
      <c r="C6" s="10"/>
      <c r="D6" s="13">
        <f t="shared" ref="D6:D28" si="1">C6*L6</f>
        <v>0</v>
      </c>
      <c r="F6" s="219" t="s">
        <v>16</v>
      </c>
      <c r="G6" s="221"/>
      <c r="H6" s="222"/>
      <c r="I6" s="222"/>
      <c r="J6" s="223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54"/>
      <c r="B7" s="16"/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54"/>
      <c r="B8" s="16"/>
      <c r="C8" s="10"/>
      <c r="D8" s="13">
        <f t="shared" si="1"/>
        <v>0</v>
      </c>
      <c r="F8" s="227" t="s">
        <v>21</v>
      </c>
      <c r="G8" s="228"/>
      <c r="H8" s="229"/>
      <c r="I8" s="229"/>
      <c r="J8" s="230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54"/>
      <c r="B9" s="16"/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54"/>
      <c r="C10" s="10"/>
      <c r="D10" s="13">
        <f t="shared" si="1"/>
        <v>0</v>
      </c>
      <c r="F10" s="219" t="s">
        <v>26</v>
      </c>
      <c r="G10" s="234"/>
      <c r="H10" s="235"/>
      <c r="I10" s="235"/>
      <c r="J10" s="236"/>
      <c r="K10" s="8"/>
      <c r="L10" s="6">
        <f>R36</f>
        <v>972</v>
      </c>
      <c r="P10" s="4"/>
      <c r="Q10" s="4"/>
      <c r="R10" s="5"/>
    </row>
    <row r="11" spans="1:19" ht="15.75" x14ac:dyDescent="0.25">
      <c r="A11" s="154"/>
      <c r="B11" s="17"/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54"/>
      <c r="B12" s="17"/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54"/>
      <c r="B13" s="17"/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54"/>
      <c r="B14" s="14"/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54"/>
      <c r="B15" s="14"/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54"/>
      <c r="B16" s="18"/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/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/>
      <c r="C19" s="10"/>
      <c r="D19" s="48">
        <f t="shared" si="1"/>
        <v>0</v>
      </c>
      <c r="F19" s="56"/>
      <c r="G19" s="68" t="s">
        <v>50</v>
      </c>
      <c r="H19" s="177"/>
      <c r="I19" s="177"/>
      <c r="J19" s="177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/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/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54"/>
      <c r="B22" s="46"/>
      <c r="C22" s="10"/>
      <c r="D22" s="48">
        <f t="shared" si="1"/>
        <v>0</v>
      </c>
      <c r="F22" s="77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/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/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/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/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54"/>
      <c r="B27" s="14"/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/>
      <c r="C28" s="10"/>
      <c r="D28" s="48">
        <f t="shared" si="1"/>
        <v>0</v>
      </c>
      <c r="F28" s="110"/>
      <c r="G28" s="61"/>
      <c r="H28" s="192"/>
      <c r="I28" s="193"/>
      <c r="J28" s="194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/>
      <c r="I34" s="157"/>
      <c r="J34" s="158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/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/>
      <c r="I36" s="157"/>
      <c r="J36" s="158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/>
      <c r="I37" s="157"/>
      <c r="J37" s="158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/>
      <c r="I38" s="157"/>
      <c r="J38" s="158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/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P43" s="4"/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P44" s="4"/>
      <c r="Q44" s="4"/>
      <c r="R44" s="5"/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P50" s="4"/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8FBB-89F6-4124-A47C-716C2FB9345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1</v>
      </c>
      <c r="H4" s="213" t="s">
        <v>9</v>
      </c>
      <c r="I4" s="215">
        <v>46112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111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144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139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133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129</v>
      </c>
      <c r="C19" s="10"/>
      <c r="D19" s="48">
        <f t="shared" si="1"/>
        <v>0</v>
      </c>
      <c r="F19" s="56"/>
      <c r="G19" s="68" t="s">
        <v>50</v>
      </c>
      <c r="H19" s="176"/>
      <c r="I19" s="176"/>
      <c r="J19" s="176"/>
      <c r="L19" s="6">
        <v>1102</v>
      </c>
      <c r="Q19" s="4"/>
      <c r="R19" s="5">
        <f t="shared" si="0"/>
        <v>0</v>
      </c>
    </row>
    <row r="20" spans="1:18" ht="15.75" x14ac:dyDescent="0.25">
      <c r="A20" s="154"/>
      <c r="B20" s="83" t="s">
        <v>122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124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101</v>
      </c>
      <c r="C23" s="10"/>
      <c r="D23" s="48">
        <f t="shared" si="1"/>
        <v>0</v>
      </c>
      <c r="F23" s="77"/>
      <c r="G23" s="79"/>
      <c r="H23" s="247"/>
      <c r="I23" s="248"/>
      <c r="J23" s="248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118</v>
      </c>
      <c r="C24" s="10"/>
      <c r="D24" s="48">
        <f t="shared" si="1"/>
        <v>0</v>
      </c>
      <c r="F24" s="77"/>
      <c r="G24" s="79"/>
      <c r="H24" s="247"/>
      <c r="I24" s="248"/>
      <c r="J24" s="248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134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132</v>
      </c>
      <c r="C26" s="10"/>
      <c r="D26" s="48">
        <f t="shared" si="1"/>
        <v>0</v>
      </c>
      <c r="F26" s="75"/>
      <c r="G26" s="65"/>
      <c r="H26" s="151"/>
      <c r="I26" s="151"/>
      <c r="J26" s="151"/>
      <c r="L26" s="7">
        <f>1447+120</f>
        <v>1567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110</v>
      </c>
      <c r="C27" s="10"/>
      <c r="D27" s="44">
        <f t="shared" si="1"/>
        <v>0</v>
      </c>
      <c r="F27" s="71"/>
      <c r="G27" s="107"/>
      <c r="H27" s="249"/>
      <c r="I27" s="250"/>
      <c r="J27" s="250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H15-H16-H17-H18-H19-H20-H22-H23-H24+H26+H27+H28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156">
        <f t="shared" ref="H34:H39" si="2"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si="2"/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si="2"/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84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1"/>
      <c r="I46" s="151"/>
      <c r="J46" s="151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128</v>
      </c>
      <c r="G51" s="241">
        <f>G49-H29</f>
        <v>0</v>
      </c>
      <c r="H51" s="242"/>
      <c r="I51" s="242"/>
      <c r="J51" s="243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244"/>
      <c r="H52" s="245"/>
      <c r="I52" s="245"/>
      <c r="J52" s="246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140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6B91-10C1-481F-99C6-8F01575E813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2</v>
      </c>
      <c r="H4" s="213" t="s">
        <v>9</v>
      </c>
      <c r="I4" s="215">
        <v>46112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126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113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114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93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f>R21</f>
        <v>1702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96</v>
      </c>
      <c r="C19" s="10"/>
      <c r="D19" s="48">
        <f t="shared" si="1"/>
        <v>0</v>
      </c>
      <c r="F19" s="56"/>
      <c r="G19" s="68" t="s">
        <v>50</v>
      </c>
      <c r="H19" s="251"/>
      <c r="I19" s="251"/>
      <c r="J19" s="251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119</v>
      </c>
      <c r="C20" s="10"/>
      <c r="D20" s="13">
        <f t="shared" si="1"/>
        <v>0</v>
      </c>
      <c r="F20" s="57"/>
      <c r="G20" s="70" t="s">
        <v>117</v>
      </c>
      <c r="H20" s="176"/>
      <c r="I20" s="176"/>
      <c r="J20" s="17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131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2"/>
      <c r="G22" s="73"/>
      <c r="H22" s="181"/>
      <c r="I22" s="181"/>
      <c r="J22" s="181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25"/>
      <c r="G23" s="37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120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121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10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14"/>
      <c r="G27" s="14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 t="shared" ref="H35:H39" si="2"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62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62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108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135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143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09B54-23EF-4CDB-B1EE-F9983FC487C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208" t="s">
        <v>1</v>
      </c>
      <c r="O1" s="208"/>
      <c r="P1" s="109" t="s">
        <v>2</v>
      </c>
      <c r="Q1" s="109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59" t="s">
        <v>7</v>
      </c>
      <c r="B4" s="160"/>
      <c r="C4" s="160"/>
      <c r="D4" s="161"/>
      <c r="F4" s="209" t="s">
        <v>8</v>
      </c>
      <c r="G4" s="211">
        <v>3</v>
      </c>
      <c r="H4" s="213" t="s">
        <v>9</v>
      </c>
      <c r="I4" s="215">
        <v>46112</v>
      </c>
      <c r="J4" s="216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53" t="s">
        <v>7</v>
      </c>
      <c r="B5" s="15" t="s">
        <v>11</v>
      </c>
      <c r="C5" s="9" t="s">
        <v>12</v>
      </c>
      <c r="D5" s="25" t="s">
        <v>13</v>
      </c>
      <c r="F5" s="210"/>
      <c r="G5" s="212"/>
      <c r="H5" s="214"/>
      <c r="I5" s="217"/>
      <c r="J5" s="218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54"/>
      <c r="B6" s="16" t="s">
        <v>15</v>
      </c>
      <c r="C6" s="10"/>
      <c r="D6" s="13">
        <f t="shared" ref="D6:D28" si="1">C6*L6</f>
        <v>0</v>
      </c>
      <c r="F6" s="219" t="s">
        <v>16</v>
      </c>
      <c r="G6" s="221" t="s">
        <v>141</v>
      </c>
      <c r="H6" s="222"/>
      <c r="I6" s="222"/>
      <c r="J6" s="223"/>
      <c r="K6" s="8"/>
      <c r="L6" s="6">
        <f>R42</f>
        <v>761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54"/>
      <c r="B7" s="16" t="s">
        <v>18</v>
      </c>
      <c r="C7" s="10"/>
      <c r="D7" s="13">
        <f t="shared" si="1"/>
        <v>0</v>
      </c>
      <c r="F7" s="220"/>
      <c r="G7" s="224"/>
      <c r="H7" s="225"/>
      <c r="I7" s="225"/>
      <c r="J7" s="226"/>
      <c r="K7" s="8"/>
      <c r="L7" s="6">
        <f>R41</f>
        <v>781</v>
      </c>
      <c r="P7" s="4"/>
      <c r="Q7" s="4"/>
      <c r="R7" s="5"/>
    </row>
    <row r="8" spans="1:18" ht="14.45" customHeight="1" x14ac:dyDescent="0.25">
      <c r="A8" s="154"/>
      <c r="B8" s="16" t="s">
        <v>20</v>
      </c>
      <c r="C8" s="10"/>
      <c r="D8" s="13">
        <f t="shared" si="1"/>
        <v>0</v>
      </c>
      <c r="F8" s="227" t="s">
        <v>21</v>
      </c>
      <c r="G8" s="228" t="s">
        <v>130</v>
      </c>
      <c r="H8" s="229"/>
      <c r="I8" s="229"/>
      <c r="J8" s="230"/>
      <c r="K8" s="8"/>
      <c r="L8" s="6">
        <f>R40</f>
        <v>1093</v>
      </c>
      <c r="P8" s="4"/>
      <c r="Q8" s="4"/>
      <c r="R8" s="5"/>
    </row>
    <row r="9" spans="1:18" ht="14.45" customHeight="1" x14ac:dyDescent="0.25">
      <c r="A9" s="154"/>
      <c r="B9" s="16" t="s">
        <v>23</v>
      </c>
      <c r="C9" s="10"/>
      <c r="D9" s="13">
        <f t="shared" si="1"/>
        <v>0</v>
      </c>
      <c r="F9" s="220"/>
      <c r="G9" s="231"/>
      <c r="H9" s="232"/>
      <c r="I9" s="232"/>
      <c r="J9" s="233"/>
      <c r="K9" s="8"/>
      <c r="L9" s="6">
        <f>R38</f>
        <v>733</v>
      </c>
      <c r="P9" s="4"/>
      <c r="Q9" s="4"/>
      <c r="R9" s="5"/>
    </row>
    <row r="10" spans="1:18" ht="14.45" customHeight="1" x14ac:dyDescent="0.25">
      <c r="A10" s="154"/>
      <c r="B10" t="s">
        <v>25</v>
      </c>
      <c r="C10" s="10"/>
      <c r="D10" s="13">
        <f t="shared" si="1"/>
        <v>0</v>
      </c>
      <c r="F10" s="219" t="s">
        <v>26</v>
      </c>
      <c r="G10" s="234" t="s">
        <v>127</v>
      </c>
      <c r="H10" s="235"/>
      <c r="I10" s="235"/>
      <c r="J10" s="236"/>
      <c r="K10" s="8"/>
      <c r="L10" s="6">
        <f>R36</f>
        <v>1032</v>
      </c>
      <c r="P10" s="4"/>
      <c r="Q10" s="4"/>
      <c r="R10" s="5"/>
    </row>
    <row r="11" spans="1:18" ht="15.75" x14ac:dyDescent="0.25">
      <c r="A11" s="154"/>
      <c r="B11" s="17" t="s">
        <v>28</v>
      </c>
      <c r="C11" s="10"/>
      <c r="D11" s="13">
        <f t="shared" si="1"/>
        <v>0</v>
      </c>
      <c r="F11" s="220"/>
      <c r="G11" s="231"/>
      <c r="H11" s="232"/>
      <c r="I11" s="232"/>
      <c r="J11" s="233"/>
      <c r="K11" s="22"/>
      <c r="L11" s="6">
        <f>R32</f>
        <v>1170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54"/>
      <c r="B12" s="17" t="s">
        <v>30</v>
      </c>
      <c r="C12" s="10"/>
      <c r="D12" s="48">
        <f t="shared" si="1"/>
        <v>0</v>
      </c>
      <c r="F12" s="237" t="s">
        <v>33</v>
      </c>
      <c r="G12" s="238"/>
      <c r="H12" s="238"/>
      <c r="I12" s="238"/>
      <c r="J12" s="239"/>
      <c r="K12" s="23"/>
      <c r="L12" s="6">
        <f>R34</f>
        <v>992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54"/>
      <c r="B13" s="17" t="s">
        <v>32</v>
      </c>
      <c r="C13" s="10"/>
      <c r="D13" s="48">
        <f t="shared" si="1"/>
        <v>0</v>
      </c>
      <c r="F13" s="240" t="s">
        <v>36</v>
      </c>
      <c r="G13" s="204"/>
      <c r="H13" s="195">
        <f>D29</f>
        <v>0</v>
      </c>
      <c r="I13" s="196"/>
      <c r="J13" s="197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54"/>
      <c r="B14" s="14" t="s">
        <v>35</v>
      </c>
      <c r="C14" s="10"/>
      <c r="D14" s="31">
        <f t="shared" si="1"/>
        <v>0</v>
      </c>
      <c r="F14" s="198" t="s">
        <v>39</v>
      </c>
      <c r="G14" s="199"/>
      <c r="H14" s="200">
        <f>D54</f>
        <v>0</v>
      </c>
      <c r="I14" s="201"/>
      <c r="J14" s="202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54"/>
      <c r="B15" s="14" t="s">
        <v>38</v>
      </c>
      <c r="C15" s="10"/>
      <c r="D15" s="31">
        <f t="shared" si="1"/>
        <v>0</v>
      </c>
      <c r="F15" s="203" t="s">
        <v>40</v>
      </c>
      <c r="G15" s="204"/>
      <c r="H15" s="205">
        <f>H13-H14</f>
        <v>0</v>
      </c>
      <c r="I15" s="206"/>
      <c r="J15" s="207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54"/>
      <c r="B16" s="18" t="s">
        <v>94</v>
      </c>
      <c r="C16" s="10"/>
      <c r="D16" s="48">
        <f t="shared" si="1"/>
        <v>0</v>
      </c>
      <c r="F16" s="67" t="s">
        <v>42</v>
      </c>
      <c r="G16" s="66" t="s">
        <v>43</v>
      </c>
      <c r="H16" s="165"/>
      <c r="I16" s="165"/>
      <c r="J16" s="165"/>
      <c r="L16" s="6">
        <f>R28</f>
        <v>1702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54"/>
      <c r="B17" t="s">
        <v>112</v>
      </c>
      <c r="C17" s="10"/>
      <c r="D17" s="48">
        <f t="shared" si="1"/>
        <v>0</v>
      </c>
      <c r="F17" s="56"/>
      <c r="G17" s="66" t="s">
        <v>45</v>
      </c>
      <c r="H17" s="176"/>
      <c r="I17" s="176"/>
      <c r="J17" s="176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54"/>
      <c r="B18" s="19" t="s">
        <v>95</v>
      </c>
      <c r="C18" s="10"/>
      <c r="D18" s="48">
        <f t="shared" si="1"/>
        <v>0</v>
      </c>
      <c r="F18" s="56"/>
      <c r="G18" s="66" t="s">
        <v>47</v>
      </c>
      <c r="H18" s="176"/>
      <c r="I18" s="176"/>
      <c r="J18" s="176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54"/>
      <c r="B19" s="14" t="s">
        <v>116</v>
      </c>
      <c r="C19" s="10"/>
      <c r="D19" s="48">
        <f t="shared" si="1"/>
        <v>0</v>
      </c>
      <c r="F19" s="56"/>
      <c r="G19" s="68" t="s">
        <v>50</v>
      </c>
      <c r="H19" s="252"/>
      <c r="I19" s="252"/>
      <c r="J19" s="252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54"/>
      <c r="B20" s="46" t="s">
        <v>108</v>
      </c>
      <c r="C20" s="10"/>
      <c r="D20" s="13">
        <f t="shared" si="1"/>
        <v>0</v>
      </c>
      <c r="F20" s="57"/>
      <c r="G20" s="70" t="s">
        <v>117</v>
      </c>
      <c r="H20" s="165"/>
      <c r="I20" s="165"/>
      <c r="J20" s="165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54"/>
      <c r="B21" s="14" t="s">
        <v>123</v>
      </c>
      <c r="C21" s="10"/>
      <c r="D21" s="48">
        <f t="shared" si="1"/>
        <v>0</v>
      </c>
      <c r="F21" s="69" t="s">
        <v>99</v>
      </c>
      <c r="G21" s="82" t="s">
        <v>98</v>
      </c>
      <c r="H21" s="178" t="s">
        <v>13</v>
      </c>
      <c r="I21" s="179"/>
      <c r="J21" s="180"/>
      <c r="L21" s="7">
        <v>650</v>
      </c>
      <c r="O21" t="s">
        <v>44</v>
      </c>
      <c r="P21" s="4">
        <v>1582</v>
      </c>
      <c r="Q21" s="4">
        <v>120</v>
      </c>
      <c r="R21" s="5">
        <f t="shared" si="0"/>
        <v>1702</v>
      </c>
    </row>
    <row r="22" spans="1:18" ht="15.75" x14ac:dyDescent="0.25">
      <c r="A22" s="154"/>
      <c r="B22" s="46" t="s">
        <v>104</v>
      </c>
      <c r="C22" s="10"/>
      <c r="D22" s="48">
        <f t="shared" si="1"/>
        <v>0</v>
      </c>
      <c r="F22" s="77"/>
      <c r="G22" s="73"/>
      <c r="H22" s="181"/>
      <c r="I22" s="181"/>
      <c r="J22" s="181"/>
      <c r="L22" s="47">
        <f>R52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54"/>
      <c r="B23" s="14" t="s">
        <v>107</v>
      </c>
      <c r="C23" s="10"/>
      <c r="D23" s="48">
        <f t="shared" si="1"/>
        <v>0</v>
      </c>
      <c r="F23" s="78"/>
      <c r="G23" s="79"/>
      <c r="H23" s="182"/>
      <c r="I23" s="151"/>
      <c r="J23" s="15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54"/>
      <c r="B24" s="14" t="s">
        <v>101</v>
      </c>
      <c r="C24" s="10"/>
      <c r="D24" s="48">
        <f t="shared" si="1"/>
        <v>0</v>
      </c>
      <c r="F24" s="38"/>
      <c r="G24" s="37"/>
      <c r="H24" s="182"/>
      <c r="I24" s="151"/>
      <c r="J24" s="15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54"/>
      <c r="B25" s="14" t="s">
        <v>115</v>
      </c>
      <c r="C25" s="10"/>
      <c r="D25" s="48">
        <f t="shared" si="1"/>
        <v>0</v>
      </c>
      <c r="F25" s="60" t="s">
        <v>100</v>
      </c>
      <c r="G25" s="55" t="s">
        <v>98</v>
      </c>
      <c r="H25" s="183" t="s">
        <v>13</v>
      </c>
      <c r="I25" s="184"/>
      <c r="J25" s="185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54"/>
      <c r="B26" s="14" t="s">
        <v>105</v>
      </c>
      <c r="C26" s="10"/>
      <c r="D26" s="48">
        <f t="shared" si="1"/>
        <v>0</v>
      </c>
      <c r="F26" s="64"/>
      <c r="G26" s="59"/>
      <c r="H26" s="186"/>
      <c r="I26" s="187"/>
      <c r="J26" s="188"/>
      <c r="L26" s="7">
        <f>832/24+1.5</f>
        <v>36.166666666666664</v>
      </c>
      <c r="O26" t="s">
        <v>52</v>
      </c>
      <c r="P26" s="4">
        <v>1582</v>
      </c>
      <c r="Q26" s="4">
        <v>120</v>
      </c>
      <c r="R26" s="5">
        <f t="shared" si="0"/>
        <v>1702</v>
      </c>
    </row>
    <row r="27" spans="1:18" ht="14.45" customHeight="1" x14ac:dyDescent="0.25">
      <c r="A27" s="154"/>
      <c r="B27" s="14" t="s">
        <v>109</v>
      </c>
      <c r="C27" s="10"/>
      <c r="D27" s="44">
        <f t="shared" si="1"/>
        <v>0</v>
      </c>
      <c r="F27" s="25"/>
      <c r="G27" s="80"/>
      <c r="H27" s="189"/>
      <c r="I27" s="190"/>
      <c r="J27" s="191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55"/>
      <c r="B28" s="46" t="s">
        <v>97</v>
      </c>
      <c r="C28" s="10"/>
      <c r="D28" s="48">
        <f t="shared" si="1"/>
        <v>0</v>
      </c>
      <c r="F28" s="110"/>
      <c r="G28" s="61"/>
      <c r="H28" s="192"/>
      <c r="I28" s="193"/>
      <c r="J28" s="194"/>
      <c r="L28" s="47">
        <f>R44</f>
        <v>811</v>
      </c>
      <c r="O28" t="s">
        <v>54</v>
      </c>
      <c r="P28" s="4">
        <v>1582</v>
      </c>
      <c r="Q28" s="4">
        <v>120</v>
      </c>
      <c r="R28" s="5">
        <f t="shared" si="0"/>
        <v>1702</v>
      </c>
    </row>
    <row r="29" spans="1:18" x14ac:dyDescent="0.25">
      <c r="A29" s="166" t="s">
        <v>36</v>
      </c>
      <c r="B29" s="167"/>
      <c r="C29" s="168"/>
      <c r="D29" s="172">
        <f>SUM(D6:D28)</f>
        <v>0</v>
      </c>
      <c r="F29" s="112" t="s">
        <v>55</v>
      </c>
      <c r="G29" s="174"/>
      <c r="H29" s="134">
        <f>H15-H16-H17-H18-H19-H20-H22-H23-H24+H26+H27</f>
        <v>0</v>
      </c>
      <c r="I29" s="135"/>
      <c r="J29" s="136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69"/>
      <c r="B30" s="170"/>
      <c r="C30" s="171"/>
      <c r="D30" s="173"/>
      <c r="F30" s="115"/>
      <c r="G30" s="175"/>
      <c r="H30" s="137"/>
      <c r="I30" s="138"/>
      <c r="J30" s="139"/>
      <c r="N30" s="1"/>
      <c r="O30" t="s">
        <v>136</v>
      </c>
      <c r="P30" s="4">
        <v>1049</v>
      </c>
      <c r="Q30" s="4">
        <v>120</v>
      </c>
      <c r="R30" s="5">
        <f t="shared" si="0"/>
        <v>1169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1157</v>
      </c>
      <c r="Q31" s="4">
        <v>120</v>
      </c>
      <c r="R31" s="5">
        <f t="shared" si="0"/>
        <v>1277</v>
      </c>
    </row>
    <row r="32" spans="1:18" x14ac:dyDescent="0.25">
      <c r="A32" s="159" t="s">
        <v>58</v>
      </c>
      <c r="B32" s="160"/>
      <c r="C32" s="160"/>
      <c r="D32" s="161"/>
      <c r="F32" s="162" t="s">
        <v>59</v>
      </c>
      <c r="G32" s="163"/>
      <c r="H32" s="163"/>
      <c r="I32" s="163"/>
      <c r="J32" s="164"/>
      <c r="O32" t="s">
        <v>60</v>
      </c>
      <c r="P32" s="4">
        <v>1050</v>
      </c>
      <c r="Q32" s="4">
        <v>120</v>
      </c>
      <c r="R32" s="5">
        <f t="shared" si="0"/>
        <v>1170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1" t="s">
        <v>63</v>
      </c>
      <c r="H33" s="162" t="s">
        <v>13</v>
      </c>
      <c r="I33" s="163"/>
      <c r="J33" s="164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53" t="s">
        <v>65</v>
      </c>
      <c r="B34" s="26" t="s">
        <v>66</v>
      </c>
      <c r="C34" s="51"/>
      <c r="D34" s="30">
        <f>C34*120</f>
        <v>0</v>
      </c>
      <c r="F34" s="12">
        <v>1000</v>
      </c>
      <c r="G34" s="74"/>
      <c r="H34" s="156">
        <f>F34*G34</f>
        <v>0</v>
      </c>
      <c r="I34" s="157"/>
      <c r="J34" s="158"/>
      <c r="O34" t="s">
        <v>67</v>
      </c>
      <c r="P34" s="4">
        <v>872</v>
      </c>
      <c r="Q34" s="4">
        <v>120</v>
      </c>
      <c r="R34" s="5">
        <f t="shared" si="0"/>
        <v>992</v>
      </c>
    </row>
    <row r="35" spans="1:18" ht="15.75" x14ac:dyDescent="0.25">
      <c r="A35" s="154"/>
      <c r="B35" s="27" t="s">
        <v>68</v>
      </c>
      <c r="C35" s="52"/>
      <c r="D35" s="30">
        <f>C35*84</f>
        <v>0</v>
      </c>
      <c r="F35" s="58">
        <v>500</v>
      </c>
      <c r="G35" s="41"/>
      <c r="H35" s="156">
        <f>F35*G35</f>
        <v>0</v>
      </c>
      <c r="I35" s="157"/>
      <c r="J35" s="158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55"/>
      <c r="B36" s="26" t="s">
        <v>70</v>
      </c>
      <c r="C36" s="10"/>
      <c r="D36" s="12">
        <f>C36*1.5</f>
        <v>0</v>
      </c>
      <c r="F36" s="12">
        <v>200</v>
      </c>
      <c r="G36" s="37"/>
      <c r="H36" s="156">
        <f t="shared" ref="H36:H39" si="2">F36*G36</f>
        <v>0</v>
      </c>
      <c r="I36" s="157"/>
      <c r="J36" s="158"/>
      <c r="O36" t="s">
        <v>71</v>
      </c>
      <c r="P36" s="4">
        <v>912</v>
      </c>
      <c r="Q36" s="4">
        <v>120</v>
      </c>
      <c r="R36" s="5">
        <f t="shared" si="0"/>
        <v>1032</v>
      </c>
    </row>
    <row r="37" spans="1:18" ht="15.75" x14ac:dyDescent="0.25">
      <c r="A37" s="153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156">
        <f t="shared" si="2"/>
        <v>0</v>
      </c>
      <c r="I37" s="157"/>
      <c r="J37" s="158"/>
      <c r="O37" t="s">
        <v>73</v>
      </c>
      <c r="P37" s="4">
        <v>1122</v>
      </c>
      <c r="Q37" s="4">
        <v>120</v>
      </c>
      <c r="R37" s="5">
        <f t="shared" si="0"/>
        <v>1242</v>
      </c>
    </row>
    <row r="38" spans="1:18" ht="15.75" x14ac:dyDescent="0.25">
      <c r="A38" s="154"/>
      <c r="B38" s="29" t="s">
        <v>68</v>
      </c>
      <c r="C38" s="54"/>
      <c r="D38" s="12">
        <f>C38*84</f>
        <v>0</v>
      </c>
      <c r="F38" s="30">
        <v>50</v>
      </c>
      <c r="G38" s="39"/>
      <c r="H38" s="156">
        <f t="shared" si="2"/>
        <v>0</v>
      </c>
      <c r="I38" s="157"/>
      <c r="J38" s="158"/>
      <c r="O38" t="s">
        <v>74</v>
      </c>
      <c r="P38" s="4">
        <v>622</v>
      </c>
      <c r="Q38" s="4">
        <v>111</v>
      </c>
      <c r="R38" s="5">
        <f t="shared" si="0"/>
        <v>733</v>
      </c>
    </row>
    <row r="39" spans="1:18" ht="15.75" x14ac:dyDescent="0.25">
      <c r="A39" s="155"/>
      <c r="B39" s="29" t="s">
        <v>70</v>
      </c>
      <c r="C39" s="52"/>
      <c r="D39" s="31">
        <f>C39*4.5</f>
        <v>0</v>
      </c>
      <c r="F39" s="12">
        <v>20</v>
      </c>
      <c r="G39" s="37"/>
      <c r="H39" s="156">
        <f t="shared" si="2"/>
        <v>0</v>
      </c>
      <c r="I39" s="157"/>
      <c r="J39" s="158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53" t="s">
        <v>76</v>
      </c>
      <c r="B40" s="27" t="s">
        <v>66</v>
      </c>
      <c r="C40" s="63"/>
      <c r="D40" s="12">
        <f>C40*111</f>
        <v>0</v>
      </c>
      <c r="F40" s="12">
        <v>10</v>
      </c>
      <c r="G40" s="42"/>
      <c r="H40" s="156"/>
      <c r="I40" s="157"/>
      <c r="J40" s="158"/>
      <c r="O40" t="s">
        <v>77</v>
      </c>
      <c r="P40" s="4">
        <v>973</v>
      </c>
      <c r="Q40" s="4">
        <v>120</v>
      </c>
      <c r="R40" s="5">
        <f t="shared" si="0"/>
        <v>1093</v>
      </c>
    </row>
    <row r="41" spans="1:18" ht="15.75" x14ac:dyDescent="0.25">
      <c r="A41" s="154"/>
      <c r="B41" s="27" t="s">
        <v>68</v>
      </c>
      <c r="C41" s="10"/>
      <c r="D41" s="12">
        <f>C41*84</f>
        <v>0</v>
      </c>
      <c r="F41" s="12">
        <v>5</v>
      </c>
      <c r="G41" s="42"/>
      <c r="H41" s="156"/>
      <c r="I41" s="157"/>
      <c r="J41" s="158"/>
      <c r="K41" s="21"/>
      <c r="O41" t="s">
        <v>78</v>
      </c>
      <c r="P41" s="4">
        <v>670</v>
      </c>
      <c r="Q41" s="4">
        <v>111</v>
      </c>
      <c r="R41" s="5">
        <f t="shared" si="0"/>
        <v>781</v>
      </c>
    </row>
    <row r="42" spans="1:18" ht="15.75" x14ac:dyDescent="0.25">
      <c r="A42" s="155"/>
      <c r="B42" s="27" t="s">
        <v>70</v>
      </c>
      <c r="C42" s="11"/>
      <c r="D42" s="12">
        <f>C42*2.25</f>
        <v>0</v>
      </c>
      <c r="F42" s="39" t="s">
        <v>79</v>
      </c>
      <c r="G42" s="156"/>
      <c r="H42" s="157"/>
      <c r="I42" s="157"/>
      <c r="J42" s="158"/>
      <c r="K42" s="36"/>
      <c r="O42" t="s">
        <v>80</v>
      </c>
      <c r="P42" s="4">
        <v>650</v>
      </c>
      <c r="Q42" s="4">
        <v>111</v>
      </c>
      <c r="R42" s="5">
        <f t="shared" si="0"/>
        <v>761</v>
      </c>
    </row>
    <row r="43" spans="1:18" ht="15.75" x14ac:dyDescent="0.25">
      <c r="A43" s="126" t="s">
        <v>81</v>
      </c>
      <c r="C43" s="11"/>
      <c r="D43" s="12"/>
      <c r="F43" s="59" t="s">
        <v>82</v>
      </c>
      <c r="G43" s="107" t="s">
        <v>83</v>
      </c>
      <c r="H43" s="148" t="s">
        <v>13</v>
      </c>
      <c r="I43" s="149"/>
      <c r="J43" s="150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127"/>
      <c r="B44" s="27" t="s">
        <v>66</v>
      </c>
      <c r="C44" s="10"/>
      <c r="D44" s="12">
        <f>C44*120</f>
        <v>0</v>
      </c>
      <c r="F44" s="37"/>
      <c r="G44" s="76"/>
      <c r="H44" s="151"/>
      <c r="I44" s="151"/>
      <c r="J44" s="151"/>
      <c r="K44" s="21"/>
      <c r="O44" t="s">
        <v>106</v>
      </c>
      <c r="P44" s="4">
        <v>700</v>
      </c>
      <c r="Q44" s="4">
        <v>111</v>
      </c>
      <c r="R44" s="5">
        <f>Q44+P44</f>
        <v>811</v>
      </c>
    </row>
    <row r="45" spans="1:18" ht="15.75" x14ac:dyDescent="0.25">
      <c r="A45" s="127"/>
      <c r="B45" s="27" t="s">
        <v>68</v>
      </c>
      <c r="C45" s="33"/>
      <c r="D45" s="12">
        <f>C45*84</f>
        <v>0</v>
      </c>
      <c r="F45" s="37"/>
      <c r="G45" s="76"/>
      <c r="H45" s="151"/>
      <c r="I45" s="151"/>
      <c r="J45" s="151"/>
      <c r="K45" s="21"/>
      <c r="P45" s="4"/>
      <c r="Q45" s="4"/>
      <c r="R45" s="5"/>
    </row>
    <row r="46" spans="1:18" ht="15.75" x14ac:dyDescent="0.25">
      <c r="A46" s="127"/>
      <c r="B46" s="49" t="s">
        <v>70</v>
      </c>
      <c r="C46" s="81"/>
      <c r="D46" s="12">
        <f>C46*1.5</f>
        <v>0</v>
      </c>
      <c r="F46" s="37"/>
      <c r="G46" s="62"/>
      <c r="H46" s="152"/>
      <c r="I46" s="152"/>
      <c r="J46" s="152"/>
      <c r="K46" s="21"/>
      <c r="P46" s="4"/>
      <c r="Q46" s="4"/>
      <c r="R46" s="5"/>
    </row>
    <row r="47" spans="1:18" ht="15.75" x14ac:dyDescent="0.25">
      <c r="A47" s="128"/>
      <c r="B47" s="27"/>
      <c r="C47" s="11"/>
      <c r="D47" s="12"/>
      <c r="F47" s="59"/>
      <c r="G47" s="59"/>
      <c r="H47" s="129"/>
      <c r="I47" s="130"/>
      <c r="J47" s="131"/>
      <c r="K47" s="21"/>
      <c r="P47" s="4"/>
      <c r="Q47" s="4"/>
      <c r="R47" s="5"/>
    </row>
    <row r="48" spans="1:18" ht="15" customHeight="1" x14ac:dyDescent="0.25">
      <c r="A48" s="126" t="s">
        <v>32</v>
      </c>
      <c r="B48" s="27" t="s">
        <v>66</v>
      </c>
      <c r="C48" s="10"/>
      <c r="D48" s="12">
        <f>C48*78</f>
        <v>0</v>
      </c>
      <c r="F48" s="59"/>
      <c r="G48" s="59"/>
      <c r="H48" s="129"/>
      <c r="I48" s="130"/>
      <c r="J48" s="131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127"/>
      <c r="B49" s="29" t="s">
        <v>68</v>
      </c>
      <c r="C49" s="33"/>
      <c r="D49" s="12">
        <f>C49*42</f>
        <v>0</v>
      </c>
      <c r="F49" s="132" t="s">
        <v>86</v>
      </c>
      <c r="G49" s="134">
        <f>H34+H35+H36+H37+H38+H39+H40+H41+G42+H44+H45+H46</f>
        <v>0</v>
      </c>
      <c r="H49" s="135"/>
      <c r="I49" s="135"/>
      <c r="J49" s="136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127"/>
      <c r="B50" s="32" t="s">
        <v>70</v>
      </c>
      <c r="C50" s="11"/>
      <c r="D50" s="12">
        <f>C50*1.5</f>
        <v>0</v>
      </c>
      <c r="F50" s="133"/>
      <c r="G50" s="137"/>
      <c r="H50" s="138"/>
      <c r="I50" s="138"/>
      <c r="J50" s="139"/>
      <c r="O50" t="s">
        <v>137</v>
      </c>
      <c r="P50" s="4">
        <v>1204</v>
      </c>
      <c r="Q50" s="4"/>
      <c r="R50" s="5"/>
    </row>
    <row r="51" spans="1:18" ht="15" customHeight="1" x14ac:dyDescent="0.25">
      <c r="A51" s="127"/>
      <c r="B51" s="27"/>
      <c r="C51" s="10"/>
      <c r="D51" s="31"/>
      <c r="F51" s="140" t="s">
        <v>138</v>
      </c>
      <c r="G51" s="142">
        <f>G49-H29</f>
        <v>0</v>
      </c>
      <c r="H51" s="143"/>
      <c r="I51" s="143"/>
      <c r="J51" s="144"/>
      <c r="K51" s="21"/>
      <c r="O51" t="s">
        <v>87</v>
      </c>
      <c r="P51" s="4">
        <v>723</v>
      </c>
      <c r="Q51" s="4">
        <v>120</v>
      </c>
      <c r="R51" s="5">
        <f t="shared" si="0"/>
        <v>843</v>
      </c>
    </row>
    <row r="52" spans="1:18" ht="15.75" x14ac:dyDescent="0.25">
      <c r="A52" s="127"/>
      <c r="B52" s="29"/>
      <c r="C52" s="33"/>
      <c r="D52" s="45"/>
      <c r="F52" s="141"/>
      <c r="G52" s="145"/>
      <c r="H52" s="146"/>
      <c r="I52" s="146"/>
      <c r="J52" s="147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128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12" t="s">
        <v>90</v>
      </c>
      <c r="B54" s="113"/>
      <c r="C54" s="114"/>
      <c r="D54" s="118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15"/>
      <c r="B55" s="116"/>
      <c r="C55" s="117"/>
      <c r="D55" s="119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142</v>
      </c>
      <c r="D57" s="34"/>
      <c r="F57" s="36"/>
      <c r="G57" s="50"/>
      <c r="H57" s="50"/>
      <c r="I57" s="50"/>
      <c r="J57" s="43"/>
    </row>
    <row r="58" spans="1:18" x14ac:dyDescent="0.25">
      <c r="A58" s="120" t="s">
        <v>91</v>
      </c>
      <c r="B58" s="121"/>
      <c r="C58" s="121"/>
      <c r="D58" s="122"/>
      <c r="F58" s="120" t="s">
        <v>92</v>
      </c>
      <c r="G58" s="121"/>
      <c r="H58" s="121"/>
      <c r="I58" s="121"/>
      <c r="J58" s="122"/>
    </row>
    <row r="59" spans="1:18" x14ac:dyDescent="0.25">
      <c r="A59" s="123"/>
      <c r="B59" s="124"/>
      <c r="C59" s="124"/>
      <c r="D59" s="125"/>
      <c r="F59" s="123"/>
      <c r="G59" s="124"/>
      <c r="H59" s="124"/>
      <c r="I59" s="124"/>
      <c r="J59" s="125"/>
    </row>
  </sheetData>
  <mergeCells count="68"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  <mergeCell ref="H13:J13"/>
    <mergeCell ref="F14:G14"/>
    <mergeCell ref="H14:J14"/>
    <mergeCell ref="F15:G15"/>
    <mergeCell ref="H15:J15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A32:D32"/>
    <mergeCell ref="F32:J32"/>
    <mergeCell ref="H33:J33"/>
    <mergeCell ref="A34:A36"/>
    <mergeCell ref="H34:J34"/>
    <mergeCell ref="H35:J35"/>
    <mergeCell ref="H36:J36"/>
    <mergeCell ref="A37:A39"/>
    <mergeCell ref="H37:J37"/>
    <mergeCell ref="H38:J38"/>
    <mergeCell ref="H39:J39"/>
    <mergeCell ref="A40:A42"/>
    <mergeCell ref="H40:J40"/>
    <mergeCell ref="H41:J41"/>
    <mergeCell ref="G42:J42"/>
    <mergeCell ref="A43:A47"/>
    <mergeCell ref="H43:J43"/>
    <mergeCell ref="H44:J44"/>
    <mergeCell ref="H45:J45"/>
    <mergeCell ref="H46:J46"/>
    <mergeCell ref="H47:J47"/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105</vt:i4>
      </vt:variant>
      <vt:variant>
        <vt:lpstr>Named Ranges</vt:lpstr>
      </vt:variant>
      <vt:variant>
        <vt:i4>104</vt:i4>
      </vt:variant>
    </vt:vector>
  </HeadingPairs>
  <TitlesOfParts>
    <vt:vector size="209" baseType="lpstr">
      <vt:lpstr>(March 2026)</vt:lpstr>
      <vt:lpstr>(2)</vt:lpstr>
      <vt:lpstr>03,02 R1</vt:lpstr>
      <vt:lpstr>03,02 R2</vt:lpstr>
      <vt:lpstr>03,02 R3</vt:lpstr>
      <vt:lpstr>(3)</vt:lpstr>
      <vt:lpstr>03,03 R1</vt:lpstr>
      <vt:lpstr>03,03 R2</vt:lpstr>
      <vt:lpstr>03,03 R3</vt:lpstr>
      <vt:lpstr>(4)</vt:lpstr>
      <vt:lpstr>04,03 R1</vt:lpstr>
      <vt:lpstr>04,03 R2</vt:lpstr>
      <vt:lpstr>04,03 R3</vt:lpstr>
      <vt:lpstr>(5)</vt:lpstr>
      <vt:lpstr>05,03 R1</vt:lpstr>
      <vt:lpstr>05,03 R2</vt:lpstr>
      <vt:lpstr>05,03 R3 NO TRIP</vt:lpstr>
      <vt:lpstr>(6)</vt:lpstr>
      <vt:lpstr>06,03 R1 NO TRIP</vt:lpstr>
      <vt:lpstr>06,03 R2 NO TRIP</vt:lpstr>
      <vt:lpstr>06,03 R3</vt:lpstr>
      <vt:lpstr>(7)</vt:lpstr>
      <vt:lpstr>07,03 R1</vt:lpstr>
      <vt:lpstr>07,03 R2</vt:lpstr>
      <vt:lpstr>07,03 R3</vt:lpstr>
      <vt:lpstr>(9)</vt:lpstr>
      <vt:lpstr>09,03 R1</vt:lpstr>
      <vt:lpstr>09,03 R2</vt:lpstr>
      <vt:lpstr>09,03 R3</vt:lpstr>
      <vt:lpstr>(10)</vt:lpstr>
      <vt:lpstr>10,03 R1</vt:lpstr>
      <vt:lpstr>10,03 R2</vt:lpstr>
      <vt:lpstr>10,03 R3</vt:lpstr>
      <vt:lpstr>(11)</vt:lpstr>
      <vt:lpstr>11,03 R1</vt:lpstr>
      <vt:lpstr>11,03 R2</vt:lpstr>
      <vt:lpstr>11,03 R3</vt:lpstr>
      <vt:lpstr>(12)</vt:lpstr>
      <vt:lpstr>12,03 R1</vt:lpstr>
      <vt:lpstr>12,03 R2</vt:lpstr>
      <vt:lpstr>12,03 R3</vt:lpstr>
      <vt:lpstr>(13)</vt:lpstr>
      <vt:lpstr>13,03 R1 NO TRIP</vt:lpstr>
      <vt:lpstr>13,03 R2 NO TRIP</vt:lpstr>
      <vt:lpstr>13,03 R3 NO TRIP</vt:lpstr>
      <vt:lpstr>(14)</vt:lpstr>
      <vt:lpstr>14,03 R1</vt:lpstr>
      <vt:lpstr>14,03 R2</vt:lpstr>
      <vt:lpstr>14,03 R3</vt:lpstr>
      <vt:lpstr>(16)</vt:lpstr>
      <vt:lpstr>16,03 R1 NO TRIP</vt:lpstr>
      <vt:lpstr>16,03 R2</vt:lpstr>
      <vt:lpstr>16,03 R3</vt:lpstr>
      <vt:lpstr>(17)</vt:lpstr>
      <vt:lpstr>17,03 R1</vt:lpstr>
      <vt:lpstr>17,03 R2</vt:lpstr>
      <vt:lpstr>17,03 R3</vt:lpstr>
      <vt:lpstr>(18)</vt:lpstr>
      <vt:lpstr>18,03 R1</vt:lpstr>
      <vt:lpstr>18,03 R2</vt:lpstr>
      <vt:lpstr>18,03 R3</vt:lpstr>
      <vt:lpstr>(19)</vt:lpstr>
      <vt:lpstr>19,03 R1</vt:lpstr>
      <vt:lpstr>19,03 R2</vt:lpstr>
      <vt:lpstr>19,03 R3</vt:lpstr>
      <vt:lpstr>(20)</vt:lpstr>
      <vt:lpstr>20,03 R1</vt:lpstr>
      <vt:lpstr>20,03 R2</vt:lpstr>
      <vt:lpstr>20,03 R3</vt:lpstr>
      <vt:lpstr>(21)</vt:lpstr>
      <vt:lpstr>21,03 R1 NO TRIP</vt:lpstr>
      <vt:lpstr>21,03 R2 NO TRIP</vt:lpstr>
      <vt:lpstr>21,03 R3 NO TRIP</vt:lpstr>
      <vt:lpstr>(23)</vt:lpstr>
      <vt:lpstr>23,03 R1</vt:lpstr>
      <vt:lpstr>23,03 R2</vt:lpstr>
      <vt:lpstr>23,03 R3</vt:lpstr>
      <vt:lpstr>(24)</vt:lpstr>
      <vt:lpstr>24,03 R1</vt:lpstr>
      <vt:lpstr>24,03 R2</vt:lpstr>
      <vt:lpstr>24,03 R3</vt:lpstr>
      <vt:lpstr>(25)</vt:lpstr>
      <vt:lpstr>25,03 R1</vt:lpstr>
      <vt:lpstr>25,03 R2</vt:lpstr>
      <vt:lpstr>25,03 R3</vt:lpstr>
      <vt:lpstr>(26)</vt:lpstr>
      <vt:lpstr>26,03 R1</vt:lpstr>
      <vt:lpstr>26,03 R2</vt:lpstr>
      <vt:lpstr>26,03 R3</vt:lpstr>
      <vt:lpstr>(27)</vt:lpstr>
      <vt:lpstr>27,03 R1</vt:lpstr>
      <vt:lpstr>27,03 R2</vt:lpstr>
      <vt:lpstr>27,03 R3</vt:lpstr>
      <vt:lpstr>(28)</vt:lpstr>
      <vt:lpstr>28,03 R1</vt:lpstr>
      <vt:lpstr>28,03 R2</vt:lpstr>
      <vt:lpstr>28,03 R3</vt:lpstr>
      <vt:lpstr>(30)</vt:lpstr>
      <vt:lpstr>30,03 R1</vt:lpstr>
      <vt:lpstr>30,03 R2</vt:lpstr>
      <vt:lpstr>30,03 R3</vt:lpstr>
      <vt:lpstr>(31)</vt:lpstr>
      <vt:lpstr>31,03 R1</vt:lpstr>
      <vt:lpstr>31,03 R2</vt:lpstr>
      <vt:lpstr>31,03 R3</vt:lpstr>
      <vt:lpstr>'(10)'!Print_Area</vt:lpstr>
      <vt:lpstr>'(11)'!Print_Area</vt:lpstr>
      <vt:lpstr>'(12)'!Print_Area</vt:lpstr>
      <vt:lpstr>'(13)'!Print_Area</vt:lpstr>
      <vt:lpstr>'(14)'!Print_Area</vt:lpstr>
      <vt:lpstr>'(16)'!Print_Area</vt:lpstr>
      <vt:lpstr>'(17)'!Print_Area</vt:lpstr>
      <vt:lpstr>'(18)'!Print_Area</vt:lpstr>
      <vt:lpstr>'(19)'!Print_Area</vt:lpstr>
      <vt:lpstr>'(2)'!Print_Area</vt:lpstr>
      <vt:lpstr>'(20)'!Print_Area</vt:lpstr>
      <vt:lpstr>'(21)'!Print_Area</vt:lpstr>
      <vt:lpstr>'(23)'!Print_Area</vt:lpstr>
      <vt:lpstr>'(24)'!Print_Area</vt:lpstr>
      <vt:lpstr>'(25)'!Print_Area</vt:lpstr>
      <vt:lpstr>'(26)'!Print_Area</vt:lpstr>
      <vt:lpstr>'(27)'!Print_Area</vt:lpstr>
      <vt:lpstr>'(28)'!Print_Area</vt:lpstr>
      <vt:lpstr>'(3)'!Print_Area</vt:lpstr>
      <vt:lpstr>'(30)'!Print_Area</vt:lpstr>
      <vt:lpstr>'(31)'!Print_Area</vt:lpstr>
      <vt:lpstr>'(4)'!Print_Area</vt:lpstr>
      <vt:lpstr>'(5)'!Print_Area</vt:lpstr>
      <vt:lpstr>'(6)'!Print_Area</vt:lpstr>
      <vt:lpstr>'(7)'!Print_Area</vt:lpstr>
      <vt:lpstr>'(9)'!Print_Area</vt:lpstr>
      <vt:lpstr>'03,02 R1'!Print_Area</vt:lpstr>
      <vt:lpstr>'03,02 R2'!Print_Area</vt:lpstr>
      <vt:lpstr>'03,02 R3'!Print_Area</vt:lpstr>
      <vt:lpstr>'03,03 R1'!Print_Area</vt:lpstr>
      <vt:lpstr>'03,03 R2'!Print_Area</vt:lpstr>
      <vt:lpstr>'03,03 R3'!Print_Area</vt:lpstr>
      <vt:lpstr>'04,03 R1'!Print_Area</vt:lpstr>
      <vt:lpstr>'04,03 R2'!Print_Area</vt:lpstr>
      <vt:lpstr>'04,03 R3'!Print_Area</vt:lpstr>
      <vt:lpstr>'05,03 R1'!Print_Area</vt:lpstr>
      <vt:lpstr>'05,03 R2'!Print_Area</vt:lpstr>
      <vt:lpstr>'05,03 R3 NO TRIP'!Print_Area</vt:lpstr>
      <vt:lpstr>'06,03 R1 NO TRIP'!Print_Area</vt:lpstr>
      <vt:lpstr>'06,03 R2 NO TRIP'!Print_Area</vt:lpstr>
      <vt:lpstr>'06,03 R3'!Print_Area</vt:lpstr>
      <vt:lpstr>'07,03 R1'!Print_Area</vt:lpstr>
      <vt:lpstr>'07,03 R2'!Print_Area</vt:lpstr>
      <vt:lpstr>'07,03 R3'!Print_Area</vt:lpstr>
      <vt:lpstr>'09,03 R1'!Print_Area</vt:lpstr>
      <vt:lpstr>'09,03 R2'!Print_Area</vt:lpstr>
      <vt:lpstr>'09,03 R3'!Print_Area</vt:lpstr>
      <vt:lpstr>'10,03 R1'!Print_Area</vt:lpstr>
      <vt:lpstr>'10,03 R2'!Print_Area</vt:lpstr>
      <vt:lpstr>'10,03 R3'!Print_Area</vt:lpstr>
      <vt:lpstr>'11,03 R1'!Print_Area</vt:lpstr>
      <vt:lpstr>'11,03 R2'!Print_Area</vt:lpstr>
      <vt:lpstr>'11,03 R3'!Print_Area</vt:lpstr>
      <vt:lpstr>'12,03 R1'!Print_Area</vt:lpstr>
      <vt:lpstr>'12,03 R2'!Print_Area</vt:lpstr>
      <vt:lpstr>'12,03 R3'!Print_Area</vt:lpstr>
      <vt:lpstr>'13,03 R1 NO TRIP'!Print_Area</vt:lpstr>
      <vt:lpstr>'13,03 R2 NO TRIP'!Print_Area</vt:lpstr>
      <vt:lpstr>'13,03 R3 NO TRIP'!Print_Area</vt:lpstr>
      <vt:lpstr>'14,03 R1'!Print_Area</vt:lpstr>
      <vt:lpstr>'14,03 R2'!Print_Area</vt:lpstr>
      <vt:lpstr>'14,03 R3'!Print_Area</vt:lpstr>
      <vt:lpstr>'16,03 R1 NO TRIP'!Print_Area</vt:lpstr>
      <vt:lpstr>'16,03 R2'!Print_Area</vt:lpstr>
      <vt:lpstr>'16,03 R3'!Print_Area</vt:lpstr>
      <vt:lpstr>'17,03 R1'!Print_Area</vt:lpstr>
      <vt:lpstr>'17,03 R2'!Print_Area</vt:lpstr>
      <vt:lpstr>'17,03 R3'!Print_Area</vt:lpstr>
      <vt:lpstr>'18,03 R1'!Print_Area</vt:lpstr>
      <vt:lpstr>'18,03 R2'!Print_Area</vt:lpstr>
      <vt:lpstr>'18,03 R3'!Print_Area</vt:lpstr>
      <vt:lpstr>'19,03 R1'!Print_Area</vt:lpstr>
      <vt:lpstr>'19,03 R2'!Print_Area</vt:lpstr>
      <vt:lpstr>'19,03 R3'!Print_Area</vt:lpstr>
      <vt:lpstr>'20,03 R1'!Print_Area</vt:lpstr>
      <vt:lpstr>'20,03 R2'!Print_Area</vt:lpstr>
      <vt:lpstr>'20,03 R3'!Print_Area</vt:lpstr>
      <vt:lpstr>'21,03 R1 NO TRIP'!Print_Area</vt:lpstr>
      <vt:lpstr>'21,03 R2 NO TRIP'!Print_Area</vt:lpstr>
      <vt:lpstr>'21,03 R3 NO TRIP'!Print_Area</vt:lpstr>
      <vt:lpstr>'23,03 R1'!Print_Area</vt:lpstr>
      <vt:lpstr>'23,03 R2'!Print_Area</vt:lpstr>
      <vt:lpstr>'23,03 R3'!Print_Area</vt:lpstr>
      <vt:lpstr>'24,03 R1'!Print_Area</vt:lpstr>
      <vt:lpstr>'24,03 R2'!Print_Area</vt:lpstr>
      <vt:lpstr>'24,03 R3'!Print_Area</vt:lpstr>
      <vt:lpstr>'25,03 R1'!Print_Area</vt:lpstr>
      <vt:lpstr>'25,03 R2'!Print_Area</vt:lpstr>
      <vt:lpstr>'25,03 R3'!Print_Area</vt:lpstr>
      <vt:lpstr>'26,03 R1'!Print_Area</vt:lpstr>
      <vt:lpstr>'26,03 R2'!Print_Area</vt:lpstr>
      <vt:lpstr>'26,03 R3'!Print_Area</vt:lpstr>
      <vt:lpstr>'27,03 R1'!Print_Area</vt:lpstr>
      <vt:lpstr>'27,03 R2'!Print_Area</vt:lpstr>
      <vt:lpstr>'27,03 R3'!Print_Area</vt:lpstr>
      <vt:lpstr>'28,03 R1'!Print_Area</vt:lpstr>
      <vt:lpstr>'28,03 R2'!Print_Area</vt:lpstr>
      <vt:lpstr>'28,03 R3'!Print_Area</vt:lpstr>
      <vt:lpstr>'30,03 R1'!Print_Area</vt:lpstr>
      <vt:lpstr>'30,03 R2'!Print_Area</vt:lpstr>
      <vt:lpstr>'30,03 R3'!Print_Area</vt:lpstr>
      <vt:lpstr>'31,03 R1'!Print_Area</vt:lpstr>
      <vt:lpstr>'31,03 R2'!Print_Area</vt:lpstr>
      <vt:lpstr>'31,03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2026-03-24T23:53:04Z</cp:lastPrinted>
  <dcterms:created xsi:type="dcterms:W3CDTF">2024-09-01T23:36:50Z</dcterms:created>
  <dcterms:modified xsi:type="dcterms:W3CDTF">2026-03-24T23:57:22Z</dcterms:modified>
</cp:coreProperties>
</file>