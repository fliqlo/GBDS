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4fxw\GBDS\GBDS MARCH FILES 2026\"/>
    </mc:Choice>
  </mc:AlternateContent>
  <xr:revisionPtr revIDLastSave="0" documentId="13_ncr:1_{289FE754-C32C-42B2-9923-6998D5247BEF}" xr6:coauthVersionLast="47" xr6:coauthVersionMax="47" xr10:uidLastSave="{00000000-0000-0000-0000-000000000000}"/>
  <bookViews>
    <workbookView xWindow="14400" yWindow="0" windowWidth="14400" windowHeight="15600" firstSheet="33" activeTab="35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" sheetId="1879" r:id="rId43"/>
    <sheet name="13,03 R2" sheetId="1880" r:id="rId44"/>
    <sheet name="13,03 R3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" sheetId="1887" r:id="rId51"/>
    <sheet name="16,03 R2" sheetId="1888" r:id="rId52"/>
    <sheet name="16,03 R3" sheetId="1889" r:id="rId53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R1'!$A$1:$J$60</definedName>
    <definedName name="_xlnm.Print_Area" localSheetId="43">'13,03 R2'!$A$1:$J$60</definedName>
    <definedName name="_xlnm.Print_Area" localSheetId="44">'13,03 R3'!$A$1:$J$60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R1'!$A$1:$J$60</definedName>
    <definedName name="_xlnm.Print_Area" localSheetId="51">'16,03 R2'!$A$1:$J$60</definedName>
    <definedName name="_xlnm.Print_Area" localSheetId="52">'16,03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873" l="1"/>
  <c r="H16" i="1872"/>
  <c r="H16" i="1871"/>
  <c r="C12" i="1873"/>
  <c r="C21" i="1873"/>
  <c r="H16" i="1869"/>
  <c r="H16" i="1868"/>
  <c r="L27" i="1868"/>
  <c r="C21" i="1867"/>
  <c r="H16" i="1864" l="1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G49" i="1889" s="1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 s="1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 s="1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L20" i="1888" s="1"/>
  <c r="D20" i="1888" s="1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 s="1"/>
  <c r="R21" i="1888"/>
  <c r="L17" i="1888" s="1"/>
  <c r="D17" i="1888" s="1"/>
  <c r="D21" i="1888"/>
  <c r="R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 s="1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L10" i="1886" s="1"/>
  <c r="D10" i="1886" s="1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D34" i="1885"/>
  <c r="R33" i="1885"/>
  <c r="L23" i="1885" s="1"/>
  <c r="D23" i="1885" s="1"/>
  <c r="R32" i="1885"/>
  <c r="R31" i="1885"/>
  <c r="R30" i="1885"/>
  <c r="R29" i="1885"/>
  <c r="R28" i="1885"/>
  <c r="L16" i="1885" s="1"/>
  <c r="D16" i="1885" s="1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L7" i="1884" s="1"/>
  <c r="D7" i="1884" s="1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L23" i="1884" s="1"/>
  <c r="D23" i="1884" s="1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 s="1"/>
  <c r="R25" i="1884"/>
  <c r="L25" i="1884"/>
  <c r="D25" i="1884" s="1"/>
  <c r="R24" i="1884"/>
  <c r="L24" i="1884"/>
  <c r="D24" i="1884" s="1"/>
  <c r="R23" i="1884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L28" i="1883" s="1"/>
  <c r="D28" i="1883" s="1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L11" i="1883" s="1"/>
  <c r="D11" i="1883" s="1"/>
  <c r="R31" i="1883"/>
  <c r="R30" i="1883"/>
  <c r="R29" i="1883"/>
  <c r="R28" i="1883"/>
  <c r="L16" i="1883" s="1"/>
  <c r="D16" i="1883" s="1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L10" i="1882" s="1"/>
  <c r="D10" i="1882" s="1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L19" i="1881" s="1"/>
  <c r="D19" i="1881" s="1"/>
  <c r="H35" i="1881"/>
  <c r="D35" i="1881"/>
  <c r="R34" i="1881"/>
  <c r="L12" i="1881" s="1"/>
  <c r="D12" i="1881" s="1"/>
  <c r="H34" i="1881"/>
  <c r="D34" i="1881"/>
  <c r="R33" i="1881"/>
  <c r="L23" i="1881" s="1"/>
  <c r="D23" i="1881" s="1"/>
  <c r="R32" i="1881"/>
  <c r="L11" i="1881" s="1"/>
  <c r="D11" i="1881" s="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R34" i="1880"/>
  <c r="H34" i="1880"/>
  <c r="D34" i="1880"/>
  <c r="R33" i="1880"/>
  <c r="L23" i="1880" s="1"/>
  <c r="D23" i="1880" s="1"/>
  <c r="R32" i="1880"/>
  <c r="L11" i="1880" s="1"/>
  <c r="D11" i="1880" s="1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 s="1"/>
  <c r="R24" i="1880"/>
  <c r="L24" i="1880"/>
  <c r="D24" i="1880" s="1"/>
  <c r="R23" i="1880"/>
  <c r="R22" i="1880"/>
  <c r="L22" i="1880"/>
  <c r="D22" i="1880" s="1"/>
  <c r="R21" i="1880"/>
  <c r="L17" i="1880" s="1"/>
  <c r="D17" i="1880" s="1"/>
  <c r="D21" i="1880"/>
  <c r="R20" i="1880"/>
  <c r="L20" i="1880"/>
  <c r="D20" i="1880" s="1"/>
  <c r="R19" i="1880"/>
  <c r="R18" i="1880"/>
  <c r="D18" i="1880"/>
  <c r="R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L7" i="1879" s="1"/>
  <c r="D7" i="1879" s="1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 s="1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 s="1"/>
  <c r="R16" i="1879"/>
  <c r="R15" i="1879"/>
  <c r="D15" i="1879"/>
  <c r="R14" i="1879"/>
  <c r="D14" i="1879"/>
  <c r="R13" i="1879"/>
  <c r="D13" i="1879"/>
  <c r="R12" i="1879"/>
  <c r="R11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L9" i="1877" s="1"/>
  <c r="D9" i="1877" s="1"/>
  <c r="H38" i="1877"/>
  <c r="D38" i="1877"/>
  <c r="R37" i="1877"/>
  <c r="H37" i="1877"/>
  <c r="D37" i="1877"/>
  <c r="R36" i="1877"/>
  <c r="L10" i="1877" s="1"/>
  <c r="D10" i="1877" s="1"/>
  <c r="H36" i="1877"/>
  <c r="D36" i="1877"/>
  <c r="R35" i="1877"/>
  <c r="L19" i="1877" s="1"/>
  <c r="D19" i="1877" s="1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L16" i="1877" s="1"/>
  <c r="D16" i="1877" s="1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 s="1"/>
  <c r="R19" i="1877"/>
  <c r="R18" i="1877"/>
  <c r="D18" i="1877"/>
  <c r="R17" i="1877"/>
  <c r="D17" i="1877"/>
  <c r="R16" i="1877"/>
  <c r="R15" i="1877"/>
  <c r="D15" i="1877"/>
  <c r="R14" i="1877"/>
  <c r="D14" i="1877"/>
  <c r="R13" i="1877"/>
  <c r="D13" i="1877"/>
  <c r="R12" i="1877"/>
  <c r="R11" i="1877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L20" i="1876" s="1"/>
  <c r="D20" i="1876" s="1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 s="1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L28" i="1875" s="1"/>
  <c r="D28" i="1875" s="1"/>
  <c r="D44" i="1875"/>
  <c r="R42" i="1875"/>
  <c r="L6" i="1875" s="1"/>
  <c r="D6" i="1875" s="1"/>
  <c r="D42" i="1875"/>
  <c r="R41" i="1875"/>
  <c r="L7" i="1875" s="1"/>
  <c r="D7" i="1875" s="1"/>
  <c r="D41" i="1875"/>
  <c r="R40" i="1875"/>
  <c r="L8" i="1875" s="1"/>
  <c r="D8" i="1875" s="1"/>
  <c r="D40" i="1875"/>
  <c r="R39" i="1875"/>
  <c r="L20" i="1875" s="1"/>
  <c r="D20" i="1875" s="1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 s="1"/>
  <c r="R19" i="1874"/>
  <c r="L19" i="1874"/>
  <c r="D19" i="1874" s="1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 s="1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L7" i="1872" s="1"/>
  <c r="D7" i="1872" s="1"/>
  <c r="D41" i="1872"/>
  <c r="R40" i="1872"/>
  <c r="L8" i="1872" s="1"/>
  <c r="D8" i="1872" s="1"/>
  <c r="D40" i="1872"/>
  <c r="R39" i="1872"/>
  <c r="H39" i="1872"/>
  <c r="D39" i="1872"/>
  <c r="R38" i="1872"/>
  <c r="L9" i="1872" s="1"/>
  <c r="D9" i="1872" s="1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L19" i="1872" s="1"/>
  <c r="D19" i="1872" s="1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 s="1"/>
  <c r="R25" i="1872"/>
  <c r="L25" i="1872"/>
  <c r="D25" i="1872" s="1"/>
  <c r="R24" i="1872"/>
  <c r="L24" i="1872"/>
  <c r="D24" i="1872" s="1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L20" i="1871" s="1"/>
  <c r="D20" i="1871" s="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R19" i="1871"/>
  <c r="D19" i="1871"/>
  <c r="R18" i="1871"/>
  <c r="D18" i="1871"/>
  <c r="R17" i="1871"/>
  <c r="L17" i="1871"/>
  <c r="D17" i="1871" s="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L8" i="1870" s="1"/>
  <c r="D8" i="1870" s="1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 s="1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R6" i="1870"/>
  <c r="R5" i="1870"/>
  <c r="R4" i="1870"/>
  <c r="R52" i="1869"/>
  <c r="L22" i="1869" s="1"/>
  <c r="D22" i="1869" s="1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L10" i="1869" s="1"/>
  <c r="D10" i="1869" s="1"/>
  <c r="H36" i="1869"/>
  <c r="D36" i="1869"/>
  <c r="R35" i="1869"/>
  <c r="H35" i="1869"/>
  <c r="D35" i="1869"/>
  <c r="R34" i="1869"/>
  <c r="L12" i="1869" s="1"/>
  <c r="D12" i="1869" s="1"/>
  <c r="H34" i="1869"/>
  <c r="D34" i="1869"/>
  <c r="R33" i="1869"/>
  <c r="L23" i="1869" s="1"/>
  <c r="D23" i="1869" s="1"/>
  <c r="R32" i="1869"/>
  <c r="L11" i="1869" s="1"/>
  <c r="D11" i="1869" s="1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R21" i="1869"/>
  <c r="D21" i="1869"/>
  <c r="R20" i="1869"/>
  <c r="L20" i="1869"/>
  <c r="D20" i="1869" s="1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L6" i="1868" s="1"/>
  <c r="D6" i="1868" s="1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L9" i="1868" s="1"/>
  <c r="D9" i="1868" s="1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R6" i="1868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L20" i="1867" s="1"/>
  <c r="D20" i="1867" s="1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 s="1"/>
  <c r="R24" i="1867"/>
  <c r="L24" i="1867"/>
  <c r="D24" i="1867" s="1"/>
  <c r="R23" i="1867"/>
  <c r="D23" i="1867"/>
  <c r="R22" i="1867"/>
  <c r="D22" i="1867"/>
  <c r="R21" i="1867"/>
  <c r="D21" i="1867"/>
  <c r="R20" i="1867"/>
  <c r="R19" i="1867"/>
  <c r="D19" i="1867"/>
  <c r="R18" i="1867"/>
  <c r="D18" i="1867"/>
  <c r="R17" i="1867"/>
  <c r="L17" i="1867"/>
  <c r="D17" i="1867" s="1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L8" i="1866" s="1"/>
  <c r="D8" i="1866" s="1"/>
  <c r="D40" i="1866"/>
  <c r="R39" i="1866"/>
  <c r="D39" i="1866"/>
  <c r="R38" i="1866"/>
  <c r="L9" i="1866" s="1"/>
  <c r="D9" i="1866" s="1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L12" i="1866" s="1"/>
  <c r="D12" i="1866" s="1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 s="1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R11" i="1866"/>
  <c r="R6" i="1866"/>
  <c r="R5" i="1866"/>
  <c r="R4" i="1866"/>
  <c r="D54" i="1869" l="1"/>
  <c r="H14" i="1869" s="1"/>
  <c r="G49" i="1885"/>
  <c r="G49" i="1868"/>
  <c r="D54" i="1880"/>
  <c r="H14" i="1880" s="1"/>
  <c r="D54" i="1881"/>
  <c r="H14" i="1881" s="1"/>
  <c r="G49" i="1877"/>
  <c r="D54" i="1879"/>
  <c r="H14" i="1879" s="1"/>
  <c r="G49" i="1881"/>
  <c r="D54" i="1867"/>
  <c r="H14" i="1867" s="1"/>
  <c r="D29" i="188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H15" i="1889" s="1"/>
  <c r="H29" i="1889" s="1"/>
  <c r="G51" i="1889" s="1"/>
  <c r="D29" i="1888"/>
  <c r="H13" i="1888" s="1"/>
  <c r="H15" i="1888" s="1"/>
  <c r="H29" i="1888" s="1"/>
  <c r="G51" i="1888" s="1"/>
  <c r="D29" i="1886"/>
  <c r="H13" i="1886" s="1"/>
  <c r="D29" i="1885"/>
  <c r="H13" i="1885" s="1"/>
  <c r="H15" i="1885" s="1"/>
  <c r="H29" i="1885" s="1"/>
  <c r="G51" i="1885" s="1"/>
  <c r="D29" i="1884"/>
  <c r="H13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D29" i="1878"/>
  <c r="H13" i="1878" s="1"/>
  <c r="H15" i="1878" s="1"/>
  <c r="H29" i="1878" s="1"/>
  <c r="G51" i="1878" s="1"/>
  <c r="D29" i="1877"/>
  <c r="H13" i="1877" s="1"/>
  <c r="D29" i="1876"/>
  <c r="H13" i="1876" s="1"/>
  <c r="H15" i="1876" s="1"/>
  <c r="H29" i="1876" s="1"/>
  <c r="G51" i="1876" s="1"/>
  <c r="D29" i="1875"/>
  <c r="H13" i="1875" s="1"/>
  <c r="D29" i="1874"/>
  <c r="H13" i="1874" s="1"/>
  <c r="D29" i="1873"/>
  <c r="H13" i="1873" s="1"/>
  <c r="D29" i="1872"/>
  <c r="H13" i="1872" s="1"/>
  <c r="D29" i="1871"/>
  <c r="H13" i="1871" s="1"/>
  <c r="D29" i="1870"/>
  <c r="H13" i="1870" s="1"/>
  <c r="H15" i="1870" s="1"/>
  <c r="H29" i="1870" s="1"/>
  <c r="G51" i="1870" s="1"/>
  <c r="D29" i="1868"/>
  <c r="H13" i="1868" s="1"/>
  <c r="D29" i="1867"/>
  <c r="H13" i="1867" s="1"/>
  <c r="H16" i="1861"/>
  <c r="C21" i="1859"/>
  <c r="H15" i="1873" l="1"/>
  <c r="H29" i="1873" s="1"/>
  <c r="G51" i="1873" s="1"/>
  <c r="H15" i="1868"/>
  <c r="H29" i="1868" s="1"/>
  <c r="G51" i="1868" s="1"/>
  <c r="H15" i="1879"/>
  <c r="H29" i="1879" s="1"/>
  <c r="G51" i="1879" s="1"/>
  <c r="H15" i="1871"/>
  <c r="H29" i="1871" s="1"/>
  <c r="G51" i="1871" s="1"/>
  <c r="H15" i="1884"/>
  <c r="H29" i="1884" s="1"/>
  <c r="G51" i="1884" s="1"/>
  <c r="H15" i="1869"/>
  <c r="H29" i="1869" s="1"/>
  <c r="G51" i="1869" s="1"/>
  <c r="H15" i="1867"/>
  <c r="H29" i="1867" s="1"/>
  <c r="G51" i="1867" s="1"/>
  <c r="H15" i="1872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 s="1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L9" i="1861" s="1"/>
  <c r="D9" i="1861" s="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L12" i="1861" s="1"/>
  <c r="D12" i="1861" s="1"/>
  <c r="H34" i="1861"/>
  <c r="D34" i="1861"/>
  <c r="R33" i="1861"/>
  <c r="L23" i="1861" s="1"/>
  <c r="D23" i="1861" s="1"/>
  <c r="R32" i="1861"/>
  <c r="L11" i="1861" s="1"/>
  <c r="D11" i="1861" s="1"/>
  <c r="R31" i="1861"/>
  <c r="R30" i="1861"/>
  <c r="R29" i="1861"/>
  <c r="R28" i="1861"/>
  <c r="L16" i="1861" s="1"/>
  <c r="D16" i="1861" s="1"/>
  <c r="R27" i="1861"/>
  <c r="D27" i="1861"/>
  <c r="R26" i="1861"/>
  <c r="L26" i="1861"/>
  <c r="D26" i="1861" s="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R11" i="186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L12" i="1859" s="1"/>
  <c r="D12" i="1859" s="1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L9" i="1858" s="1"/>
  <c r="D9" i="1858" s="1"/>
  <c r="D38" i="1858"/>
  <c r="R37" i="1858"/>
  <c r="D37" i="1858"/>
  <c r="R36" i="1858"/>
  <c r="L10" i="1858" s="1"/>
  <c r="D10" i="1858" s="1"/>
  <c r="D36" i="1858"/>
  <c r="R35" i="1858"/>
  <c r="L19" i="1858" s="1"/>
  <c r="D19" i="1858" s="1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L8" i="1856" s="1"/>
  <c r="D8" i="1856" s="1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L11" i="1855" s="1"/>
  <c r="D11" i="1855" s="1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 s="1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L22" i="1853" s="1"/>
  <c r="D22" i="1853" s="1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L7" i="1853" s="1"/>
  <c r="D7" i="1853" s="1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 s="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L9" i="1850" s="1"/>
  <c r="D9" i="1850" s="1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 s="1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L11" i="1849" s="1"/>
  <c r="D11" i="1849" s="1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 s="1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L20" i="1847" s="1"/>
  <c r="D20" i="1847" s="1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R19" i="1847"/>
  <c r="D19" i="1847"/>
  <c r="R18" i="1847"/>
  <c r="D18" i="1847"/>
  <c r="R17" i="1847"/>
  <c r="L17" i="1847"/>
  <c r="D17" i="1847" s="1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 s="1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 s="1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 s="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L8" i="1820" s="1"/>
  <c r="D8" i="1820" s="1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L11" i="1820" s="1"/>
  <c r="D11" i="1820" s="1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L20" i="1819" s="1"/>
  <c r="D20" i="1819" s="1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3" l="1"/>
  <c r="H29" i="1853" s="1"/>
  <c r="G51" i="1853" s="1"/>
  <c r="H15" i="1846"/>
  <c r="H29" i="1846" s="1"/>
  <c r="G51" i="1846" s="1"/>
  <c r="H15" i="1850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<sst xmlns="http://schemas.openxmlformats.org/spreadsheetml/2006/main" count="7024" uniqueCount="189">
  <si>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</si>
  <si>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</si>
  <si>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</si>
  <si>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</si>
  <si>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</si>
  <si>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</si>
  <si>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</si>
  <si>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</si>
  <si>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</si>
  <si>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</si>
  <si>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</si>
  <si>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</si>
  <si>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</si>
  <si>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</si>
  <si>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</si>
  <si>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</si>
  <si>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</si>
  <si>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</si>
  <si>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</si>
  <si>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</si>
  <si>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</si>
  <si>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</si>
  <si>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</si>
  <si>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</si>
  <si>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</si>
  <si>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</si>
  <si>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</si>
  <si>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</si>
  <si>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</si>
  <si>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</si>
  <si>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</si>
  <si>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</si>
  <si>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</si>
  <si>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</si>
  <si>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</si>
  <si>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</si>
  <si>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</si>
  <si>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</si>
  <si>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</si>
  <si>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</si>
  <si>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</si>
  <si>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</si>
  <si>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</si>
  <si>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</si>
  <si>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</si>
  <si>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</si>
  <si>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</si>
  <si>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</si>
  <si>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</si>
  <si>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</si>
  <si>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</si>
  <si>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</si>
  <si>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</si>
  <si>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</si>
  <si>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</si>
  <si>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</si>
  <si>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</si>
  <si>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</si>
  <si>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</si>
  <si>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</si>
  <si>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</si>
  <si>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</si>
  <si>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</si>
  <si>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</si>
  <si>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</si>
  <si>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</si>
  <si>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</si>
  <si>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</si>
  <si>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</si>
  <si>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</si>
  <si>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</si>
  <si>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</si>
  <si>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</si>
  <si>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</si>
  <si>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</si>
  <si>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</si>
  <si>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</si>
  <si>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</si>
  <si>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</si>
  <si>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</si>
  <si>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</si>
  <si>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</si>
  <si>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</si>
  <si>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</si>
  <si>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</si>
  <si>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</si>
  <si>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</si>
  <si>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</si>
  <si>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</si>
  <si>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</si>
  <si>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</si>
  <si>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</si>
  <si>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</si>
  <si>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</si>
  <si>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</si>
  <si>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</si>
  <si>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</si>
  <si>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</si>
  <si>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</si>
  <si>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</si>
  <si>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</si>
  <si>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</si>
  <si>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</si>
  <si>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</si>
  <si>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</si>
  <si>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</si>
  <si>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</si>
  <si>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</si>
  <si>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</si>
  <si>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</si>
  <si>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</si>
  <si>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</si>
  <si>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</si>
  <si>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</si>
  <si>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</si>
  <si>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</si>
  <si>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</si>
  <si>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</si>
  <si>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</si>
  <si>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</si>
  <si>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</si>
  <si>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</si>
  <si>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</si>
  <si>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</si>
  <si>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</si>
  <si>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</si>
  <si>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</si>
  <si>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</si>
  <si>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</si>
  <si>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</si>
  <si>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</si>
  <si>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</si>
  <si>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</si>
  <si>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</si>
  <si>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</si>
  <si>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</si>
  <si>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</si>
  <si>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</si>
  <si>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</si>
  <si>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</si>
  <si>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</si>
  <si>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</si>
  <si>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</si>
  <si>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</si>
  <si>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</si>
  <si>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</si>
  <si>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</si>
  <si>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</si>
  <si>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</si>
  <si>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</si>
  <si>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</si>
  <si>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</si>
  <si>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</si>
  <si>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</si>
  <si>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</si>
  <si>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</si>
  <si>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</si>
  <si>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</si>
  <si>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</si>
  <si>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</si>
  <si>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</si>
  <si>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</si>
  <si>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</si>
  <si>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</si>
  <si>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</si>
  <si>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</si>
  <si>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</si>
  <si>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</si>
  <si>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</si>
  <si>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</si>
  <si>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</si>
  <si>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</si>
  <si>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</si>
  <si>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</si>
  <si>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</si>
  <si>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</si>
  <si>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</si>
  <si>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</si>
  <si>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</si>
  <si>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</si>
  <si>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</si>
  <si>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</si>
  <si>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</si>
  <si>
    <t>2130020805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</si>
  <si>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</si>
  <si>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2968</t>
  </si>
  <si>
    <t>2971</t>
  </si>
  <si>
    <t>147357</t>
  </si>
  <si>
    <t>43002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</si>
</sst>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₱&quot;* #,##0.00_-;\-&quot;₱&quot;* #,##0.00_-;_-&quot;₱&quot;* &quot;-&quot;??_-;_-@_-"/>
    <numFmt numFmtId="165" formatCode="_-* #,##0.00_-;\-* #,##0.00_-;_-* &quot;-&quot;??_-;_-@_-"/>
    <numFmt numFmtId="166" formatCode="[$-3409]mmmm\ dd\,\ yyyy;@"/>
    <numFmt numFmtId="167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165" fontId="1" fillId="0" borderId="0" applyFont="0" applyFill="0" applyBorder="0" applyAlignment="0" applyProtection="0"/>
  </cellStyleXfs>
  <cellXfs count="24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165" fontId="0" fillId="0" borderId="0" xfId="1" applyFont="1"/>
    <xf numFmtId="165" fontId="0" fillId="2" borderId="0" xfId="0" applyNumberFormat="1" applyFill="1"/>
    <xf numFmtId="165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165" fontId="4" fillId="0" borderId="16" xfId="1" applyFont="1" applyBorder="1"/>
    <xf numFmtId="165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165" fontId="4" fillId="0" borderId="18" xfId="1" applyFont="1" applyBorder="1"/>
    <xf numFmtId="165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165" fontId="4" fillId="0" borderId="40" xfId="1" applyFont="1" applyBorder="1"/>
    <xf numFmtId="165" fontId="4" fillId="0" borderId="21" xfId="1" applyFont="1" applyBorder="1"/>
    <xf numFmtId="0" fontId="0" fillId="0" borderId="21" xfId="0" applyBorder="1"/>
    <xf numFmtId="165" fontId="0" fillId="2" borderId="1" xfId="0" applyNumberFormat="1" applyFill="1" applyBorder="1"/>
    <xf numFmtId="165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165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165" fontId="13" fillId="0" borderId="8" xfId="1" applyFont="1" applyBorder="1" applyAlignment="1">
      <alignment horizontal="left" vertical="center"/>
    </xf>
    <xf numFmtId="165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164" fontId="8" fillId="0" borderId="33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164" fontId="8" fillId="0" borderId="38" xfId="0" applyNumberFormat="1" applyFont="1" applyBorder="1" applyAlignment="1">
      <alignment horizontal="left" vertical="center"/>
    </xf>
    <xf numFmtId="164" fontId="8" fillId="0" borderId="25" xfId="0" applyNumberFormat="1" applyFont="1" applyBorder="1" applyAlignment="1">
      <alignment horizontal="left" vertical="center"/>
    </xf>
    <xf numFmtId="164" fontId="8" fillId="0" borderId="30" xfId="0" applyNumberFormat="1" applyFont="1" applyBorder="1" applyAlignment="1">
      <alignment horizontal="left" vertical="center"/>
    </xf>
    <xf numFmtId="164" fontId="8" fillId="0" borderId="26" xfId="0" applyNumberFormat="1" applyFont="1" applyBorder="1" applyAlignment="1">
      <alignment horizontal="left" vertical="center"/>
    </xf>
    <xf numFmtId="0" fontId="0" fillId="0" borderId="10" xfId="0" applyBorder="1" applyAlignment="1">
      <alignment horizontal="right" vertical="center" wrapText="1"/>
    </xf>
    <xf numFmtId="0" fontId="0" fillId="0" borderId="21" xfId="0" applyBorder="1" applyAlignment="1">
      <alignment horizontal="right" vertical="center" wrapText="1"/>
    </xf>
    <xf numFmtId="167" fontId="8" fillId="0" borderId="6" xfId="0" applyNumberFormat="1" applyFont="1" applyBorder="1" applyAlignment="1">
      <alignment horizontal="left" vertical="center"/>
    </xf>
    <xf numFmtId="167" fontId="8" fillId="0" borderId="4" xfId="0" applyNumberFormat="1" applyFont="1" applyBorder="1" applyAlignment="1">
      <alignment horizontal="left" vertical="center"/>
    </xf>
    <xf numFmtId="167" fontId="8" fillId="0" borderId="7" xfId="0" applyNumberFormat="1" applyFont="1" applyBorder="1" applyAlignment="1">
      <alignment horizontal="left" vertical="center"/>
    </xf>
    <xf numFmtId="167" fontId="8" fillId="0" borderId="50" xfId="0" applyNumberFormat="1" applyFont="1" applyBorder="1" applyAlignment="1">
      <alignment horizontal="left" vertical="center"/>
    </xf>
    <xf numFmtId="167" fontId="8" fillId="0" borderId="51" xfId="0" applyNumberFormat="1" applyFont="1" applyBorder="1" applyAlignment="1">
      <alignment horizontal="left" vertical="center"/>
    </xf>
    <xf numFmtId="167" fontId="8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16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165" fontId="4" fillId="0" borderId="45" xfId="1" applyFont="1" applyBorder="1" applyAlignment="1">
      <alignment horizontal="left" vertical="center"/>
    </xf>
    <xf numFmtId="165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12" fillId="0" borderId="23" xfId="0" applyNumberFormat="1" applyFont="1" applyBorder="1"/>
    <xf numFmtId="4" fontId="12" fillId="0" borderId="16" xfId="0" applyNumberFormat="1" applyFont="1" applyBorder="1"/>
    <xf numFmtId="164" fontId="4" fillId="0" borderId="27" xfId="0" applyNumberFormat="1" applyFont="1" applyBorder="1" applyAlignment="1">
      <alignment horizontal="center"/>
    </xf>
    <xf numFmtId="164" fontId="4" fillId="0" borderId="41" xfId="0" applyNumberFormat="1" applyFont="1" applyBorder="1" applyAlignment="1">
      <alignment horizontal="center"/>
    </xf>
    <xf numFmtId="164" fontId="4" fillId="0" borderId="22" xfId="0" applyNumberFormat="1" applyFont="1" applyBorder="1" applyAlignment="1">
      <alignment horizontal="center"/>
    </xf>
    <xf numFmtId="4" fontId="4" fillId="0" borderId="23" xfId="0" applyNumberFormat="1" applyFont="1" applyBorder="1"/>
    <xf numFmtId="4" fontId="4" fillId="0" borderId="16" xfId="0" applyNumberFormat="1" applyFont="1" applyBorder="1"/>
    <xf numFmtId="164" fontId="4" fillId="0" borderId="47" xfId="0" applyNumberFormat="1" applyFont="1" applyBorder="1" applyAlignment="1">
      <alignment horizontal="right"/>
    </xf>
    <xf numFmtId="164" fontId="4" fillId="0" borderId="48" xfId="0" applyNumberFormat="1" applyFont="1" applyBorder="1" applyAlignment="1">
      <alignment horizontal="right"/>
    </xf>
    <xf numFmtId="164" fontId="4" fillId="0" borderId="49" xfId="0" applyNumberFormat="1" applyFont="1" applyBorder="1" applyAlignment="1">
      <alignment horizontal="right"/>
    </xf>
    <xf numFmtId="165" fontId="4" fillId="0" borderId="12" xfId="1" applyFont="1" applyBorder="1" applyAlignment="1">
      <alignment horizontal="left"/>
    </xf>
    <xf numFmtId="165" fontId="4" fillId="0" borderId="28" xfId="1" applyFont="1" applyBorder="1" applyAlignment="1">
      <alignment horizontal="left"/>
    </xf>
    <xf numFmtId="165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165" fontId="12" fillId="0" borderId="12" xfId="1" applyFont="1" applyBorder="1" applyAlignment="1">
      <alignment horizontal="left"/>
    </xf>
    <xf numFmtId="165" fontId="12" fillId="0" borderId="28" xfId="1" applyFont="1" applyBorder="1" applyAlignment="1">
      <alignment horizontal="left"/>
    </xf>
    <xf numFmtId="165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165" fontId="6" fillId="0" borderId="27" xfId="1" applyFont="1" applyBorder="1" applyAlignment="1">
      <alignment horizontal="right"/>
    </xf>
    <xf numFmtId="165" fontId="6" fillId="0" borderId="41" xfId="1" applyFont="1" applyBorder="1" applyAlignment="1">
      <alignment horizontal="right"/>
    </xf>
    <xf numFmtId="165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6" fontId="0" fillId="0" borderId="6" xfId="0" applyNumberFormat="1" applyBorder="1" applyAlignment="1">
      <alignment horizontal="center" vertical="center"/>
    </xf>
    <xf numFmtId="166" fontId="0" fillId="0" borderId="7" xfId="0" applyNumberFormat="1" applyBorder="1" applyAlignment="1">
      <alignment horizontal="center" vertical="center"/>
    </xf>
    <xf numFmtId="166" fontId="0" fillId="0" borderId="25" xfId="0" applyNumberFormat="1" applyBorder="1" applyAlignment="1">
      <alignment horizontal="center" vertical="center"/>
    </xf>
    <xf numFmtId="166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4" fontId="11" fillId="3" borderId="16" xfId="0" applyNumberFormat="1" applyFont="1" applyFill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164" fontId="4" fillId="0" borderId="12" xfId="0" applyNumberFormat="1" applyFont="1" applyBorder="1" applyAlignment="1">
      <alignment horizontal="right"/>
    </xf>
    <xf numFmtId="164" fontId="4" fillId="0" borderId="28" xfId="0" applyNumberFormat="1" applyFont="1" applyBorder="1" applyAlignment="1">
      <alignment horizontal="right"/>
    </xf>
    <xf numFmtId="164" fontId="4" fillId="0" borderId="23" xfId="0" applyNumberFormat="1" applyFont="1" applyBorder="1" applyAlignment="1">
      <alignment horizontal="right"/>
    </xf>
    <xf numFmtId="164" fontId="4" fillId="0" borderId="11" xfId="0" applyNumberFormat="1" applyFont="1" applyBorder="1" applyAlignment="1">
      <alignment horizontal="right"/>
    </xf>
    <xf numFmtId="164" fontId="4" fillId="0" borderId="14" xfId="0" applyNumberFormat="1" applyFont="1" applyBorder="1" applyAlignment="1">
      <alignment horizontal="right"/>
    </xf>
    <xf numFmtId="164" fontId="4" fillId="0" borderId="19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7" fontId="19" fillId="0" borderId="6" xfId="0" applyNumberFormat="1" applyFont="1" applyBorder="1" applyAlignment="1">
      <alignment horizontal="left" vertical="center"/>
    </xf>
    <xf numFmtId="167" fontId="19" fillId="0" borderId="4" xfId="0" applyNumberFormat="1" applyFont="1" applyBorder="1" applyAlignment="1">
      <alignment horizontal="left" vertical="center"/>
    </xf>
    <xf numFmtId="167" fontId="19" fillId="0" borderId="7" xfId="0" applyNumberFormat="1" applyFont="1" applyBorder="1" applyAlignment="1">
      <alignment horizontal="left" vertical="center"/>
    </xf>
    <xf numFmtId="167" fontId="19" fillId="0" borderId="50" xfId="0" applyNumberFormat="1" applyFont="1" applyBorder="1" applyAlignment="1">
      <alignment horizontal="left" vertical="center"/>
    </xf>
    <xf numFmtId="167" fontId="19" fillId="0" borderId="51" xfId="0" applyNumberFormat="1" applyFont="1" applyBorder="1" applyAlignment="1">
      <alignment horizontal="left" vertical="center"/>
    </xf>
    <xf numFmtId="167" fontId="19" fillId="0" borderId="52" xfId="0" applyNumberFormat="1" applyFont="1" applyBorder="1" applyAlignment="1">
      <alignment horizontal="left" vertical="center"/>
    </xf>
    <xf numFmtId="167" fontId="21" fillId="0" borderId="6" xfId="0" applyNumberFormat="1" applyFont="1" applyBorder="1" applyAlignment="1">
      <alignment horizontal="left" vertical="center"/>
    </xf>
    <xf numFmtId="167" fontId="21" fillId="0" borderId="4" xfId="0" applyNumberFormat="1" applyFont="1" applyBorder="1" applyAlignment="1">
      <alignment horizontal="left" vertical="center"/>
    </xf>
    <xf numFmtId="167" fontId="21" fillId="0" borderId="7" xfId="0" applyNumberFormat="1" applyFont="1" applyBorder="1" applyAlignment="1">
      <alignment horizontal="left" vertical="center"/>
    </xf>
    <xf numFmtId="167" fontId="21" fillId="0" borderId="50" xfId="0" applyNumberFormat="1" applyFont="1" applyBorder="1" applyAlignment="1">
      <alignment horizontal="left" vertical="center"/>
    </xf>
    <xf numFmtId="167" fontId="21" fillId="0" borderId="51" xfId="0" applyNumberFormat="1" applyFont="1" applyBorder="1" applyAlignment="1">
      <alignment horizontal="left" vertical="center"/>
    </xf>
    <xf numFmtId="167" fontId="21" fillId="0" borderId="52" xfId="0" applyNumberFormat="1" applyFont="1" applyBorder="1" applyAlignment="1">
      <alignment horizontal="left" vertical="center"/>
    </xf>
    <xf numFmtId="164" fontId="0" fillId="3" borderId="16" xfId="0" applyNumberFormat="1" applyFill="1" applyBorder="1" applyAlignment="1">
      <alignment horizontal="right"/>
    </xf>
    <xf numFmtId="16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B2E6C1-A672-4577-8A57-457D31568C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7" t="s">
        <v>7</v>
      </c>
      <c r="B4" s="138"/>
      <c r="C4" s="138"/>
      <c r="D4" s="139"/>
      <c r="F4" s="183" t="s">
        <v>8</v>
      </c>
      <c r="G4" s="185"/>
      <c r="H4" s="187" t="s">
        <v>9</v>
      </c>
      <c r="I4" s="189"/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93" t="s">
        <v>16</v>
      </c>
      <c r="G6" s="195"/>
      <c r="H6" s="196"/>
      <c r="I6" s="196"/>
      <c r="J6" s="19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201" t="s">
        <v>21</v>
      </c>
      <c r="G8" s="202"/>
      <c r="H8" s="203"/>
      <c r="I8" s="203"/>
      <c r="J8" s="20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93" t="s">
        <v>26</v>
      </c>
      <c r="G10" s="208"/>
      <c r="H10" s="209"/>
      <c r="I10" s="209"/>
      <c r="J10" s="210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214" t="s">
        <v>36</v>
      </c>
      <c r="G13" s="17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77" t="s">
        <v>40</v>
      </c>
      <c r="G15" s="178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50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7"/>
      <c r="G22" s="73"/>
      <c r="H22" s="158"/>
      <c r="I22" s="158"/>
      <c r="J22" s="15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8"/>
      <c r="G23" s="79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216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86"/>
      <c r="G28" s="61"/>
      <c r="H28" s="166"/>
      <c r="I28" s="167"/>
      <c r="J28" s="16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4" t="s">
        <v>36</v>
      </c>
      <c r="B29" s="145"/>
      <c r="C29" s="146"/>
      <c r="D29" s="150">
        <f>SUM(D6:D28)</f>
        <v>0</v>
      </c>
      <c r="F29" s="91" t="s">
        <v>55</v>
      </c>
      <c r="G29" s="152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4"/>
      <c r="I34" s="135"/>
      <c r="J34" s="1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/>
      <c r="H35" s="134"/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/>
      <c r="I36" s="135"/>
      <c r="J36" s="1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4"/>
      <c r="I37" s="135"/>
      <c r="J37" s="1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/>
      <c r="H38" s="134"/>
      <c r="I38" s="135"/>
      <c r="J38" s="1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/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125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1</v>
      </c>
      <c r="H4" s="187" t="s">
        <v>9</v>
      </c>
      <c r="I4" s="189">
        <v>46083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308</v>
      </c>
      <c r="D6" s="13">
        <f t="shared" ref="D6:D28" si="1">C6*L6</f>
        <v>234388</v>
      </c>
      <c r="F6" s="193" t="s">
        <v>16</v>
      </c>
      <c r="G6" s="195" t="s">
        <v>111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12</v>
      </c>
      <c r="D7" s="13">
        <f t="shared" si="1"/>
        <v>9372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>
        <v>1</v>
      </c>
      <c r="D8" s="13">
        <f t="shared" si="1"/>
        <v>1093</v>
      </c>
      <c r="F8" s="201" t="s">
        <v>21</v>
      </c>
      <c r="G8" s="202" t="s">
        <v>144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18</v>
      </c>
      <c r="D9" s="13">
        <f t="shared" si="1"/>
        <v>13194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>
        <v>2</v>
      </c>
      <c r="D10" s="13">
        <f t="shared" si="1"/>
        <v>2064</v>
      </c>
      <c r="F10" s="193" t="s">
        <v>26</v>
      </c>
      <c r="G10" s="208" t="s">
        <v>139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2</v>
      </c>
      <c r="D12" s="48">
        <f t="shared" si="1"/>
        <v>1984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6</v>
      </c>
      <c r="D13" s="48">
        <f t="shared" si="1"/>
        <v>1842</v>
      </c>
      <c r="F13" s="214" t="s">
        <v>36</v>
      </c>
      <c r="G13" s="178"/>
      <c r="H13" s="169">
        <f>D29</f>
        <v>265882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5</v>
      </c>
      <c r="D14" s="31">
        <f t="shared" si="1"/>
        <v>55</v>
      </c>
      <c r="F14" s="172" t="s">
        <v>39</v>
      </c>
      <c r="G14" s="173"/>
      <c r="H14" s="174">
        <f>D54</f>
        <v>30599.25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>
        <v>1</v>
      </c>
      <c r="D15" s="31">
        <f t="shared" si="1"/>
        <v>620</v>
      </c>
      <c r="F15" s="177" t="s">
        <v>40</v>
      </c>
      <c r="G15" s="178"/>
      <c r="H15" s="179">
        <f>H13-H14</f>
        <v>235282.75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>
        <f>216*6+10*6</f>
        <v>1356</v>
      </c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133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32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124</v>
      </c>
      <c r="C22" s="10"/>
      <c r="D22" s="48">
        <f t="shared" si="1"/>
        <v>0</v>
      </c>
      <c r="F22" s="77"/>
      <c r="G22" s="73"/>
      <c r="H22" s="158"/>
      <c r="I22" s="158"/>
      <c r="J22" s="15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101</v>
      </c>
      <c r="C23" s="10"/>
      <c r="D23" s="48">
        <f t="shared" si="1"/>
        <v>0</v>
      </c>
      <c r="F23" s="77"/>
      <c r="G23" s="79"/>
      <c r="H23" s="159"/>
      <c r="I23" s="160"/>
      <c r="J23" s="1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118</v>
      </c>
      <c r="C24" s="10"/>
      <c r="D24" s="48">
        <f t="shared" si="1"/>
        <v>0</v>
      </c>
      <c r="F24" s="77"/>
      <c r="G24" s="79"/>
      <c r="H24" s="159"/>
      <c r="I24" s="160"/>
      <c r="J24" s="1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110</v>
      </c>
      <c r="C27" s="10"/>
      <c r="D27" s="44">
        <f t="shared" si="1"/>
        <v>0</v>
      </c>
      <c r="F27" s="71"/>
      <c r="G27" s="89"/>
      <c r="H27" s="164"/>
      <c r="I27" s="165"/>
      <c r="J27" s="1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265882</v>
      </c>
      <c r="F29" s="91" t="s">
        <v>55</v>
      </c>
      <c r="G29" s="152"/>
      <c r="H29" s="113">
        <f>H15-H16-H17-H18-H19-H20-H22-H23-H24+H26+H27+H28</f>
        <v>233926.75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34">
        <f t="shared" ref="H34:H39" si="2">F34*G34</f>
        <v>64000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34">
        <f t="shared" si="2"/>
        <v>6500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34">
        <f t="shared" si="2"/>
        <v>400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34">
        <f t="shared" si="2"/>
        <v>4300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34">
        <f t="shared" si="2"/>
        <v>1100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>
        <v>7</v>
      </c>
      <c r="D42" s="12">
        <f>C42*2.25</f>
        <v>15.75</v>
      </c>
      <c r="F42" s="39" t="s">
        <v>79</v>
      </c>
      <c r="G42" s="134">
        <v>30</v>
      </c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30">
        <v>150017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30">
        <v>7564</v>
      </c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11</v>
      </c>
      <c r="D46" s="12">
        <f>C46*1.5</f>
        <v>16.5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233911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3</v>
      </c>
      <c r="D50" s="12">
        <f>C50*1.5</f>
        <v>4.5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128</v>
      </c>
      <c r="G51" s="232">
        <f>G49-H29</f>
        <v>-15.75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2</v>
      </c>
      <c r="H4" s="187" t="s">
        <v>9</v>
      </c>
      <c r="I4" s="189">
        <v>46083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351</v>
      </c>
      <c r="D6" s="13">
        <f t="shared" ref="D6:D28" si="1">C6*L6</f>
        <v>267111</v>
      </c>
      <c r="F6" s="193" t="s">
        <v>16</v>
      </c>
      <c r="G6" s="195" t="s">
        <v>126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1</v>
      </c>
      <c r="D7" s="13">
        <f t="shared" si="1"/>
        <v>781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113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40</v>
      </c>
      <c r="D9" s="13">
        <f t="shared" si="1"/>
        <v>29320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>
        <v>10</v>
      </c>
      <c r="D10" s="13">
        <f t="shared" si="1"/>
        <v>10320</v>
      </c>
      <c r="F10" s="193" t="s">
        <v>26</v>
      </c>
      <c r="G10" s="208" t="s">
        <v>114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9</v>
      </c>
      <c r="D13" s="48">
        <f t="shared" si="1"/>
        <v>2763</v>
      </c>
      <c r="F13" s="214" t="s">
        <v>36</v>
      </c>
      <c r="G13" s="178"/>
      <c r="H13" s="169">
        <f>D29</f>
        <v>313708.5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3</v>
      </c>
      <c r="D14" s="31">
        <f t="shared" si="1"/>
        <v>33</v>
      </c>
      <c r="F14" s="172" t="s">
        <v>39</v>
      </c>
      <c r="G14" s="173"/>
      <c r="H14" s="174">
        <f>D54</f>
        <v>55225.5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258483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>
        <f>230*6</f>
        <v>1380</v>
      </c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104</v>
      </c>
      <c r="C22" s="10"/>
      <c r="D22" s="48">
        <f t="shared" si="1"/>
        <v>0</v>
      </c>
      <c r="F22" s="72"/>
      <c r="G22" s="73"/>
      <c r="H22" s="158"/>
      <c r="I22" s="158"/>
      <c r="J22" s="15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107</v>
      </c>
      <c r="C23" s="10"/>
      <c r="D23" s="48">
        <f t="shared" si="1"/>
        <v>0</v>
      </c>
      <c r="F23" s="25"/>
      <c r="G23" s="37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150</v>
      </c>
      <c r="C24" s="10">
        <v>12</v>
      </c>
      <c r="D24" s="48">
        <f t="shared" si="1"/>
        <v>474</v>
      </c>
      <c r="F24" s="38"/>
      <c r="G24" s="37"/>
      <c r="H24" s="216"/>
      <c r="I24" s="130"/>
      <c r="J24" s="130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105</v>
      </c>
      <c r="C26" s="10"/>
      <c r="D26" s="48">
        <f t="shared" si="1"/>
        <v>0</v>
      </c>
      <c r="F26" s="64"/>
      <c r="G26" s="10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109</v>
      </c>
      <c r="C27" s="10"/>
      <c r="D27" s="44">
        <f t="shared" si="1"/>
        <v>0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313708.5</v>
      </c>
      <c r="F29" s="91" t="s">
        <v>55</v>
      </c>
      <c r="G29" s="152"/>
      <c r="H29" s="113">
        <f>H15-H16-H17-H18-H19-H20-H22-H23-H24+H26+H27</f>
        <v>257103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34">
        <f>F34*G34</f>
        <v>101000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34">
        <f t="shared" ref="H35:H39" si="2">F35*G35</f>
        <v>11000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34">
        <f>F36*G36</f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34">
        <f t="shared" si="2"/>
        <v>100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34">
        <f t="shared" si="2"/>
        <v>50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>
        <v>2</v>
      </c>
      <c r="D42" s="12">
        <f>C42*2.25</f>
        <v>4.5</v>
      </c>
      <c r="F42" s="39" t="s">
        <v>79</v>
      </c>
      <c r="G42" s="134">
        <v>136</v>
      </c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30">
        <v>144193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>
        <v>1</v>
      </c>
      <c r="D45" s="12">
        <f>C45*84</f>
        <v>84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36</v>
      </c>
      <c r="D46" s="12">
        <f>C46*1.5</f>
        <v>54</v>
      </c>
      <c r="F46" s="37"/>
      <c r="G46" s="88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22</v>
      </c>
      <c r="D49" s="12">
        <f>C49*42</f>
        <v>924</v>
      </c>
      <c r="F49" s="111" t="s">
        <v>86</v>
      </c>
      <c r="G49" s="113">
        <f>H34+H35+H36+H37+H38+H39+H40+H41+G42+H44+H45+H46</f>
        <v>256479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5</v>
      </c>
      <c r="D50" s="12">
        <f>C50*1.5</f>
        <v>7.5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153</v>
      </c>
      <c r="G51" s="232">
        <f>G49-H29</f>
        <v>-624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3</v>
      </c>
      <c r="H4" s="187" t="s">
        <v>9</v>
      </c>
      <c r="I4" s="189">
        <v>46083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266</v>
      </c>
      <c r="D6" s="13">
        <f t="shared" ref="D6:D28" si="1">C6*L6</f>
        <v>202426</v>
      </c>
      <c r="F6" s="193" t="s">
        <v>16</v>
      </c>
      <c r="G6" s="195" t="s">
        <v>141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9</v>
      </c>
      <c r="D7" s="13">
        <f t="shared" si="1"/>
        <v>7029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130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57</v>
      </c>
      <c r="D9" s="13">
        <f t="shared" si="1"/>
        <v>41781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>
        <v>1</v>
      </c>
      <c r="D10" s="13">
        <f t="shared" si="1"/>
        <v>1032</v>
      </c>
      <c r="F10" s="193" t="s">
        <v>26</v>
      </c>
      <c r="G10" s="208" t="s">
        <v>127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2</v>
      </c>
      <c r="D12" s="48">
        <f t="shared" si="1"/>
        <v>1984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12</v>
      </c>
      <c r="D13" s="48">
        <f t="shared" si="1"/>
        <v>3684</v>
      </c>
      <c r="F13" s="214" t="s">
        <v>36</v>
      </c>
      <c r="G13" s="178"/>
      <c r="H13" s="169">
        <f>D29</f>
        <v>259606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8</v>
      </c>
      <c r="D14" s="31">
        <f t="shared" si="1"/>
        <v>88</v>
      </c>
      <c r="F14" s="172" t="s">
        <v>39</v>
      </c>
      <c r="G14" s="173"/>
      <c r="H14" s="174">
        <f>D54</f>
        <v>36129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223477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>
        <f>115*6</f>
        <v>690</v>
      </c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9">
        <v>50</v>
      </c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104</v>
      </c>
      <c r="C22" s="10"/>
      <c r="D22" s="48">
        <f t="shared" si="1"/>
        <v>0</v>
      </c>
      <c r="F22" s="77"/>
      <c r="G22" s="73"/>
      <c r="H22" s="158"/>
      <c r="I22" s="158"/>
      <c r="J22" s="15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107</v>
      </c>
      <c r="C23" s="10"/>
      <c r="D23" s="48">
        <f t="shared" si="1"/>
        <v>0</v>
      </c>
      <c r="F23" s="78"/>
      <c r="G23" s="79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101</v>
      </c>
      <c r="C24" s="10"/>
      <c r="D24" s="48">
        <f t="shared" si="1"/>
        <v>0</v>
      </c>
      <c r="F24" s="38"/>
      <c r="G24" s="37"/>
      <c r="H24" s="216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259606</v>
      </c>
      <c r="F29" s="91" t="s">
        <v>55</v>
      </c>
      <c r="G29" s="152"/>
      <c r="H29" s="113">
        <f>H15-H16-H17-H18-H19-H20-H22-H23-H24+H26+H27</f>
        <v>222737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34">
        <f>F34*G34</f>
        <v>41000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34">
        <f>F35*G35</f>
        <v>3500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34">
        <f t="shared" ref="H36:H39" si="2">F36*G36</f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34">
        <f t="shared" si="2"/>
        <v>100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34">
        <f t="shared" si="2"/>
        <v>100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>
        <v>10</v>
      </c>
      <c r="D42" s="12">
        <f>C42*2.25</f>
        <v>22.5</v>
      </c>
      <c r="F42" s="39" t="s">
        <v>79</v>
      </c>
      <c r="G42" s="134">
        <v>88</v>
      </c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30">
        <v>75280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30">
        <v>101194</v>
      </c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223">
        <v>1582</v>
      </c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222844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</v>
      </c>
      <c r="D50" s="12">
        <f>C50*1.5</f>
        <v>1.5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138</v>
      </c>
      <c r="G51" s="226">
        <f>G49-H29</f>
        <v>107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7" t="s">
        <v>7</v>
      </c>
      <c r="B4" s="138"/>
      <c r="C4" s="138"/>
      <c r="D4" s="139"/>
      <c r="F4" s="183" t="s">
        <v>8</v>
      </c>
      <c r="G4" s="185"/>
      <c r="H4" s="187" t="s">
        <v>9</v>
      </c>
      <c r="I4" s="189"/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93" t="s">
        <v>16</v>
      </c>
      <c r="G6" s="195"/>
      <c r="H6" s="196"/>
      <c r="I6" s="196"/>
      <c r="J6" s="19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201" t="s">
        <v>21</v>
      </c>
      <c r="G8" s="202"/>
      <c r="H8" s="203"/>
      <c r="I8" s="203"/>
      <c r="J8" s="20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93" t="s">
        <v>26</v>
      </c>
      <c r="G10" s="208"/>
      <c r="H10" s="209"/>
      <c r="I10" s="209"/>
      <c r="J10" s="210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214" t="s">
        <v>36</v>
      </c>
      <c r="G13" s="17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77" t="s">
        <v>40</v>
      </c>
      <c r="G15" s="178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50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7"/>
      <c r="G22" s="73"/>
      <c r="H22" s="158"/>
      <c r="I22" s="158"/>
      <c r="J22" s="15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8"/>
      <c r="G23" s="79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216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86"/>
      <c r="G28" s="61"/>
      <c r="H28" s="166"/>
      <c r="I28" s="167"/>
      <c r="J28" s="16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4" t="s">
        <v>36</v>
      </c>
      <c r="B29" s="145"/>
      <c r="C29" s="146"/>
      <c r="D29" s="150">
        <f>SUM(D6:D28)</f>
        <v>0</v>
      </c>
      <c r="F29" s="91" t="s">
        <v>55</v>
      </c>
      <c r="G29" s="152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4"/>
      <c r="I34" s="135"/>
      <c r="J34" s="1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/>
      <c r="H35" s="134"/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/>
      <c r="I36" s="135"/>
      <c r="J36" s="1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4"/>
      <c r="I37" s="135"/>
      <c r="J37" s="1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/>
      <c r="H38" s="134"/>
      <c r="I38" s="135"/>
      <c r="J38" s="1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/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125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1</v>
      </c>
      <c r="H4" s="187" t="s">
        <v>9</v>
      </c>
      <c r="I4" s="189">
        <v>46084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382</v>
      </c>
      <c r="D6" s="13">
        <f t="shared" ref="D6:D28" si="1">C6*L6</f>
        <v>290702</v>
      </c>
      <c r="F6" s="193" t="s">
        <v>16</v>
      </c>
      <c r="G6" s="195" t="s">
        <v>111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7</v>
      </c>
      <c r="D7" s="13">
        <f t="shared" si="1"/>
        <v>5467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144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31</v>
      </c>
      <c r="D9" s="13">
        <f t="shared" si="1"/>
        <v>22723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139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214" t="s">
        <v>36</v>
      </c>
      <c r="G13" s="178"/>
      <c r="H13" s="169">
        <f>D29</f>
        <v>322724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9</v>
      </c>
      <c r="D14" s="31">
        <f t="shared" si="1"/>
        <v>99</v>
      </c>
      <c r="F14" s="172" t="s">
        <v>39</v>
      </c>
      <c r="G14" s="173"/>
      <c r="H14" s="174">
        <f>D54</f>
        <v>44362.5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278361.5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133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32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124</v>
      </c>
      <c r="C22" s="10"/>
      <c r="D22" s="48">
        <f t="shared" si="1"/>
        <v>0</v>
      </c>
      <c r="F22" s="77"/>
      <c r="G22" s="73"/>
      <c r="H22" s="158"/>
      <c r="I22" s="158"/>
      <c r="J22" s="15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101</v>
      </c>
      <c r="C23" s="10"/>
      <c r="D23" s="48">
        <f t="shared" si="1"/>
        <v>0</v>
      </c>
      <c r="F23" s="77"/>
      <c r="G23" s="79"/>
      <c r="H23" s="159"/>
      <c r="I23" s="160"/>
      <c r="J23" s="1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118</v>
      </c>
      <c r="C24" s="10"/>
      <c r="D24" s="48">
        <f t="shared" si="1"/>
        <v>0</v>
      </c>
      <c r="F24" s="77"/>
      <c r="G24" s="79"/>
      <c r="H24" s="159"/>
      <c r="I24" s="160"/>
      <c r="J24" s="1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110</v>
      </c>
      <c r="C27" s="10"/>
      <c r="D27" s="44">
        <f t="shared" si="1"/>
        <v>0</v>
      </c>
      <c r="F27" s="71"/>
      <c r="G27" s="89"/>
      <c r="H27" s="164"/>
      <c r="I27" s="165"/>
      <c r="J27" s="1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>
        <v>3</v>
      </c>
      <c r="D28" s="48">
        <f t="shared" si="1"/>
        <v>2433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322724</v>
      </c>
      <c r="F29" s="91" t="s">
        <v>55</v>
      </c>
      <c r="G29" s="152"/>
      <c r="H29" s="113">
        <f>H15-H16-H17-H18-H19-H20-H22-H23-H24+H26+H27+H28</f>
        <v>278361.5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34">
        <f t="shared" ref="H34:H39" si="2">F34*G34</f>
        <v>212000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34">
        <f t="shared" si="2"/>
        <v>18000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34">
        <f t="shared" si="2"/>
        <v>400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34">
        <f t="shared" si="2"/>
        <v>2700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34">
        <f t="shared" si="2"/>
        <v>1150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34">
        <f t="shared" si="2"/>
        <v>40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>
        <v>2</v>
      </c>
      <c r="D42" s="12">
        <f>C42*2.25</f>
        <v>4.5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30">
        <v>10000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30">
        <v>35000</v>
      </c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279290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8</v>
      </c>
      <c r="D50" s="12">
        <f>C50*1.5</f>
        <v>12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138</v>
      </c>
      <c r="G51" s="226">
        <f>G49-H29</f>
        <v>928.5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2</v>
      </c>
      <c r="H4" s="187" t="s">
        <v>9</v>
      </c>
      <c r="I4" s="189">
        <v>46084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224</v>
      </c>
      <c r="D6" s="13">
        <f t="shared" ref="D6:D28" si="1">C6*L6</f>
        <v>170464</v>
      </c>
      <c r="F6" s="193" t="s">
        <v>16</v>
      </c>
      <c r="G6" s="195" t="s">
        <v>126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2</v>
      </c>
      <c r="D7" s="13">
        <f t="shared" si="1"/>
        <v>1562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113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71</v>
      </c>
      <c r="D9" s="13">
        <f t="shared" si="1"/>
        <v>52043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114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7</v>
      </c>
      <c r="D13" s="48">
        <f t="shared" si="1"/>
        <v>2149</v>
      </c>
      <c r="F13" s="214" t="s">
        <v>36</v>
      </c>
      <c r="G13" s="178"/>
      <c r="H13" s="169">
        <f>D29</f>
        <v>228774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14</v>
      </c>
      <c r="D14" s="31">
        <f t="shared" si="1"/>
        <v>154</v>
      </c>
      <c r="F14" s="172" t="s">
        <v>39</v>
      </c>
      <c r="G14" s="173"/>
      <c r="H14" s="174">
        <f>D54</f>
        <v>35040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193734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>
        <f>122*6</f>
        <v>732</v>
      </c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58">
        <v>265</v>
      </c>
      <c r="I22" s="158"/>
      <c r="J22" s="15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107</v>
      </c>
      <c r="C23" s="10"/>
      <c r="D23" s="48">
        <f t="shared" si="1"/>
        <v>0</v>
      </c>
      <c r="F23" s="25"/>
      <c r="G23" s="37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120</v>
      </c>
      <c r="C24" s="10"/>
      <c r="D24" s="48">
        <f t="shared" si="1"/>
        <v>0</v>
      </c>
      <c r="F24" s="38"/>
      <c r="G24" s="37"/>
      <c r="H24" s="216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105</v>
      </c>
      <c r="C26" s="10"/>
      <c r="D26" s="48">
        <f t="shared" si="1"/>
        <v>0</v>
      </c>
      <c r="F26" s="64"/>
      <c r="G26" s="10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109</v>
      </c>
      <c r="C27" s="10"/>
      <c r="D27" s="44">
        <f t="shared" si="1"/>
        <v>0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228774</v>
      </c>
      <c r="F29" s="91" t="s">
        <v>55</v>
      </c>
      <c r="G29" s="152"/>
      <c r="H29" s="113">
        <f>H15-H16-H17-H18-H19-H20-H22-H23-H24+H26+H27</f>
        <v>192737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34">
        <f>F34*G34</f>
        <v>140000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34">
        <f t="shared" ref="H35:H39" si="2">F35*G35</f>
        <v>46500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34">
        <f>F36*G36</f>
        <v>400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34">
        <f t="shared" si="2"/>
        <v>4300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34">
        <f t="shared" si="2"/>
        <v>1350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>
        <v>45</v>
      </c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1</v>
      </c>
      <c r="D46" s="12">
        <f>C46*1.5</f>
        <v>1.5</v>
      </c>
      <c r="F46" s="37"/>
      <c r="G46" s="88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3</v>
      </c>
      <c r="D49" s="12">
        <f>C49*42</f>
        <v>126</v>
      </c>
      <c r="F49" s="111" t="s">
        <v>86</v>
      </c>
      <c r="G49" s="113">
        <f>H34+H35+H36+H37+H38+H39+H40+H41+G42+H44+H45+H46</f>
        <v>192595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19</v>
      </c>
      <c r="D50" s="12">
        <f>C50*1.5</f>
        <v>28.5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162</v>
      </c>
      <c r="G51" s="232">
        <f>G49-H29</f>
        <v>-142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3</v>
      </c>
      <c r="H4" s="187" t="s">
        <v>9</v>
      </c>
      <c r="I4" s="189">
        <v>46084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291</v>
      </c>
      <c r="D6" s="13">
        <f t="shared" ref="D6:D28" si="1">C6*L6</f>
        <v>221451</v>
      </c>
      <c r="F6" s="193" t="s">
        <v>16</v>
      </c>
      <c r="G6" s="195" t="s">
        <v>141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20</v>
      </c>
      <c r="D7" s="13">
        <f t="shared" si="1"/>
        <v>15620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>
        <v>1</v>
      </c>
      <c r="D8" s="13">
        <f t="shared" si="1"/>
        <v>1093</v>
      </c>
      <c r="F8" s="201" t="s">
        <v>21</v>
      </c>
      <c r="G8" s="202" t="s">
        <v>130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36</v>
      </c>
      <c r="D9" s="13">
        <f t="shared" si="1"/>
        <v>26388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127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3</v>
      </c>
      <c r="D12" s="48">
        <f t="shared" si="1"/>
        <v>2976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15</v>
      </c>
      <c r="D13" s="48">
        <f t="shared" si="1"/>
        <v>4605</v>
      </c>
      <c r="F13" s="214" t="s">
        <v>36</v>
      </c>
      <c r="G13" s="178"/>
      <c r="H13" s="169">
        <f>D29</f>
        <v>273403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40279.5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>
        <v>1</v>
      </c>
      <c r="D15" s="31">
        <f t="shared" si="1"/>
        <v>620</v>
      </c>
      <c r="F15" s="177" t="s">
        <v>40</v>
      </c>
      <c r="G15" s="178"/>
      <c r="H15" s="179">
        <f>H13-H14</f>
        <v>233123.5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>
        <f>153*6</f>
        <v>918</v>
      </c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112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104</v>
      </c>
      <c r="C22" s="10"/>
      <c r="D22" s="48">
        <f t="shared" si="1"/>
        <v>0</v>
      </c>
      <c r="F22" s="77"/>
      <c r="G22" s="73"/>
      <c r="H22" s="158"/>
      <c r="I22" s="158"/>
      <c r="J22" s="15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107</v>
      </c>
      <c r="C23" s="10"/>
      <c r="D23" s="48">
        <f t="shared" si="1"/>
        <v>0</v>
      </c>
      <c r="F23" s="78"/>
      <c r="G23" s="79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101</v>
      </c>
      <c r="C24" s="10"/>
      <c r="D24" s="48">
        <f t="shared" si="1"/>
        <v>0</v>
      </c>
      <c r="F24" s="38"/>
      <c r="G24" s="37"/>
      <c r="H24" s="216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273403</v>
      </c>
      <c r="F29" s="91" t="s">
        <v>55</v>
      </c>
      <c r="G29" s="152"/>
      <c r="H29" s="113">
        <f>H15-H16-H17-H18-H19-H20-H22-H23-H24+H26+H27</f>
        <v>232205.5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34">
        <f>F34*G34</f>
        <v>75000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34">
        <f>F35*G35</f>
        <v>48500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>
        <f t="shared" ref="H36:H39" si="2">F36*G36</f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34">
        <f t="shared" si="2"/>
        <v>6000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34">
        <f t="shared" si="2"/>
        <v>2150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>
        <v>12</v>
      </c>
      <c r="D42" s="12">
        <f>C42*2.25</f>
        <v>27</v>
      </c>
      <c r="F42" s="39" t="s">
        <v>79</v>
      </c>
      <c r="G42" s="134">
        <v>74</v>
      </c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30">
        <v>100483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64</v>
      </c>
      <c r="D46" s="12">
        <f>C46*1.5</f>
        <v>96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3</v>
      </c>
      <c r="D49" s="12">
        <f>C49*42</f>
        <v>126</v>
      </c>
      <c r="F49" s="111" t="s">
        <v>86</v>
      </c>
      <c r="G49" s="113">
        <f>H34+H35+H36+H37+H38+H39+H40+H41+G42+H44+H45+H46</f>
        <v>232207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22</v>
      </c>
      <c r="D50" s="12">
        <f>C50*1.5</f>
        <v>33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138</v>
      </c>
      <c r="G51" s="226">
        <f>G49-H29</f>
        <v>1.5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7" t="s">
        <v>7</v>
      </c>
      <c r="B4" s="138"/>
      <c r="C4" s="138"/>
      <c r="D4" s="139"/>
      <c r="F4" s="183" t="s">
        <v>8</v>
      </c>
      <c r="G4" s="185"/>
      <c r="H4" s="187" t="s">
        <v>9</v>
      </c>
      <c r="I4" s="189"/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93" t="s">
        <v>16</v>
      </c>
      <c r="G6" s="195"/>
      <c r="H6" s="196"/>
      <c r="I6" s="196"/>
      <c r="J6" s="19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201" t="s">
        <v>21</v>
      </c>
      <c r="G8" s="202"/>
      <c r="H8" s="203"/>
      <c r="I8" s="203"/>
      <c r="J8" s="20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93" t="s">
        <v>26</v>
      </c>
      <c r="G10" s="208"/>
      <c r="H10" s="209"/>
      <c r="I10" s="209"/>
      <c r="J10" s="210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214" t="s">
        <v>36</v>
      </c>
      <c r="G13" s="17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77" t="s">
        <v>40</v>
      </c>
      <c r="G15" s="178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50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7"/>
      <c r="G22" s="73"/>
      <c r="H22" s="158"/>
      <c r="I22" s="158"/>
      <c r="J22" s="15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8"/>
      <c r="G23" s="79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216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86"/>
      <c r="G28" s="61"/>
      <c r="H28" s="166"/>
      <c r="I28" s="167"/>
      <c r="J28" s="16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4" t="s">
        <v>36</v>
      </c>
      <c r="B29" s="145"/>
      <c r="C29" s="146"/>
      <c r="D29" s="150">
        <f>SUM(D6:D28)</f>
        <v>0</v>
      </c>
      <c r="F29" s="91" t="s">
        <v>55</v>
      </c>
      <c r="G29" s="152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4"/>
      <c r="I34" s="135"/>
      <c r="J34" s="1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/>
      <c r="H35" s="134"/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/>
      <c r="I36" s="135"/>
      <c r="J36" s="1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4"/>
      <c r="I37" s="135"/>
      <c r="J37" s="1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/>
      <c r="H38" s="134"/>
      <c r="I38" s="135"/>
      <c r="J38" s="1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/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125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1</v>
      </c>
      <c r="H4" s="187" t="s">
        <v>9</v>
      </c>
      <c r="I4" s="189">
        <v>46085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359</v>
      </c>
      <c r="D6" s="13">
        <f t="shared" ref="D6:D28" si="1">C6*L6</f>
        <v>273199</v>
      </c>
      <c r="F6" s="193" t="s">
        <v>16</v>
      </c>
      <c r="G6" s="195" t="s">
        <v>111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6</v>
      </c>
      <c r="D7" s="13">
        <f t="shared" si="1"/>
        <v>4686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144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117</v>
      </c>
      <c r="D9" s="13">
        <f t="shared" si="1"/>
        <v>85761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>
        <v>10</v>
      </c>
      <c r="D10" s="13">
        <f t="shared" si="1"/>
        <v>10320</v>
      </c>
      <c r="F10" s="193" t="s">
        <v>26</v>
      </c>
      <c r="G10" s="208" t="s">
        <v>139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>
        <v>2</v>
      </c>
      <c r="D11" s="13">
        <f t="shared" si="1"/>
        <v>2340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3</v>
      </c>
      <c r="D12" s="48">
        <f t="shared" si="1"/>
        <v>2976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18</v>
      </c>
      <c r="D13" s="48">
        <f t="shared" si="1"/>
        <v>5526</v>
      </c>
      <c r="F13" s="214" t="s">
        <v>36</v>
      </c>
      <c r="G13" s="178"/>
      <c r="H13" s="169">
        <f>D29</f>
        <v>387395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14</v>
      </c>
      <c r="D14" s="31">
        <f t="shared" si="1"/>
        <v>154</v>
      </c>
      <c r="F14" s="172" t="s">
        <v>39</v>
      </c>
      <c r="G14" s="173"/>
      <c r="H14" s="174">
        <f>D54</f>
        <v>43563.75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343831.25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>
        <f>334*6</f>
        <v>2004</v>
      </c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133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32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58">
        <v>100339</v>
      </c>
      <c r="I22" s="158"/>
      <c r="J22" s="15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101</v>
      </c>
      <c r="C23" s="10"/>
      <c r="D23" s="48">
        <f t="shared" si="1"/>
        <v>0</v>
      </c>
      <c r="F23" s="77"/>
      <c r="G23" s="79"/>
      <c r="H23" s="159"/>
      <c r="I23" s="160"/>
      <c r="J23" s="1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118</v>
      </c>
      <c r="C24" s="10"/>
      <c r="D24" s="48">
        <f t="shared" si="1"/>
        <v>0</v>
      </c>
      <c r="F24" s="77"/>
      <c r="G24" s="79"/>
      <c r="H24" s="159"/>
      <c r="I24" s="160"/>
      <c r="J24" s="1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30">
        <v>98532</v>
      </c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110</v>
      </c>
      <c r="C27" s="10"/>
      <c r="D27" s="44">
        <f t="shared" si="1"/>
        <v>0</v>
      </c>
      <c r="F27" s="71"/>
      <c r="G27" s="89"/>
      <c r="H27" s="164"/>
      <c r="I27" s="165"/>
      <c r="J27" s="1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>
        <v>3</v>
      </c>
      <c r="D28" s="48">
        <f t="shared" si="1"/>
        <v>2433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387395</v>
      </c>
      <c r="F29" s="91" t="s">
        <v>55</v>
      </c>
      <c r="G29" s="152"/>
      <c r="H29" s="113">
        <f>H15-H16-H17-H18-H19-H20-H22-H23-H24+H26+H27+H28</f>
        <v>340020.25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34">
        <f t="shared" ref="H34:H39" si="2">F34*G34</f>
        <v>10000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34">
        <f t="shared" si="2"/>
        <v>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34">
        <f t="shared" si="2"/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34">
        <f t="shared" si="2"/>
        <v>100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34">
        <f t="shared" si="2"/>
        <v>100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>
        <v>7</v>
      </c>
      <c r="D42" s="12">
        <f>C42*2.25</f>
        <v>15.75</v>
      </c>
      <c r="F42" s="39" t="s">
        <v>79</v>
      </c>
      <c r="G42" s="134">
        <v>10</v>
      </c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30">
        <v>230441.5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30">
        <v>98532</v>
      </c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2</v>
      </c>
      <c r="D46" s="12">
        <f>C46*1.5</f>
        <v>3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7</v>
      </c>
      <c r="D49" s="12">
        <f>C49*42</f>
        <v>294</v>
      </c>
      <c r="F49" s="111" t="s">
        <v>86</v>
      </c>
      <c r="G49" s="113">
        <f>H34+H35+H36+H37+H38+H39+H40+H41+G42+H44+H45+H46</f>
        <v>339183.5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17</v>
      </c>
      <c r="D50" s="12">
        <f>C50*1.5</f>
        <v>25.5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128</v>
      </c>
      <c r="G51" s="232">
        <f>G49-H29</f>
        <v>-836.75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2</v>
      </c>
      <c r="H4" s="187" t="s">
        <v>9</v>
      </c>
      <c r="I4" s="189">
        <v>46085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326</v>
      </c>
      <c r="D6" s="13">
        <f t="shared" ref="D6:D28" si="1">C6*L6</f>
        <v>248086</v>
      </c>
      <c r="F6" s="193" t="s">
        <v>16</v>
      </c>
      <c r="G6" s="195" t="s">
        <v>126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113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114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14</v>
      </c>
      <c r="D13" s="48">
        <f t="shared" si="1"/>
        <v>4298</v>
      </c>
      <c r="F13" s="214" t="s">
        <v>36</v>
      </c>
      <c r="G13" s="178"/>
      <c r="H13" s="169">
        <f>D29</f>
        <v>253739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5</v>
      </c>
      <c r="D14" s="31">
        <f t="shared" si="1"/>
        <v>55</v>
      </c>
      <c r="F14" s="172" t="s">
        <v>39</v>
      </c>
      <c r="G14" s="173"/>
      <c r="H14" s="174">
        <f>D54</f>
        <v>36819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216920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>
        <f>324*6</f>
        <v>1944</v>
      </c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43">
        <v>50</v>
      </c>
      <c r="I19" s="143"/>
      <c r="J19" s="1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104</v>
      </c>
      <c r="C22" s="10"/>
      <c r="D22" s="48">
        <f t="shared" si="1"/>
        <v>0</v>
      </c>
      <c r="F22" s="72"/>
      <c r="G22" s="73"/>
      <c r="H22" s="158"/>
      <c r="I22" s="158"/>
      <c r="J22" s="15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107</v>
      </c>
      <c r="C23" s="10"/>
      <c r="D23" s="48">
        <f t="shared" si="1"/>
        <v>0</v>
      </c>
      <c r="F23" s="25"/>
      <c r="G23" s="37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120</v>
      </c>
      <c r="C24" s="10"/>
      <c r="D24" s="48">
        <f t="shared" si="1"/>
        <v>0</v>
      </c>
      <c r="F24" s="38"/>
      <c r="G24" s="37"/>
      <c r="H24" s="216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105</v>
      </c>
      <c r="C26" s="10"/>
      <c r="D26" s="48">
        <f t="shared" si="1"/>
        <v>0</v>
      </c>
      <c r="F26" s="64"/>
      <c r="G26" s="10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109</v>
      </c>
      <c r="C27" s="10"/>
      <c r="D27" s="44">
        <f t="shared" si="1"/>
        <v>0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253739</v>
      </c>
      <c r="F29" s="91" t="s">
        <v>55</v>
      </c>
      <c r="G29" s="152"/>
      <c r="H29" s="113">
        <f>H15-H16-H17-H18-H19-H20-H22-H23-H24+H26+H27</f>
        <v>214926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34">
        <f>F34*G34</f>
        <v>214000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34">
        <f t="shared" ref="H35:H39" si="2">F35*G35</f>
        <v>500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>
        <f>F36*G36</f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34">
        <f t="shared" si="2"/>
        <v>300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34">
        <f t="shared" si="2"/>
        <v>50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>
        <v>32</v>
      </c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10</v>
      </c>
      <c r="D49" s="12">
        <f>C49*42</f>
        <v>420</v>
      </c>
      <c r="F49" s="111" t="s">
        <v>86</v>
      </c>
      <c r="G49" s="113">
        <f>H34+H35+H36+H37+H38+H39+H40+H41+G42+H44+H45+H46</f>
        <v>214882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</v>
      </c>
      <c r="D50" s="12">
        <f>C50*1.5</f>
        <v>1.5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162</v>
      </c>
      <c r="G51" s="232">
        <f>G49-H29</f>
        <v>-44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3</v>
      </c>
      <c r="H4" s="187" t="s">
        <v>9</v>
      </c>
      <c r="I4" s="189">
        <v>46085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270</v>
      </c>
      <c r="D6" s="13">
        <f t="shared" ref="D6:D28" si="1">C6*L6</f>
        <v>205470</v>
      </c>
      <c r="F6" s="193" t="s">
        <v>16</v>
      </c>
      <c r="G6" s="195" t="s">
        <v>141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130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29</v>
      </c>
      <c r="D9" s="13">
        <f t="shared" si="1"/>
        <v>21257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127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8</v>
      </c>
      <c r="D13" s="48">
        <f t="shared" si="1"/>
        <v>2456</v>
      </c>
      <c r="F13" s="214" t="s">
        <v>36</v>
      </c>
      <c r="G13" s="178"/>
      <c r="H13" s="169">
        <f>D29</f>
        <v>236285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7</v>
      </c>
      <c r="D14" s="31">
        <f t="shared" si="1"/>
        <v>77</v>
      </c>
      <c r="F14" s="172" t="s">
        <v>39</v>
      </c>
      <c r="G14" s="173"/>
      <c r="H14" s="174">
        <f>D54</f>
        <v>33749.25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202535.75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>
        <f>50*6+80*6+63*6</f>
        <v>1158</v>
      </c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112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43">
        <v>50</v>
      </c>
      <c r="I19" s="143"/>
      <c r="J19" s="1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104</v>
      </c>
      <c r="C22" s="10"/>
      <c r="D22" s="48">
        <f t="shared" si="1"/>
        <v>0</v>
      </c>
      <c r="F22" s="77"/>
      <c r="G22" s="73"/>
      <c r="H22" s="158"/>
      <c r="I22" s="158"/>
      <c r="J22" s="15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107</v>
      </c>
      <c r="C23" s="10">
        <v>1</v>
      </c>
      <c r="D23" s="48">
        <f t="shared" si="1"/>
        <v>1175</v>
      </c>
      <c r="F23" s="78"/>
      <c r="G23" s="79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101</v>
      </c>
      <c r="C24" s="10"/>
      <c r="D24" s="48">
        <f t="shared" si="1"/>
        <v>0</v>
      </c>
      <c r="F24" s="38"/>
      <c r="G24" s="37"/>
      <c r="H24" s="216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236285</v>
      </c>
      <c r="F29" s="91" t="s">
        <v>55</v>
      </c>
      <c r="G29" s="152"/>
      <c r="H29" s="113">
        <f>H15-H16-H17-H18-H19-H20-H22-H23-H24+H26+H27</f>
        <v>201327.75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34">
        <f>F34*G34</f>
        <v>94000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34">
        <f>F35*G35</f>
        <v>54000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>
        <f t="shared" ref="H36:H39" si="2">F36*G36</f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34">
        <f t="shared" si="2"/>
        <v>12400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34">
        <f t="shared" si="2"/>
        <v>100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34">
        <v>94</v>
      </c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30">
        <v>40666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4</v>
      </c>
      <c r="D49" s="12">
        <f>C49*42</f>
        <v>168</v>
      </c>
      <c r="F49" s="111" t="s">
        <v>86</v>
      </c>
      <c r="G49" s="113">
        <f>H34+H35+H36+H37+H38+H39+H40+H41+G42+H44+H45+H46</f>
        <v>201260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6</v>
      </c>
      <c r="D50" s="12">
        <f>C50*1.5</f>
        <v>9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128</v>
      </c>
      <c r="G51" s="232">
        <f>G49-H29</f>
        <v>-67.75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7" t="s">
        <v>7</v>
      </c>
      <c r="B4" s="138"/>
      <c r="C4" s="138"/>
      <c r="D4" s="139"/>
      <c r="F4" s="183" t="s">
        <v>8</v>
      </c>
      <c r="G4" s="185"/>
      <c r="H4" s="187" t="s">
        <v>9</v>
      </c>
      <c r="I4" s="189"/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93" t="s">
        <v>16</v>
      </c>
      <c r="G6" s="195"/>
      <c r="H6" s="196"/>
      <c r="I6" s="196"/>
      <c r="J6" s="19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201" t="s">
        <v>21</v>
      </c>
      <c r="G8" s="202"/>
      <c r="H8" s="203"/>
      <c r="I8" s="203"/>
      <c r="J8" s="20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93" t="s">
        <v>26</v>
      </c>
      <c r="G10" s="208"/>
      <c r="H10" s="209"/>
      <c r="I10" s="209"/>
      <c r="J10" s="210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214" t="s">
        <v>36</v>
      </c>
      <c r="G13" s="17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77" t="s">
        <v>40</v>
      </c>
      <c r="G15" s="178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50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7"/>
      <c r="G22" s="73"/>
      <c r="H22" s="158"/>
      <c r="I22" s="158"/>
      <c r="J22" s="15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8"/>
      <c r="G23" s="79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216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86"/>
      <c r="G28" s="61"/>
      <c r="H28" s="166"/>
      <c r="I28" s="167"/>
      <c r="J28" s="16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4" t="s">
        <v>36</v>
      </c>
      <c r="B29" s="145"/>
      <c r="C29" s="146"/>
      <c r="D29" s="150">
        <f>SUM(D6:D28)</f>
        <v>0</v>
      </c>
      <c r="F29" s="91" t="s">
        <v>55</v>
      </c>
      <c r="G29" s="152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4"/>
      <c r="I34" s="135"/>
      <c r="J34" s="1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/>
      <c r="H35" s="134"/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/>
      <c r="I36" s="135"/>
      <c r="J36" s="1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4"/>
      <c r="I37" s="135"/>
      <c r="J37" s="1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/>
      <c r="H38" s="134"/>
      <c r="I38" s="135"/>
      <c r="J38" s="1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/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125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1</v>
      </c>
      <c r="H4" s="187" t="s">
        <v>9</v>
      </c>
      <c r="I4" s="189">
        <v>46086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377</v>
      </c>
      <c r="D6" s="13">
        <f t="shared" ref="D6:D28" si="1">C6*L6</f>
        <v>286897</v>
      </c>
      <c r="F6" s="193" t="s">
        <v>16</v>
      </c>
      <c r="G6" s="195" t="s">
        <v>111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144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10</v>
      </c>
      <c r="D9" s="13">
        <f t="shared" si="1"/>
        <v>7330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139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>
        <v>1</v>
      </c>
      <c r="D11" s="13">
        <f t="shared" si="1"/>
        <v>1170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10</v>
      </c>
      <c r="D13" s="48">
        <f t="shared" si="1"/>
        <v>3070</v>
      </c>
      <c r="F13" s="214" t="s">
        <v>36</v>
      </c>
      <c r="G13" s="178"/>
      <c r="H13" s="169">
        <f>D29</f>
        <v>301631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55843.5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245787.5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>
        <f>325*6</f>
        <v>1950</v>
      </c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133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32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90" t="s">
        <v>167</v>
      </c>
      <c r="C22" s="10">
        <v>2</v>
      </c>
      <c r="D22" s="48">
        <f t="shared" si="1"/>
        <v>3164</v>
      </c>
      <c r="F22" s="77"/>
      <c r="G22" s="73"/>
      <c r="H22" s="158"/>
      <c r="I22" s="158"/>
      <c r="J22" s="15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101</v>
      </c>
      <c r="C23" s="10"/>
      <c r="D23" s="48">
        <f t="shared" si="1"/>
        <v>0</v>
      </c>
      <c r="F23" s="77"/>
      <c r="G23" s="79"/>
      <c r="H23" s="159"/>
      <c r="I23" s="160"/>
      <c r="J23" s="1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118</v>
      </c>
      <c r="C24" s="10"/>
      <c r="D24" s="48">
        <f t="shared" si="1"/>
        <v>0</v>
      </c>
      <c r="F24" s="77"/>
      <c r="G24" s="79"/>
      <c r="H24" s="159"/>
      <c r="I24" s="160"/>
      <c r="J24" s="1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110</v>
      </c>
      <c r="C27" s="10"/>
      <c r="D27" s="44">
        <f t="shared" si="1"/>
        <v>0</v>
      </c>
      <c r="F27" s="71"/>
      <c r="G27" s="89"/>
      <c r="H27" s="164"/>
      <c r="I27" s="165"/>
      <c r="J27" s="1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301631</v>
      </c>
      <c r="F29" s="91" t="s">
        <v>55</v>
      </c>
      <c r="G29" s="152"/>
      <c r="H29" s="113">
        <f>H15-H16-H17-H18-H19-H20-H22-H23-H24+H26+H27+H28</f>
        <v>243837.5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34">
        <f t="shared" ref="H34:H39" si="2">F34*G34</f>
        <v>34000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34">
        <f t="shared" si="2"/>
        <v>209500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>
        <f t="shared" si="2"/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34">
        <f t="shared" si="2"/>
        <v>200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34">
        <f t="shared" si="2"/>
        <v>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34">
        <f t="shared" si="2"/>
        <v>20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>
        <v>26</v>
      </c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84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>
        <v>1</v>
      </c>
      <c r="D45" s="12">
        <f>C45*84</f>
        <v>84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6</v>
      </c>
      <c r="D46" s="12">
        <f>C46*1.5</f>
        <v>9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10</v>
      </c>
      <c r="D49" s="12">
        <f>C49*42</f>
        <v>420</v>
      </c>
      <c r="F49" s="111" t="s">
        <v>86</v>
      </c>
      <c r="G49" s="113">
        <f>H34+H35+H36+H37+H38+H39+H40+H41+G42+H44+H45+H46</f>
        <v>243746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18</v>
      </c>
      <c r="D50" s="12">
        <f>C50*1.5</f>
        <v>27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128</v>
      </c>
      <c r="G51" s="232">
        <f>G49-H29</f>
        <v>-91.5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2</v>
      </c>
      <c r="H4" s="187" t="s">
        <v>9</v>
      </c>
      <c r="I4" s="189">
        <v>46086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246</v>
      </c>
      <c r="D6" s="13">
        <f t="shared" ref="D6:D28" si="1">C6*L6</f>
        <v>187206</v>
      </c>
      <c r="F6" s="193" t="s">
        <v>16</v>
      </c>
      <c r="G6" s="195" t="s">
        <v>126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1</v>
      </c>
      <c r="D7" s="13">
        <f t="shared" si="1"/>
        <v>781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113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24</v>
      </c>
      <c r="D9" s="13">
        <f t="shared" si="1"/>
        <v>17592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114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2</v>
      </c>
      <c r="D12" s="48">
        <f t="shared" si="1"/>
        <v>1984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7</v>
      </c>
      <c r="D13" s="48">
        <f t="shared" si="1"/>
        <v>2149</v>
      </c>
      <c r="F13" s="214" t="s">
        <v>36</v>
      </c>
      <c r="G13" s="178"/>
      <c r="H13" s="169">
        <f>D29</f>
        <v>264640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34920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229720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>
        <f>197*6</f>
        <v>1182</v>
      </c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104</v>
      </c>
      <c r="C22" s="10"/>
      <c r="D22" s="48">
        <f t="shared" si="1"/>
        <v>0</v>
      </c>
      <c r="F22" s="72"/>
      <c r="G22" s="73"/>
      <c r="H22" s="158"/>
      <c r="I22" s="158"/>
      <c r="J22" s="15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101</v>
      </c>
      <c r="C23" s="10">
        <v>4</v>
      </c>
      <c r="D23" s="48">
        <f t="shared" si="1"/>
        <v>6668</v>
      </c>
      <c r="F23" s="25"/>
      <c r="G23" s="37"/>
      <c r="H23" s="216"/>
      <c r="I23" s="130"/>
      <c r="J23" s="1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120</v>
      </c>
      <c r="C24" s="10"/>
      <c r="D24" s="48">
        <f t="shared" si="1"/>
        <v>0</v>
      </c>
      <c r="F24" s="38"/>
      <c r="G24" s="37"/>
      <c r="H24" s="216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105</v>
      </c>
      <c r="C26" s="10"/>
      <c r="D26" s="48">
        <f t="shared" si="1"/>
        <v>0</v>
      </c>
      <c r="F26" s="64"/>
      <c r="G26" s="10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168</v>
      </c>
      <c r="C27" s="10">
        <v>1</v>
      </c>
      <c r="D27" s="44">
        <f t="shared" si="1"/>
        <v>1582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264640</v>
      </c>
      <c r="F29" s="91" t="s">
        <v>55</v>
      </c>
      <c r="G29" s="152"/>
      <c r="H29" s="113">
        <f>H15-H16-H17-H18-H19-H20-H22-H23-H24+H26+H27</f>
        <v>228538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34">
        <f>F34*G34</f>
        <v>44000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34">
        <f t="shared" ref="H35:H39" si="2">F35*G35</f>
        <v>500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>
        <f>F36*G36</f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34">
        <f t="shared" si="2"/>
        <v>400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34">
        <f t="shared" si="2"/>
        <v>150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34">
        <f t="shared" si="2"/>
        <v>40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>
        <v>2</v>
      </c>
      <c r="D42" s="12">
        <f>C42*2.25</f>
        <v>4.5</v>
      </c>
      <c r="F42" s="39" t="s">
        <v>79</v>
      </c>
      <c r="G42" s="134">
        <v>69</v>
      </c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30">
        <v>179826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10</v>
      </c>
      <c r="D49" s="12">
        <f>C49*42</f>
        <v>420</v>
      </c>
      <c r="F49" s="111" t="s">
        <v>86</v>
      </c>
      <c r="G49" s="113">
        <f>H34+H35+H36+H37+H38+H39+H40+H41+G42+H44+H45+H46</f>
        <v>224985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162</v>
      </c>
      <c r="G51" s="232">
        <f>G49-H29</f>
        <v>-3553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3</v>
      </c>
      <c r="H4" s="187" t="s">
        <v>9</v>
      </c>
      <c r="I4" s="189">
        <v>46086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93" t="s">
        <v>16</v>
      </c>
      <c r="G6" s="195" t="s">
        <v>141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130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127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214" t="s">
        <v>36</v>
      </c>
      <c r="G13" s="17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112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104</v>
      </c>
      <c r="C22" s="10"/>
      <c r="D22" s="48">
        <f t="shared" si="1"/>
        <v>0</v>
      </c>
      <c r="F22" s="77"/>
      <c r="G22" s="73"/>
      <c r="H22" s="158"/>
      <c r="I22" s="158"/>
      <c r="J22" s="15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107</v>
      </c>
      <c r="C23" s="10"/>
      <c r="D23" s="48">
        <f t="shared" si="1"/>
        <v>0</v>
      </c>
      <c r="F23" s="78"/>
      <c r="G23" s="79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101</v>
      </c>
      <c r="C24" s="10"/>
      <c r="D24" s="48">
        <f t="shared" si="1"/>
        <v>0</v>
      </c>
      <c r="F24" s="38"/>
      <c r="G24" s="37"/>
      <c r="H24" s="216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0</v>
      </c>
      <c r="F29" s="91" t="s">
        <v>55</v>
      </c>
      <c r="G29" s="152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4">
        <f>F34*G34</f>
        <v>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/>
      <c r="H35" s="134">
        <f>F35*G35</f>
        <v>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>
        <f t="shared" ref="H36:H39" si="2">F36*G36</f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4">
        <f t="shared" si="2"/>
        <v>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/>
      <c r="H38" s="134">
        <f t="shared" si="2"/>
        <v>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138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7" t="s">
        <v>7</v>
      </c>
      <c r="B4" s="138"/>
      <c r="C4" s="138"/>
      <c r="D4" s="139"/>
      <c r="F4" s="183" t="s">
        <v>8</v>
      </c>
      <c r="G4" s="185"/>
      <c r="H4" s="187" t="s">
        <v>9</v>
      </c>
      <c r="I4" s="189"/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93" t="s">
        <v>16</v>
      </c>
      <c r="G6" s="195"/>
      <c r="H6" s="196"/>
      <c r="I6" s="196"/>
      <c r="J6" s="19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201" t="s">
        <v>21</v>
      </c>
      <c r="G8" s="202"/>
      <c r="H8" s="203"/>
      <c r="I8" s="203"/>
      <c r="J8" s="20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93" t="s">
        <v>26</v>
      </c>
      <c r="G10" s="208"/>
      <c r="H10" s="209"/>
      <c r="I10" s="209"/>
      <c r="J10" s="210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214" t="s">
        <v>36</v>
      </c>
      <c r="G13" s="17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77" t="s">
        <v>40</v>
      </c>
      <c r="G15" s="178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50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7"/>
      <c r="G22" s="73"/>
      <c r="H22" s="158"/>
      <c r="I22" s="158"/>
      <c r="J22" s="15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8"/>
      <c r="G23" s="79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216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86"/>
      <c r="G28" s="61"/>
      <c r="H28" s="166"/>
      <c r="I28" s="167"/>
      <c r="J28" s="16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4" t="s">
        <v>36</v>
      </c>
      <c r="B29" s="145"/>
      <c r="C29" s="146"/>
      <c r="D29" s="150">
        <f>SUM(D6:D28)</f>
        <v>0</v>
      </c>
      <c r="F29" s="91" t="s">
        <v>55</v>
      </c>
      <c r="G29" s="152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4"/>
      <c r="I34" s="135"/>
      <c r="J34" s="1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/>
      <c r="H35" s="134"/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/>
      <c r="I36" s="135"/>
      <c r="J36" s="1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4"/>
      <c r="I37" s="135"/>
      <c r="J37" s="1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/>
      <c r="H38" s="134"/>
      <c r="I38" s="135"/>
      <c r="J38" s="1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/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125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1</v>
      </c>
      <c r="H4" s="187" t="s">
        <v>9</v>
      </c>
      <c r="I4" s="189">
        <v>46087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93" t="s">
        <v>16</v>
      </c>
      <c r="G6" s="195" t="s">
        <v>111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144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139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214" t="s">
        <v>36</v>
      </c>
      <c r="G13" s="17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133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43"/>
      <c r="I19" s="143"/>
      <c r="J19" s="143"/>
      <c r="L19" s="6">
        <v>1102</v>
      </c>
      <c r="Q19" s="4"/>
      <c r="R19" s="5">
        <f t="shared" si="0"/>
        <v>0</v>
      </c>
    </row>
    <row r="20" spans="1:18" ht="15.75" x14ac:dyDescent="0.25">
      <c r="A20" s="132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124</v>
      </c>
      <c r="C22" s="10"/>
      <c r="D22" s="48">
        <f t="shared" si="1"/>
        <v>0</v>
      </c>
      <c r="F22" s="77"/>
      <c r="G22" s="73"/>
      <c r="H22" s="158"/>
      <c r="I22" s="158"/>
      <c r="J22" s="15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101</v>
      </c>
      <c r="C23" s="10"/>
      <c r="D23" s="48">
        <f t="shared" si="1"/>
        <v>0</v>
      </c>
      <c r="F23" s="77"/>
      <c r="G23" s="79"/>
      <c r="H23" s="159"/>
      <c r="I23" s="160"/>
      <c r="J23" s="1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118</v>
      </c>
      <c r="C24" s="10"/>
      <c r="D24" s="48">
        <f t="shared" si="1"/>
        <v>0</v>
      </c>
      <c r="F24" s="77"/>
      <c r="G24" s="79"/>
      <c r="H24" s="159"/>
      <c r="I24" s="160"/>
      <c r="J24" s="1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110</v>
      </c>
      <c r="C27" s="10"/>
      <c r="D27" s="44">
        <f t="shared" si="1"/>
        <v>0</v>
      </c>
      <c r="F27" s="71"/>
      <c r="G27" s="89"/>
      <c r="H27" s="164"/>
      <c r="I27" s="165"/>
      <c r="J27" s="1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0</v>
      </c>
      <c r="F29" s="91" t="s">
        <v>55</v>
      </c>
      <c r="G29" s="152"/>
      <c r="H29" s="113">
        <f>H15-H16-H17-H18-H19-H20-H22-H23-H24+H26+H27+H28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4">
        <f t="shared" ref="H34:H39" si="2">F34*G34</f>
        <v>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/>
      <c r="H35" s="134">
        <f t="shared" si="2"/>
        <v>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>
        <f t="shared" si="2"/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4">
        <f t="shared" si="2"/>
        <v>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/>
      <c r="H38" s="134">
        <f t="shared" si="2"/>
        <v>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84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138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2</v>
      </c>
      <c r="H4" s="187" t="s">
        <v>9</v>
      </c>
      <c r="I4" s="189">
        <v>46087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93" t="s">
        <v>16</v>
      </c>
      <c r="G6" s="195" t="s">
        <v>126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113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114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214" t="s">
        <v>36</v>
      </c>
      <c r="G13" s="17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104</v>
      </c>
      <c r="C22" s="10"/>
      <c r="D22" s="48">
        <f t="shared" si="1"/>
        <v>0</v>
      </c>
      <c r="F22" s="72"/>
      <c r="G22" s="73"/>
      <c r="H22" s="158"/>
      <c r="I22" s="158"/>
      <c r="J22" s="15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107</v>
      </c>
      <c r="C23" s="10"/>
      <c r="D23" s="48">
        <f t="shared" si="1"/>
        <v>0</v>
      </c>
      <c r="F23" s="25"/>
      <c r="G23" s="37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120</v>
      </c>
      <c r="C24" s="10"/>
      <c r="D24" s="48">
        <f t="shared" si="1"/>
        <v>0</v>
      </c>
      <c r="F24" s="38"/>
      <c r="G24" s="37"/>
      <c r="H24" s="216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105</v>
      </c>
      <c r="C26" s="10"/>
      <c r="D26" s="48">
        <f t="shared" si="1"/>
        <v>0</v>
      </c>
      <c r="F26" s="64"/>
      <c r="G26" s="10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109</v>
      </c>
      <c r="C27" s="10"/>
      <c r="D27" s="44">
        <f t="shared" si="1"/>
        <v>0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0</v>
      </c>
      <c r="F29" s="91" t="s">
        <v>55</v>
      </c>
      <c r="G29" s="152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4">
        <f>F34*G34</f>
        <v>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/>
      <c r="H35" s="134">
        <f t="shared" ref="H35:H39" si="2">F35*G35</f>
        <v>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>
        <f>F36*G36</f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4">
        <f t="shared" si="2"/>
        <v>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/>
      <c r="H38" s="134">
        <f t="shared" si="2"/>
        <v>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135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3</v>
      </c>
      <c r="H4" s="187" t="s">
        <v>9</v>
      </c>
      <c r="I4" s="189">
        <v>46087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355</v>
      </c>
      <c r="D6" s="13">
        <f t="shared" ref="D6:D28" si="1">C6*L6</f>
        <v>270155</v>
      </c>
      <c r="F6" s="193" t="s">
        <v>16</v>
      </c>
      <c r="G6" s="195" t="s">
        <v>141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10</v>
      </c>
      <c r="D7" s="13">
        <f t="shared" si="1"/>
        <v>7810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130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111</v>
      </c>
      <c r="D9" s="13">
        <f t="shared" si="1"/>
        <v>81363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127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13</v>
      </c>
      <c r="D13" s="48">
        <f t="shared" si="1"/>
        <v>3991</v>
      </c>
      <c r="F13" s="214" t="s">
        <v>36</v>
      </c>
      <c r="G13" s="178"/>
      <c r="H13" s="169">
        <f>D29</f>
        <v>363462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13</v>
      </c>
      <c r="D14" s="31">
        <f t="shared" si="1"/>
        <v>143</v>
      </c>
      <c r="F14" s="172" t="s">
        <v>39</v>
      </c>
      <c r="G14" s="173"/>
      <c r="H14" s="174">
        <f>D54</f>
        <v>54750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308712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>
        <v>2472</v>
      </c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112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9">
        <v>50</v>
      </c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104</v>
      </c>
      <c r="C22" s="10"/>
      <c r="D22" s="48">
        <f t="shared" si="1"/>
        <v>0</v>
      </c>
      <c r="F22" s="77"/>
      <c r="G22" s="73"/>
      <c r="H22" s="158"/>
      <c r="I22" s="158"/>
      <c r="J22" s="15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107</v>
      </c>
      <c r="C23" s="10"/>
      <c r="D23" s="48">
        <f t="shared" si="1"/>
        <v>0</v>
      </c>
      <c r="F23" s="78"/>
      <c r="G23" s="79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101</v>
      </c>
      <c r="C24" s="10"/>
      <c r="D24" s="48">
        <f t="shared" si="1"/>
        <v>0</v>
      </c>
      <c r="F24" s="38"/>
      <c r="G24" s="37"/>
      <c r="H24" s="216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363462</v>
      </c>
      <c r="F29" s="91" t="s">
        <v>55</v>
      </c>
      <c r="G29" s="152"/>
      <c r="H29" s="113">
        <f>H15-H16-H17-H18-H19-H20-H22-H23-H24+H26+H27</f>
        <v>306190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34">
        <f>F34*G34</f>
        <v>63000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34">
        <f>F35*G35</f>
        <v>15500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>
        <f t="shared" ref="H36:H39" si="2">F36*G36</f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34">
        <f t="shared" si="2"/>
        <v>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34">
        <f t="shared" si="2"/>
        <v>50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34">
        <f t="shared" si="2"/>
        <v>300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>
        <v>2</v>
      </c>
      <c r="D42" s="12">
        <f>C42*2.25</f>
        <v>4.5</v>
      </c>
      <c r="F42" s="39" t="s">
        <v>79</v>
      </c>
      <c r="G42" s="134">
        <v>3162</v>
      </c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30">
        <v>225117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4</v>
      </c>
      <c r="D49" s="12">
        <f>C49*42</f>
        <v>168</v>
      </c>
      <c r="F49" s="111" t="s">
        <v>86</v>
      </c>
      <c r="G49" s="113">
        <f>H34+H35+H36+H37+H38+H39+H40+H41+G42+H44+H45+H46</f>
        <v>307129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9</v>
      </c>
      <c r="D50" s="12">
        <f>C50*1.5</f>
        <v>13.5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138</v>
      </c>
      <c r="G51" s="226">
        <f>G49-H29</f>
        <v>939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7" t="s">
        <v>7</v>
      </c>
      <c r="B4" s="138"/>
      <c r="C4" s="138"/>
      <c r="D4" s="139"/>
      <c r="F4" s="183" t="s">
        <v>8</v>
      </c>
      <c r="G4" s="185"/>
      <c r="H4" s="187" t="s">
        <v>9</v>
      </c>
      <c r="I4" s="189"/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93" t="s">
        <v>16</v>
      </c>
      <c r="G6" s="195"/>
      <c r="H6" s="196"/>
      <c r="I6" s="196"/>
      <c r="J6" s="19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201" t="s">
        <v>21</v>
      </c>
      <c r="G8" s="202"/>
      <c r="H8" s="203"/>
      <c r="I8" s="203"/>
      <c r="J8" s="20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93" t="s">
        <v>26</v>
      </c>
      <c r="G10" s="208"/>
      <c r="H10" s="209"/>
      <c r="I10" s="209"/>
      <c r="J10" s="210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214" t="s">
        <v>36</v>
      </c>
      <c r="G13" s="17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77" t="s">
        <v>40</v>
      </c>
      <c r="G15" s="178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50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7"/>
      <c r="G22" s="73"/>
      <c r="H22" s="158"/>
      <c r="I22" s="158"/>
      <c r="J22" s="15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8"/>
      <c r="G23" s="79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216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86"/>
      <c r="G28" s="61"/>
      <c r="H28" s="166"/>
      <c r="I28" s="167"/>
      <c r="J28" s="16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4" t="s">
        <v>36</v>
      </c>
      <c r="B29" s="145"/>
      <c r="C29" s="146"/>
      <c r="D29" s="150">
        <f>SUM(D6:D28)</f>
        <v>0</v>
      </c>
      <c r="F29" s="91" t="s">
        <v>55</v>
      </c>
      <c r="G29" s="152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4"/>
      <c r="I34" s="135"/>
      <c r="J34" s="1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/>
      <c r="H35" s="134"/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/>
      <c r="I36" s="135"/>
      <c r="J36" s="1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4"/>
      <c r="I37" s="135"/>
      <c r="J37" s="1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/>
      <c r="H38" s="134"/>
      <c r="I38" s="135"/>
      <c r="J38" s="1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/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125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1</v>
      </c>
      <c r="H4" s="187" t="s">
        <v>9</v>
      </c>
      <c r="I4" s="189">
        <v>46088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319</v>
      </c>
      <c r="D6" s="13">
        <f t="shared" ref="D6:D28" si="1">C6*L6</f>
        <v>242759</v>
      </c>
      <c r="F6" s="193" t="s">
        <v>16</v>
      </c>
      <c r="G6" s="195" t="s">
        <v>111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>
        <v>50</v>
      </c>
      <c r="D8" s="13">
        <f t="shared" si="1"/>
        <v>54650</v>
      </c>
      <c r="F8" s="201" t="s">
        <v>21</v>
      </c>
      <c r="G8" s="202" t="s">
        <v>144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17</v>
      </c>
      <c r="D9" s="13">
        <f t="shared" si="1"/>
        <v>12461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139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>
        <v>2</v>
      </c>
      <c r="D11" s="13">
        <f t="shared" si="1"/>
        <v>2340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1</v>
      </c>
      <c r="D12" s="48">
        <f t="shared" si="1"/>
        <v>992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</v>
      </c>
      <c r="D13" s="48">
        <f t="shared" si="1"/>
        <v>307</v>
      </c>
      <c r="F13" s="214" t="s">
        <v>36</v>
      </c>
      <c r="G13" s="178"/>
      <c r="H13" s="169">
        <f>D29</f>
        <v>319434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42474.75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276959.25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32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58">
        <v>51622</v>
      </c>
      <c r="I22" s="158"/>
      <c r="J22" s="15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101</v>
      </c>
      <c r="C23" s="10"/>
      <c r="D23" s="48">
        <f t="shared" si="1"/>
        <v>0</v>
      </c>
      <c r="F23" s="77"/>
      <c r="G23" s="79"/>
      <c r="H23" s="159"/>
      <c r="I23" s="160"/>
      <c r="J23" s="1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118</v>
      </c>
      <c r="C24" s="10"/>
      <c r="D24" s="48">
        <f t="shared" si="1"/>
        <v>0</v>
      </c>
      <c r="F24" s="77"/>
      <c r="G24" s="79"/>
      <c r="H24" s="159"/>
      <c r="I24" s="160"/>
      <c r="J24" s="1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110</v>
      </c>
      <c r="C27" s="10"/>
      <c r="D27" s="44">
        <f t="shared" si="1"/>
        <v>0</v>
      </c>
      <c r="F27" s="71"/>
      <c r="G27" s="89"/>
      <c r="H27" s="164"/>
      <c r="I27" s="165"/>
      <c r="J27" s="1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>
        <v>1</v>
      </c>
      <c r="D28" s="48">
        <f t="shared" si="1"/>
        <v>811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319434</v>
      </c>
      <c r="F29" s="91" t="s">
        <v>55</v>
      </c>
      <c r="G29" s="152"/>
      <c r="H29" s="113">
        <f>H15-H16-H17-H18-H19-H20-H22-H23-H24+H26+H27+H28</f>
        <v>225337.25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134">
        <f t="shared" ref="H34:H39" si="2">F34*G34</f>
        <v>82000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/>
      <c r="H35" s="134">
        <f t="shared" si="2"/>
        <v>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34">
        <f t="shared" si="2"/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134">
        <f t="shared" si="2"/>
        <v>200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34">
        <f t="shared" si="2"/>
        <v>50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>
        <v>9</v>
      </c>
      <c r="D42" s="12">
        <f>C42*2.25</f>
        <v>20.25</v>
      </c>
      <c r="F42" s="39" t="s">
        <v>79</v>
      </c>
      <c r="G42" s="134">
        <v>106</v>
      </c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30">
        <v>141334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3</v>
      </c>
      <c r="D46" s="12">
        <f>C46*1.5</f>
        <v>4.5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223690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8</v>
      </c>
      <c r="D50" s="12">
        <f>C50*1.5</f>
        <v>12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128</v>
      </c>
      <c r="G51" s="232">
        <f>G49-H29</f>
        <v>-1647.25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2</v>
      </c>
      <c r="H4" s="187" t="s">
        <v>9</v>
      </c>
      <c r="I4" s="189">
        <v>46088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385</v>
      </c>
      <c r="D6" s="13">
        <f t="shared" ref="D6:D28" si="1">C6*L6</f>
        <v>292985</v>
      </c>
      <c r="F6" s="193" t="s">
        <v>16</v>
      </c>
      <c r="G6" s="195" t="s">
        <v>126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4</v>
      </c>
      <c r="D7" s="13">
        <f t="shared" si="1"/>
        <v>3124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113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68</v>
      </c>
      <c r="D9" s="13">
        <f t="shared" si="1"/>
        <v>49844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114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2</v>
      </c>
      <c r="D12" s="48">
        <f t="shared" si="1"/>
        <v>1984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10</v>
      </c>
      <c r="D13" s="48">
        <f t="shared" si="1"/>
        <v>3070</v>
      </c>
      <c r="F13" s="214" t="s">
        <v>36</v>
      </c>
      <c r="G13" s="178"/>
      <c r="H13" s="169">
        <f>D29</f>
        <v>351657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33426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318231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>
        <v>1200</v>
      </c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104</v>
      </c>
      <c r="C22" s="10"/>
      <c r="D22" s="48">
        <f t="shared" si="1"/>
        <v>0</v>
      </c>
      <c r="F22" s="72"/>
      <c r="G22" s="73"/>
      <c r="H22" s="158"/>
      <c r="I22" s="158"/>
      <c r="J22" s="15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107</v>
      </c>
      <c r="C23" s="10"/>
      <c r="D23" s="48">
        <f t="shared" si="1"/>
        <v>0</v>
      </c>
      <c r="F23" s="25"/>
      <c r="G23" s="37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120</v>
      </c>
      <c r="C24" s="10"/>
      <c r="D24" s="48">
        <f t="shared" si="1"/>
        <v>0</v>
      </c>
      <c r="F24" s="38"/>
      <c r="G24" s="37"/>
      <c r="H24" s="216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105</v>
      </c>
      <c r="C26" s="10"/>
      <c r="D26" s="48">
        <f t="shared" si="1"/>
        <v>0</v>
      </c>
      <c r="F26" s="64"/>
      <c r="G26" s="10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109</v>
      </c>
      <c r="C27" s="10"/>
      <c r="D27" s="44">
        <f t="shared" si="1"/>
        <v>0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351657</v>
      </c>
      <c r="F29" s="91" t="s">
        <v>55</v>
      </c>
      <c r="G29" s="152"/>
      <c r="H29" s="113">
        <f>H15-H16-H17-H18-H19-H20-H22-H23-H24+H26+H27</f>
        <v>317031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134">
        <f>F34*G34</f>
        <v>131000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34">
        <f t="shared" ref="H35:H39" si="2">F35*G35</f>
        <v>40000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>
        <f>F36*G36</f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134">
        <f t="shared" si="2"/>
        <v>400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34">
        <f t="shared" si="2"/>
        <v>50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34">
        <f t="shared" si="2"/>
        <v>20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>
        <v>12</v>
      </c>
      <c r="D42" s="12">
        <f>C42*2.25</f>
        <v>27</v>
      </c>
      <c r="F42" s="39" t="s">
        <v>79</v>
      </c>
      <c r="G42" s="134">
        <v>18</v>
      </c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30">
        <v>145531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>
        <v>2</v>
      </c>
      <c r="D45" s="12">
        <f>C45*84</f>
        <v>168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</v>
      </c>
      <c r="D49" s="12">
        <f>C49*42</f>
        <v>42</v>
      </c>
      <c r="F49" s="111" t="s">
        <v>86</v>
      </c>
      <c r="G49" s="113">
        <f>H34+H35+H36+H37+H38+H39+H40+H41+G42+H44+H45+H46</f>
        <v>317019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73</v>
      </c>
      <c r="D50" s="12">
        <f>C50*1.5</f>
        <v>109.5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162</v>
      </c>
      <c r="G51" s="232">
        <f>G49-H29</f>
        <v>-12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3</v>
      </c>
      <c r="H4" s="187" t="s">
        <v>9</v>
      </c>
      <c r="I4" s="189">
        <v>46088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432</v>
      </c>
      <c r="D6" s="13">
        <f t="shared" ref="D6:D28" si="1">C6*L6</f>
        <v>328752</v>
      </c>
      <c r="F6" s="193" t="s">
        <v>16</v>
      </c>
      <c r="G6" s="195" t="s">
        <v>141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12</v>
      </c>
      <c r="D7" s="13">
        <f t="shared" si="1"/>
        <v>9372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130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59</v>
      </c>
      <c r="D9" s="13">
        <f t="shared" si="1"/>
        <v>43247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127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2</v>
      </c>
      <c r="D12" s="48">
        <f t="shared" si="1"/>
        <v>1984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19</v>
      </c>
      <c r="D13" s="48">
        <f t="shared" si="1"/>
        <v>5833</v>
      </c>
      <c r="F13" s="214" t="s">
        <v>36</v>
      </c>
      <c r="G13" s="178"/>
      <c r="H13" s="169">
        <f>D29</f>
        <v>412474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58906.5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353567.5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>
        <f>2736</f>
        <v>2736</v>
      </c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104</v>
      </c>
      <c r="C22" s="10"/>
      <c r="D22" s="48">
        <f t="shared" si="1"/>
        <v>0</v>
      </c>
      <c r="F22" s="77"/>
      <c r="G22" s="73"/>
      <c r="H22" s="158"/>
      <c r="I22" s="158"/>
      <c r="J22" s="15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107</v>
      </c>
      <c r="C23" s="10"/>
      <c r="D23" s="48">
        <f t="shared" si="1"/>
        <v>0</v>
      </c>
      <c r="F23" s="78"/>
      <c r="G23" s="79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101</v>
      </c>
      <c r="C24" s="10"/>
      <c r="D24" s="48">
        <f t="shared" si="1"/>
        <v>0</v>
      </c>
      <c r="F24" s="38"/>
      <c r="G24" s="37"/>
      <c r="H24" s="216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412474</v>
      </c>
      <c r="F29" s="91" t="s">
        <v>55</v>
      </c>
      <c r="G29" s="152"/>
      <c r="H29" s="113">
        <f>H15-H16-H17-H18-H19-H20-H22-H23-H24+H26+H27</f>
        <v>350831.5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34">
        <f>F34*G34</f>
        <v>100000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34">
        <f>F35*G35</f>
        <v>15500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>
        <f t="shared" ref="H36:H39" si="2">F36*G36</f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134">
        <f t="shared" si="2"/>
        <v>4100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34">
        <f t="shared" si="2"/>
        <v>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>
        <v>2</v>
      </c>
      <c r="D42" s="12">
        <f>C42*2.25</f>
        <v>4.5</v>
      </c>
      <c r="F42" s="39" t="s">
        <v>79</v>
      </c>
      <c r="G42" s="134">
        <v>24</v>
      </c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30">
        <v>70468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30">
        <v>162086</v>
      </c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2</v>
      </c>
      <c r="D46" s="12">
        <f>C46*1.5</f>
        <v>3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18</v>
      </c>
      <c r="D49" s="12">
        <f>C49*42</f>
        <v>756</v>
      </c>
      <c r="F49" s="111" t="s">
        <v>86</v>
      </c>
      <c r="G49" s="113">
        <f>H34+H35+H36+H37+H38+H39+H40+H41+G42+H44+H45+H46</f>
        <v>352178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19</v>
      </c>
      <c r="D50" s="12">
        <f>C50*1.5</f>
        <v>28.5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138</v>
      </c>
      <c r="G51" s="226">
        <f>G49-H29</f>
        <v>1346.5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7" t="s">
        <v>7</v>
      </c>
      <c r="B4" s="138"/>
      <c r="C4" s="138"/>
      <c r="D4" s="139"/>
      <c r="F4" s="183" t="s">
        <v>8</v>
      </c>
      <c r="G4" s="185"/>
      <c r="H4" s="187" t="s">
        <v>9</v>
      </c>
      <c r="I4" s="189"/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93" t="s">
        <v>16</v>
      </c>
      <c r="G6" s="195"/>
      <c r="H6" s="196"/>
      <c r="I6" s="196"/>
      <c r="J6" s="19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201" t="s">
        <v>21</v>
      </c>
      <c r="G8" s="202"/>
      <c r="H8" s="203"/>
      <c r="I8" s="203"/>
      <c r="J8" s="20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93" t="s">
        <v>26</v>
      </c>
      <c r="G10" s="208"/>
      <c r="H10" s="209"/>
      <c r="I10" s="209"/>
      <c r="J10" s="210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214" t="s">
        <v>36</v>
      </c>
      <c r="G13" s="17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77" t="s">
        <v>40</v>
      </c>
      <c r="G15" s="178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50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7"/>
      <c r="G22" s="73"/>
      <c r="H22" s="158"/>
      <c r="I22" s="158"/>
      <c r="J22" s="15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8"/>
      <c r="G23" s="79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216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86"/>
      <c r="G28" s="61"/>
      <c r="H28" s="166"/>
      <c r="I28" s="167"/>
      <c r="J28" s="16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4" t="s">
        <v>36</v>
      </c>
      <c r="B29" s="145"/>
      <c r="C29" s="146"/>
      <c r="D29" s="150">
        <f>SUM(D6:D28)</f>
        <v>0</v>
      </c>
      <c r="F29" s="91" t="s">
        <v>55</v>
      </c>
      <c r="G29" s="152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4"/>
      <c r="I34" s="135"/>
      <c r="J34" s="1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/>
      <c r="H35" s="134"/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/>
      <c r="I36" s="135"/>
      <c r="J36" s="1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4"/>
      <c r="I37" s="135"/>
      <c r="J37" s="1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/>
      <c r="H38" s="134"/>
      <c r="I38" s="135"/>
      <c r="J38" s="1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/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125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1</v>
      </c>
      <c r="H4" s="187" t="s">
        <v>9</v>
      </c>
      <c r="I4" s="189">
        <v>46090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558</v>
      </c>
      <c r="D6" s="13">
        <f t="shared" ref="D6:D28" si="1">C6*L6</f>
        <v>424638</v>
      </c>
      <c r="F6" s="193" t="s">
        <v>16</v>
      </c>
      <c r="G6" s="195" t="s">
        <v>111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55</v>
      </c>
      <c r="D7" s="13">
        <f t="shared" si="1"/>
        <v>42955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144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67</v>
      </c>
      <c r="D9" s="13">
        <f t="shared" si="1"/>
        <v>49111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>
        <v>1</v>
      </c>
      <c r="D10" s="13">
        <f t="shared" si="1"/>
        <v>1032</v>
      </c>
      <c r="F10" s="193" t="s">
        <v>26</v>
      </c>
      <c r="G10" s="208" t="s">
        <v>139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1</v>
      </c>
      <c r="D12" s="48">
        <f t="shared" si="1"/>
        <v>992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20</v>
      </c>
      <c r="D13" s="48">
        <f t="shared" si="1"/>
        <v>6140</v>
      </c>
      <c r="F13" s="214" t="s">
        <v>36</v>
      </c>
      <c r="G13" s="178"/>
      <c r="H13" s="169">
        <f>D29</f>
        <v>529181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5</v>
      </c>
      <c r="D14" s="31">
        <f t="shared" si="1"/>
        <v>55</v>
      </c>
      <c r="F14" s="172" t="s">
        <v>39</v>
      </c>
      <c r="G14" s="173"/>
      <c r="H14" s="174">
        <f>D54</f>
        <v>67908.75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>
        <v>1</v>
      </c>
      <c r="D15" s="31">
        <f t="shared" si="1"/>
        <v>620</v>
      </c>
      <c r="F15" s="177" t="s">
        <v>40</v>
      </c>
      <c r="G15" s="178"/>
      <c r="H15" s="179">
        <f>H13-H14</f>
        <v>461272.25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>
        <f>534*6</f>
        <v>3204</v>
      </c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32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124</v>
      </c>
      <c r="C22" s="10"/>
      <c r="D22" s="48">
        <f t="shared" si="1"/>
        <v>0</v>
      </c>
      <c r="F22" s="77"/>
      <c r="G22" s="73"/>
      <c r="H22" s="158"/>
      <c r="I22" s="158"/>
      <c r="J22" s="15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101</v>
      </c>
      <c r="C23" s="10"/>
      <c r="D23" s="48">
        <f t="shared" si="1"/>
        <v>0</v>
      </c>
      <c r="F23" s="77"/>
      <c r="G23" s="79"/>
      <c r="H23" s="159"/>
      <c r="I23" s="160"/>
      <c r="J23" s="1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179</v>
      </c>
      <c r="C24" s="10">
        <v>12</v>
      </c>
      <c r="D24" s="48">
        <f t="shared" si="1"/>
        <v>474</v>
      </c>
      <c r="F24" s="77"/>
      <c r="G24" s="79"/>
      <c r="H24" s="159"/>
      <c r="I24" s="160"/>
      <c r="J24" s="160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30">
        <v>51622</v>
      </c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110</v>
      </c>
      <c r="C27" s="10"/>
      <c r="D27" s="44">
        <f t="shared" si="1"/>
        <v>0</v>
      </c>
      <c r="F27" s="71"/>
      <c r="G27" s="89"/>
      <c r="H27" s="164"/>
      <c r="I27" s="165"/>
      <c r="J27" s="1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529181</v>
      </c>
      <c r="F29" s="91" t="s">
        <v>55</v>
      </c>
      <c r="G29" s="152"/>
      <c r="H29" s="113">
        <f>H15-H16-H17-H18-H19-H20-H22-H23-H24+H26+H27+H28</f>
        <v>509690.25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134">
        <f t="shared" ref="H34:H39" si="2">F34*G34</f>
        <v>129000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34">
        <f t="shared" si="2"/>
        <v>19500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34">
        <f t="shared" si="2"/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134">
        <f t="shared" si="2"/>
        <v>500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134">
        <f t="shared" si="2"/>
        <v>50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>
        <v>7</v>
      </c>
      <c r="D42" s="12">
        <f>C42*2.25</f>
        <v>15.75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30">
        <v>359981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>
        <v>1</v>
      </c>
      <c r="D45" s="12">
        <f>C45*84</f>
        <v>84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509031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19</v>
      </c>
      <c r="D50" s="12">
        <f>C50*1.5</f>
        <v>28.5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128</v>
      </c>
      <c r="G51" s="232">
        <f>G49-H29</f>
        <v>-659.25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2</v>
      </c>
      <c r="H4" s="187" t="s">
        <v>9</v>
      </c>
      <c r="I4" s="189">
        <v>46090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538</v>
      </c>
      <c r="D6" s="13">
        <f t="shared" ref="D6:D28" si="1">C6*L6</f>
        <v>409418</v>
      </c>
      <c r="F6" s="193" t="s">
        <v>16</v>
      </c>
      <c r="G6" s="195" t="s">
        <v>126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1</v>
      </c>
      <c r="D7" s="13">
        <f t="shared" si="1"/>
        <v>781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113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118</v>
      </c>
      <c r="D9" s="13">
        <f t="shared" si="1"/>
        <v>86494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114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20</v>
      </c>
      <c r="D13" s="48">
        <f t="shared" si="1"/>
        <v>6140</v>
      </c>
      <c r="F13" s="214" t="s">
        <v>36</v>
      </c>
      <c r="G13" s="178"/>
      <c r="H13" s="169">
        <f>D29</f>
        <v>502921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8</v>
      </c>
      <c r="D14" s="31">
        <f t="shared" si="1"/>
        <v>88</v>
      </c>
      <c r="F14" s="172" t="s">
        <v>39</v>
      </c>
      <c r="G14" s="173"/>
      <c r="H14" s="174">
        <f>D54</f>
        <v>75838.5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427082.5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>
        <f>900+1824+648</f>
        <v>3372</v>
      </c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104</v>
      </c>
      <c r="C22" s="10"/>
      <c r="D22" s="48">
        <f t="shared" si="1"/>
        <v>0</v>
      </c>
      <c r="F22" s="72"/>
      <c r="G22" s="73"/>
      <c r="H22" s="158"/>
      <c r="I22" s="158"/>
      <c r="J22" s="15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107</v>
      </c>
      <c r="C23" s="10"/>
      <c r="D23" s="48">
        <f t="shared" si="1"/>
        <v>0</v>
      </c>
      <c r="F23" s="25"/>
      <c r="G23" s="37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120</v>
      </c>
      <c r="C24" s="10"/>
      <c r="D24" s="48">
        <f t="shared" si="1"/>
        <v>0</v>
      </c>
      <c r="F24" s="38"/>
      <c r="G24" s="37"/>
      <c r="H24" s="216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105</v>
      </c>
      <c r="C26" s="10"/>
      <c r="D26" s="48">
        <f t="shared" si="1"/>
        <v>0</v>
      </c>
      <c r="F26" s="64"/>
      <c r="G26" s="10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109</v>
      </c>
      <c r="C27" s="10"/>
      <c r="D27" s="44">
        <f t="shared" si="1"/>
        <v>0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502921</v>
      </c>
      <c r="F29" s="91" t="s">
        <v>55</v>
      </c>
      <c r="G29" s="152"/>
      <c r="H29" s="113">
        <f>H15-H16-H17-H18-H19-H20-H22-H23-H24+H26+H27</f>
        <v>423710.5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134">
        <f>F34*G34</f>
        <v>340000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34">
        <f t="shared" ref="H35:H39" si="2">F35*G35</f>
        <v>12500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>
        <f>F36*G36</f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134">
        <f t="shared" si="2"/>
        <v>400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34">
        <f t="shared" si="2"/>
        <v>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34">
        <f t="shared" si="2"/>
        <v>40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>
        <v>100</v>
      </c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172</v>
      </c>
      <c r="G44" s="76" t="s">
        <v>182</v>
      </c>
      <c r="H44" s="130">
        <v>70473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14</v>
      </c>
      <c r="D49" s="12">
        <f>C49*42</f>
        <v>588</v>
      </c>
      <c r="F49" s="111" t="s">
        <v>86</v>
      </c>
      <c r="G49" s="113">
        <f>H34+H35+H36+H37+H38+H39+H40+H41+G42+H44+H45+H46</f>
        <v>423513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21</v>
      </c>
      <c r="D50" s="12">
        <f>C50*1.5</f>
        <v>31.5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162</v>
      </c>
      <c r="G51" s="232">
        <f>G49-H29</f>
        <v>-197.5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3</v>
      </c>
      <c r="H4" s="187" t="s">
        <v>9</v>
      </c>
      <c r="I4" s="189">
        <v>46090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369</v>
      </c>
      <c r="D6" s="13">
        <f t="shared" ref="D6:D28" si="1">C6*L6</f>
        <v>280809</v>
      </c>
      <c r="F6" s="193" t="s">
        <v>16</v>
      </c>
      <c r="G6" s="195" t="s">
        <v>141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11</v>
      </c>
      <c r="D7" s="13">
        <f t="shared" si="1"/>
        <v>8591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>
        <v>1</v>
      </c>
      <c r="D8" s="13">
        <f t="shared" si="1"/>
        <v>1093</v>
      </c>
      <c r="F8" s="201" t="s">
        <v>21</v>
      </c>
      <c r="G8" s="202" t="s">
        <v>130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63</v>
      </c>
      <c r="D9" s="13">
        <f t="shared" si="1"/>
        <v>46179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127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2</v>
      </c>
      <c r="D12" s="48">
        <f t="shared" si="1"/>
        <v>1984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15</v>
      </c>
      <c r="D13" s="48">
        <f t="shared" si="1"/>
        <v>4605</v>
      </c>
      <c r="F13" s="214" t="s">
        <v>36</v>
      </c>
      <c r="G13" s="178"/>
      <c r="H13" s="169">
        <f>D29</f>
        <v>344843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25784.25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319058.75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>
        <f>300</f>
        <v>300</v>
      </c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112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104</v>
      </c>
      <c r="C22" s="10"/>
      <c r="D22" s="48">
        <f t="shared" si="1"/>
        <v>0</v>
      </c>
      <c r="F22" s="77"/>
      <c r="G22" s="73"/>
      <c r="H22" s="158"/>
      <c r="I22" s="158"/>
      <c r="J22" s="15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107</v>
      </c>
      <c r="C23" s="10"/>
      <c r="D23" s="48">
        <f t="shared" si="1"/>
        <v>0</v>
      </c>
      <c r="F23" s="78"/>
      <c r="G23" s="79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101</v>
      </c>
      <c r="C24" s="10"/>
      <c r="D24" s="48">
        <f t="shared" si="1"/>
        <v>0</v>
      </c>
      <c r="F24" s="38"/>
      <c r="G24" s="37"/>
      <c r="H24" s="216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109</v>
      </c>
      <c r="C27" s="10">
        <v>1</v>
      </c>
      <c r="D27" s="44">
        <f t="shared" si="1"/>
        <v>1582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344843</v>
      </c>
      <c r="F29" s="91" t="s">
        <v>55</v>
      </c>
      <c r="G29" s="152"/>
      <c r="H29" s="113">
        <f>H15-H16-H17-H18-H19-H20-H22-H23-H24+H26+H27</f>
        <v>318758.75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134">
        <f>F34*G34</f>
        <v>114000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134">
        <f>F35*G35</f>
        <v>33000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>
        <f t="shared" ref="H36:H39" si="2">F36*G36</f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134">
        <f t="shared" si="2"/>
        <v>1700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134">
        <f t="shared" si="2"/>
        <v>1550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>
        <v>7</v>
      </c>
      <c r="D42" s="12">
        <f>C42*2.25</f>
        <v>15.75</v>
      </c>
      <c r="F42" s="39" t="s">
        <v>79</v>
      </c>
      <c r="G42" s="134">
        <v>43</v>
      </c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30">
        <v>168245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</v>
      </c>
      <c r="D49" s="12">
        <f>C49*42</f>
        <v>42</v>
      </c>
      <c r="F49" s="111" t="s">
        <v>86</v>
      </c>
      <c r="G49" s="113">
        <f>H34+H35+H36+H37+H38+H39+H40+H41+G42+H44+H45+H46</f>
        <v>318538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9</v>
      </c>
      <c r="D50" s="12">
        <f>C50*1.5</f>
        <v>13.5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128</v>
      </c>
      <c r="G51" s="232">
        <f>G49-H29</f>
        <v>-220.75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7" t="s">
        <v>7</v>
      </c>
      <c r="B4" s="138"/>
      <c r="C4" s="138"/>
      <c r="D4" s="139"/>
      <c r="F4" s="183" t="s">
        <v>8</v>
      </c>
      <c r="G4" s="185"/>
      <c r="H4" s="187" t="s">
        <v>9</v>
      </c>
      <c r="I4" s="189"/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93" t="s">
        <v>16</v>
      </c>
      <c r="G6" s="195"/>
      <c r="H6" s="196"/>
      <c r="I6" s="196"/>
      <c r="J6" s="19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201" t="s">
        <v>21</v>
      </c>
      <c r="G8" s="202"/>
      <c r="H8" s="203"/>
      <c r="I8" s="203"/>
      <c r="J8" s="20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93" t="s">
        <v>26</v>
      </c>
      <c r="G10" s="208"/>
      <c r="H10" s="209"/>
      <c r="I10" s="209"/>
      <c r="J10" s="210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214" t="s">
        <v>36</v>
      </c>
      <c r="G13" s="17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77" t="s">
        <v>40</v>
      </c>
      <c r="G15" s="178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50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7"/>
      <c r="G22" s="73"/>
      <c r="H22" s="158"/>
      <c r="I22" s="158"/>
      <c r="J22" s="15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8"/>
      <c r="G23" s="79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216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86"/>
      <c r="G28" s="61"/>
      <c r="H28" s="166"/>
      <c r="I28" s="167"/>
      <c r="J28" s="16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4" t="s">
        <v>36</v>
      </c>
      <c r="B29" s="145"/>
      <c r="C29" s="146"/>
      <c r="D29" s="150">
        <f>SUM(D6:D28)</f>
        <v>0</v>
      </c>
      <c r="F29" s="91" t="s">
        <v>55</v>
      </c>
      <c r="G29" s="152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4"/>
      <c r="I34" s="135"/>
      <c r="J34" s="1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/>
      <c r="H35" s="134"/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/>
      <c r="I36" s="135"/>
      <c r="J36" s="1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4"/>
      <c r="I37" s="135"/>
      <c r="J37" s="1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/>
      <c r="H38" s="134"/>
      <c r="I38" s="135"/>
      <c r="J38" s="1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/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125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1</v>
      </c>
      <c r="H4" s="187" t="s">
        <v>9</v>
      </c>
      <c r="I4" s="189">
        <v>46091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324</v>
      </c>
      <c r="D6" s="13">
        <f t="shared" ref="D6:D28" si="1">C6*L6</f>
        <v>246564</v>
      </c>
      <c r="F6" s="193" t="s">
        <v>16</v>
      </c>
      <c r="G6" s="195" t="s">
        <v>111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3</v>
      </c>
      <c r="D7" s="13">
        <f t="shared" si="1"/>
        <v>2343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144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20</v>
      </c>
      <c r="D9" s="13">
        <f t="shared" si="1"/>
        <v>14660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139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5</v>
      </c>
      <c r="D13" s="48">
        <f t="shared" si="1"/>
        <v>1535</v>
      </c>
      <c r="F13" s="214" t="s">
        <v>36</v>
      </c>
      <c r="G13" s="178"/>
      <c r="H13" s="169">
        <f>D29</f>
        <v>267570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6</v>
      </c>
      <c r="D14" s="31">
        <f t="shared" si="1"/>
        <v>66</v>
      </c>
      <c r="F14" s="172" t="s">
        <v>39</v>
      </c>
      <c r="G14" s="173"/>
      <c r="H14" s="174">
        <f>D54</f>
        <v>39540.75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228029.25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133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43">
        <v>50</v>
      </c>
      <c r="I19" s="143"/>
      <c r="J19" s="143"/>
      <c r="L19" s="6">
        <v>1102</v>
      </c>
      <c r="Q19" s="4"/>
      <c r="R19" s="5">
        <f t="shared" si="0"/>
        <v>0</v>
      </c>
    </row>
    <row r="20" spans="1:18" ht="15.75" x14ac:dyDescent="0.25">
      <c r="A20" s="132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124</v>
      </c>
      <c r="C22" s="10"/>
      <c r="D22" s="48">
        <f t="shared" si="1"/>
        <v>0</v>
      </c>
      <c r="F22" s="77"/>
      <c r="G22" s="73"/>
      <c r="H22" s="158"/>
      <c r="I22" s="158"/>
      <c r="J22" s="15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101</v>
      </c>
      <c r="C23" s="10"/>
      <c r="D23" s="48">
        <f t="shared" si="1"/>
        <v>0</v>
      </c>
      <c r="F23" s="77"/>
      <c r="G23" s="79"/>
      <c r="H23" s="159"/>
      <c r="I23" s="160"/>
      <c r="J23" s="1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118</v>
      </c>
      <c r="C24" s="10"/>
      <c r="D24" s="48">
        <f t="shared" si="1"/>
        <v>0</v>
      </c>
      <c r="F24" s="77"/>
      <c r="G24" s="79"/>
      <c r="H24" s="159"/>
      <c r="I24" s="160"/>
      <c r="J24" s="1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110</v>
      </c>
      <c r="C27" s="10"/>
      <c r="D27" s="44">
        <f t="shared" si="1"/>
        <v>0</v>
      </c>
      <c r="F27" s="71"/>
      <c r="G27" s="89"/>
      <c r="H27" s="164"/>
      <c r="I27" s="165"/>
      <c r="J27" s="1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267570</v>
      </c>
      <c r="F29" s="91" t="s">
        <v>55</v>
      </c>
      <c r="G29" s="152"/>
      <c r="H29" s="113">
        <f>H15-H16-H17-H18-H19-H20-H22-H23-H24+H26+H27+H28</f>
        <v>227979.25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34">
        <f t="shared" ref="H34:H39" si="2">F34*G34</f>
        <v>195000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134">
        <f t="shared" si="2"/>
        <v>27000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34">
        <f t="shared" si="2"/>
        <v>800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42</v>
      </c>
      <c r="H37" s="134">
        <f t="shared" si="2"/>
        <v>4200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24</v>
      </c>
      <c r="H38" s="134">
        <f t="shared" si="2"/>
        <v>1200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2</v>
      </c>
      <c r="H39" s="134">
        <f t="shared" si="2"/>
        <v>40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>
        <v>5</v>
      </c>
      <c r="D42" s="12">
        <f>C42*2.25</f>
        <v>11.25</v>
      </c>
      <c r="F42" s="39" t="s">
        <v>79</v>
      </c>
      <c r="G42" s="134">
        <v>217</v>
      </c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84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</v>
      </c>
      <c r="D49" s="12">
        <f>C49*42</f>
        <v>42</v>
      </c>
      <c r="F49" s="111" t="s">
        <v>86</v>
      </c>
      <c r="G49" s="113">
        <f>H34+H35+H36+H37+H38+H39+H40+H41+G42+H44+H45+H46</f>
        <v>228457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4</v>
      </c>
      <c r="D50" s="12">
        <f>C50*1.5</f>
        <v>6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184</v>
      </c>
      <c r="G51" s="121">
        <f>G49-H29</f>
        <v>477.75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39540.75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2</v>
      </c>
      <c r="H4" s="187" t="s">
        <v>9</v>
      </c>
      <c r="I4" s="189">
        <v>46091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311</v>
      </c>
      <c r="D6" s="13">
        <f t="shared" ref="D6:D28" si="1">C6*L6</f>
        <v>236671</v>
      </c>
      <c r="F6" s="193" t="s">
        <v>16</v>
      </c>
      <c r="G6" s="195" t="s">
        <v>126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6</v>
      </c>
      <c r="D7" s="13">
        <f t="shared" si="1"/>
        <v>4686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113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29</v>
      </c>
      <c r="D9" s="13">
        <f t="shared" si="1"/>
        <v>21257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114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11</v>
      </c>
      <c r="D13" s="48">
        <f t="shared" si="1"/>
        <v>3377</v>
      </c>
      <c r="F13" s="214" t="s">
        <v>36</v>
      </c>
      <c r="G13" s="178"/>
      <c r="H13" s="169">
        <f>D29</f>
        <v>266386.58333333331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6</v>
      </c>
      <c r="D14" s="31">
        <f t="shared" si="1"/>
        <v>66</v>
      </c>
      <c r="F14" s="172" t="s">
        <v>39</v>
      </c>
      <c r="G14" s="173"/>
      <c r="H14" s="174">
        <f>D54</f>
        <v>52669.5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213717.08333333331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>
        <f>108*6</f>
        <v>648</v>
      </c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104</v>
      </c>
      <c r="C22" s="10"/>
      <c r="D22" s="48">
        <f t="shared" si="1"/>
        <v>0</v>
      </c>
      <c r="F22" s="72"/>
      <c r="G22" s="73"/>
      <c r="H22" s="158"/>
      <c r="I22" s="158"/>
      <c r="J22" s="15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107</v>
      </c>
      <c r="C23" s="10"/>
      <c r="D23" s="48">
        <f t="shared" si="1"/>
        <v>0</v>
      </c>
      <c r="F23" s="25"/>
      <c r="G23" s="37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120</v>
      </c>
      <c r="C24" s="10"/>
      <c r="D24" s="48">
        <f t="shared" si="1"/>
        <v>0</v>
      </c>
      <c r="F24" s="38"/>
      <c r="G24" s="37"/>
      <c r="H24" s="216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105</v>
      </c>
      <c r="C26" s="10"/>
      <c r="D26" s="48">
        <f t="shared" si="1"/>
        <v>0</v>
      </c>
      <c r="F26" s="64"/>
      <c r="G26" s="10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109</v>
      </c>
      <c r="C27" s="10">
        <v>5</v>
      </c>
      <c r="D27" s="44">
        <f t="shared" si="1"/>
        <v>329.58333333333337</v>
      </c>
      <c r="F27" s="14"/>
      <c r="G27" s="14"/>
      <c r="H27" s="220"/>
      <c r="I27" s="221"/>
      <c r="J27" s="222"/>
      <c r="L27" s="7">
        <f>1582/24</f>
        <v>65.916666666666671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266386.58333333331</v>
      </c>
      <c r="F29" s="91" t="s">
        <v>55</v>
      </c>
      <c r="G29" s="152"/>
      <c r="H29" s="113">
        <f>H15-H16-H17-H18-H19-H20-H22-H23-H24+H26+H27</f>
        <v>213069.08333333331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127</v>
      </c>
      <c r="H34" s="134">
        <f>F34*G34</f>
        <v>127000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34">
        <f t="shared" ref="H35:H39" si="2">F35*G35</f>
        <v>25500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>
        <f>F36*G36</f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>
        <v>449</v>
      </c>
      <c r="D37" s="12">
        <f>C37*111</f>
        <v>49839</v>
      </c>
      <c r="F37" s="12">
        <v>100</v>
      </c>
      <c r="G37" s="39">
        <v>37</v>
      </c>
      <c r="H37" s="134">
        <f t="shared" si="2"/>
        <v>3700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5</v>
      </c>
      <c r="H38" s="134">
        <f t="shared" si="2"/>
        <v>250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>
        <v>10</v>
      </c>
      <c r="D42" s="12">
        <f>C42*2.25</f>
        <v>22.5</v>
      </c>
      <c r="F42" s="39" t="s">
        <v>79</v>
      </c>
      <c r="G42" s="134">
        <v>80</v>
      </c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172</v>
      </c>
      <c r="G44" s="76" t="s">
        <v>183</v>
      </c>
      <c r="H44" s="130">
        <v>56579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1</v>
      </c>
      <c r="D46" s="12">
        <f>C46*1.5</f>
        <v>1.5</v>
      </c>
      <c r="F46" s="37"/>
      <c r="G46" s="88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</v>
      </c>
      <c r="D49" s="12">
        <f>C49*42</f>
        <v>42</v>
      </c>
      <c r="F49" s="111" t="s">
        <v>86</v>
      </c>
      <c r="G49" s="113">
        <f>H34+H35+H36+H37+H38+H39+H40+H41+G42+H44+H45+H46</f>
        <v>213109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22</v>
      </c>
      <c r="D50" s="12">
        <f>C50*1.5</f>
        <v>33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135</v>
      </c>
      <c r="G51" s="226">
        <f>G49-H29</f>
        <v>39.916666666686069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52669.5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3</v>
      </c>
      <c r="H4" s="187" t="s">
        <v>9</v>
      </c>
      <c r="I4" s="189">
        <v>46091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329</v>
      </c>
      <c r="D6" s="13">
        <f t="shared" ref="D6:D28" si="1">C6*L6</f>
        <v>250369</v>
      </c>
      <c r="F6" s="193" t="s">
        <v>16</v>
      </c>
      <c r="G6" s="195" t="s">
        <v>141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5</v>
      </c>
      <c r="D7" s="13">
        <f t="shared" si="1"/>
        <v>3905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>
        <v>1</v>
      </c>
      <c r="D8" s="13">
        <f t="shared" si="1"/>
        <v>1093</v>
      </c>
      <c r="F8" s="201" t="s">
        <v>21</v>
      </c>
      <c r="G8" s="202" t="s">
        <v>130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21</v>
      </c>
      <c r="D9" s="13">
        <f t="shared" si="1"/>
        <v>15393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>
        <v>2</v>
      </c>
      <c r="D10" s="13">
        <f t="shared" si="1"/>
        <v>2064</v>
      </c>
      <c r="F10" s="193" t="s">
        <v>26</v>
      </c>
      <c r="G10" s="208" t="s">
        <v>127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v>2</v>
      </c>
      <c r="D12" s="48">
        <f t="shared" si="1"/>
        <v>1984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14</v>
      </c>
      <c r="D13" s="48">
        <f t="shared" si="1"/>
        <v>4298</v>
      </c>
      <c r="F13" s="214" t="s">
        <v>36</v>
      </c>
      <c r="G13" s="178"/>
      <c r="H13" s="169">
        <f>D29</f>
        <v>281186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20</v>
      </c>
      <c r="D14" s="31">
        <f t="shared" si="1"/>
        <v>220</v>
      </c>
      <c r="F14" s="172" t="s">
        <v>39</v>
      </c>
      <c r="G14" s="173"/>
      <c r="H14" s="174">
        <f>D54</f>
        <v>42842.25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>
        <v>1</v>
      </c>
      <c r="D15" s="31">
        <f t="shared" si="1"/>
        <v>620</v>
      </c>
      <c r="F15" s="177" t="s">
        <v>40</v>
      </c>
      <c r="G15" s="178"/>
      <c r="H15" s="179">
        <f>H13-H14</f>
        <v>238343.75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>
        <f>108*6+80*6</f>
        <v>1128</v>
      </c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112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104</v>
      </c>
      <c r="C22" s="10"/>
      <c r="D22" s="48">
        <f t="shared" si="1"/>
        <v>0</v>
      </c>
      <c r="F22" s="77"/>
      <c r="G22" s="73"/>
      <c r="H22" s="158"/>
      <c r="I22" s="158"/>
      <c r="J22" s="15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107</v>
      </c>
      <c r="C23" s="10"/>
      <c r="D23" s="48">
        <f t="shared" si="1"/>
        <v>0</v>
      </c>
      <c r="F23" s="78"/>
      <c r="G23" s="79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101</v>
      </c>
      <c r="C24" s="10"/>
      <c r="D24" s="48">
        <f t="shared" si="1"/>
        <v>0</v>
      </c>
      <c r="F24" s="38"/>
      <c r="G24" s="37"/>
      <c r="H24" s="216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281186</v>
      </c>
      <c r="F29" s="91" t="s">
        <v>55</v>
      </c>
      <c r="G29" s="152"/>
      <c r="H29" s="113">
        <f>H15-H16-H17-H18-H19-H20-H22-H23-H24+H26+H27</f>
        <v>237215.75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88</v>
      </c>
      <c r="H34" s="134">
        <f>F34*G34</f>
        <v>88000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34">
        <f>F35*G35</f>
        <v>16000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34">
        <f t="shared" ref="H36:H39" si="2">F36*G36</f>
        <v>600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>
        <v>354</v>
      </c>
      <c r="D37" s="12">
        <f>C37*111</f>
        <v>39294</v>
      </c>
      <c r="F37" s="12">
        <v>100</v>
      </c>
      <c r="G37" s="39">
        <v>66</v>
      </c>
      <c r="H37" s="134">
        <f t="shared" si="2"/>
        <v>6600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>
        <v>14</v>
      </c>
      <c r="H38" s="134">
        <f t="shared" si="2"/>
        <v>700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4</v>
      </c>
      <c r="H39" s="134">
        <f t="shared" si="2"/>
        <v>80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>
        <v>3</v>
      </c>
      <c r="D42" s="12">
        <f>C42*2.25</f>
        <v>6.75</v>
      </c>
      <c r="F42" s="39" t="s">
        <v>79</v>
      </c>
      <c r="G42" s="134">
        <v>911</v>
      </c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6</v>
      </c>
      <c r="D44" s="12">
        <f>C44*120</f>
        <v>720</v>
      </c>
      <c r="F44" s="37" t="s">
        <v>146</v>
      </c>
      <c r="G44" s="62" t="s">
        <v>185</v>
      </c>
      <c r="H44" s="130">
        <v>71968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 t="s">
        <v>146</v>
      </c>
      <c r="G45" s="62" t="s">
        <v>186</v>
      </c>
      <c r="H45" s="130">
        <v>52207</v>
      </c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45</v>
      </c>
      <c r="D46" s="12">
        <f>C46*1.5</f>
        <v>67.5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8</v>
      </c>
      <c r="D49" s="12">
        <f>C49*42</f>
        <v>336</v>
      </c>
      <c r="F49" s="111" t="s">
        <v>86</v>
      </c>
      <c r="G49" s="113">
        <f>H34+H35+H36+H37+H38+H39+H40+H41+G42+H44+H45+H46</f>
        <v>237066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16</v>
      </c>
      <c r="D50" s="12">
        <f>C50*1.5</f>
        <v>24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128</v>
      </c>
      <c r="G51" s="232">
        <f>G49-H29</f>
        <v>-149.75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42842.25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7" t="s">
        <v>7</v>
      </c>
      <c r="B4" s="138"/>
      <c r="C4" s="138"/>
      <c r="D4" s="139"/>
      <c r="F4" s="183" t="s">
        <v>8</v>
      </c>
      <c r="G4" s="185"/>
      <c r="H4" s="187" t="s">
        <v>9</v>
      </c>
      <c r="I4" s="189"/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93" t="s">
        <v>16</v>
      </c>
      <c r="G6" s="195"/>
      <c r="H6" s="196"/>
      <c r="I6" s="196"/>
      <c r="J6" s="19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201" t="s">
        <v>21</v>
      </c>
      <c r="G8" s="202"/>
      <c r="H8" s="203"/>
      <c r="I8" s="203"/>
      <c r="J8" s="20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93" t="s">
        <v>26</v>
      </c>
      <c r="G10" s="208"/>
      <c r="H10" s="209"/>
      <c r="I10" s="209"/>
      <c r="J10" s="210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214" t="s">
        <v>36</v>
      </c>
      <c r="G13" s="17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77" t="s">
        <v>40</v>
      </c>
      <c r="G15" s="178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50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7"/>
      <c r="G22" s="73"/>
      <c r="H22" s="158"/>
      <c r="I22" s="158"/>
      <c r="J22" s="15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8"/>
      <c r="G23" s="79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216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86"/>
      <c r="G28" s="61"/>
      <c r="H28" s="166"/>
      <c r="I28" s="167"/>
      <c r="J28" s="16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4" t="s">
        <v>36</v>
      </c>
      <c r="B29" s="145"/>
      <c r="C29" s="146"/>
      <c r="D29" s="150">
        <f>SUM(D6:D28)</f>
        <v>0</v>
      </c>
      <c r="F29" s="91" t="s">
        <v>55</v>
      </c>
      <c r="G29" s="152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4"/>
      <c r="I34" s="135"/>
      <c r="J34" s="1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/>
      <c r="H35" s="134"/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/>
      <c r="I36" s="135"/>
      <c r="J36" s="1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4"/>
      <c r="I37" s="135"/>
      <c r="J37" s="1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/>
      <c r="H38" s="134"/>
      <c r="I38" s="135"/>
      <c r="J38" s="1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/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125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1</v>
      </c>
      <c r="H4" s="187" t="s">
        <v>9</v>
      </c>
      <c r="I4" s="189">
        <v>46092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411</v>
      </c>
      <c r="D6" s="13">
        <f t="shared" ref="D6:D28" si="1">C6*L6</f>
        <v>312771</v>
      </c>
      <c r="F6" s="193" t="s">
        <v>16</v>
      </c>
      <c r="G6" s="195" t="s">
        <v>111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2</v>
      </c>
      <c r="D7" s="13">
        <f t="shared" si="1"/>
        <v>1562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144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139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15</v>
      </c>
      <c r="D13" s="48">
        <f t="shared" si="1"/>
        <v>4605</v>
      </c>
      <c r="F13" s="214" t="s">
        <v>36</v>
      </c>
      <c r="G13" s="178"/>
      <c r="H13" s="169">
        <f>D29</f>
        <v>320439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21</v>
      </c>
      <c r="D14" s="31">
        <f t="shared" si="1"/>
        <v>231</v>
      </c>
      <c r="F14" s="172" t="s">
        <v>39</v>
      </c>
      <c r="G14" s="173"/>
      <c r="H14" s="174">
        <f>D54</f>
        <v>55105.5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>
        <v>1</v>
      </c>
      <c r="D15" s="31">
        <f t="shared" si="1"/>
        <v>620</v>
      </c>
      <c r="F15" s="177" t="s">
        <v>40</v>
      </c>
      <c r="G15" s="178"/>
      <c r="H15" s="179">
        <f>H13-H14</f>
        <v>265333.5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>
        <f>1938</f>
        <v>1938</v>
      </c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133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32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124</v>
      </c>
      <c r="C22" s="10"/>
      <c r="D22" s="48">
        <f t="shared" si="1"/>
        <v>0</v>
      </c>
      <c r="F22" s="77"/>
      <c r="G22" s="73"/>
      <c r="H22" s="158"/>
      <c r="I22" s="158"/>
      <c r="J22" s="15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101</v>
      </c>
      <c r="C23" s="10"/>
      <c r="D23" s="48">
        <f t="shared" si="1"/>
        <v>0</v>
      </c>
      <c r="F23" s="77"/>
      <c r="G23" s="79"/>
      <c r="H23" s="159"/>
      <c r="I23" s="160"/>
      <c r="J23" s="1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118</v>
      </c>
      <c r="C24" s="10"/>
      <c r="D24" s="48">
        <f t="shared" si="1"/>
        <v>0</v>
      </c>
      <c r="F24" s="77"/>
      <c r="G24" s="79"/>
      <c r="H24" s="159"/>
      <c r="I24" s="160"/>
      <c r="J24" s="1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110</v>
      </c>
      <c r="C27" s="10"/>
      <c r="D27" s="44">
        <f t="shared" si="1"/>
        <v>0</v>
      </c>
      <c r="F27" s="71"/>
      <c r="G27" s="89"/>
      <c r="H27" s="164"/>
      <c r="I27" s="165"/>
      <c r="J27" s="1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320439</v>
      </c>
      <c r="F29" s="91" t="s">
        <v>55</v>
      </c>
      <c r="G29" s="152"/>
      <c r="H29" s="113">
        <f>H15-H16-H17-H18-H19-H20-H22-H23-H24+H26+H27+H28</f>
        <v>263395.5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55</v>
      </c>
      <c r="H34" s="134">
        <f t="shared" ref="H34:H39" si="2">F34*G34</f>
        <v>55000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34">
        <f t="shared" si="2"/>
        <v>5000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134">
        <f t="shared" si="2"/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>
        <v>468</v>
      </c>
      <c r="D37" s="12">
        <f>C37*111</f>
        <v>51948</v>
      </c>
      <c r="F37" s="12">
        <v>100</v>
      </c>
      <c r="G37" s="39"/>
      <c r="H37" s="134">
        <f t="shared" si="2"/>
        <v>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>
        <v>4</v>
      </c>
      <c r="D38" s="12">
        <f>C38*84</f>
        <v>336</v>
      </c>
      <c r="F38" s="30">
        <v>50</v>
      </c>
      <c r="G38" s="39"/>
      <c r="H38" s="134">
        <f t="shared" si="2"/>
        <v>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>
        <v>2</v>
      </c>
      <c r="D42" s="12">
        <f>C42*2.25</f>
        <v>4.5</v>
      </c>
      <c r="F42" s="39" t="s">
        <v>79</v>
      </c>
      <c r="G42" s="134">
        <v>13</v>
      </c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187</v>
      </c>
      <c r="H44" s="130">
        <v>203085.5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>
        <v>1</v>
      </c>
      <c r="D45" s="12">
        <f>C45*84</f>
        <v>84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16</v>
      </c>
      <c r="D46" s="12">
        <f>C46*1.5</f>
        <v>24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</v>
      </c>
      <c r="D49" s="12">
        <f>C49*42</f>
        <v>42</v>
      </c>
      <c r="F49" s="111" t="s">
        <v>86</v>
      </c>
      <c r="G49" s="113">
        <f>H34+H35+H36+H37+H38+H39+H40+H41+G42+H44+H45+H46</f>
        <v>263098.5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34</v>
      </c>
      <c r="D50" s="12">
        <f>C50*1.5</f>
        <v>51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128</v>
      </c>
      <c r="G51" s="232">
        <f>G49-H29</f>
        <v>-297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55105.5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2</v>
      </c>
      <c r="H4" s="187" t="s">
        <v>9</v>
      </c>
      <c r="I4" s="189">
        <v>46092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348</v>
      </c>
      <c r="D6" s="13">
        <f t="shared" ref="D6:D28" si="1">C6*L6</f>
        <v>264828</v>
      </c>
      <c r="F6" s="193" t="s">
        <v>16</v>
      </c>
      <c r="G6" s="195" t="s">
        <v>126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113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114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10</v>
      </c>
      <c r="D13" s="48">
        <f t="shared" si="1"/>
        <v>3070</v>
      </c>
      <c r="F13" s="214" t="s">
        <v>36</v>
      </c>
      <c r="G13" s="178"/>
      <c r="H13" s="169">
        <f>D29</f>
        <v>268786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7</v>
      </c>
      <c r="D14" s="31">
        <f t="shared" si="1"/>
        <v>77</v>
      </c>
      <c r="F14" s="172" t="s">
        <v>39</v>
      </c>
      <c r="G14" s="173"/>
      <c r="H14" s="174">
        <f>D54</f>
        <v>44764.5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224021.5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>
        <f>1296+480</f>
        <v>1776</v>
      </c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43">
        <v>50</v>
      </c>
      <c r="I19" s="143"/>
      <c r="J19" s="1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104</v>
      </c>
      <c r="C22" s="10"/>
      <c r="D22" s="48">
        <f t="shared" si="1"/>
        <v>0</v>
      </c>
      <c r="F22" s="72"/>
      <c r="G22" s="73"/>
      <c r="H22" s="158"/>
      <c r="I22" s="158"/>
      <c r="J22" s="15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107</v>
      </c>
      <c r="C23" s="10"/>
      <c r="D23" s="48">
        <f t="shared" si="1"/>
        <v>0</v>
      </c>
      <c r="F23" s="25"/>
      <c r="G23" s="37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120</v>
      </c>
      <c r="C24" s="10"/>
      <c r="D24" s="48">
        <f t="shared" si="1"/>
        <v>0</v>
      </c>
      <c r="F24" s="38"/>
      <c r="G24" s="37"/>
      <c r="H24" s="216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105</v>
      </c>
      <c r="C26" s="10"/>
      <c r="D26" s="48">
        <f t="shared" si="1"/>
        <v>0</v>
      </c>
      <c r="F26" s="64"/>
      <c r="G26" s="10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109</v>
      </c>
      <c r="C27" s="10"/>
      <c r="D27" s="44">
        <f t="shared" si="1"/>
        <v>0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>
        <v>1</v>
      </c>
      <c r="D28" s="48">
        <f t="shared" si="1"/>
        <v>811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268786</v>
      </c>
      <c r="F29" s="91" t="s">
        <v>55</v>
      </c>
      <c r="G29" s="152"/>
      <c r="H29" s="113">
        <f>H15-H16-H17-H18-H19-H20-H22-H23-H24+H26+H27</f>
        <v>222195.5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34">
        <f>F34*G34</f>
        <v>142000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>
        <v>91</v>
      </c>
      <c r="H35" s="134">
        <f t="shared" ref="H35:H39" si="2">F35*G35</f>
        <v>45500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>
        <f>F36*G36</f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300</v>
      </c>
      <c r="H37" s="134">
        <f t="shared" si="2"/>
        <v>30000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>
        <v>65</v>
      </c>
      <c r="D38" s="12">
        <f>C38*84</f>
        <v>5460</v>
      </c>
      <c r="F38" s="30">
        <v>50</v>
      </c>
      <c r="G38" s="39">
        <v>69</v>
      </c>
      <c r="H38" s="134">
        <f t="shared" si="2"/>
        <v>3450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>
        <v>72</v>
      </c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16</v>
      </c>
      <c r="D49" s="12">
        <f>C49*42</f>
        <v>672</v>
      </c>
      <c r="F49" s="111" t="s">
        <v>86</v>
      </c>
      <c r="G49" s="113">
        <f>H34+H35+H36+H37+H38+H39+H40+H41+G42+H44+H45+H46</f>
        <v>221022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3</v>
      </c>
      <c r="D50" s="12">
        <f>C50*1.5</f>
        <v>4.5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162</v>
      </c>
      <c r="G51" s="232">
        <f>G49-H29</f>
        <v>-1173.5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44764.5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3</v>
      </c>
      <c r="H4" s="187" t="s">
        <v>9</v>
      </c>
      <c r="I4" s="189">
        <v>46092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>
        <v>418</v>
      </c>
      <c r="D6" s="13">
        <f t="shared" ref="D6:D28" si="1">C6*L6</f>
        <v>318098</v>
      </c>
      <c r="F6" s="193" t="s">
        <v>16</v>
      </c>
      <c r="G6" s="195" t="s">
        <v>141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>
        <v>15</v>
      </c>
      <c r="D7" s="13">
        <f t="shared" si="1"/>
        <v>11715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>
        <v>2</v>
      </c>
      <c r="D8" s="13">
        <f t="shared" si="1"/>
        <v>2186</v>
      </c>
      <c r="F8" s="201" t="s">
        <v>21</v>
      </c>
      <c r="G8" s="202" t="s">
        <v>130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>
        <v>5</v>
      </c>
      <c r="D9" s="13">
        <f t="shared" si="1"/>
        <v>3665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>
        <v>4</v>
      </c>
      <c r="D10" s="13">
        <f t="shared" si="1"/>
        <v>4128</v>
      </c>
      <c r="F10" s="193" t="s">
        <v>26</v>
      </c>
      <c r="G10" s="208" t="s">
        <v>127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>
        <f>1+2+2</f>
        <v>5</v>
      </c>
      <c r="D12" s="48">
        <f t="shared" si="1"/>
        <v>4960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>
        <v>11</v>
      </c>
      <c r="D13" s="48">
        <f t="shared" si="1"/>
        <v>3377</v>
      </c>
      <c r="F13" s="214" t="s">
        <v>36</v>
      </c>
      <c r="G13" s="178"/>
      <c r="H13" s="169">
        <f>D29</f>
        <v>349583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>
        <v>14</v>
      </c>
      <c r="D14" s="31">
        <f t="shared" si="1"/>
        <v>154</v>
      </c>
      <c r="F14" s="172" t="s">
        <v>39</v>
      </c>
      <c r="G14" s="173"/>
      <c r="H14" s="174">
        <f>D54</f>
        <v>60138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289445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>
        <f>678+1350+360</f>
        <v>2388</v>
      </c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112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43">
        <v>50</v>
      </c>
      <c r="I19" s="143"/>
      <c r="J19" s="1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123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104</v>
      </c>
      <c r="C22" s="10"/>
      <c r="D22" s="48">
        <f t="shared" si="1"/>
        <v>0</v>
      </c>
      <c r="F22" s="77"/>
      <c r="G22" s="73"/>
      <c r="H22" s="158"/>
      <c r="I22" s="158"/>
      <c r="J22" s="15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107</v>
      </c>
      <c r="C23" s="10"/>
      <c r="D23" s="48">
        <f t="shared" si="1"/>
        <v>0</v>
      </c>
      <c r="F23" s="78"/>
      <c r="G23" s="79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101</v>
      </c>
      <c r="C24" s="10"/>
      <c r="D24" s="48">
        <f t="shared" si="1"/>
        <v>0</v>
      </c>
      <c r="F24" s="38"/>
      <c r="G24" s="37"/>
      <c r="H24" s="216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349583</v>
      </c>
      <c r="F29" s="91" t="s">
        <v>55</v>
      </c>
      <c r="G29" s="152"/>
      <c r="H29" s="113">
        <f>H15-H16-H17-H18-H19-H20-H22-H23-H24+H26+H27</f>
        <v>287007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116</v>
      </c>
      <c r="H34" s="134">
        <f>F34*G34</f>
        <v>116000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134">
        <f>F35*G35</f>
        <v>10500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>
        <f t="shared" ref="H36:H39" si="2">F36*G36</f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>
        <v>502</v>
      </c>
      <c r="D37" s="12">
        <f>C37*111</f>
        <v>55722</v>
      </c>
      <c r="F37" s="12">
        <v>100</v>
      </c>
      <c r="G37" s="39">
        <v>59</v>
      </c>
      <c r="H37" s="134">
        <f t="shared" si="2"/>
        <v>5900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34">
        <f t="shared" si="2"/>
        <v>1150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>
        <v>6</v>
      </c>
      <c r="D42" s="12">
        <f>C42*2.25</f>
        <v>13.5</v>
      </c>
      <c r="F42" s="39" t="s">
        <v>79</v>
      </c>
      <c r="G42" s="134">
        <v>160</v>
      </c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11</v>
      </c>
      <c r="D44" s="12">
        <f>C44*120</f>
        <v>1320</v>
      </c>
      <c r="F44" s="37" t="s">
        <v>145</v>
      </c>
      <c r="G44" s="62" t="s">
        <v>188</v>
      </c>
      <c r="H44" s="130">
        <v>153409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31</v>
      </c>
      <c r="D46" s="12">
        <f>C46*1.5</f>
        <v>46.5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3</v>
      </c>
      <c r="D49" s="12">
        <f>C49*42</f>
        <v>126</v>
      </c>
      <c r="F49" s="111" t="s">
        <v>86</v>
      </c>
      <c r="G49" s="113">
        <f>H34+H35+H36+H37+H38+H39+H40+H41+G42+H44+H45+H46</f>
        <v>287119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19</v>
      </c>
      <c r="D50" s="12">
        <f>C50*1.5</f>
        <v>28.5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138</v>
      </c>
      <c r="G51" s="226">
        <f>G49-H29</f>
        <v>112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60138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7" t="s">
        <v>7</v>
      </c>
      <c r="B4" s="138"/>
      <c r="C4" s="138"/>
      <c r="D4" s="139"/>
      <c r="F4" s="183" t="s">
        <v>8</v>
      </c>
      <c r="G4" s="185"/>
      <c r="H4" s="187" t="s">
        <v>9</v>
      </c>
      <c r="I4" s="189"/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93" t="s">
        <v>16</v>
      </c>
      <c r="G6" s="195"/>
      <c r="H6" s="196"/>
      <c r="I6" s="196"/>
      <c r="J6" s="19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201" t="s">
        <v>21</v>
      </c>
      <c r="G8" s="202"/>
      <c r="H8" s="203"/>
      <c r="I8" s="203"/>
      <c r="J8" s="20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93" t="s">
        <v>26</v>
      </c>
      <c r="G10" s="208"/>
      <c r="H10" s="209"/>
      <c r="I10" s="209"/>
      <c r="J10" s="210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214" t="s">
        <v>36</v>
      </c>
      <c r="G13" s="17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77" t="s">
        <v>40</v>
      </c>
      <c r="G15" s="178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50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7"/>
      <c r="G22" s="73"/>
      <c r="H22" s="158"/>
      <c r="I22" s="158"/>
      <c r="J22" s="15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8"/>
      <c r="G23" s="79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216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86"/>
      <c r="G28" s="61"/>
      <c r="H28" s="166"/>
      <c r="I28" s="167"/>
      <c r="J28" s="16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4" t="s">
        <v>36</v>
      </c>
      <c r="B29" s="145"/>
      <c r="C29" s="146"/>
      <c r="D29" s="150">
        <f>SUM(D6:D28)</f>
        <v>0</v>
      </c>
      <c r="F29" s="91" t="s">
        <v>55</v>
      </c>
      <c r="G29" s="152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4"/>
      <c r="I34" s="135"/>
      <c r="J34" s="1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/>
      <c r="H35" s="134"/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/>
      <c r="I36" s="135"/>
      <c r="J36" s="1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4"/>
      <c r="I37" s="135"/>
      <c r="J37" s="1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/>
      <c r="H38" s="134"/>
      <c r="I38" s="135"/>
      <c r="J38" s="1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/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125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1</v>
      </c>
      <c r="H4" s="187" t="s">
        <v>9</v>
      </c>
      <c r="I4" s="189">
        <v>46093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93" t="s">
        <v>16</v>
      </c>
      <c r="G6" s="195" t="s">
        <v>111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144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139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214" t="s">
        <v>36</v>
      </c>
      <c r="G13" s="17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133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32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124</v>
      </c>
      <c r="C22" s="10"/>
      <c r="D22" s="48">
        <f t="shared" si="1"/>
        <v>0</v>
      </c>
      <c r="F22" s="77"/>
      <c r="G22" s="73"/>
      <c r="H22" s="158"/>
      <c r="I22" s="158"/>
      <c r="J22" s="15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101</v>
      </c>
      <c r="C23" s="10"/>
      <c r="D23" s="48">
        <f t="shared" si="1"/>
        <v>0</v>
      </c>
      <c r="F23" s="77"/>
      <c r="G23" s="79"/>
      <c r="H23" s="159"/>
      <c r="I23" s="160"/>
      <c r="J23" s="1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118</v>
      </c>
      <c r="C24" s="10"/>
      <c r="D24" s="48">
        <f t="shared" si="1"/>
        <v>0</v>
      </c>
      <c r="F24" s="77"/>
      <c r="G24" s="79"/>
      <c r="H24" s="159"/>
      <c r="I24" s="160"/>
      <c r="J24" s="1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110</v>
      </c>
      <c r="C27" s="10"/>
      <c r="D27" s="44">
        <f t="shared" si="1"/>
        <v>0</v>
      </c>
      <c r="F27" s="71"/>
      <c r="G27" s="89"/>
      <c r="H27" s="164"/>
      <c r="I27" s="165"/>
      <c r="J27" s="1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0</v>
      </c>
      <c r="F29" s="91" t="s">
        <v>55</v>
      </c>
      <c r="G29" s="152"/>
      <c r="H29" s="113">
        <f>H15-H16-H17-H18-H19-H20-H22-H23-H24+H26+H27+H28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4">
        <f t="shared" ref="H34:H39" si="2">F34*G34</f>
        <v>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/>
      <c r="H35" s="134">
        <f t="shared" si="2"/>
        <v>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>
        <f t="shared" si="2"/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4">
        <f t="shared" si="2"/>
        <v>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/>
      <c r="H38" s="134">
        <f t="shared" si="2"/>
        <v>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84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128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2</v>
      </c>
      <c r="H4" s="187" t="s">
        <v>9</v>
      </c>
      <c r="I4" s="189">
        <v>46093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93" t="s">
        <v>16</v>
      </c>
      <c r="G6" s="195" t="s">
        <v>126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113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114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214" t="s">
        <v>36</v>
      </c>
      <c r="G13" s="17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104</v>
      </c>
      <c r="C22" s="10"/>
      <c r="D22" s="48">
        <f t="shared" si="1"/>
        <v>0</v>
      </c>
      <c r="F22" s="72"/>
      <c r="G22" s="73"/>
      <c r="H22" s="158"/>
      <c r="I22" s="158"/>
      <c r="J22" s="15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107</v>
      </c>
      <c r="C23" s="10"/>
      <c r="D23" s="48">
        <f t="shared" si="1"/>
        <v>0</v>
      </c>
      <c r="F23" s="25"/>
      <c r="G23" s="37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120</v>
      </c>
      <c r="C24" s="10"/>
      <c r="D24" s="48">
        <f t="shared" si="1"/>
        <v>0</v>
      </c>
      <c r="F24" s="38"/>
      <c r="G24" s="37"/>
      <c r="H24" s="216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105</v>
      </c>
      <c r="C26" s="10"/>
      <c r="D26" s="48">
        <f t="shared" si="1"/>
        <v>0</v>
      </c>
      <c r="F26" s="64"/>
      <c r="G26" s="10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109</v>
      </c>
      <c r="C27" s="10"/>
      <c r="D27" s="44">
        <f t="shared" si="1"/>
        <v>0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0</v>
      </c>
      <c r="F29" s="91" t="s">
        <v>55</v>
      </c>
      <c r="G29" s="152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4">
        <f>F34*G34</f>
        <v>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/>
      <c r="H35" s="134">
        <f t="shared" ref="H35:H39" si="2">F35*G35</f>
        <v>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>
        <f>F36*G36</f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4">
        <f t="shared" si="2"/>
        <v>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/>
      <c r="H38" s="134">
        <f t="shared" si="2"/>
        <v>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135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3</v>
      </c>
      <c r="H4" s="187" t="s">
        <v>9</v>
      </c>
      <c r="I4" s="189">
        <v>46093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93" t="s">
        <v>16</v>
      </c>
      <c r="G6" s="195" t="s">
        <v>141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130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127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214" t="s">
        <v>36</v>
      </c>
      <c r="G13" s="17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112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104</v>
      </c>
      <c r="C22" s="10"/>
      <c r="D22" s="48">
        <f t="shared" si="1"/>
        <v>0</v>
      </c>
      <c r="F22" s="77"/>
      <c r="G22" s="73"/>
      <c r="H22" s="158"/>
      <c r="I22" s="158"/>
      <c r="J22" s="15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107</v>
      </c>
      <c r="C23" s="10"/>
      <c r="D23" s="48">
        <f t="shared" si="1"/>
        <v>0</v>
      </c>
      <c r="F23" s="78"/>
      <c r="G23" s="79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101</v>
      </c>
      <c r="C24" s="10"/>
      <c r="D24" s="48">
        <f t="shared" si="1"/>
        <v>0</v>
      </c>
      <c r="F24" s="38"/>
      <c r="G24" s="37"/>
      <c r="H24" s="216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0</v>
      </c>
      <c r="F29" s="91" t="s">
        <v>55</v>
      </c>
      <c r="G29" s="152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4">
        <f>F34*G34</f>
        <v>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/>
      <c r="H35" s="134">
        <f>F35*G35</f>
        <v>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>
        <f t="shared" ref="H36:H39" si="2">F36*G36</f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4">
        <f t="shared" si="2"/>
        <v>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/>
      <c r="H38" s="134">
        <f t="shared" si="2"/>
        <v>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138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7" t="s">
        <v>7</v>
      </c>
      <c r="B4" s="138"/>
      <c r="C4" s="138"/>
      <c r="D4" s="139"/>
      <c r="F4" s="183" t="s">
        <v>8</v>
      </c>
      <c r="G4" s="185"/>
      <c r="H4" s="187" t="s">
        <v>9</v>
      </c>
      <c r="I4" s="189"/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93" t="s">
        <v>16</v>
      </c>
      <c r="G6" s="195"/>
      <c r="H6" s="196"/>
      <c r="I6" s="196"/>
      <c r="J6" s="19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201" t="s">
        <v>21</v>
      </c>
      <c r="G8" s="202"/>
      <c r="H8" s="203"/>
      <c r="I8" s="203"/>
      <c r="J8" s="20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93" t="s">
        <v>26</v>
      </c>
      <c r="G10" s="208"/>
      <c r="H10" s="209"/>
      <c r="I10" s="209"/>
      <c r="J10" s="210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214" t="s">
        <v>36</v>
      </c>
      <c r="G13" s="17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77" t="s">
        <v>40</v>
      </c>
      <c r="G15" s="178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50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7"/>
      <c r="G22" s="73"/>
      <c r="H22" s="158"/>
      <c r="I22" s="158"/>
      <c r="J22" s="15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8"/>
      <c r="G23" s="79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216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86"/>
      <c r="G28" s="61"/>
      <c r="H28" s="166"/>
      <c r="I28" s="167"/>
      <c r="J28" s="16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4" t="s">
        <v>36</v>
      </c>
      <c r="B29" s="145"/>
      <c r="C29" s="146"/>
      <c r="D29" s="150">
        <f>SUM(D6:D28)</f>
        <v>0</v>
      </c>
      <c r="F29" s="91" t="s">
        <v>55</v>
      </c>
      <c r="G29" s="152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4"/>
      <c r="I34" s="135"/>
      <c r="J34" s="1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/>
      <c r="H35" s="134"/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/>
      <c r="I36" s="135"/>
      <c r="J36" s="1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4"/>
      <c r="I37" s="135"/>
      <c r="J37" s="1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/>
      <c r="H38" s="134"/>
      <c r="I38" s="135"/>
      <c r="J38" s="1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/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125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1</v>
      </c>
      <c r="H4" s="187" t="s">
        <v>9</v>
      </c>
      <c r="I4" s="189">
        <v>46094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93" t="s">
        <v>16</v>
      </c>
      <c r="G6" s="195" t="s">
        <v>111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144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139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214" t="s">
        <v>36</v>
      </c>
      <c r="G13" s="17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133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32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124</v>
      </c>
      <c r="C22" s="10"/>
      <c r="D22" s="48">
        <f t="shared" si="1"/>
        <v>0</v>
      </c>
      <c r="F22" s="77"/>
      <c r="G22" s="73"/>
      <c r="H22" s="158"/>
      <c r="I22" s="158"/>
      <c r="J22" s="15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101</v>
      </c>
      <c r="C23" s="10"/>
      <c r="D23" s="48">
        <f t="shared" si="1"/>
        <v>0</v>
      </c>
      <c r="F23" s="77"/>
      <c r="G23" s="79"/>
      <c r="H23" s="159"/>
      <c r="I23" s="160"/>
      <c r="J23" s="1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118</v>
      </c>
      <c r="C24" s="10"/>
      <c r="D24" s="48">
        <f t="shared" si="1"/>
        <v>0</v>
      </c>
      <c r="F24" s="77"/>
      <c r="G24" s="79"/>
      <c r="H24" s="159"/>
      <c r="I24" s="160"/>
      <c r="J24" s="1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110</v>
      </c>
      <c r="C27" s="10"/>
      <c r="D27" s="44">
        <f t="shared" si="1"/>
        <v>0</v>
      </c>
      <c r="F27" s="71"/>
      <c r="G27" s="89"/>
      <c r="H27" s="164"/>
      <c r="I27" s="165"/>
      <c r="J27" s="1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0</v>
      </c>
      <c r="F29" s="91" t="s">
        <v>55</v>
      </c>
      <c r="G29" s="152"/>
      <c r="H29" s="113">
        <f>H15-H16-H17-H18-H19-H20-H22-H23-H24+H26+H27+H28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4">
        <f t="shared" ref="H34:H39" si="2">F34*G34</f>
        <v>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/>
      <c r="H35" s="134">
        <f t="shared" si="2"/>
        <v>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>
        <f t="shared" si="2"/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4">
        <f t="shared" si="2"/>
        <v>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/>
      <c r="H38" s="134">
        <f t="shared" si="2"/>
        <v>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84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128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2</v>
      </c>
      <c r="H4" s="187" t="s">
        <v>9</v>
      </c>
      <c r="I4" s="189">
        <v>46094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93" t="s">
        <v>16</v>
      </c>
      <c r="G6" s="195" t="s">
        <v>126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113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114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214" t="s">
        <v>36</v>
      </c>
      <c r="G13" s="17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104</v>
      </c>
      <c r="C22" s="10"/>
      <c r="D22" s="48">
        <f t="shared" si="1"/>
        <v>0</v>
      </c>
      <c r="F22" s="72"/>
      <c r="G22" s="73"/>
      <c r="H22" s="158"/>
      <c r="I22" s="158"/>
      <c r="J22" s="15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107</v>
      </c>
      <c r="C23" s="10"/>
      <c r="D23" s="48">
        <f t="shared" si="1"/>
        <v>0</v>
      </c>
      <c r="F23" s="25"/>
      <c r="G23" s="37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120</v>
      </c>
      <c r="C24" s="10"/>
      <c r="D24" s="48">
        <f t="shared" si="1"/>
        <v>0</v>
      </c>
      <c r="F24" s="38"/>
      <c r="G24" s="37"/>
      <c r="H24" s="216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105</v>
      </c>
      <c r="C26" s="10"/>
      <c r="D26" s="48">
        <f t="shared" si="1"/>
        <v>0</v>
      </c>
      <c r="F26" s="64"/>
      <c r="G26" s="10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109</v>
      </c>
      <c r="C27" s="10"/>
      <c r="D27" s="44">
        <f t="shared" si="1"/>
        <v>0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0</v>
      </c>
      <c r="F29" s="91" t="s">
        <v>55</v>
      </c>
      <c r="G29" s="152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4">
        <f>F34*G34</f>
        <v>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/>
      <c r="H35" s="134">
        <f t="shared" ref="H35:H39" si="2">F35*G35</f>
        <v>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>
        <f>F36*G36</f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4">
        <f t="shared" si="2"/>
        <v>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/>
      <c r="H38" s="134">
        <f t="shared" si="2"/>
        <v>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135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3</v>
      </c>
      <c r="H4" s="187" t="s">
        <v>9</v>
      </c>
      <c r="I4" s="189">
        <v>46094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93" t="s">
        <v>16</v>
      </c>
      <c r="G6" s="195" t="s">
        <v>141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130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127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214" t="s">
        <v>36</v>
      </c>
      <c r="G13" s="17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112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104</v>
      </c>
      <c r="C22" s="10"/>
      <c r="D22" s="48">
        <f t="shared" si="1"/>
        <v>0</v>
      </c>
      <c r="F22" s="77"/>
      <c r="G22" s="73"/>
      <c r="H22" s="158"/>
      <c r="I22" s="158"/>
      <c r="J22" s="15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107</v>
      </c>
      <c r="C23" s="10"/>
      <c r="D23" s="48">
        <f t="shared" si="1"/>
        <v>0</v>
      </c>
      <c r="F23" s="78"/>
      <c r="G23" s="79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101</v>
      </c>
      <c r="C24" s="10"/>
      <c r="D24" s="48">
        <f t="shared" si="1"/>
        <v>0</v>
      </c>
      <c r="F24" s="38"/>
      <c r="G24" s="37"/>
      <c r="H24" s="216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0</v>
      </c>
      <c r="F29" s="91" t="s">
        <v>55</v>
      </c>
      <c r="G29" s="152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4">
        <f>F34*G34</f>
        <v>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/>
      <c r="H35" s="134">
        <f>F35*G35</f>
        <v>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>
        <f t="shared" ref="H36:H39" si="2">F36*G36</f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4">
        <f t="shared" si="2"/>
        <v>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/>
      <c r="H38" s="134">
        <f t="shared" si="2"/>
        <v>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138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7" t="s">
        <v>7</v>
      </c>
      <c r="B4" s="138"/>
      <c r="C4" s="138"/>
      <c r="D4" s="139"/>
      <c r="F4" s="183" t="s">
        <v>8</v>
      </c>
      <c r="G4" s="185"/>
      <c r="H4" s="187" t="s">
        <v>9</v>
      </c>
      <c r="I4" s="189"/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93" t="s">
        <v>16</v>
      </c>
      <c r="G6" s="195"/>
      <c r="H6" s="196"/>
      <c r="I6" s="196"/>
      <c r="J6" s="19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201" t="s">
        <v>21</v>
      </c>
      <c r="G8" s="202"/>
      <c r="H8" s="203"/>
      <c r="I8" s="203"/>
      <c r="J8" s="20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93" t="s">
        <v>26</v>
      </c>
      <c r="G10" s="208"/>
      <c r="H10" s="209"/>
      <c r="I10" s="209"/>
      <c r="J10" s="210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214" t="s">
        <v>36</v>
      </c>
      <c r="G13" s="17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77" t="s">
        <v>40</v>
      </c>
      <c r="G15" s="178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50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7"/>
      <c r="G22" s="73"/>
      <c r="H22" s="158"/>
      <c r="I22" s="158"/>
      <c r="J22" s="15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8"/>
      <c r="G23" s="79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216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86"/>
      <c r="G28" s="61"/>
      <c r="H28" s="166"/>
      <c r="I28" s="167"/>
      <c r="J28" s="16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4" t="s">
        <v>36</v>
      </c>
      <c r="B29" s="145"/>
      <c r="C29" s="146"/>
      <c r="D29" s="150">
        <f>SUM(D6:D28)</f>
        <v>0</v>
      </c>
      <c r="F29" s="91" t="s">
        <v>55</v>
      </c>
      <c r="G29" s="152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4"/>
      <c r="I34" s="135"/>
      <c r="J34" s="1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/>
      <c r="H35" s="134"/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/>
      <c r="I36" s="135"/>
      <c r="J36" s="1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4"/>
      <c r="I37" s="135"/>
      <c r="J37" s="1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/>
      <c r="H38" s="134"/>
      <c r="I38" s="135"/>
      <c r="J38" s="1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/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125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1</v>
      </c>
      <c r="H4" s="187" t="s">
        <v>9</v>
      </c>
      <c r="I4" s="189">
        <v>46095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93" t="s">
        <v>16</v>
      </c>
      <c r="G6" s="195" t="s">
        <v>111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144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139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214" t="s">
        <v>36</v>
      </c>
      <c r="G13" s="17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133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32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124</v>
      </c>
      <c r="C22" s="10"/>
      <c r="D22" s="48">
        <f t="shared" si="1"/>
        <v>0</v>
      </c>
      <c r="F22" s="77"/>
      <c r="G22" s="73"/>
      <c r="H22" s="158"/>
      <c r="I22" s="158"/>
      <c r="J22" s="15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101</v>
      </c>
      <c r="C23" s="10"/>
      <c r="D23" s="48">
        <f t="shared" si="1"/>
        <v>0</v>
      </c>
      <c r="F23" s="77"/>
      <c r="G23" s="79"/>
      <c r="H23" s="159"/>
      <c r="I23" s="160"/>
      <c r="J23" s="1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118</v>
      </c>
      <c r="C24" s="10"/>
      <c r="D24" s="48">
        <f t="shared" si="1"/>
        <v>0</v>
      </c>
      <c r="F24" s="77"/>
      <c r="G24" s="79"/>
      <c r="H24" s="159"/>
      <c r="I24" s="160"/>
      <c r="J24" s="1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110</v>
      </c>
      <c r="C27" s="10"/>
      <c r="D27" s="44">
        <f t="shared" si="1"/>
        <v>0</v>
      </c>
      <c r="F27" s="71"/>
      <c r="G27" s="89"/>
      <c r="H27" s="164"/>
      <c r="I27" s="165"/>
      <c r="J27" s="1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0</v>
      </c>
      <c r="F29" s="91" t="s">
        <v>55</v>
      </c>
      <c r="G29" s="152"/>
      <c r="H29" s="113">
        <f>H15-H16-H17-H18-H19-H20-H22-H23-H24+H26+H27+H28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4">
        <f t="shared" ref="H34:H39" si="2">F34*G34</f>
        <v>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/>
      <c r="H35" s="134">
        <f t="shared" si="2"/>
        <v>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>
        <f t="shared" si="2"/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4">
        <f t="shared" si="2"/>
        <v>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/>
      <c r="H38" s="134">
        <f t="shared" si="2"/>
        <v>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84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128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2</v>
      </c>
      <c r="H4" s="187" t="s">
        <v>9</v>
      </c>
      <c r="I4" s="189">
        <v>46095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93" t="s">
        <v>16</v>
      </c>
      <c r="G6" s="195" t="s">
        <v>126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113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114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214" t="s">
        <v>36</v>
      </c>
      <c r="G13" s="17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104</v>
      </c>
      <c r="C22" s="10"/>
      <c r="D22" s="48">
        <f t="shared" si="1"/>
        <v>0</v>
      </c>
      <c r="F22" s="72"/>
      <c r="G22" s="73"/>
      <c r="H22" s="158"/>
      <c r="I22" s="158"/>
      <c r="J22" s="15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107</v>
      </c>
      <c r="C23" s="10"/>
      <c r="D23" s="48">
        <f t="shared" si="1"/>
        <v>0</v>
      </c>
      <c r="F23" s="25"/>
      <c r="G23" s="37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120</v>
      </c>
      <c r="C24" s="10"/>
      <c r="D24" s="48">
        <f t="shared" si="1"/>
        <v>0</v>
      </c>
      <c r="F24" s="38"/>
      <c r="G24" s="37"/>
      <c r="H24" s="216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105</v>
      </c>
      <c r="C26" s="10"/>
      <c r="D26" s="48">
        <f t="shared" si="1"/>
        <v>0</v>
      </c>
      <c r="F26" s="64"/>
      <c r="G26" s="10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109</v>
      </c>
      <c r="C27" s="10"/>
      <c r="D27" s="44">
        <f t="shared" si="1"/>
        <v>0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0</v>
      </c>
      <c r="F29" s="91" t="s">
        <v>55</v>
      </c>
      <c r="G29" s="152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4">
        <f>F34*G34</f>
        <v>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/>
      <c r="H35" s="134">
        <f t="shared" ref="H35:H39" si="2">F35*G35</f>
        <v>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>
        <f>F36*G36</f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4">
        <f t="shared" si="2"/>
        <v>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/>
      <c r="H38" s="134">
        <f t="shared" si="2"/>
        <v>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135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3</v>
      </c>
      <c r="H4" s="187" t="s">
        <v>9</v>
      </c>
      <c r="I4" s="189">
        <v>46095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93" t="s">
        <v>16</v>
      </c>
      <c r="G6" s="195" t="s">
        <v>141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130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127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214" t="s">
        <v>36</v>
      </c>
      <c r="G13" s="17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112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104</v>
      </c>
      <c r="C22" s="10"/>
      <c r="D22" s="48">
        <f t="shared" si="1"/>
        <v>0</v>
      </c>
      <c r="F22" s="77"/>
      <c r="G22" s="73"/>
      <c r="H22" s="158"/>
      <c r="I22" s="158"/>
      <c r="J22" s="15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107</v>
      </c>
      <c r="C23" s="10"/>
      <c r="D23" s="48">
        <f t="shared" si="1"/>
        <v>0</v>
      </c>
      <c r="F23" s="78"/>
      <c r="G23" s="79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101</v>
      </c>
      <c r="C24" s="10"/>
      <c r="D24" s="48">
        <f t="shared" si="1"/>
        <v>0</v>
      </c>
      <c r="F24" s="38"/>
      <c r="G24" s="37"/>
      <c r="H24" s="216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0</v>
      </c>
      <c r="F29" s="91" t="s">
        <v>55</v>
      </c>
      <c r="G29" s="152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4">
        <f>F34*G34</f>
        <v>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/>
      <c r="H35" s="134">
        <f>F35*G35</f>
        <v>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>
        <f t="shared" ref="H36:H39" si="2">F36*G36</f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4">
        <f t="shared" si="2"/>
        <v>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/>
      <c r="H38" s="134">
        <f t="shared" si="2"/>
        <v>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138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7" t="s">
        <v>7</v>
      </c>
      <c r="B4" s="138"/>
      <c r="C4" s="138"/>
      <c r="D4" s="139"/>
      <c r="F4" s="183" t="s">
        <v>8</v>
      </c>
      <c r="G4" s="185"/>
      <c r="H4" s="187" t="s">
        <v>9</v>
      </c>
      <c r="I4" s="189"/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2"/>
      <c r="B6" s="16"/>
      <c r="C6" s="10"/>
      <c r="D6" s="13">
        <f t="shared" ref="D6:D28" si="1">C6*L6</f>
        <v>0</v>
      </c>
      <c r="F6" s="193" t="s">
        <v>16</v>
      </c>
      <c r="G6" s="195"/>
      <c r="H6" s="196"/>
      <c r="I6" s="196"/>
      <c r="J6" s="19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2"/>
      <c r="B7" s="16"/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2"/>
      <c r="B8" s="16"/>
      <c r="C8" s="10"/>
      <c r="D8" s="13">
        <f t="shared" si="1"/>
        <v>0</v>
      </c>
      <c r="F8" s="201" t="s">
        <v>21</v>
      </c>
      <c r="G8" s="202"/>
      <c r="H8" s="203"/>
      <c r="I8" s="203"/>
      <c r="J8" s="204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2"/>
      <c r="B9" s="16"/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2"/>
      <c r="C10" s="10"/>
      <c r="D10" s="13">
        <f t="shared" si="1"/>
        <v>0</v>
      </c>
      <c r="F10" s="193" t="s">
        <v>26</v>
      </c>
      <c r="G10" s="208"/>
      <c r="H10" s="209"/>
      <c r="I10" s="209"/>
      <c r="J10" s="210"/>
      <c r="K10" s="8"/>
      <c r="L10" s="6">
        <f>R36</f>
        <v>972</v>
      </c>
      <c r="P10" s="4"/>
      <c r="Q10" s="4"/>
      <c r="R10" s="5"/>
    </row>
    <row r="11" spans="1:19" ht="15.75" x14ac:dyDescent="0.25">
      <c r="A11" s="132"/>
      <c r="B11" s="17"/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2"/>
      <c r="B12" s="17"/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2"/>
      <c r="B13" s="17"/>
      <c r="C13" s="10"/>
      <c r="D13" s="48">
        <f t="shared" si="1"/>
        <v>0</v>
      </c>
      <c r="F13" s="214" t="s">
        <v>36</v>
      </c>
      <c r="G13" s="17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2"/>
      <c r="B14" s="14"/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2"/>
      <c r="B15" s="14"/>
      <c r="C15" s="10"/>
      <c r="D15" s="31">
        <f t="shared" si="1"/>
        <v>0</v>
      </c>
      <c r="F15" s="177" t="s">
        <v>40</v>
      </c>
      <c r="G15" s="178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/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/>
      <c r="C19" s="10"/>
      <c r="D19" s="48">
        <f t="shared" si="1"/>
        <v>0</v>
      </c>
      <c r="F19" s="56"/>
      <c r="G19" s="68" t="s">
        <v>50</v>
      </c>
      <c r="H19" s="215"/>
      <c r="I19" s="215"/>
      <c r="J19" s="21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/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2"/>
      <c r="B22" s="46"/>
      <c r="C22" s="10"/>
      <c r="D22" s="48">
        <f t="shared" si="1"/>
        <v>0</v>
      </c>
      <c r="F22" s="77"/>
      <c r="G22" s="73"/>
      <c r="H22" s="158"/>
      <c r="I22" s="158"/>
      <c r="J22" s="15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/>
      <c r="C23" s="10"/>
      <c r="D23" s="48">
        <f t="shared" si="1"/>
        <v>0</v>
      </c>
      <c r="F23" s="78"/>
      <c r="G23" s="79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/>
      <c r="C24" s="10"/>
      <c r="D24" s="48">
        <f t="shared" si="1"/>
        <v>0</v>
      </c>
      <c r="F24" s="38"/>
      <c r="G24" s="37"/>
      <c r="H24" s="216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/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2"/>
      <c r="B27" s="14"/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/>
      <c r="C28" s="10"/>
      <c r="D28" s="48">
        <f t="shared" si="1"/>
        <v>0</v>
      </c>
      <c r="F28" s="86"/>
      <c r="G28" s="61"/>
      <c r="H28" s="166"/>
      <c r="I28" s="167"/>
      <c r="J28" s="168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4" t="s">
        <v>36</v>
      </c>
      <c r="B29" s="145"/>
      <c r="C29" s="146"/>
      <c r="D29" s="150">
        <f>SUM(D6:D28)</f>
        <v>0</v>
      </c>
      <c r="F29" s="91" t="s">
        <v>55</v>
      </c>
      <c r="G29" s="152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4"/>
      <c r="I34" s="135"/>
      <c r="J34" s="13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/>
      <c r="H35" s="134"/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/>
      <c r="I36" s="135"/>
      <c r="J36" s="13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4"/>
      <c r="I37" s="135"/>
      <c r="J37" s="13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/>
      <c r="H38" s="134"/>
      <c r="I38" s="135"/>
      <c r="J38" s="13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/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125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1</v>
      </c>
      <c r="H4" s="187" t="s">
        <v>9</v>
      </c>
      <c r="I4" s="189">
        <v>46097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93" t="s">
        <v>16</v>
      </c>
      <c r="G6" s="195" t="s">
        <v>111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144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139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214" t="s">
        <v>36</v>
      </c>
      <c r="G13" s="17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133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4"/>
      <c r="I19" s="154"/>
      <c r="J19" s="154"/>
      <c r="L19" s="6">
        <v>1102</v>
      </c>
      <c r="Q19" s="4"/>
      <c r="R19" s="5">
        <f t="shared" si="0"/>
        <v>0</v>
      </c>
    </row>
    <row r="20" spans="1:18" ht="15.75" x14ac:dyDescent="0.25">
      <c r="A20" s="132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124</v>
      </c>
      <c r="C22" s="10"/>
      <c r="D22" s="48">
        <f t="shared" si="1"/>
        <v>0</v>
      </c>
      <c r="F22" s="77"/>
      <c r="G22" s="73"/>
      <c r="H22" s="158"/>
      <c r="I22" s="158"/>
      <c r="J22" s="15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101</v>
      </c>
      <c r="C23" s="10"/>
      <c r="D23" s="48">
        <f t="shared" si="1"/>
        <v>0</v>
      </c>
      <c r="F23" s="77"/>
      <c r="G23" s="79"/>
      <c r="H23" s="159"/>
      <c r="I23" s="160"/>
      <c r="J23" s="16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118</v>
      </c>
      <c r="C24" s="10"/>
      <c r="D24" s="48">
        <f t="shared" si="1"/>
        <v>0</v>
      </c>
      <c r="F24" s="77"/>
      <c r="G24" s="79"/>
      <c r="H24" s="159"/>
      <c r="I24" s="160"/>
      <c r="J24" s="16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110</v>
      </c>
      <c r="C27" s="10"/>
      <c r="D27" s="44">
        <f t="shared" si="1"/>
        <v>0</v>
      </c>
      <c r="F27" s="71"/>
      <c r="G27" s="89"/>
      <c r="H27" s="164"/>
      <c r="I27" s="165"/>
      <c r="J27" s="16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0</v>
      </c>
      <c r="F29" s="91" t="s">
        <v>55</v>
      </c>
      <c r="G29" s="152"/>
      <c r="H29" s="113">
        <f>H15-H16-H17-H18-H19-H20-H22-H23-H24+H26+H27+H28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4">
        <f t="shared" ref="H34:H39" si="2">F34*G34</f>
        <v>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/>
      <c r="H35" s="134">
        <f t="shared" si="2"/>
        <v>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>
        <f t="shared" si="2"/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4">
        <f t="shared" si="2"/>
        <v>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/>
      <c r="H38" s="134">
        <f t="shared" si="2"/>
        <v>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84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128</v>
      </c>
      <c r="G51" s="232">
        <f>G49-H29</f>
        <v>0</v>
      </c>
      <c r="H51" s="233"/>
      <c r="I51" s="233"/>
      <c r="J51" s="2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35"/>
      <c r="H52" s="236"/>
      <c r="I52" s="236"/>
      <c r="J52" s="2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2</v>
      </c>
      <c r="H4" s="187" t="s">
        <v>9</v>
      </c>
      <c r="I4" s="189">
        <v>46097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93" t="s">
        <v>16</v>
      </c>
      <c r="G6" s="195" t="s">
        <v>126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113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114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214" t="s">
        <v>36</v>
      </c>
      <c r="G13" s="17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93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8"/>
      <c r="I19" s="238"/>
      <c r="J19" s="23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4"/>
      <c r="I20" s="154"/>
      <c r="J20" s="15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104</v>
      </c>
      <c r="C22" s="10"/>
      <c r="D22" s="48">
        <f t="shared" si="1"/>
        <v>0</v>
      </c>
      <c r="F22" s="72"/>
      <c r="G22" s="73"/>
      <c r="H22" s="158"/>
      <c r="I22" s="158"/>
      <c r="J22" s="15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107</v>
      </c>
      <c r="C23" s="10"/>
      <c r="D23" s="48">
        <f t="shared" si="1"/>
        <v>0</v>
      </c>
      <c r="F23" s="25"/>
      <c r="G23" s="37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120</v>
      </c>
      <c r="C24" s="10"/>
      <c r="D24" s="48">
        <f t="shared" si="1"/>
        <v>0</v>
      </c>
      <c r="F24" s="38"/>
      <c r="G24" s="37"/>
      <c r="H24" s="216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105</v>
      </c>
      <c r="C26" s="10"/>
      <c r="D26" s="48">
        <f t="shared" si="1"/>
        <v>0</v>
      </c>
      <c r="F26" s="64"/>
      <c r="G26" s="10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109</v>
      </c>
      <c r="C27" s="10"/>
      <c r="D27" s="44">
        <f t="shared" si="1"/>
        <v>0</v>
      </c>
      <c r="F27" s="14"/>
      <c r="G27" s="14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0</v>
      </c>
      <c r="F29" s="91" t="s">
        <v>55</v>
      </c>
      <c r="G29" s="152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4">
        <f>F34*G34</f>
        <v>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/>
      <c r="H35" s="134">
        <f t="shared" ref="H35:H39" si="2">F35*G35</f>
        <v>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>
        <f>F36*G36</f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4">
        <f t="shared" si="2"/>
        <v>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/>
      <c r="H38" s="134">
        <f t="shared" si="2"/>
        <v>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135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2" t="s">
        <v>1</v>
      </c>
      <c r="O1" s="182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7" t="s">
        <v>7</v>
      </c>
      <c r="B4" s="138"/>
      <c r="C4" s="138"/>
      <c r="D4" s="139"/>
      <c r="F4" s="183" t="s">
        <v>8</v>
      </c>
      <c r="G4" s="185">
        <v>3</v>
      </c>
      <c r="H4" s="187" t="s">
        <v>9</v>
      </c>
      <c r="I4" s="189">
        <v>46097</v>
      </c>
      <c r="J4" s="19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1" t="s">
        <v>7</v>
      </c>
      <c r="B5" s="15" t="s">
        <v>11</v>
      </c>
      <c r="C5" s="9" t="s">
        <v>12</v>
      </c>
      <c r="D5" s="25" t="s">
        <v>13</v>
      </c>
      <c r="F5" s="184"/>
      <c r="G5" s="186"/>
      <c r="H5" s="188"/>
      <c r="I5" s="191"/>
      <c r="J5" s="19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2"/>
      <c r="B6" s="16" t="s">
        <v>15</v>
      </c>
      <c r="C6" s="10"/>
      <c r="D6" s="13">
        <f t="shared" ref="D6:D28" si="1">C6*L6</f>
        <v>0</v>
      </c>
      <c r="F6" s="193" t="s">
        <v>16</v>
      </c>
      <c r="G6" s="195" t="s">
        <v>141</v>
      </c>
      <c r="H6" s="196"/>
      <c r="I6" s="196"/>
      <c r="J6" s="19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2"/>
      <c r="B7" s="16" t="s">
        <v>18</v>
      </c>
      <c r="C7" s="10"/>
      <c r="D7" s="13">
        <f t="shared" si="1"/>
        <v>0</v>
      </c>
      <c r="F7" s="194"/>
      <c r="G7" s="198"/>
      <c r="H7" s="199"/>
      <c r="I7" s="199"/>
      <c r="J7" s="20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2"/>
      <c r="B8" s="16" t="s">
        <v>20</v>
      </c>
      <c r="C8" s="10"/>
      <c r="D8" s="13">
        <f t="shared" si="1"/>
        <v>0</v>
      </c>
      <c r="F8" s="201" t="s">
        <v>21</v>
      </c>
      <c r="G8" s="202" t="s">
        <v>130</v>
      </c>
      <c r="H8" s="203"/>
      <c r="I8" s="203"/>
      <c r="J8" s="204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2"/>
      <c r="B9" s="16" t="s">
        <v>23</v>
      </c>
      <c r="C9" s="10"/>
      <c r="D9" s="13">
        <f t="shared" si="1"/>
        <v>0</v>
      </c>
      <c r="F9" s="194"/>
      <c r="G9" s="205"/>
      <c r="H9" s="206"/>
      <c r="I9" s="206"/>
      <c r="J9" s="207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2"/>
      <c r="B10" t="s">
        <v>25</v>
      </c>
      <c r="C10" s="10"/>
      <c r="D10" s="13">
        <f t="shared" si="1"/>
        <v>0</v>
      </c>
      <c r="F10" s="193" t="s">
        <v>26</v>
      </c>
      <c r="G10" s="208" t="s">
        <v>127</v>
      </c>
      <c r="H10" s="209"/>
      <c r="I10" s="209"/>
      <c r="J10" s="210"/>
      <c r="K10" s="8"/>
      <c r="L10" s="6">
        <f>R36</f>
        <v>1032</v>
      </c>
      <c r="P10" s="4"/>
      <c r="Q10" s="4"/>
      <c r="R10" s="5"/>
    </row>
    <row r="11" spans="1:18" ht="15.75" x14ac:dyDescent="0.25">
      <c r="A11" s="132"/>
      <c r="B11" s="17" t="s">
        <v>28</v>
      </c>
      <c r="C11" s="10"/>
      <c r="D11" s="13">
        <f t="shared" si="1"/>
        <v>0</v>
      </c>
      <c r="F11" s="194"/>
      <c r="G11" s="205"/>
      <c r="H11" s="206"/>
      <c r="I11" s="206"/>
      <c r="J11" s="207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2"/>
      <c r="B12" s="17" t="s">
        <v>30</v>
      </c>
      <c r="C12" s="10"/>
      <c r="D12" s="48">
        <f t="shared" si="1"/>
        <v>0</v>
      </c>
      <c r="F12" s="211" t="s">
        <v>33</v>
      </c>
      <c r="G12" s="212"/>
      <c r="H12" s="212"/>
      <c r="I12" s="212"/>
      <c r="J12" s="213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2"/>
      <c r="B13" s="17" t="s">
        <v>32</v>
      </c>
      <c r="C13" s="10"/>
      <c r="D13" s="48">
        <f t="shared" si="1"/>
        <v>0</v>
      </c>
      <c r="F13" s="214" t="s">
        <v>36</v>
      </c>
      <c r="G13" s="178"/>
      <c r="H13" s="169">
        <f>D29</f>
        <v>0</v>
      </c>
      <c r="I13" s="170"/>
      <c r="J13" s="171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2"/>
      <c r="B14" s="14" t="s">
        <v>35</v>
      </c>
      <c r="C14" s="10"/>
      <c r="D14" s="31">
        <f t="shared" si="1"/>
        <v>0</v>
      </c>
      <c r="F14" s="172" t="s">
        <v>39</v>
      </c>
      <c r="G14" s="173"/>
      <c r="H14" s="174">
        <f>D54</f>
        <v>0</v>
      </c>
      <c r="I14" s="175"/>
      <c r="J14" s="176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2"/>
      <c r="B15" s="14" t="s">
        <v>38</v>
      </c>
      <c r="C15" s="10"/>
      <c r="D15" s="31">
        <f t="shared" si="1"/>
        <v>0</v>
      </c>
      <c r="F15" s="177" t="s">
        <v>40</v>
      </c>
      <c r="G15" s="178"/>
      <c r="H15" s="179">
        <f>H13-H14</f>
        <v>0</v>
      </c>
      <c r="I15" s="180"/>
      <c r="J15" s="18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3"/>
      <c r="I16" s="143"/>
      <c r="J16" s="143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2"/>
      <c r="B17" t="s">
        <v>112</v>
      </c>
      <c r="C17" s="10"/>
      <c r="D17" s="48">
        <f t="shared" si="1"/>
        <v>0</v>
      </c>
      <c r="F17" s="56"/>
      <c r="G17" s="66" t="s">
        <v>45</v>
      </c>
      <c r="H17" s="154"/>
      <c r="I17" s="154"/>
      <c r="J17" s="15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4"/>
      <c r="I18" s="154"/>
      <c r="J18" s="15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2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2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3"/>
      <c r="I20" s="143"/>
      <c r="J20" s="14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2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5" t="s">
        <v>13</v>
      </c>
      <c r="I21" s="156"/>
      <c r="J21" s="15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2"/>
      <c r="B22" s="46" t="s">
        <v>104</v>
      </c>
      <c r="C22" s="10"/>
      <c r="D22" s="48">
        <f t="shared" si="1"/>
        <v>0</v>
      </c>
      <c r="F22" s="77"/>
      <c r="G22" s="73"/>
      <c r="H22" s="158"/>
      <c r="I22" s="158"/>
      <c r="J22" s="15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2"/>
      <c r="B23" s="14" t="s">
        <v>107</v>
      </c>
      <c r="C23" s="10"/>
      <c r="D23" s="48">
        <f t="shared" si="1"/>
        <v>0</v>
      </c>
      <c r="F23" s="78"/>
      <c r="G23" s="79"/>
      <c r="H23" s="216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2"/>
      <c r="B24" s="14" t="s">
        <v>101</v>
      </c>
      <c r="C24" s="10"/>
      <c r="D24" s="48">
        <f t="shared" si="1"/>
        <v>0</v>
      </c>
      <c r="F24" s="38"/>
      <c r="G24" s="37"/>
      <c r="H24" s="216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2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1" t="s">
        <v>13</v>
      </c>
      <c r="I25" s="162"/>
      <c r="J25" s="16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2"/>
      <c r="B26" s="14" t="s">
        <v>105</v>
      </c>
      <c r="C26" s="10"/>
      <c r="D26" s="48">
        <f t="shared" si="1"/>
        <v>0</v>
      </c>
      <c r="F26" s="64"/>
      <c r="G26" s="59"/>
      <c r="H26" s="217"/>
      <c r="I26" s="218"/>
      <c r="J26" s="219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2"/>
      <c r="B27" s="14" t="s">
        <v>109</v>
      </c>
      <c r="C27" s="10"/>
      <c r="D27" s="44">
        <f t="shared" si="1"/>
        <v>0</v>
      </c>
      <c r="F27" s="25"/>
      <c r="G27" s="80"/>
      <c r="H27" s="220"/>
      <c r="I27" s="221"/>
      <c r="J27" s="222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3"/>
      <c r="B28" s="46" t="s">
        <v>97</v>
      </c>
      <c r="C28" s="10"/>
      <c r="D28" s="48">
        <f t="shared" si="1"/>
        <v>0</v>
      </c>
      <c r="F28" s="86"/>
      <c r="G28" s="61"/>
      <c r="H28" s="166"/>
      <c r="I28" s="167"/>
      <c r="J28" s="16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4" t="s">
        <v>36</v>
      </c>
      <c r="B29" s="145"/>
      <c r="C29" s="146"/>
      <c r="D29" s="150">
        <f>SUM(D6:D28)</f>
        <v>0</v>
      </c>
      <c r="F29" s="91" t="s">
        <v>55</v>
      </c>
      <c r="G29" s="152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7"/>
      <c r="B30" s="148"/>
      <c r="C30" s="149"/>
      <c r="D30" s="151"/>
      <c r="F30" s="94"/>
      <c r="G30" s="153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7" t="s">
        <v>58</v>
      </c>
      <c r="B32" s="138"/>
      <c r="C32" s="138"/>
      <c r="D32" s="139"/>
      <c r="F32" s="140" t="s">
        <v>59</v>
      </c>
      <c r="G32" s="141"/>
      <c r="H32" s="141"/>
      <c r="I32" s="141"/>
      <c r="J32" s="14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0" t="s">
        <v>13</v>
      </c>
      <c r="I33" s="141"/>
      <c r="J33" s="14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4">
        <f>F34*G34</f>
        <v>0</v>
      </c>
      <c r="I34" s="135"/>
      <c r="J34" s="136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2"/>
      <c r="B35" s="27" t="s">
        <v>68</v>
      </c>
      <c r="C35" s="52"/>
      <c r="D35" s="30">
        <f>C35*84</f>
        <v>0</v>
      </c>
      <c r="F35" s="58">
        <v>500</v>
      </c>
      <c r="G35" s="41"/>
      <c r="H35" s="134">
        <f>F35*G35</f>
        <v>0</v>
      </c>
      <c r="I35" s="135"/>
      <c r="J35" s="13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3"/>
      <c r="B36" s="26" t="s">
        <v>70</v>
      </c>
      <c r="C36" s="10"/>
      <c r="D36" s="12">
        <f>C36*1.5</f>
        <v>0</v>
      </c>
      <c r="F36" s="12">
        <v>200</v>
      </c>
      <c r="G36" s="37"/>
      <c r="H36" s="134">
        <f t="shared" ref="H36:H39" si="2">F36*G36</f>
        <v>0</v>
      </c>
      <c r="I36" s="135"/>
      <c r="J36" s="136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4">
        <f t="shared" si="2"/>
        <v>0</v>
      </c>
      <c r="I37" s="135"/>
      <c r="J37" s="136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2"/>
      <c r="B38" s="29" t="s">
        <v>68</v>
      </c>
      <c r="C38" s="54"/>
      <c r="D38" s="12">
        <f>C38*84</f>
        <v>0</v>
      </c>
      <c r="F38" s="30">
        <v>50</v>
      </c>
      <c r="G38" s="39"/>
      <c r="H38" s="134">
        <f t="shared" si="2"/>
        <v>0</v>
      </c>
      <c r="I38" s="135"/>
      <c r="J38" s="136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3"/>
      <c r="B39" s="29" t="s">
        <v>70</v>
      </c>
      <c r="C39" s="52"/>
      <c r="D39" s="31">
        <f>C39*4.5</f>
        <v>0</v>
      </c>
      <c r="F39" s="12">
        <v>20</v>
      </c>
      <c r="G39" s="37"/>
      <c r="H39" s="134">
        <f t="shared" si="2"/>
        <v>0</v>
      </c>
      <c r="I39" s="135"/>
      <c r="J39" s="13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4"/>
      <c r="I40" s="135"/>
      <c r="J40" s="136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2"/>
      <c r="B41" s="27" t="s">
        <v>68</v>
      </c>
      <c r="C41" s="10"/>
      <c r="D41" s="12">
        <f>C41*84</f>
        <v>0</v>
      </c>
      <c r="F41" s="12">
        <v>5</v>
      </c>
      <c r="G41" s="42"/>
      <c r="H41" s="134"/>
      <c r="I41" s="135"/>
      <c r="J41" s="136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3"/>
      <c r="B42" s="27" t="s">
        <v>70</v>
      </c>
      <c r="C42" s="11"/>
      <c r="D42" s="12">
        <f>C42*2.25</f>
        <v>0</v>
      </c>
      <c r="F42" s="39" t="s">
        <v>79</v>
      </c>
      <c r="G42" s="134"/>
      <c r="H42" s="135"/>
      <c r="I42" s="135"/>
      <c r="J42" s="136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223"/>
      <c r="I46" s="223"/>
      <c r="J46" s="223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24" t="s">
        <v>138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25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</vt:lpstr>
      <vt:lpstr>13,03 R2</vt:lpstr>
      <vt:lpstr>13,03 R3</vt:lpstr>
      <vt:lpstr>(14)</vt:lpstr>
      <vt:lpstr>14,03 R1</vt:lpstr>
      <vt:lpstr>14,03 R2</vt:lpstr>
      <vt:lpstr>14,03 R3</vt:lpstr>
      <vt:lpstr>(16)</vt:lpstr>
      <vt:lpstr>16,03 R1</vt:lpstr>
      <vt:lpstr>16,03 R2</vt:lpstr>
      <vt:lpstr>16,03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R1'!Print_Area</vt:lpstr>
      <vt:lpstr>'13,03 R2'!Print_Area</vt:lpstr>
      <vt:lpstr>'13,03 R3'!Print_Area</vt:lpstr>
      <vt:lpstr>'14,03 R1'!Print_Area</vt:lpstr>
      <vt:lpstr>'14,03 R2'!Print_Area</vt:lpstr>
      <vt:lpstr>'14,03 R3'!Print_Area</vt:lpstr>
      <vt:lpstr>'16,03 R1'!Print_Area</vt:lpstr>
      <vt:lpstr>'16,03 R2'!Print_Area</vt:lpstr>
      <vt:lpstr>'16,03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Hu4fxw</cp:lastModifiedBy>
  <cp:lastPrinted>2026-03-11T00:35:15Z</cp:lastPrinted>
  <dcterms:created xsi:type="dcterms:W3CDTF">2024-09-01T23:36:50Z</dcterms:created>
  <dcterms:modified xsi:type="dcterms:W3CDTF">2026-03-11T13:14:33Z</dcterms:modified>
</cp:coreProperties>
</file>