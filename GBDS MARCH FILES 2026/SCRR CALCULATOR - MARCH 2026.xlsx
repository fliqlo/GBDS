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drawings/drawing13.xml" ContentType="application/vnd.openxmlformats-officedocument.drawing+xml"/>
  <Override PartName="/xl/drawings/drawing14.xml" ContentType="application/vnd.openxmlformats-officedocument.drawing+xml"/>
  <Override PartName="/xl/drawings/drawing15.xml" ContentType="application/vnd.openxmlformats-officedocument.drawing+xml"/>
  <Override PartName="/xl/drawings/drawing16.xml" ContentType="application/vnd.openxmlformats-officedocument.drawing+xml"/>
  <Override PartName="/xl/drawings/drawing17.xml" ContentType="application/vnd.openxmlformats-officedocument.drawing+xml"/>
  <Override PartName="/xl/drawings/drawing18.xml" ContentType="application/vnd.openxmlformats-officedocument.drawing+xml"/>
  <Override PartName="/xl/drawings/drawing19.xml" ContentType="application/vnd.openxmlformats-officedocument.drawing+xml"/>
  <Override PartName="/xl/drawings/drawing20.xml" ContentType="application/vnd.openxmlformats-officedocument.drawing+xml"/>
  <Override PartName="/xl/drawings/drawing21.xml" ContentType="application/vnd.openxmlformats-officedocument.drawing+xml"/>
  <Override PartName="/xl/drawings/drawing22.xml" ContentType="application/vnd.openxmlformats-officedocument.drawing+xml"/>
  <Override PartName="/xl/drawings/drawing23.xml" ContentType="application/vnd.openxmlformats-officedocument.drawing+xml"/>
  <Override PartName="/xl/drawings/drawing24.xml" ContentType="application/vnd.openxmlformats-officedocument.drawing+xml"/>
  <Override PartName="/xl/drawings/drawing25.xml" ContentType="application/vnd.openxmlformats-officedocument.drawing+xml"/>
  <Override PartName="/xl/drawings/drawing26.xml" ContentType="application/vnd.openxmlformats-officedocument.drawing+xml"/>
  <Override PartName="/xl/drawings/drawing27.xml" ContentType="application/vnd.openxmlformats-officedocument.drawing+xml"/>
  <Override PartName="/xl/drawings/drawing28.xml" ContentType="application/vnd.openxmlformats-officedocument.drawing+xml"/>
  <Override PartName="/xl/drawings/drawing29.xml" ContentType="application/vnd.openxmlformats-officedocument.drawing+xml"/>
  <Override PartName="/xl/drawings/drawing30.xml" ContentType="application/vnd.openxmlformats-officedocument.drawing+xml"/>
  <Override PartName="/xl/drawings/drawing31.xml" ContentType="application/vnd.openxmlformats-officedocument.drawing+xml"/>
  <Override PartName="/xl/drawings/drawing32.xml" ContentType="application/vnd.openxmlformats-officedocument.drawing+xml"/>
  <Override PartName="/xl/drawings/drawing33.xml" ContentType="application/vnd.openxmlformats-officedocument.drawing+xml"/>
  <Override PartName="/xl/drawings/drawing34.xml" ContentType="application/vnd.openxmlformats-officedocument.drawing+xml"/>
  <Override PartName="/xl/drawings/drawing35.xml" ContentType="application/vnd.openxmlformats-officedocument.drawing+xml"/>
  <Override PartName="/xl/drawings/drawing36.xml" ContentType="application/vnd.openxmlformats-officedocument.drawing+xml"/>
  <Override PartName="/xl/drawings/drawing37.xml" ContentType="application/vnd.openxmlformats-officedocument.drawing+xml"/>
  <Override PartName="/xl/drawings/drawing38.xml" ContentType="application/vnd.openxmlformats-officedocument.drawing+xml"/>
  <Override PartName="/xl/drawings/drawing39.xml" ContentType="application/vnd.openxmlformats-officedocument.drawing+xml"/>
  <Override PartName="/xl/drawings/drawing40.xml" ContentType="application/vnd.openxmlformats-officedocument.drawing+xml"/>
  <Override PartName="/xl/drawings/drawing41.xml" ContentType="application/vnd.openxmlformats-officedocument.drawing+xml"/>
  <Override PartName="/xl/drawings/drawing42.xml" ContentType="application/vnd.openxmlformats-officedocument.drawing+xml"/>
  <Override PartName="/xl/drawings/drawing43.xml" ContentType="application/vnd.openxmlformats-officedocument.drawing+xml"/>
  <Override PartName="/xl/drawings/drawing44.xml" ContentType="application/vnd.openxmlformats-officedocument.drawing+xml"/>
  <Override PartName="/xl/drawings/drawing45.xml" ContentType="application/vnd.openxmlformats-officedocument.drawing+xml"/>
  <Override PartName="/xl/drawings/drawing46.xml" ContentType="application/vnd.openxmlformats-officedocument.drawing+xml"/>
  <Override PartName="/xl/drawings/drawing47.xml" ContentType="application/vnd.openxmlformats-officedocument.drawing+xml"/>
  <Override PartName="/xl/drawings/drawing48.xml" ContentType="application/vnd.openxmlformats-officedocument.drawing+xml"/>
  <Override PartName="/xl/drawings/drawing49.xml" ContentType="application/vnd.openxmlformats-officedocument.drawing+xml"/>
  <Override PartName="/xl/drawings/drawing50.xml" ContentType="application/vnd.openxmlformats-officedocument.drawing+xml"/>
  <Override PartName="/xl/drawings/drawing51.xml" ContentType="application/vnd.openxmlformats-officedocument.drawing+xml"/>
  <Override PartName="/xl/drawings/drawing5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GBDS MARCH FILES 2026\"/>
    </mc:Choice>
  </mc:AlternateContent>
  <xr:revisionPtr revIDLastSave="0" documentId="13_ncr:1_{432CEA06-A6B3-44E4-B8CC-7F9BB593ACBF}" xr6:coauthVersionLast="45" xr6:coauthVersionMax="47" xr10:uidLastSave="{00000000-0000-0000-0000-000000000000}"/>
  <bookViews>
    <workbookView xWindow="-120" yWindow="-120" windowWidth="29040" windowHeight="15840" firstSheet="28" activeTab="30" xr2:uid="{00000000-000D-0000-FFFF-FFFF00000000}"/>
  </bookViews>
  <sheets>
    <sheet name="(March 2026)" sheetId="814" r:id="rId1"/>
    <sheet name="(2)" sheetId="1818" r:id="rId2"/>
    <sheet name="03,02 R1" sheetId="1819" r:id="rId3"/>
    <sheet name="03,02 R2" sheetId="1820" r:id="rId4"/>
    <sheet name="03,02 R3" sheetId="1821" r:id="rId5"/>
    <sheet name="(3)" sheetId="1842" r:id="rId6"/>
    <sheet name="03,03 R1" sheetId="1843" r:id="rId7"/>
    <sheet name="03,03 R2" sheetId="1844" r:id="rId8"/>
    <sheet name="03,03 R3" sheetId="1845" r:id="rId9"/>
    <sheet name="(4)" sheetId="1846" r:id="rId10"/>
    <sheet name="04,03 R1" sheetId="1847" r:id="rId11"/>
    <sheet name="04,03 R2" sheetId="1848" r:id="rId12"/>
    <sheet name="04,03 R3" sheetId="1849" r:id="rId13"/>
    <sheet name="(5)" sheetId="1850" r:id="rId14"/>
    <sheet name="05,03 R1" sheetId="1851" r:id="rId15"/>
    <sheet name="05,03 R2" sheetId="1852" r:id="rId16"/>
    <sheet name="05,03 R3 NO TRIP" sheetId="1853" r:id="rId17"/>
    <sheet name="(6)" sheetId="1854" r:id="rId18"/>
    <sheet name="06,03 R1 NO TRIP" sheetId="1855" r:id="rId19"/>
    <sheet name="06,03 R2 NO TRIP" sheetId="1856" r:id="rId20"/>
    <sheet name="06,03 R3" sheetId="1857" r:id="rId21"/>
    <sheet name="(7)" sheetId="1858" r:id="rId22"/>
    <sheet name="07,03 R1" sheetId="1859" r:id="rId23"/>
    <sheet name="07,03 R2" sheetId="1860" r:id="rId24"/>
    <sheet name="07,03 R3" sheetId="1861" r:id="rId25"/>
    <sheet name="(9)" sheetId="1862" r:id="rId26"/>
    <sheet name="09,03 R1" sheetId="1863" r:id="rId27"/>
    <sheet name="09,03 R2" sheetId="1864" r:id="rId28"/>
    <sheet name="09,03 R3" sheetId="1865" r:id="rId29"/>
    <sheet name="(10)" sheetId="1866" r:id="rId30"/>
    <sheet name="10,03 R1" sheetId="1867" r:id="rId31"/>
    <sheet name="10,03 R2" sheetId="1868" r:id="rId32"/>
    <sheet name="10,03 R3" sheetId="1869" r:id="rId33"/>
    <sheet name="(11)" sheetId="1870" r:id="rId34"/>
    <sheet name="11,03 R1" sheetId="1871" r:id="rId35"/>
    <sheet name="11,03 R2" sheetId="1872" r:id="rId36"/>
    <sheet name="11,03 R3" sheetId="1873" r:id="rId37"/>
    <sheet name="(12)" sheetId="1874" r:id="rId38"/>
    <sheet name="12,03 R1" sheetId="1875" r:id="rId39"/>
    <sheet name="12,03 R2" sheetId="1876" r:id="rId40"/>
    <sheet name="12,03 R3" sheetId="1877" r:id="rId41"/>
    <sheet name="(13)" sheetId="1878" r:id="rId42"/>
    <sheet name="13,03 R1" sheetId="1879" r:id="rId43"/>
    <sheet name="13,03 R2" sheetId="1880" r:id="rId44"/>
    <sheet name="13,03 R3" sheetId="1881" r:id="rId45"/>
    <sheet name="(14)" sheetId="1882" r:id="rId46"/>
    <sheet name="14,03 R1" sheetId="1883" r:id="rId47"/>
    <sheet name="14,03 R2" sheetId="1884" r:id="rId48"/>
    <sheet name="14,03 R3" sheetId="1885" r:id="rId49"/>
    <sheet name="(16)" sheetId="1886" r:id="rId50"/>
    <sheet name="16,03 R1" sheetId="1887" r:id="rId51"/>
    <sheet name="16,03 R2" sheetId="1888" r:id="rId52"/>
    <sheet name="16,03 R3" sheetId="1889" r:id="rId53"/>
  </sheets>
  <definedNames>
    <definedName name="_xlnm.Print_Area" localSheetId="29">'(10)'!$A$1:$J$60</definedName>
    <definedName name="_xlnm.Print_Area" localSheetId="33">'(11)'!$A$1:$J$60</definedName>
    <definedName name="_xlnm.Print_Area" localSheetId="37">'(12)'!$A$1:$J$60</definedName>
    <definedName name="_xlnm.Print_Area" localSheetId="41">'(13)'!$A$1:$J$60</definedName>
    <definedName name="_xlnm.Print_Area" localSheetId="45">'(14)'!$A$1:$J$60</definedName>
    <definedName name="_xlnm.Print_Area" localSheetId="49">'(16)'!$A$1:$J$60</definedName>
    <definedName name="_xlnm.Print_Area" localSheetId="1">'(2)'!$A$1:$J$60</definedName>
    <definedName name="_xlnm.Print_Area" localSheetId="5">'(3)'!$A$1:$J$60</definedName>
    <definedName name="_xlnm.Print_Area" localSheetId="9">'(4)'!$A$1:$J$60</definedName>
    <definedName name="_xlnm.Print_Area" localSheetId="13">'(5)'!$A$1:$J$60</definedName>
    <definedName name="_xlnm.Print_Area" localSheetId="17">'(6)'!$A$1:$J$60</definedName>
    <definedName name="_xlnm.Print_Area" localSheetId="21">'(7)'!$A$1:$J$60</definedName>
    <definedName name="_xlnm.Print_Area" localSheetId="25">'(9)'!$A$1:$J$60</definedName>
    <definedName name="_xlnm.Print_Area" localSheetId="2">'03,02 R1'!$A$1:$J$60</definedName>
    <definedName name="_xlnm.Print_Area" localSheetId="3">'03,02 R2'!$A$1:$J$60</definedName>
    <definedName name="_xlnm.Print_Area" localSheetId="4">'03,02 R3'!$A$1:$J$60</definedName>
    <definedName name="_xlnm.Print_Area" localSheetId="6">'03,03 R1'!$A$1:$J$60</definedName>
    <definedName name="_xlnm.Print_Area" localSheetId="7">'03,03 R2'!$A$1:$J$60</definedName>
    <definedName name="_xlnm.Print_Area" localSheetId="8">'03,03 R3'!$A$1:$J$60</definedName>
    <definedName name="_xlnm.Print_Area" localSheetId="10">'04,03 R1'!$A$1:$J$60</definedName>
    <definedName name="_xlnm.Print_Area" localSheetId="11">'04,03 R2'!$A$1:$J$60</definedName>
    <definedName name="_xlnm.Print_Area" localSheetId="12">'04,03 R3'!$A$1:$J$60</definedName>
    <definedName name="_xlnm.Print_Area" localSheetId="14">'05,03 R1'!$A$1:$J$60</definedName>
    <definedName name="_xlnm.Print_Area" localSheetId="15">'05,03 R2'!$A$1:$J$60</definedName>
    <definedName name="_xlnm.Print_Area" localSheetId="16">'05,03 R3 NO TRIP'!$A$1:$J$60</definedName>
    <definedName name="_xlnm.Print_Area" localSheetId="18">'06,03 R1 NO TRIP'!$A$1:$J$60</definedName>
    <definedName name="_xlnm.Print_Area" localSheetId="19">'06,03 R2 NO TRIP'!$A$1:$J$60</definedName>
    <definedName name="_xlnm.Print_Area" localSheetId="20">'06,03 R3'!$A$1:$J$60</definedName>
    <definedName name="_xlnm.Print_Area" localSheetId="22">'07,03 R1'!$A$1:$J$60</definedName>
    <definedName name="_xlnm.Print_Area" localSheetId="23">'07,03 R2'!$A$1:$J$60</definedName>
    <definedName name="_xlnm.Print_Area" localSheetId="24">'07,03 R3'!$A$1:$J$60</definedName>
    <definedName name="_xlnm.Print_Area" localSheetId="26">'09,03 R1'!$A$1:$J$60</definedName>
    <definedName name="_xlnm.Print_Area" localSheetId="27">'09,03 R2'!$A$1:$J$60</definedName>
    <definedName name="_xlnm.Print_Area" localSheetId="28">'09,03 R3'!$A$1:$J$60</definedName>
    <definedName name="_xlnm.Print_Area" localSheetId="30">'10,03 R1'!$A$1:$J$60</definedName>
    <definedName name="_xlnm.Print_Area" localSheetId="31">'10,03 R2'!$A$1:$J$60</definedName>
    <definedName name="_xlnm.Print_Area" localSheetId="32">'10,03 R3'!$A$1:$J$60</definedName>
    <definedName name="_xlnm.Print_Area" localSheetId="34">'11,03 R1'!$A$1:$J$60</definedName>
    <definedName name="_xlnm.Print_Area" localSheetId="35">'11,03 R2'!$A$1:$J$60</definedName>
    <definedName name="_xlnm.Print_Area" localSheetId="36">'11,03 R3'!$A$1:$J$60</definedName>
    <definedName name="_xlnm.Print_Area" localSheetId="38">'12,03 R1'!$A$1:$J$60</definedName>
    <definedName name="_xlnm.Print_Area" localSheetId="39">'12,03 R2'!$A$1:$J$60</definedName>
    <definedName name="_xlnm.Print_Area" localSheetId="40">'12,03 R3'!$A$1:$J$60</definedName>
    <definedName name="_xlnm.Print_Area" localSheetId="42">'13,03 R1'!$A$1:$J$60</definedName>
    <definedName name="_xlnm.Print_Area" localSheetId="43">'13,03 R2'!$A$1:$J$60</definedName>
    <definedName name="_xlnm.Print_Area" localSheetId="44">'13,03 R3'!$A$1:$J$60</definedName>
    <definedName name="_xlnm.Print_Area" localSheetId="46">'14,03 R1'!$A$1:$J$60</definedName>
    <definedName name="_xlnm.Print_Area" localSheetId="47">'14,03 R2'!$A$1:$J$60</definedName>
    <definedName name="_xlnm.Print_Area" localSheetId="48">'14,03 R3'!$A$1:$J$60</definedName>
    <definedName name="_xlnm.Print_Area" localSheetId="50">'16,03 R1'!$A$1:$J$60</definedName>
    <definedName name="_xlnm.Print_Area" localSheetId="51">'16,03 R2'!$A$1:$J$60</definedName>
    <definedName name="_xlnm.Print_Area" localSheetId="52">'16,03 R3'!$A$1:$J$60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ARRAYTEXT_WF"/>
        <xcalcf:feature name="microsoft.com:LAMBDA_WF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H16" i="1869" l="1"/>
  <c r="H16" i="1868"/>
  <c r="L27" i="1868"/>
  <c r="C21" i="1867"/>
  <c r="H16" i="1864" l="1"/>
  <c r="H16" i="1863"/>
  <c r="H16" i="1865"/>
  <c r="L24" i="1863"/>
  <c r="R52" i="1889" l="1"/>
  <c r="R51" i="1889"/>
  <c r="D50" i="1889"/>
  <c r="R49" i="1889"/>
  <c r="D49" i="1889"/>
  <c r="R48" i="1889"/>
  <c r="D48" i="1889"/>
  <c r="D46" i="1889"/>
  <c r="D45" i="1889"/>
  <c r="R44" i="1889"/>
  <c r="D44" i="1889"/>
  <c r="R42" i="1889"/>
  <c r="L6" i="1889" s="1"/>
  <c r="D6" i="1889" s="1"/>
  <c r="D42" i="1889"/>
  <c r="R41" i="1889"/>
  <c r="L7" i="1889" s="1"/>
  <c r="D7" i="1889" s="1"/>
  <c r="D41" i="1889"/>
  <c r="R40" i="1889"/>
  <c r="D40" i="1889"/>
  <c r="R39" i="1889"/>
  <c r="H39" i="1889"/>
  <c r="D39" i="1889"/>
  <c r="R38" i="1889"/>
  <c r="H38" i="1889"/>
  <c r="D38" i="1889"/>
  <c r="R37" i="1889"/>
  <c r="H37" i="1889"/>
  <c r="D37" i="1889"/>
  <c r="R36" i="1889"/>
  <c r="H36" i="1889"/>
  <c r="D36" i="1889"/>
  <c r="R35" i="1889"/>
  <c r="H35" i="1889"/>
  <c r="G49" i="1889" s="1"/>
  <c r="D35" i="1889"/>
  <c r="R34" i="1889"/>
  <c r="L12" i="1889" s="1"/>
  <c r="D12" i="1889" s="1"/>
  <c r="H34" i="1889"/>
  <c r="D34" i="1889"/>
  <c r="R33" i="1889"/>
  <c r="L23" i="1889" s="1"/>
  <c r="D23" i="1889" s="1"/>
  <c r="R32" i="1889"/>
  <c r="R31" i="1889"/>
  <c r="R30" i="1889"/>
  <c r="R29" i="1889"/>
  <c r="R28" i="1889"/>
  <c r="L28" i="1889"/>
  <c r="D28" i="1889"/>
  <c r="R27" i="1889"/>
  <c r="D27" i="1889"/>
  <c r="R26" i="1889"/>
  <c r="L26" i="1889"/>
  <c r="D26" i="1889" s="1"/>
  <c r="R25" i="1889"/>
  <c r="L25" i="1889"/>
  <c r="D25" i="1889" s="1"/>
  <c r="R24" i="1889"/>
  <c r="D24" i="1889"/>
  <c r="R23" i="1889"/>
  <c r="R22" i="1889"/>
  <c r="L22" i="1889"/>
  <c r="D22" i="1889"/>
  <c r="R21" i="1889"/>
  <c r="D21" i="1889"/>
  <c r="R20" i="1889"/>
  <c r="L20" i="1889"/>
  <c r="D20" i="1889" s="1"/>
  <c r="R19" i="1889"/>
  <c r="L19" i="1889"/>
  <c r="D19" i="1889" s="1"/>
  <c r="R18" i="1889"/>
  <c r="D18" i="1889"/>
  <c r="R17" i="1889"/>
  <c r="D17" i="1889"/>
  <c r="R16" i="1889"/>
  <c r="L16" i="1889"/>
  <c r="D16" i="1889" s="1"/>
  <c r="R15" i="1889"/>
  <c r="D15" i="1889"/>
  <c r="R14" i="1889"/>
  <c r="D14" i="1889"/>
  <c r="R13" i="1889"/>
  <c r="D13" i="1889"/>
  <c r="R12" i="1889"/>
  <c r="R11" i="1889"/>
  <c r="L11" i="1889"/>
  <c r="D11" i="1889" s="1"/>
  <c r="L10" i="1889"/>
  <c r="D10" i="1889"/>
  <c r="L9" i="1889"/>
  <c r="D9" i="1889" s="1"/>
  <c r="L8" i="1889"/>
  <c r="D8" i="1889"/>
  <c r="R6" i="1889"/>
  <c r="R5" i="1889"/>
  <c r="R4" i="1889"/>
  <c r="R52" i="1888"/>
  <c r="R51" i="1888"/>
  <c r="D50" i="1888"/>
  <c r="R49" i="1888"/>
  <c r="D49" i="1888"/>
  <c r="R48" i="1888"/>
  <c r="D48" i="1888"/>
  <c r="D46" i="1888"/>
  <c r="D45" i="1888"/>
  <c r="R44" i="1888"/>
  <c r="D44" i="1888"/>
  <c r="R42" i="1888"/>
  <c r="D42" i="1888"/>
  <c r="R41" i="1888"/>
  <c r="L7" i="1888" s="1"/>
  <c r="D7" i="1888" s="1"/>
  <c r="D41" i="1888"/>
  <c r="R40" i="1888"/>
  <c r="L8" i="1888" s="1"/>
  <c r="D8" i="1888" s="1"/>
  <c r="D40" i="1888"/>
  <c r="R39" i="1888"/>
  <c r="L20" i="1888" s="1"/>
  <c r="D20" i="1888" s="1"/>
  <c r="H39" i="1888"/>
  <c r="D39" i="1888"/>
  <c r="R38" i="1888"/>
  <c r="H38" i="1888"/>
  <c r="D38" i="1888"/>
  <c r="R37" i="1888"/>
  <c r="H37" i="1888"/>
  <c r="D37" i="1888"/>
  <c r="R36" i="1888"/>
  <c r="H36" i="1888"/>
  <c r="D36" i="1888"/>
  <c r="R35" i="1888"/>
  <c r="L19" i="1888" s="1"/>
  <c r="D19" i="1888" s="1"/>
  <c r="H35" i="1888"/>
  <c r="D35" i="1888"/>
  <c r="R34" i="1888"/>
  <c r="L12" i="1888" s="1"/>
  <c r="D12" i="1888" s="1"/>
  <c r="H34" i="1888"/>
  <c r="D34" i="1888"/>
  <c r="R33" i="1888"/>
  <c r="R32" i="1888"/>
  <c r="L11" i="1888" s="1"/>
  <c r="D11" i="1888" s="1"/>
  <c r="R31" i="1888"/>
  <c r="R30" i="1888"/>
  <c r="R29" i="1888"/>
  <c r="R28" i="1888"/>
  <c r="L16" i="1888" s="1"/>
  <c r="D16" i="1888" s="1"/>
  <c r="L28" i="1888"/>
  <c r="D28" i="1888"/>
  <c r="R27" i="1888"/>
  <c r="D27" i="1888"/>
  <c r="R26" i="1888"/>
  <c r="L26" i="1888"/>
  <c r="D26" i="1888" s="1"/>
  <c r="R25" i="1888"/>
  <c r="L25" i="1888"/>
  <c r="D25" i="1888"/>
  <c r="R24" i="1888"/>
  <c r="L24" i="1888"/>
  <c r="D24" i="1888"/>
  <c r="R23" i="1888"/>
  <c r="L23" i="1888"/>
  <c r="D23" i="1888" s="1"/>
  <c r="R22" i="1888"/>
  <c r="L22" i="1888"/>
  <c r="D22" i="1888" s="1"/>
  <c r="R21" i="1888"/>
  <c r="L17" i="1888" s="1"/>
  <c r="D17" i="1888" s="1"/>
  <c r="D21" i="1888"/>
  <c r="R20" i="1888"/>
  <c r="R19" i="1888"/>
  <c r="R18" i="1888"/>
  <c r="D18" i="1888"/>
  <c r="R17" i="1888"/>
  <c r="R16" i="1888"/>
  <c r="R15" i="1888"/>
  <c r="D15" i="1888"/>
  <c r="R14" i="1888"/>
  <c r="D14" i="1888"/>
  <c r="R13" i="1888"/>
  <c r="D13" i="1888"/>
  <c r="R12" i="1888"/>
  <c r="R11" i="1888"/>
  <c r="L10" i="1888"/>
  <c r="D10" i="1888" s="1"/>
  <c r="L9" i="1888"/>
  <c r="D9" i="1888"/>
  <c r="R6" i="1888"/>
  <c r="L6" i="1888"/>
  <c r="D6" i="1888"/>
  <c r="R5" i="1888"/>
  <c r="R4" i="1888"/>
  <c r="R52" i="1887"/>
  <c r="R51" i="1887"/>
  <c r="D50" i="1887"/>
  <c r="R49" i="1887"/>
  <c r="D49" i="1887"/>
  <c r="R48" i="1887"/>
  <c r="D48" i="1887"/>
  <c r="D46" i="1887"/>
  <c r="D45" i="1887"/>
  <c r="R44" i="1887"/>
  <c r="L28" i="1887" s="1"/>
  <c r="D28" i="1887" s="1"/>
  <c r="D44" i="1887"/>
  <c r="R42" i="1887"/>
  <c r="L6" i="1887" s="1"/>
  <c r="D6" i="1887" s="1"/>
  <c r="D42" i="1887"/>
  <c r="R41" i="1887"/>
  <c r="L7" i="1887" s="1"/>
  <c r="D7" i="1887" s="1"/>
  <c r="D41" i="1887"/>
  <c r="R40" i="1887"/>
  <c r="L8" i="1887" s="1"/>
  <c r="D8" i="1887" s="1"/>
  <c r="D40" i="1887"/>
  <c r="R39" i="1887"/>
  <c r="L20" i="1887" s="1"/>
  <c r="D20" i="1887" s="1"/>
  <c r="H39" i="1887"/>
  <c r="D39" i="1887"/>
  <c r="R38" i="1887"/>
  <c r="L9" i="1887" s="1"/>
  <c r="D9" i="1887" s="1"/>
  <c r="H38" i="1887"/>
  <c r="D38" i="1887"/>
  <c r="R37" i="1887"/>
  <c r="H37" i="1887"/>
  <c r="D37" i="1887"/>
  <c r="R36" i="1887"/>
  <c r="L10" i="1887" s="1"/>
  <c r="D10" i="1887" s="1"/>
  <c r="H36" i="1887"/>
  <c r="D36" i="1887"/>
  <c r="R35" i="1887"/>
  <c r="H35" i="1887"/>
  <c r="D35" i="1887"/>
  <c r="R34" i="1887"/>
  <c r="L12" i="1887" s="1"/>
  <c r="D12" i="1887" s="1"/>
  <c r="H34" i="1887"/>
  <c r="D34" i="1887"/>
  <c r="R33" i="1887"/>
  <c r="R32" i="1887"/>
  <c r="L11" i="1887" s="1"/>
  <c r="D11" i="1887" s="1"/>
  <c r="R31" i="1887"/>
  <c r="R30" i="1887"/>
  <c r="R29" i="1887"/>
  <c r="R28" i="1887"/>
  <c r="L16" i="1887" s="1"/>
  <c r="D16" i="1887" s="1"/>
  <c r="R27" i="1887"/>
  <c r="D27" i="1887"/>
  <c r="R26" i="1887"/>
  <c r="L26" i="1887"/>
  <c r="D26" i="1887"/>
  <c r="R25" i="1887"/>
  <c r="L25" i="1887"/>
  <c r="D25" i="1887" s="1"/>
  <c r="R24" i="1887"/>
  <c r="L24" i="1887"/>
  <c r="D24" i="1887" s="1"/>
  <c r="R23" i="1887"/>
  <c r="D23" i="1887"/>
  <c r="R22" i="1887"/>
  <c r="D22" i="1887"/>
  <c r="R21" i="1887"/>
  <c r="D21" i="1887"/>
  <c r="R20" i="1887"/>
  <c r="R19" i="1887"/>
  <c r="D19" i="1887"/>
  <c r="R18" i="1887"/>
  <c r="D18" i="1887"/>
  <c r="R17" i="1887"/>
  <c r="L17" i="1887"/>
  <c r="D17" i="1887"/>
  <c r="R16" i="1887"/>
  <c r="R15" i="1887"/>
  <c r="D15" i="1887"/>
  <c r="R14" i="1887"/>
  <c r="D14" i="1887"/>
  <c r="R13" i="1887"/>
  <c r="D13" i="1887"/>
  <c r="R12" i="1887"/>
  <c r="R11" i="1887"/>
  <c r="R6" i="1887"/>
  <c r="R5" i="1887"/>
  <c r="R4" i="1887"/>
  <c r="R52" i="1886"/>
  <c r="R51" i="1886"/>
  <c r="D50" i="1886"/>
  <c r="R49" i="1886"/>
  <c r="G49" i="1886"/>
  <c r="D49" i="1886"/>
  <c r="R48" i="1886"/>
  <c r="D48" i="1886"/>
  <c r="D46" i="1886"/>
  <c r="D45" i="1886"/>
  <c r="D44" i="1886"/>
  <c r="R42" i="1886"/>
  <c r="L6" i="1886" s="1"/>
  <c r="D6" i="1886" s="1"/>
  <c r="D42" i="1886"/>
  <c r="R41" i="1886"/>
  <c r="L7" i="1886" s="1"/>
  <c r="D7" i="1886" s="1"/>
  <c r="D41" i="1886"/>
  <c r="R40" i="1886"/>
  <c r="L8" i="1886" s="1"/>
  <c r="D8" i="1886" s="1"/>
  <c r="D40" i="1886"/>
  <c r="R39" i="1886"/>
  <c r="D39" i="1886"/>
  <c r="R38" i="1886"/>
  <c r="L9" i="1886" s="1"/>
  <c r="D9" i="1886" s="1"/>
  <c r="D38" i="1886"/>
  <c r="R37" i="1886"/>
  <c r="D37" i="1886"/>
  <c r="R36" i="1886"/>
  <c r="L10" i="1886" s="1"/>
  <c r="D10" i="1886" s="1"/>
  <c r="D36" i="1886"/>
  <c r="R35" i="1886"/>
  <c r="L19" i="1886" s="1"/>
  <c r="D19" i="1886" s="1"/>
  <c r="D35" i="1886"/>
  <c r="R34" i="1886"/>
  <c r="L12" i="1886" s="1"/>
  <c r="D12" i="1886" s="1"/>
  <c r="D34" i="1886"/>
  <c r="R33" i="1886"/>
  <c r="L23" i="1886" s="1"/>
  <c r="D23" i="1886" s="1"/>
  <c r="R32" i="1886"/>
  <c r="L11" i="1886" s="1"/>
  <c r="D11" i="1886" s="1"/>
  <c r="R31" i="1886"/>
  <c r="R30" i="1886"/>
  <c r="R29" i="1886"/>
  <c r="R28" i="1886"/>
  <c r="D28" i="1886"/>
  <c r="R27" i="1886"/>
  <c r="D27" i="1886"/>
  <c r="R26" i="1886"/>
  <c r="L26" i="1886"/>
  <c r="D26" i="1886" s="1"/>
  <c r="R25" i="1886"/>
  <c r="L25" i="1886"/>
  <c r="D25" i="1886"/>
  <c r="R24" i="1886"/>
  <c r="D24" i="1886"/>
  <c r="R23" i="1886"/>
  <c r="R22" i="1886"/>
  <c r="L22" i="1886"/>
  <c r="D22" i="1886" s="1"/>
  <c r="R21" i="1886"/>
  <c r="D21" i="1886"/>
  <c r="R20" i="1886"/>
  <c r="L20" i="1886"/>
  <c r="D20" i="1886"/>
  <c r="R19" i="1886"/>
  <c r="R18" i="1886"/>
  <c r="D18" i="1886"/>
  <c r="R17" i="1886"/>
  <c r="D17" i="1886"/>
  <c r="R16" i="1886"/>
  <c r="L16" i="1886"/>
  <c r="D16" i="1886" s="1"/>
  <c r="S15" i="1886"/>
  <c r="R15" i="1886"/>
  <c r="D15" i="1886"/>
  <c r="S14" i="1886"/>
  <c r="R14" i="1886"/>
  <c r="D14" i="1886"/>
  <c r="R13" i="1886"/>
  <c r="D13" i="1886"/>
  <c r="R12" i="1886"/>
  <c r="R11" i="1886"/>
  <c r="R6" i="1886"/>
  <c r="R5" i="1886"/>
  <c r="R4" i="1886"/>
  <c r="R52" i="1885"/>
  <c r="R51" i="1885"/>
  <c r="D50" i="1885"/>
  <c r="R49" i="1885"/>
  <c r="D49" i="1885"/>
  <c r="R48" i="1885"/>
  <c r="D48" i="1885"/>
  <c r="D46" i="1885"/>
  <c r="D45" i="1885"/>
  <c r="R44" i="1885"/>
  <c r="L28" i="1885" s="1"/>
  <c r="D28" i="1885" s="1"/>
  <c r="D44" i="1885"/>
  <c r="R42" i="1885"/>
  <c r="L6" i="1885" s="1"/>
  <c r="D6" i="1885" s="1"/>
  <c r="D42" i="1885"/>
  <c r="R41" i="1885"/>
  <c r="L7" i="1885" s="1"/>
  <c r="D7" i="1885" s="1"/>
  <c r="D41" i="1885"/>
  <c r="R40" i="1885"/>
  <c r="D40" i="1885"/>
  <c r="R39" i="1885"/>
  <c r="H39" i="1885"/>
  <c r="D39" i="1885"/>
  <c r="R38" i="1885"/>
  <c r="L9" i="1885" s="1"/>
  <c r="D9" i="1885" s="1"/>
  <c r="H38" i="1885"/>
  <c r="D38" i="1885"/>
  <c r="R37" i="1885"/>
  <c r="H37" i="1885"/>
  <c r="D37" i="1885"/>
  <c r="R36" i="1885"/>
  <c r="H36" i="1885"/>
  <c r="D36" i="1885"/>
  <c r="R35" i="1885"/>
  <c r="L19" i="1885" s="1"/>
  <c r="D19" i="1885" s="1"/>
  <c r="H35" i="1885"/>
  <c r="D35" i="1885"/>
  <c r="R34" i="1885"/>
  <c r="L12" i="1885" s="1"/>
  <c r="D12" i="1885" s="1"/>
  <c r="H34" i="1885"/>
  <c r="D34" i="1885"/>
  <c r="R33" i="1885"/>
  <c r="L23" i="1885" s="1"/>
  <c r="D23" i="1885" s="1"/>
  <c r="R32" i="1885"/>
  <c r="R31" i="1885"/>
  <c r="R30" i="1885"/>
  <c r="R29" i="1885"/>
  <c r="R28" i="1885"/>
  <c r="L16" i="1885" s="1"/>
  <c r="D16" i="1885" s="1"/>
  <c r="R27" i="1885"/>
  <c r="D27" i="1885"/>
  <c r="R26" i="1885"/>
  <c r="L26" i="1885"/>
  <c r="D26" i="1885" s="1"/>
  <c r="R25" i="1885"/>
  <c r="L25" i="1885"/>
  <c r="D25" i="1885"/>
  <c r="R24" i="1885"/>
  <c r="D24" i="1885"/>
  <c r="R23" i="1885"/>
  <c r="R22" i="1885"/>
  <c r="L22" i="1885"/>
  <c r="D22" i="1885" s="1"/>
  <c r="R21" i="1885"/>
  <c r="D21" i="1885"/>
  <c r="R20" i="1885"/>
  <c r="L20" i="1885"/>
  <c r="D20" i="1885" s="1"/>
  <c r="R19" i="1885"/>
  <c r="R18" i="1885"/>
  <c r="D18" i="1885"/>
  <c r="R17" i="1885"/>
  <c r="D17" i="1885"/>
  <c r="R16" i="1885"/>
  <c r="R15" i="1885"/>
  <c r="D15" i="1885"/>
  <c r="R14" i="1885"/>
  <c r="D14" i="1885"/>
  <c r="R13" i="1885"/>
  <c r="D13" i="1885"/>
  <c r="R12" i="1885"/>
  <c r="R11" i="1885"/>
  <c r="L11" i="1885"/>
  <c r="D11" i="1885"/>
  <c r="L10" i="1885"/>
  <c r="D10" i="1885" s="1"/>
  <c r="L8" i="1885"/>
  <c r="D8" i="1885" s="1"/>
  <c r="R6" i="1885"/>
  <c r="R5" i="1885"/>
  <c r="R4" i="1885"/>
  <c r="R52" i="1884"/>
  <c r="R51" i="1884"/>
  <c r="D50" i="1884"/>
  <c r="R49" i="1884"/>
  <c r="D49" i="1884"/>
  <c r="R48" i="1884"/>
  <c r="D48" i="1884"/>
  <c r="D46" i="1884"/>
  <c r="D45" i="1884"/>
  <c r="R44" i="1884"/>
  <c r="L28" i="1884" s="1"/>
  <c r="D28" i="1884" s="1"/>
  <c r="D44" i="1884"/>
  <c r="R42" i="1884"/>
  <c r="L6" i="1884" s="1"/>
  <c r="D6" i="1884" s="1"/>
  <c r="D42" i="1884"/>
  <c r="R41" i="1884"/>
  <c r="L7" i="1884" s="1"/>
  <c r="D7" i="1884" s="1"/>
  <c r="D41" i="1884"/>
  <c r="R40" i="1884"/>
  <c r="L8" i="1884" s="1"/>
  <c r="D8" i="1884" s="1"/>
  <c r="D40" i="1884"/>
  <c r="R39" i="1884"/>
  <c r="L20" i="1884" s="1"/>
  <c r="D20" i="1884" s="1"/>
  <c r="H39" i="1884"/>
  <c r="D39" i="1884"/>
  <c r="R38" i="1884"/>
  <c r="L9" i="1884" s="1"/>
  <c r="D9" i="1884" s="1"/>
  <c r="H38" i="1884"/>
  <c r="D38" i="1884"/>
  <c r="R37" i="1884"/>
  <c r="H37" i="1884"/>
  <c r="D37" i="1884"/>
  <c r="R36" i="1884"/>
  <c r="L10" i="1884" s="1"/>
  <c r="D10" i="1884" s="1"/>
  <c r="H36" i="1884"/>
  <c r="D36" i="1884"/>
  <c r="R35" i="1884"/>
  <c r="L19" i="1884" s="1"/>
  <c r="D19" i="1884" s="1"/>
  <c r="H35" i="1884"/>
  <c r="D35" i="1884"/>
  <c r="R34" i="1884"/>
  <c r="L12" i="1884" s="1"/>
  <c r="D12" i="1884" s="1"/>
  <c r="H34" i="1884"/>
  <c r="D34" i="1884"/>
  <c r="R33" i="1884"/>
  <c r="L23" i="1884" s="1"/>
  <c r="D23" i="1884" s="1"/>
  <c r="R32" i="1884"/>
  <c r="R31" i="1884"/>
  <c r="R30" i="1884"/>
  <c r="R29" i="1884"/>
  <c r="R28" i="1884"/>
  <c r="L16" i="1884" s="1"/>
  <c r="D16" i="1884" s="1"/>
  <c r="R27" i="1884"/>
  <c r="D27" i="1884"/>
  <c r="R26" i="1884"/>
  <c r="L26" i="1884"/>
  <c r="D26" i="1884" s="1"/>
  <c r="R25" i="1884"/>
  <c r="L25" i="1884"/>
  <c r="D25" i="1884" s="1"/>
  <c r="R24" i="1884"/>
  <c r="L24" i="1884"/>
  <c r="D24" i="1884" s="1"/>
  <c r="R23" i="1884"/>
  <c r="R22" i="1884"/>
  <c r="L22" i="1884"/>
  <c r="D22" i="1884" s="1"/>
  <c r="R21" i="1884"/>
  <c r="D21" i="1884"/>
  <c r="R20" i="1884"/>
  <c r="R19" i="1884"/>
  <c r="R18" i="1884"/>
  <c r="D18" i="1884"/>
  <c r="R17" i="1884"/>
  <c r="L17" i="1884"/>
  <c r="D17" i="1884" s="1"/>
  <c r="R16" i="1884"/>
  <c r="R15" i="1884"/>
  <c r="D15" i="1884"/>
  <c r="R14" i="1884"/>
  <c r="D14" i="1884"/>
  <c r="R13" i="1884"/>
  <c r="D13" i="1884"/>
  <c r="R12" i="1884"/>
  <c r="R11" i="1884"/>
  <c r="L11" i="1884"/>
  <c r="D11" i="1884" s="1"/>
  <c r="R6" i="1884"/>
  <c r="R5" i="1884"/>
  <c r="R4" i="1884"/>
  <c r="R52" i="1883"/>
  <c r="R51" i="1883"/>
  <c r="D50" i="1883"/>
  <c r="R49" i="1883"/>
  <c r="D49" i="1883"/>
  <c r="R48" i="1883"/>
  <c r="D48" i="1883"/>
  <c r="D46" i="1883"/>
  <c r="D45" i="1883"/>
  <c r="R44" i="1883"/>
  <c r="L28" i="1883" s="1"/>
  <c r="D28" i="1883" s="1"/>
  <c r="D44" i="1883"/>
  <c r="R42" i="1883"/>
  <c r="L6" i="1883" s="1"/>
  <c r="D6" i="1883" s="1"/>
  <c r="D42" i="1883"/>
  <c r="R41" i="1883"/>
  <c r="L7" i="1883" s="1"/>
  <c r="D7" i="1883" s="1"/>
  <c r="D41" i="1883"/>
  <c r="R40" i="1883"/>
  <c r="L8" i="1883" s="1"/>
  <c r="D8" i="1883" s="1"/>
  <c r="D40" i="1883"/>
  <c r="R39" i="1883"/>
  <c r="L20" i="1883" s="1"/>
  <c r="D20" i="1883" s="1"/>
  <c r="H39" i="1883"/>
  <c r="D39" i="1883"/>
  <c r="R38" i="1883"/>
  <c r="L9" i="1883" s="1"/>
  <c r="D9" i="1883" s="1"/>
  <c r="H38" i="1883"/>
  <c r="D38" i="1883"/>
  <c r="R37" i="1883"/>
  <c r="H37" i="1883"/>
  <c r="D37" i="1883"/>
  <c r="R36" i="1883"/>
  <c r="L10" i="1883" s="1"/>
  <c r="D10" i="1883" s="1"/>
  <c r="H36" i="1883"/>
  <c r="D36" i="1883"/>
  <c r="R35" i="1883"/>
  <c r="H35" i="1883"/>
  <c r="D35" i="1883"/>
  <c r="R34" i="1883"/>
  <c r="H34" i="1883"/>
  <c r="D34" i="1883"/>
  <c r="R33" i="1883"/>
  <c r="R32" i="1883"/>
  <c r="L11" i="1883" s="1"/>
  <c r="D11" i="1883" s="1"/>
  <c r="R31" i="1883"/>
  <c r="R30" i="1883"/>
  <c r="R29" i="1883"/>
  <c r="R28" i="1883"/>
  <c r="L16" i="1883" s="1"/>
  <c r="D16" i="1883" s="1"/>
  <c r="R27" i="1883"/>
  <c r="D27" i="1883"/>
  <c r="R26" i="1883"/>
  <c r="L26" i="1883"/>
  <c r="D26" i="1883" s="1"/>
  <c r="R25" i="1883"/>
  <c r="L25" i="1883"/>
  <c r="D25" i="1883" s="1"/>
  <c r="R24" i="1883"/>
  <c r="L24" i="1883"/>
  <c r="D24" i="1883" s="1"/>
  <c r="R23" i="1883"/>
  <c r="D23" i="1883"/>
  <c r="R22" i="1883"/>
  <c r="D22" i="1883"/>
  <c r="R21" i="1883"/>
  <c r="D21" i="1883"/>
  <c r="R20" i="1883"/>
  <c r="R19" i="1883"/>
  <c r="D19" i="1883"/>
  <c r="R18" i="1883"/>
  <c r="D18" i="1883"/>
  <c r="R17" i="1883"/>
  <c r="L17" i="1883"/>
  <c r="D17" i="1883" s="1"/>
  <c r="R16" i="1883"/>
  <c r="R15" i="1883"/>
  <c r="D15" i="1883"/>
  <c r="R14" i="1883"/>
  <c r="D14" i="1883"/>
  <c r="R13" i="1883"/>
  <c r="D13" i="1883"/>
  <c r="R12" i="1883"/>
  <c r="L12" i="1883"/>
  <c r="D12" i="1883" s="1"/>
  <c r="R11" i="1883"/>
  <c r="R6" i="1883"/>
  <c r="R5" i="1883"/>
  <c r="R4" i="1883"/>
  <c r="R52" i="1882"/>
  <c r="R51" i="1882"/>
  <c r="D50" i="1882"/>
  <c r="R49" i="1882"/>
  <c r="G49" i="1882"/>
  <c r="D49" i="1882"/>
  <c r="R48" i="1882"/>
  <c r="D48" i="1882"/>
  <c r="D46" i="1882"/>
  <c r="D45" i="1882"/>
  <c r="D44" i="1882"/>
  <c r="R42" i="1882"/>
  <c r="L6" i="1882" s="1"/>
  <c r="D6" i="1882" s="1"/>
  <c r="D42" i="1882"/>
  <c r="R41" i="1882"/>
  <c r="L7" i="1882" s="1"/>
  <c r="D7" i="1882" s="1"/>
  <c r="D41" i="1882"/>
  <c r="R40" i="1882"/>
  <c r="L8" i="1882" s="1"/>
  <c r="D8" i="1882" s="1"/>
  <c r="D40" i="1882"/>
  <c r="R39" i="1882"/>
  <c r="D39" i="1882"/>
  <c r="R38" i="1882"/>
  <c r="D38" i="1882"/>
  <c r="R37" i="1882"/>
  <c r="D37" i="1882"/>
  <c r="R36" i="1882"/>
  <c r="L10" i="1882" s="1"/>
  <c r="D10" i="1882" s="1"/>
  <c r="D36" i="1882"/>
  <c r="R35" i="1882"/>
  <c r="L19" i="1882" s="1"/>
  <c r="D19" i="1882" s="1"/>
  <c r="D35" i="1882"/>
  <c r="R34" i="1882"/>
  <c r="L12" i="1882" s="1"/>
  <c r="D12" i="1882" s="1"/>
  <c r="D34" i="1882"/>
  <c r="R33" i="1882"/>
  <c r="L23" i="1882" s="1"/>
  <c r="D23" i="1882" s="1"/>
  <c r="R32" i="1882"/>
  <c r="L11" i="1882" s="1"/>
  <c r="D11" i="1882" s="1"/>
  <c r="R31" i="1882"/>
  <c r="R30" i="1882"/>
  <c r="R29" i="1882"/>
  <c r="R28" i="1882"/>
  <c r="L16" i="1882" s="1"/>
  <c r="D16" i="1882" s="1"/>
  <c r="D28" i="1882"/>
  <c r="R27" i="1882"/>
  <c r="D27" i="1882"/>
  <c r="R26" i="1882"/>
  <c r="L26" i="1882"/>
  <c r="D26" i="1882" s="1"/>
  <c r="R25" i="1882"/>
  <c r="L25" i="1882"/>
  <c r="D25" i="1882" s="1"/>
  <c r="R24" i="1882"/>
  <c r="D24" i="1882"/>
  <c r="R23" i="1882"/>
  <c r="R22" i="1882"/>
  <c r="L22" i="1882"/>
  <c r="D22" i="1882" s="1"/>
  <c r="R21" i="1882"/>
  <c r="D21" i="1882"/>
  <c r="R20" i="1882"/>
  <c r="L20" i="1882"/>
  <c r="D20" i="1882"/>
  <c r="R19" i="1882"/>
  <c r="R18" i="1882"/>
  <c r="D18" i="1882"/>
  <c r="R17" i="1882"/>
  <c r="D17" i="1882"/>
  <c r="R16" i="1882"/>
  <c r="S15" i="1882"/>
  <c r="R15" i="1882"/>
  <c r="D15" i="1882"/>
  <c r="S14" i="1882"/>
  <c r="R14" i="1882"/>
  <c r="D14" i="1882"/>
  <c r="R13" i="1882"/>
  <c r="D13" i="1882"/>
  <c r="R12" i="1882"/>
  <c r="R11" i="1882"/>
  <c r="L9" i="1882"/>
  <c r="D9" i="1882" s="1"/>
  <c r="R6" i="1882"/>
  <c r="R5" i="1882"/>
  <c r="R4" i="1882"/>
  <c r="R52" i="1881"/>
  <c r="L22" i="1881" s="1"/>
  <c r="D22" i="1881" s="1"/>
  <c r="R51" i="1881"/>
  <c r="D50" i="1881"/>
  <c r="R49" i="1881"/>
  <c r="D49" i="1881"/>
  <c r="R48" i="1881"/>
  <c r="D48" i="1881"/>
  <c r="D46" i="1881"/>
  <c r="D45" i="1881"/>
  <c r="R44" i="1881"/>
  <c r="L28" i="1881" s="1"/>
  <c r="D28" i="1881" s="1"/>
  <c r="D44" i="1881"/>
  <c r="R42" i="1881"/>
  <c r="L6" i="1881" s="1"/>
  <c r="D6" i="1881" s="1"/>
  <c r="D42" i="1881"/>
  <c r="R41" i="1881"/>
  <c r="L7" i="1881" s="1"/>
  <c r="D7" i="1881" s="1"/>
  <c r="D41" i="1881"/>
  <c r="R40" i="1881"/>
  <c r="L8" i="1881" s="1"/>
  <c r="D8" i="1881" s="1"/>
  <c r="D40" i="1881"/>
  <c r="R39" i="1881"/>
  <c r="H39" i="1881"/>
  <c r="D39" i="1881"/>
  <c r="R38" i="1881"/>
  <c r="L9" i="1881" s="1"/>
  <c r="D9" i="1881" s="1"/>
  <c r="H38" i="1881"/>
  <c r="D38" i="1881"/>
  <c r="R37" i="1881"/>
  <c r="H37" i="1881"/>
  <c r="D37" i="1881"/>
  <c r="R36" i="1881"/>
  <c r="L10" i="1881" s="1"/>
  <c r="D10" i="1881" s="1"/>
  <c r="H36" i="1881"/>
  <c r="D36" i="1881"/>
  <c r="R35" i="1881"/>
  <c r="L19" i="1881" s="1"/>
  <c r="D19" i="1881" s="1"/>
  <c r="H35" i="1881"/>
  <c r="D35" i="1881"/>
  <c r="R34" i="1881"/>
  <c r="L12" i="1881" s="1"/>
  <c r="D12" i="1881" s="1"/>
  <c r="H34" i="1881"/>
  <c r="D34" i="1881"/>
  <c r="R33" i="1881"/>
  <c r="L23" i="1881" s="1"/>
  <c r="D23" i="1881" s="1"/>
  <c r="R32" i="1881"/>
  <c r="L11" i="1881" s="1"/>
  <c r="D11" i="1881" s="1"/>
  <c r="R31" i="1881"/>
  <c r="R30" i="1881"/>
  <c r="R29" i="1881"/>
  <c r="R28" i="1881"/>
  <c r="R27" i="1881"/>
  <c r="D27" i="1881"/>
  <c r="R26" i="1881"/>
  <c r="L26" i="1881"/>
  <c r="D26" i="1881" s="1"/>
  <c r="R25" i="1881"/>
  <c r="L25" i="1881"/>
  <c r="D25" i="1881" s="1"/>
  <c r="R24" i="1881"/>
  <c r="D24" i="1881"/>
  <c r="R23" i="1881"/>
  <c r="R22" i="1881"/>
  <c r="R21" i="1881"/>
  <c r="D21" i="1881"/>
  <c r="R20" i="1881"/>
  <c r="L20" i="1881"/>
  <c r="D20" i="1881" s="1"/>
  <c r="R19" i="1881"/>
  <c r="R18" i="1881"/>
  <c r="D18" i="1881"/>
  <c r="R17" i="1881"/>
  <c r="D17" i="1881"/>
  <c r="R16" i="1881"/>
  <c r="L16" i="1881"/>
  <c r="D16" i="1881" s="1"/>
  <c r="R15" i="1881"/>
  <c r="D15" i="1881"/>
  <c r="R14" i="1881"/>
  <c r="D14" i="1881"/>
  <c r="R13" i="1881"/>
  <c r="D13" i="1881"/>
  <c r="R12" i="1881"/>
  <c r="R11" i="1881"/>
  <c r="R6" i="1881"/>
  <c r="R5" i="1881"/>
  <c r="R4" i="1881"/>
  <c r="R52" i="1880"/>
  <c r="R51" i="1880"/>
  <c r="D50" i="1880"/>
  <c r="R49" i="1880"/>
  <c r="D49" i="1880"/>
  <c r="R48" i="1880"/>
  <c r="D48" i="1880"/>
  <c r="D46" i="1880"/>
  <c r="D45" i="1880"/>
  <c r="R44" i="1880"/>
  <c r="L28" i="1880" s="1"/>
  <c r="D28" i="1880" s="1"/>
  <c r="D44" i="1880"/>
  <c r="R42" i="1880"/>
  <c r="L6" i="1880" s="1"/>
  <c r="D6" i="1880" s="1"/>
  <c r="D42" i="1880"/>
  <c r="R41" i="1880"/>
  <c r="L7" i="1880" s="1"/>
  <c r="D7" i="1880" s="1"/>
  <c r="D41" i="1880"/>
  <c r="R40" i="1880"/>
  <c r="L8" i="1880" s="1"/>
  <c r="D8" i="1880" s="1"/>
  <c r="D40" i="1880"/>
  <c r="R39" i="1880"/>
  <c r="H39" i="1880"/>
  <c r="D39" i="1880"/>
  <c r="R38" i="1880"/>
  <c r="L9" i="1880" s="1"/>
  <c r="D9" i="1880" s="1"/>
  <c r="H38" i="1880"/>
  <c r="D38" i="1880"/>
  <c r="R37" i="1880"/>
  <c r="H37" i="1880"/>
  <c r="D37" i="1880"/>
  <c r="R36" i="1880"/>
  <c r="L10" i="1880" s="1"/>
  <c r="D10" i="1880" s="1"/>
  <c r="H36" i="1880"/>
  <c r="D36" i="1880"/>
  <c r="R35" i="1880"/>
  <c r="L19" i="1880" s="1"/>
  <c r="D19" i="1880" s="1"/>
  <c r="H35" i="1880"/>
  <c r="D35" i="1880"/>
  <c r="R34" i="1880"/>
  <c r="H34" i="1880"/>
  <c r="D34" i="1880"/>
  <c r="R33" i="1880"/>
  <c r="L23" i="1880" s="1"/>
  <c r="D23" i="1880" s="1"/>
  <c r="R32" i="1880"/>
  <c r="L11" i="1880" s="1"/>
  <c r="D11" i="1880" s="1"/>
  <c r="R31" i="1880"/>
  <c r="R30" i="1880"/>
  <c r="R29" i="1880"/>
  <c r="R28" i="1880"/>
  <c r="L16" i="1880" s="1"/>
  <c r="D16" i="1880" s="1"/>
  <c r="R27" i="1880"/>
  <c r="D27" i="1880"/>
  <c r="R26" i="1880"/>
  <c r="L26" i="1880"/>
  <c r="D26" i="1880"/>
  <c r="R25" i="1880"/>
  <c r="L25" i="1880"/>
  <c r="D25" i="1880" s="1"/>
  <c r="R24" i="1880"/>
  <c r="L24" i="1880"/>
  <c r="D24" i="1880" s="1"/>
  <c r="R23" i="1880"/>
  <c r="R22" i="1880"/>
  <c r="L22" i="1880"/>
  <c r="D22" i="1880" s="1"/>
  <c r="R21" i="1880"/>
  <c r="L17" i="1880" s="1"/>
  <c r="D17" i="1880" s="1"/>
  <c r="D21" i="1880"/>
  <c r="R20" i="1880"/>
  <c r="L20" i="1880"/>
  <c r="D20" i="1880" s="1"/>
  <c r="R19" i="1880"/>
  <c r="R18" i="1880"/>
  <c r="D18" i="1880"/>
  <c r="R17" i="1880"/>
  <c r="R16" i="1880"/>
  <c r="R15" i="1880"/>
  <c r="D15" i="1880"/>
  <c r="R14" i="1880"/>
  <c r="D14" i="1880"/>
  <c r="R13" i="1880"/>
  <c r="D13" i="1880"/>
  <c r="R12" i="1880"/>
  <c r="L12" i="1880"/>
  <c r="D12" i="1880"/>
  <c r="R11" i="1880"/>
  <c r="R6" i="1880"/>
  <c r="R5" i="1880"/>
  <c r="R4" i="1880"/>
  <c r="R52" i="1879"/>
  <c r="R51" i="1879"/>
  <c r="D50" i="1879"/>
  <c r="R49" i="1879"/>
  <c r="D49" i="1879"/>
  <c r="R48" i="1879"/>
  <c r="D48" i="1879"/>
  <c r="D46" i="1879"/>
  <c r="D45" i="1879"/>
  <c r="R44" i="1879"/>
  <c r="L28" i="1879" s="1"/>
  <c r="D28" i="1879" s="1"/>
  <c r="D44" i="1879"/>
  <c r="R42" i="1879"/>
  <c r="L6" i="1879" s="1"/>
  <c r="D6" i="1879" s="1"/>
  <c r="D42" i="1879"/>
  <c r="R41" i="1879"/>
  <c r="L7" i="1879" s="1"/>
  <c r="D7" i="1879" s="1"/>
  <c r="D41" i="1879"/>
  <c r="R40" i="1879"/>
  <c r="L8" i="1879" s="1"/>
  <c r="D8" i="1879" s="1"/>
  <c r="D40" i="1879"/>
  <c r="R39" i="1879"/>
  <c r="L20" i="1879" s="1"/>
  <c r="D20" i="1879" s="1"/>
  <c r="H39" i="1879"/>
  <c r="D39" i="1879"/>
  <c r="R38" i="1879"/>
  <c r="L9" i="1879" s="1"/>
  <c r="D9" i="1879" s="1"/>
  <c r="H38" i="1879"/>
  <c r="D38" i="1879"/>
  <c r="R37" i="1879"/>
  <c r="H37" i="1879"/>
  <c r="D37" i="1879"/>
  <c r="R36" i="1879"/>
  <c r="L10" i="1879" s="1"/>
  <c r="D10" i="1879" s="1"/>
  <c r="H36" i="1879"/>
  <c r="D36" i="1879"/>
  <c r="R35" i="1879"/>
  <c r="H35" i="1879"/>
  <c r="D35" i="1879"/>
  <c r="R34" i="1879"/>
  <c r="L12" i="1879" s="1"/>
  <c r="D12" i="1879" s="1"/>
  <c r="H34" i="1879"/>
  <c r="D34" i="1879"/>
  <c r="R33" i="1879"/>
  <c r="R32" i="1879"/>
  <c r="L11" i="1879" s="1"/>
  <c r="D11" i="1879" s="1"/>
  <c r="R31" i="1879"/>
  <c r="R30" i="1879"/>
  <c r="R29" i="1879"/>
  <c r="R28" i="1879"/>
  <c r="L16" i="1879" s="1"/>
  <c r="D16" i="1879" s="1"/>
  <c r="R27" i="1879"/>
  <c r="D27" i="1879"/>
  <c r="R26" i="1879"/>
  <c r="L26" i="1879"/>
  <c r="D26" i="1879"/>
  <c r="R25" i="1879"/>
  <c r="L25" i="1879"/>
  <c r="D25" i="1879" s="1"/>
  <c r="R24" i="1879"/>
  <c r="L24" i="1879"/>
  <c r="D24" i="1879" s="1"/>
  <c r="R23" i="1879"/>
  <c r="D23" i="1879"/>
  <c r="R22" i="1879"/>
  <c r="D22" i="1879"/>
  <c r="R21" i="1879"/>
  <c r="D21" i="1879"/>
  <c r="R20" i="1879"/>
  <c r="R19" i="1879"/>
  <c r="D19" i="1879"/>
  <c r="R18" i="1879"/>
  <c r="D18" i="1879"/>
  <c r="R17" i="1879"/>
  <c r="L17" i="1879"/>
  <c r="D17" i="1879" s="1"/>
  <c r="R16" i="1879"/>
  <c r="R15" i="1879"/>
  <c r="D15" i="1879"/>
  <c r="R14" i="1879"/>
  <c r="D14" i="1879"/>
  <c r="R13" i="1879"/>
  <c r="D13" i="1879"/>
  <c r="R12" i="1879"/>
  <c r="R11" i="1879"/>
  <c r="R6" i="1879"/>
  <c r="R5" i="1879"/>
  <c r="R4" i="1879"/>
  <c r="R52" i="1878"/>
  <c r="R51" i="1878"/>
  <c r="D50" i="1878"/>
  <c r="R49" i="1878"/>
  <c r="G49" i="1878"/>
  <c r="D49" i="1878"/>
  <c r="R48" i="1878"/>
  <c r="D48" i="1878"/>
  <c r="D46" i="1878"/>
  <c r="D45" i="1878"/>
  <c r="D44" i="1878"/>
  <c r="R42" i="1878"/>
  <c r="L6" i="1878" s="1"/>
  <c r="D6" i="1878" s="1"/>
  <c r="D42" i="1878"/>
  <c r="R41" i="1878"/>
  <c r="L7" i="1878" s="1"/>
  <c r="D7" i="1878" s="1"/>
  <c r="D41" i="1878"/>
  <c r="R40" i="1878"/>
  <c r="L8" i="1878" s="1"/>
  <c r="D8" i="1878" s="1"/>
  <c r="D40" i="1878"/>
  <c r="R39" i="1878"/>
  <c r="D39" i="1878"/>
  <c r="R38" i="1878"/>
  <c r="L9" i="1878" s="1"/>
  <c r="D9" i="1878" s="1"/>
  <c r="D38" i="1878"/>
  <c r="R37" i="1878"/>
  <c r="D37" i="1878"/>
  <c r="R36" i="1878"/>
  <c r="L10" i="1878" s="1"/>
  <c r="D10" i="1878" s="1"/>
  <c r="D36" i="1878"/>
  <c r="R35" i="1878"/>
  <c r="L19" i="1878" s="1"/>
  <c r="D19" i="1878" s="1"/>
  <c r="D35" i="1878"/>
  <c r="R34" i="1878"/>
  <c r="D34" i="1878"/>
  <c r="R33" i="1878"/>
  <c r="L23" i="1878" s="1"/>
  <c r="D23" i="1878" s="1"/>
  <c r="R32" i="1878"/>
  <c r="L11" i="1878" s="1"/>
  <c r="D11" i="1878" s="1"/>
  <c r="R31" i="1878"/>
  <c r="R30" i="1878"/>
  <c r="R29" i="1878"/>
  <c r="R28" i="1878"/>
  <c r="L16" i="1878" s="1"/>
  <c r="D16" i="1878" s="1"/>
  <c r="D28" i="1878"/>
  <c r="R27" i="1878"/>
  <c r="D27" i="1878"/>
  <c r="R26" i="1878"/>
  <c r="L26" i="1878"/>
  <c r="D26" i="1878" s="1"/>
  <c r="R25" i="1878"/>
  <c r="L25" i="1878"/>
  <c r="D25" i="1878"/>
  <c r="R24" i="1878"/>
  <c r="D24" i="1878"/>
  <c r="R23" i="1878"/>
  <c r="R22" i="1878"/>
  <c r="L22" i="1878"/>
  <c r="D22" i="1878" s="1"/>
  <c r="R21" i="1878"/>
  <c r="D21" i="1878"/>
  <c r="R20" i="1878"/>
  <c r="L20" i="1878"/>
  <c r="D20" i="1878" s="1"/>
  <c r="R19" i="1878"/>
  <c r="R18" i="1878"/>
  <c r="D18" i="1878"/>
  <c r="R17" i="1878"/>
  <c r="D17" i="1878"/>
  <c r="R16" i="1878"/>
  <c r="S15" i="1878"/>
  <c r="R15" i="1878"/>
  <c r="D15" i="1878"/>
  <c r="S14" i="1878"/>
  <c r="R14" i="1878"/>
  <c r="D14" i="1878"/>
  <c r="R13" i="1878"/>
  <c r="D13" i="1878"/>
  <c r="R12" i="1878"/>
  <c r="L12" i="1878"/>
  <c r="D12" i="1878" s="1"/>
  <c r="R11" i="1878"/>
  <c r="R6" i="1878"/>
  <c r="R5" i="1878"/>
  <c r="R4" i="1878"/>
  <c r="R52" i="1877"/>
  <c r="L22" i="1877" s="1"/>
  <c r="D22" i="1877" s="1"/>
  <c r="R51" i="1877"/>
  <c r="D50" i="1877"/>
  <c r="R49" i="1877"/>
  <c r="D49" i="1877"/>
  <c r="R48" i="1877"/>
  <c r="D48" i="1877"/>
  <c r="D46" i="1877"/>
  <c r="D45" i="1877"/>
  <c r="R44" i="1877"/>
  <c r="L28" i="1877" s="1"/>
  <c r="D28" i="1877" s="1"/>
  <c r="D44" i="1877"/>
  <c r="R42" i="1877"/>
  <c r="L6" i="1877" s="1"/>
  <c r="D6" i="1877" s="1"/>
  <c r="D42" i="1877"/>
  <c r="R41" i="1877"/>
  <c r="L7" i="1877" s="1"/>
  <c r="D7" i="1877" s="1"/>
  <c r="D41" i="1877"/>
  <c r="R40" i="1877"/>
  <c r="L8" i="1877" s="1"/>
  <c r="D8" i="1877" s="1"/>
  <c r="D40" i="1877"/>
  <c r="R39" i="1877"/>
  <c r="H39" i="1877"/>
  <c r="D39" i="1877"/>
  <c r="R38" i="1877"/>
  <c r="L9" i="1877" s="1"/>
  <c r="D9" i="1877" s="1"/>
  <c r="H38" i="1877"/>
  <c r="D38" i="1877"/>
  <c r="R37" i="1877"/>
  <c r="H37" i="1877"/>
  <c r="D37" i="1877"/>
  <c r="R36" i="1877"/>
  <c r="L10" i="1877" s="1"/>
  <c r="D10" i="1877" s="1"/>
  <c r="H36" i="1877"/>
  <c r="D36" i="1877"/>
  <c r="R35" i="1877"/>
  <c r="L19" i="1877" s="1"/>
  <c r="D19" i="1877" s="1"/>
  <c r="H35" i="1877"/>
  <c r="D35" i="1877"/>
  <c r="R34" i="1877"/>
  <c r="L12" i="1877" s="1"/>
  <c r="D12" i="1877" s="1"/>
  <c r="H34" i="1877"/>
  <c r="D34" i="1877"/>
  <c r="R33" i="1877"/>
  <c r="L23" i="1877" s="1"/>
  <c r="D23" i="1877" s="1"/>
  <c r="R32" i="1877"/>
  <c r="L11" i="1877" s="1"/>
  <c r="D11" i="1877" s="1"/>
  <c r="R31" i="1877"/>
  <c r="R30" i="1877"/>
  <c r="R29" i="1877"/>
  <c r="R28" i="1877"/>
  <c r="L16" i="1877" s="1"/>
  <c r="D16" i="1877" s="1"/>
  <c r="R27" i="1877"/>
  <c r="D27" i="1877"/>
  <c r="R26" i="1877"/>
  <c r="L26" i="1877"/>
  <c r="D26" i="1877" s="1"/>
  <c r="R25" i="1877"/>
  <c r="L25" i="1877"/>
  <c r="D25" i="1877" s="1"/>
  <c r="R24" i="1877"/>
  <c r="D24" i="1877"/>
  <c r="R23" i="1877"/>
  <c r="R22" i="1877"/>
  <c r="R21" i="1877"/>
  <c r="D21" i="1877"/>
  <c r="R20" i="1877"/>
  <c r="L20" i="1877"/>
  <c r="D20" i="1877" s="1"/>
  <c r="R19" i="1877"/>
  <c r="R18" i="1877"/>
  <c r="D18" i="1877"/>
  <c r="R17" i="1877"/>
  <c r="D17" i="1877"/>
  <c r="R16" i="1877"/>
  <c r="R15" i="1877"/>
  <c r="D15" i="1877"/>
  <c r="R14" i="1877"/>
  <c r="D14" i="1877"/>
  <c r="R13" i="1877"/>
  <c r="D13" i="1877"/>
  <c r="R12" i="1877"/>
  <c r="R11" i="1877"/>
  <c r="R6" i="1877"/>
  <c r="R5" i="1877"/>
  <c r="R4" i="1877"/>
  <c r="R52" i="1876"/>
  <c r="R51" i="1876"/>
  <c r="D50" i="1876"/>
  <c r="R49" i="1876"/>
  <c r="D49" i="1876"/>
  <c r="R48" i="1876"/>
  <c r="D48" i="1876"/>
  <c r="D46" i="1876"/>
  <c r="D45" i="1876"/>
  <c r="R44" i="1876"/>
  <c r="D44" i="1876"/>
  <c r="R42" i="1876"/>
  <c r="L6" i="1876" s="1"/>
  <c r="D6" i="1876" s="1"/>
  <c r="D42" i="1876"/>
  <c r="R41" i="1876"/>
  <c r="D41" i="1876"/>
  <c r="R40" i="1876"/>
  <c r="L8" i="1876" s="1"/>
  <c r="D8" i="1876" s="1"/>
  <c r="D40" i="1876"/>
  <c r="R39" i="1876"/>
  <c r="L20" i="1876" s="1"/>
  <c r="D20" i="1876" s="1"/>
  <c r="H39" i="1876"/>
  <c r="D39" i="1876"/>
  <c r="R38" i="1876"/>
  <c r="L9" i="1876" s="1"/>
  <c r="D9" i="1876" s="1"/>
  <c r="H38" i="1876"/>
  <c r="D38" i="1876"/>
  <c r="R37" i="1876"/>
  <c r="H37" i="1876"/>
  <c r="D37" i="1876"/>
  <c r="R36" i="1876"/>
  <c r="L10" i="1876" s="1"/>
  <c r="D10" i="1876" s="1"/>
  <c r="H36" i="1876"/>
  <c r="D36" i="1876"/>
  <c r="R35" i="1876"/>
  <c r="L19" i="1876" s="1"/>
  <c r="D19" i="1876" s="1"/>
  <c r="H35" i="1876"/>
  <c r="D35" i="1876"/>
  <c r="R34" i="1876"/>
  <c r="L12" i="1876" s="1"/>
  <c r="D12" i="1876" s="1"/>
  <c r="H34" i="1876"/>
  <c r="D34" i="1876"/>
  <c r="R33" i="1876"/>
  <c r="L23" i="1876" s="1"/>
  <c r="D23" i="1876" s="1"/>
  <c r="R32" i="1876"/>
  <c r="L11" i="1876" s="1"/>
  <c r="D11" i="1876" s="1"/>
  <c r="R31" i="1876"/>
  <c r="R30" i="1876"/>
  <c r="R29" i="1876"/>
  <c r="R28" i="1876"/>
  <c r="L28" i="1876"/>
  <c r="D28" i="1876" s="1"/>
  <c r="R27" i="1876"/>
  <c r="D27" i="1876"/>
  <c r="R26" i="1876"/>
  <c r="L26" i="1876"/>
  <c r="D26" i="1876" s="1"/>
  <c r="R25" i="1876"/>
  <c r="L25" i="1876"/>
  <c r="D25" i="1876" s="1"/>
  <c r="R24" i="1876"/>
  <c r="L24" i="1876"/>
  <c r="D24" i="1876"/>
  <c r="R23" i="1876"/>
  <c r="R22" i="1876"/>
  <c r="L22" i="1876"/>
  <c r="D22" i="1876" s="1"/>
  <c r="R21" i="1876"/>
  <c r="L17" i="1876" s="1"/>
  <c r="D17" i="1876" s="1"/>
  <c r="D21" i="1876"/>
  <c r="R20" i="1876"/>
  <c r="R19" i="1876"/>
  <c r="R18" i="1876"/>
  <c r="D18" i="1876"/>
  <c r="R17" i="1876"/>
  <c r="R16" i="1876"/>
  <c r="L16" i="1876"/>
  <c r="D16" i="1876" s="1"/>
  <c r="R15" i="1876"/>
  <c r="D15" i="1876"/>
  <c r="R14" i="1876"/>
  <c r="D14" i="1876"/>
  <c r="R13" i="1876"/>
  <c r="D13" i="1876"/>
  <c r="R12" i="1876"/>
  <c r="R11" i="1876"/>
  <c r="L7" i="1876"/>
  <c r="D7" i="1876" s="1"/>
  <c r="R6" i="1876"/>
  <c r="R5" i="1876"/>
  <c r="R4" i="1876"/>
  <c r="R52" i="1875"/>
  <c r="R51" i="1875"/>
  <c r="D50" i="1875"/>
  <c r="R49" i="1875"/>
  <c r="D49" i="1875"/>
  <c r="R48" i="1875"/>
  <c r="D48" i="1875"/>
  <c r="D46" i="1875"/>
  <c r="D45" i="1875"/>
  <c r="R44" i="1875"/>
  <c r="L28" i="1875" s="1"/>
  <c r="D28" i="1875" s="1"/>
  <c r="D44" i="1875"/>
  <c r="R42" i="1875"/>
  <c r="L6" i="1875" s="1"/>
  <c r="D6" i="1875" s="1"/>
  <c r="D42" i="1875"/>
  <c r="R41" i="1875"/>
  <c r="L7" i="1875" s="1"/>
  <c r="D7" i="1875" s="1"/>
  <c r="D41" i="1875"/>
  <c r="R40" i="1875"/>
  <c r="L8" i="1875" s="1"/>
  <c r="D8" i="1875" s="1"/>
  <c r="D40" i="1875"/>
  <c r="R39" i="1875"/>
  <c r="L20" i="1875" s="1"/>
  <c r="D20" i="1875" s="1"/>
  <c r="H39" i="1875"/>
  <c r="D39" i="1875"/>
  <c r="R38" i="1875"/>
  <c r="L9" i="1875" s="1"/>
  <c r="D9" i="1875" s="1"/>
  <c r="H38" i="1875"/>
  <c r="D38" i="1875"/>
  <c r="R37" i="1875"/>
  <c r="H37" i="1875"/>
  <c r="D37" i="1875"/>
  <c r="R36" i="1875"/>
  <c r="L10" i="1875" s="1"/>
  <c r="D10" i="1875" s="1"/>
  <c r="H36" i="1875"/>
  <c r="D36" i="1875"/>
  <c r="R35" i="1875"/>
  <c r="H35" i="1875"/>
  <c r="D35" i="1875"/>
  <c r="R34" i="1875"/>
  <c r="L12" i="1875" s="1"/>
  <c r="D12" i="1875" s="1"/>
  <c r="H34" i="1875"/>
  <c r="D34" i="1875"/>
  <c r="R33" i="1875"/>
  <c r="R32" i="1875"/>
  <c r="L11" i="1875" s="1"/>
  <c r="D11" i="1875" s="1"/>
  <c r="R31" i="1875"/>
  <c r="R30" i="1875"/>
  <c r="R29" i="1875"/>
  <c r="R28" i="1875"/>
  <c r="L16" i="1875" s="1"/>
  <c r="D16" i="1875" s="1"/>
  <c r="R27" i="1875"/>
  <c r="D27" i="1875"/>
  <c r="R26" i="1875"/>
  <c r="L26" i="1875"/>
  <c r="D26" i="1875"/>
  <c r="R25" i="1875"/>
  <c r="L25" i="1875"/>
  <c r="D25" i="1875" s="1"/>
  <c r="R24" i="1875"/>
  <c r="L24" i="1875"/>
  <c r="D24" i="1875"/>
  <c r="R23" i="1875"/>
  <c r="D23" i="1875"/>
  <c r="R22" i="1875"/>
  <c r="D22" i="1875"/>
  <c r="R21" i="1875"/>
  <c r="D21" i="1875"/>
  <c r="R20" i="1875"/>
  <c r="R19" i="1875"/>
  <c r="D19" i="1875"/>
  <c r="R18" i="1875"/>
  <c r="D18" i="1875"/>
  <c r="R17" i="1875"/>
  <c r="L17" i="1875"/>
  <c r="D17" i="1875" s="1"/>
  <c r="R16" i="1875"/>
  <c r="R15" i="1875"/>
  <c r="D15" i="1875"/>
  <c r="R14" i="1875"/>
  <c r="D14" i="1875"/>
  <c r="R13" i="1875"/>
  <c r="D13" i="1875"/>
  <c r="R12" i="1875"/>
  <c r="R11" i="1875"/>
  <c r="R6" i="1875"/>
  <c r="R5" i="1875"/>
  <c r="R4" i="1875"/>
  <c r="R52" i="1874"/>
  <c r="R51" i="1874"/>
  <c r="D50" i="1874"/>
  <c r="R49" i="1874"/>
  <c r="G49" i="1874"/>
  <c r="D49" i="1874"/>
  <c r="R48" i="1874"/>
  <c r="D48" i="1874"/>
  <c r="D46" i="1874"/>
  <c r="D45" i="1874"/>
  <c r="D44" i="1874"/>
  <c r="R42" i="1874"/>
  <c r="L6" i="1874" s="1"/>
  <c r="D6" i="1874" s="1"/>
  <c r="D42" i="1874"/>
  <c r="R41" i="1874"/>
  <c r="L7" i="1874" s="1"/>
  <c r="D7" i="1874" s="1"/>
  <c r="D41" i="1874"/>
  <c r="R40" i="1874"/>
  <c r="L8" i="1874" s="1"/>
  <c r="D8" i="1874" s="1"/>
  <c r="D40" i="1874"/>
  <c r="R39" i="1874"/>
  <c r="D39" i="1874"/>
  <c r="R38" i="1874"/>
  <c r="D38" i="1874"/>
  <c r="R37" i="1874"/>
  <c r="D37" i="1874"/>
  <c r="R36" i="1874"/>
  <c r="L10" i="1874" s="1"/>
  <c r="D10" i="1874" s="1"/>
  <c r="D36" i="1874"/>
  <c r="R35" i="1874"/>
  <c r="D35" i="1874"/>
  <c r="R34" i="1874"/>
  <c r="L12" i="1874" s="1"/>
  <c r="D12" i="1874" s="1"/>
  <c r="D34" i="1874"/>
  <c r="R33" i="1874"/>
  <c r="L23" i="1874" s="1"/>
  <c r="D23" i="1874" s="1"/>
  <c r="R32" i="1874"/>
  <c r="L11" i="1874" s="1"/>
  <c r="D11" i="1874" s="1"/>
  <c r="R31" i="1874"/>
  <c r="R30" i="1874"/>
  <c r="R29" i="1874"/>
  <c r="R28" i="1874"/>
  <c r="L16" i="1874" s="1"/>
  <c r="D16" i="1874" s="1"/>
  <c r="D28" i="1874"/>
  <c r="R27" i="1874"/>
  <c r="D27" i="1874"/>
  <c r="R26" i="1874"/>
  <c r="L26" i="1874"/>
  <c r="D26" i="1874" s="1"/>
  <c r="R25" i="1874"/>
  <c r="L25" i="1874"/>
  <c r="D25" i="1874" s="1"/>
  <c r="R24" i="1874"/>
  <c r="D24" i="1874"/>
  <c r="R23" i="1874"/>
  <c r="R22" i="1874"/>
  <c r="L22" i="1874"/>
  <c r="D22" i="1874"/>
  <c r="R21" i="1874"/>
  <c r="D21" i="1874"/>
  <c r="R20" i="1874"/>
  <c r="L20" i="1874"/>
  <c r="D20" i="1874" s="1"/>
  <c r="R19" i="1874"/>
  <c r="L19" i="1874"/>
  <c r="D19" i="1874" s="1"/>
  <c r="R18" i="1874"/>
  <c r="D18" i="1874"/>
  <c r="R17" i="1874"/>
  <c r="D17" i="1874"/>
  <c r="R16" i="1874"/>
  <c r="S15" i="1874"/>
  <c r="R15" i="1874"/>
  <c r="D15" i="1874"/>
  <c r="S14" i="1874"/>
  <c r="R14" i="1874"/>
  <c r="D14" i="1874"/>
  <c r="R13" i="1874"/>
  <c r="D13" i="1874"/>
  <c r="R12" i="1874"/>
  <c r="R11" i="1874"/>
  <c r="L9" i="1874"/>
  <c r="D9" i="1874" s="1"/>
  <c r="R6" i="1874"/>
  <c r="R5" i="1874"/>
  <c r="R4" i="1874"/>
  <c r="R52" i="1873"/>
  <c r="L22" i="1873" s="1"/>
  <c r="D22" i="1873" s="1"/>
  <c r="R51" i="1873"/>
  <c r="D50" i="1873"/>
  <c r="R49" i="1873"/>
  <c r="D49" i="1873"/>
  <c r="R48" i="1873"/>
  <c r="D48" i="1873"/>
  <c r="D46" i="1873"/>
  <c r="D45" i="1873"/>
  <c r="R44" i="1873"/>
  <c r="L28" i="1873" s="1"/>
  <c r="D28" i="1873" s="1"/>
  <c r="D44" i="1873"/>
  <c r="R42" i="1873"/>
  <c r="L6" i="1873" s="1"/>
  <c r="D6" i="1873" s="1"/>
  <c r="D42" i="1873"/>
  <c r="R41" i="1873"/>
  <c r="L7" i="1873" s="1"/>
  <c r="D7" i="1873" s="1"/>
  <c r="D41" i="1873"/>
  <c r="R40" i="1873"/>
  <c r="L8" i="1873" s="1"/>
  <c r="D8" i="1873" s="1"/>
  <c r="D40" i="1873"/>
  <c r="R39" i="1873"/>
  <c r="H39" i="1873"/>
  <c r="D39" i="1873"/>
  <c r="R38" i="1873"/>
  <c r="L9" i="1873" s="1"/>
  <c r="D9" i="1873" s="1"/>
  <c r="H38" i="1873"/>
  <c r="D38" i="1873"/>
  <c r="R37" i="1873"/>
  <c r="H37" i="1873"/>
  <c r="D37" i="1873"/>
  <c r="R36" i="1873"/>
  <c r="L10" i="1873" s="1"/>
  <c r="D10" i="1873" s="1"/>
  <c r="H36" i="1873"/>
  <c r="D36" i="1873"/>
  <c r="R35" i="1873"/>
  <c r="L19" i="1873" s="1"/>
  <c r="D19" i="1873" s="1"/>
  <c r="H35" i="1873"/>
  <c r="D35" i="1873"/>
  <c r="R34" i="1873"/>
  <c r="L12" i="1873" s="1"/>
  <c r="D12" i="1873" s="1"/>
  <c r="H34" i="1873"/>
  <c r="D34" i="1873"/>
  <c r="R33" i="1873"/>
  <c r="L23" i="1873" s="1"/>
  <c r="D23" i="1873" s="1"/>
  <c r="R32" i="1873"/>
  <c r="L11" i="1873" s="1"/>
  <c r="D11" i="1873" s="1"/>
  <c r="R31" i="1873"/>
  <c r="R30" i="1873"/>
  <c r="R29" i="1873"/>
  <c r="R28" i="1873"/>
  <c r="R27" i="1873"/>
  <c r="D27" i="1873"/>
  <c r="R26" i="1873"/>
  <c r="L26" i="1873"/>
  <c r="D26" i="1873" s="1"/>
  <c r="R25" i="1873"/>
  <c r="L25" i="1873"/>
  <c r="D25" i="1873" s="1"/>
  <c r="R24" i="1873"/>
  <c r="D24" i="1873"/>
  <c r="R23" i="1873"/>
  <c r="R22" i="1873"/>
  <c r="R21" i="1873"/>
  <c r="D21" i="1873"/>
  <c r="R20" i="1873"/>
  <c r="L20" i="1873"/>
  <c r="D20" i="1873" s="1"/>
  <c r="R19" i="1873"/>
  <c r="R18" i="1873"/>
  <c r="D18" i="1873"/>
  <c r="R17" i="1873"/>
  <c r="D17" i="1873"/>
  <c r="R16" i="1873"/>
  <c r="L16" i="1873"/>
  <c r="D16" i="1873" s="1"/>
  <c r="R15" i="1873"/>
  <c r="D15" i="1873"/>
  <c r="R14" i="1873"/>
  <c r="D14" i="1873"/>
  <c r="R13" i="1873"/>
  <c r="D13" i="1873"/>
  <c r="R12" i="1873"/>
  <c r="R11" i="1873"/>
  <c r="R6" i="1873"/>
  <c r="R5" i="1873"/>
  <c r="R4" i="1873"/>
  <c r="R52" i="1872"/>
  <c r="R51" i="1872"/>
  <c r="D50" i="1872"/>
  <c r="R49" i="1872"/>
  <c r="D49" i="1872"/>
  <c r="R48" i="1872"/>
  <c r="D48" i="1872"/>
  <c r="D46" i="1872"/>
  <c r="D45" i="1872"/>
  <c r="R44" i="1872"/>
  <c r="L28" i="1872" s="1"/>
  <c r="D28" i="1872" s="1"/>
  <c r="D44" i="1872"/>
  <c r="R42" i="1872"/>
  <c r="L6" i="1872" s="1"/>
  <c r="D6" i="1872" s="1"/>
  <c r="D42" i="1872"/>
  <c r="R41" i="1872"/>
  <c r="L7" i="1872" s="1"/>
  <c r="D7" i="1872" s="1"/>
  <c r="D41" i="1872"/>
  <c r="R40" i="1872"/>
  <c r="L8" i="1872" s="1"/>
  <c r="D8" i="1872" s="1"/>
  <c r="D40" i="1872"/>
  <c r="R39" i="1872"/>
  <c r="H39" i="1872"/>
  <c r="D39" i="1872"/>
  <c r="R38" i="1872"/>
  <c r="L9" i="1872" s="1"/>
  <c r="D9" i="1872" s="1"/>
  <c r="H38" i="1872"/>
  <c r="D38" i="1872"/>
  <c r="R37" i="1872"/>
  <c r="H37" i="1872"/>
  <c r="D37" i="1872"/>
  <c r="R36" i="1872"/>
  <c r="L10" i="1872" s="1"/>
  <c r="D10" i="1872" s="1"/>
  <c r="H36" i="1872"/>
  <c r="D36" i="1872"/>
  <c r="R35" i="1872"/>
  <c r="L19" i="1872" s="1"/>
  <c r="D19" i="1872" s="1"/>
  <c r="H35" i="1872"/>
  <c r="D35" i="1872"/>
  <c r="R34" i="1872"/>
  <c r="H34" i="1872"/>
  <c r="D34" i="1872"/>
  <c r="R33" i="1872"/>
  <c r="L23" i="1872" s="1"/>
  <c r="D23" i="1872" s="1"/>
  <c r="R32" i="1872"/>
  <c r="L11" i="1872" s="1"/>
  <c r="D11" i="1872" s="1"/>
  <c r="R31" i="1872"/>
  <c r="R30" i="1872"/>
  <c r="R29" i="1872"/>
  <c r="R28" i="1872"/>
  <c r="L16" i="1872" s="1"/>
  <c r="D16" i="1872" s="1"/>
  <c r="R27" i="1872"/>
  <c r="D27" i="1872"/>
  <c r="R26" i="1872"/>
  <c r="L26" i="1872"/>
  <c r="D26" i="1872" s="1"/>
  <c r="R25" i="1872"/>
  <c r="L25" i="1872"/>
  <c r="D25" i="1872" s="1"/>
  <c r="R24" i="1872"/>
  <c r="L24" i="1872"/>
  <c r="D24" i="1872" s="1"/>
  <c r="R23" i="1872"/>
  <c r="R22" i="1872"/>
  <c r="L22" i="1872"/>
  <c r="D22" i="1872" s="1"/>
  <c r="R21" i="1872"/>
  <c r="L17" i="1872" s="1"/>
  <c r="D17" i="1872" s="1"/>
  <c r="D21" i="1872"/>
  <c r="R20" i="1872"/>
  <c r="L20" i="1872"/>
  <c r="D20" i="1872" s="1"/>
  <c r="R19" i="1872"/>
  <c r="R18" i="1872"/>
  <c r="D18" i="1872"/>
  <c r="R17" i="1872"/>
  <c r="R16" i="1872"/>
  <c r="R15" i="1872"/>
  <c r="D15" i="1872"/>
  <c r="R14" i="1872"/>
  <c r="D14" i="1872"/>
  <c r="R13" i="1872"/>
  <c r="D13" i="1872"/>
  <c r="R12" i="1872"/>
  <c r="L12" i="1872"/>
  <c r="D12" i="1872" s="1"/>
  <c r="R11" i="1872"/>
  <c r="R6" i="1872"/>
  <c r="R5" i="1872"/>
  <c r="R4" i="1872"/>
  <c r="R52" i="1871"/>
  <c r="R51" i="1871"/>
  <c r="D50" i="1871"/>
  <c r="R49" i="1871"/>
  <c r="D49" i="1871"/>
  <c r="R48" i="1871"/>
  <c r="D48" i="1871"/>
  <c r="D46" i="1871"/>
  <c r="D45" i="1871"/>
  <c r="R44" i="1871"/>
  <c r="L28" i="1871" s="1"/>
  <c r="D28" i="1871" s="1"/>
  <c r="D44" i="1871"/>
  <c r="R42" i="1871"/>
  <c r="L6" i="1871" s="1"/>
  <c r="D6" i="1871" s="1"/>
  <c r="D42" i="1871"/>
  <c r="R41" i="1871"/>
  <c r="D41" i="1871"/>
  <c r="R40" i="1871"/>
  <c r="L8" i="1871" s="1"/>
  <c r="D8" i="1871" s="1"/>
  <c r="D40" i="1871"/>
  <c r="R39" i="1871"/>
  <c r="L20" i="1871" s="1"/>
  <c r="D20" i="1871" s="1"/>
  <c r="H39" i="1871"/>
  <c r="D39" i="1871"/>
  <c r="R38" i="1871"/>
  <c r="H38" i="1871"/>
  <c r="D38" i="1871"/>
  <c r="R37" i="1871"/>
  <c r="H37" i="1871"/>
  <c r="D37" i="1871"/>
  <c r="R36" i="1871"/>
  <c r="L10" i="1871" s="1"/>
  <c r="D10" i="1871" s="1"/>
  <c r="H36" i="1871"/>
  <c r="D36" i="1871"/>
  <c r="R35" i="1871"/>
  <c r="H35" i="1871"/>
  <c r="D35" i="1871"/>
  <c r="R34" i="1871"/>
  <c r="L12" i="1871" s="1"/>
  <c r="D12" i="1871" s="1"/>
  <c r="H34" i="1871"/>
  <c r="D34" i="1871"/>
  <c r="R33" i="1871"/>
  <c r="R32" i="1871"/>
  <c r="L11" i="1871" s="1"/>
  <c r="D11" i="1871" s="1"/>
  <c r="R31" i="1871"/>
  <c r="R30" i="1871"/>
  <c r="R29" i="1871"/>
  <c r="R28" i="1871"/>
  <c r="L16" i="1871" s="1"/>
  <c r="D16" i="1871" s="1"/>
  <c r="R27" i="1871"/>
  <c r="D27" i="1871"/>
  <c r="R26" i="1871"/>
  <c r="L26" i="1871"/>
  <c r="D26" i="1871" s="1"/>
  <c r="R25" i="1871"/>
  <c r="L25" i="1871"/>
  <c r="D25" i="1871" s="1"/>
  <c r="R24" i="1871"/>
  <c r="L24" i="1871"/>
  <c r="D24" i="1871"/>
  <c r="R23" i="1871"/>
  <c r="D23" i="1871"/>
  <c r="R22" i="1871"/>
  <c r="D22" i="1871"/>
  <c r="R21" i="1871"/>
  <c r="D21" i="1871"/>
  <c r="R20" i="1871"/>
  <c r="R19" i="1871"/>
  <c r="D19" i="1871"/>
  <c r="R18" i="1871"/>
  <c r="D18" i="1871"/>
  <c r="R17" i="1871"/>
  <c r="L17" i="1871"/>
  <c r="D17" i="1871" s="1"/>
  <c r="R16" i="1871"/>
  <c r="R15" i="1871"/>
  <c r="D15" i="1871"/>
  <c r="R14" i="1871"/>
  <c r="D14" i="1871"/>
  <c r="R13" i="1871"/>
  <c r="D13" i="1871"/>
  <c r="R12" i="1871"/>
  <c r="R11" i="1871"/>
  <c r="L9" i="1871"/>
  <c r="D9" i="1871" s="1"/>
  <c r="L7" i="1871"/>
  <c r="D7" i="1871" s="1"/>
  <c r="R6" i="1871"/>
  <c r="R5" i="1871"/>
  <c r="R4" i="1871"/>
  <c r="R52" i="1870"/>
  <c r="R51" i="1870"/>
  <c r="D50" i="1870"/>
  <c r="R49" i="1870"/>
  <c r="G49" i="1870"/>
  <c r="D49" i="1870"/>
  <c r="R48" i="1870"/>
  <c r="D48" i="1870"/>
  <c r="D46" i="1870"/>
  <c r="D45" i="1870"/>
  <c r="D44" i="1870"/>
  <c r="R42" i="1870"/>
  <c r="L6" i="1870" s="1"/>
  <c r="D6" i="1870" s="1"/>
  <c r="D42" i="1870"/>
  <c r="R41" i="1870"/>
  <c r="L7" i="1870" s="1"/>
  <c r="D7" i="1870" s="1"/>
  <c r="D41" i="1870"/>
  <c r="R40" i="1870"/>
  <c r="L8" i="1870" s="1"/>
  <c r="D8" i="1870" s="1"/>
  <c r="D40" i="1870"/>
  <c r="R39" i="1870"/>
  <c r="D39" i="1870"/>
  <c r="R38" i="1870"/>
  <c r="L9" i="1870" s="1"/>
  <c r="D9" i="1870" s="1"/>
  <c r="D38" i="1870"/>
  <c r="R37" i="1870"/>
  <c r="D37" i="1870"/>
  <c r="R36" i="1870"/>
  <c r="L10" i="1870" s="1"/>
  <c r="D10" i="1870" s="1"/>
  <c r="D36" i="1870"/>
  <c r="R35" i="1870"/>
  <c r="D35" i="1870"/>
  <c r="R34" i="1870"/>
  <c r="L12" i="1870" s="1"/>
  <c r="D12" i="1870" s="1"/>
  <c r="D34" i="1870"/>
  <c r="R33" i="1870"/>
  <c r="L23" i="1870" s="1"/>
  <c r="D23" i="1870" s="1"/>
  <c r="R32" i="1870"/>
  <c r="R31" i="1870"/>
  <c r="R30" i="1870"/>
  <c r="R29" i="1870"/>
  <c r="R28" i="1870"/>
  <c r="L16" i="1870" s="1"/>
  <c r="D16" i="1870" s="1"/>
  <c r="D28" i="1870"/>
  <c r="R27" i="1870"/>
  <c r="D27" i="1870"/>
  <c r="R26" i="1870"/>
  <c r="L26" i="1870"/>
  <c r="D26" i="1870"/>
  <c r="R25" i="1870"/>
  <c r="L25" i="1870"/>
  <c r="D25" i="1870" s="1"/>
  <c r="R24" i="1870"/>
  <c r="D24" i="1870"/>
  <c r="R23" i="1870"/>
  <c r="R22" i="1870"/>
  <c r="L22" i="1870"/>
  <c r="D22" i="1870"/>
  <c r="R21" i="1870"/>
  <c r="D21" i="1870"/>
  <c r="R20" i="1870"/>
  <c r="L20" i="1870"/>
  <c r="D20" i="1870" s="1"/>
  <c r="R19" i="1870"/>
  <c r="L19" i="1870"/>
  <c r="D19" i="1870" s="1"/>
  <c r="R18" i="1870"/>
  <c r="D18" i="1870"/>
  <c r="R17" i="1870"/>
  <c r="D17" i="1870"/>
  <c r="R16" i="1870"/>
  <c r="S15" i="1870"/>
  <c r="R15" i="1870"/>
  <c r="D15" i="1870"/>
  <c r="S14" i="1870"/>
  <c r="R14" i="1870"/>
  <c r="D14" i="1870"/>
  <c r="R13" i="1870"/>
  <c r="D13" i="1870"/>
  <c r="R12" i="1870"/>
  <c r="R11" i="1870"/>
  <c r="L11" i="1870"/>
  <c r="D11" i="1870" s="1"/>
  <c r="R6" i="1870"/>
  <c r="R5" i="1870"/>
  <c r="R4" i="1870"/>
  <c r="R52" i="1869"/>
  <c r="L22" i="1869" s="1"/>
  <c r="D22" i="1869" s="1"/>
  <c r="R51" i="1869"/>
  <c r="D50" i="1869"/>
  <c r="R49" i="1869"/>
  <c r="D49" i="1869"/>
  <c r="R48" i="1869"/>
  <c r="D48" i="1869"/>
  <c r="D46" i="1869"/>
  <c r="D45" i="1869"/>
  <c r="R44" i="1869"/>
  <c r="L28" i="1869" s="1"/>
  <c r="D28" i="1869" s="1"/>
  <c r="D44" i="1869"/>
  <c r="R42" i="1869"/>
  <c r="L6" i="1869" s="1"/>
  <c r="D6" i="1869" s="1"/>
  <c r="D42" i="1869"/>
  <c r="R41" i="1869"/>
  <c r="D41" i="1869"/>
  <c r="R40" i="1869"/>
  <c r="L8" i="1869" s="1"/>
  <c r="D8" i="1869" s="1"/>
  <c r="D40" i="1869"/>
  <c r="R39" i="1869"/>
  <c r="H39" i="1869"/>
  <c r="D39" i="1869"/>
  <c r="R38" i="1869"/>
  <c r="L9" i="1869" s="1"/>
  <c r="D9" i="1869" s="1"/>
  <c r="H38" i="1869"/>
  <c r="D38" i="1869"/>
  <c r="R37" i="1869"/>
  <c r="H37" i="1869"/>
  <c r="D37" i="1869"/>
  <c r="R36" i="1869"/>
  <c r="L10" i="1869" s="1"/>
  <c r="D10" i="1869" s="1"/>
  <c r="H36" i="1869"/>
  <c r="D36" i="1869"/>
  <c r="R35" i="1869"/>
  <c r="H35" i="1869"/>
  <c r="D35" i="1869"/>
  <c r="R34" i="1869"/>
  <c r="L12" i="1869" s="1"/>
  <c r="D12" i="1869" s="1"/>
  <c r="H34" i="1869"/>
  <c r="D34" i="1869"/>
  <c r="R33" i="1869"/>
  <c r="L23" i="1869" s="1"/>
  <c r="D23" i="1869" s="1"/>
  <c r="R32" i="1869"/>
  <c r="L11" i="1869" s="1"/>
  <c r="D11" i="1869" s="1"/>
  <c r="R31" i="1869"/>
  <c r="R30" i="1869"/>
  <c r="R29" i="1869"/>
  <c r="R28" i="1869"/>
  <c r="L16" i="1869" s="1"/>
  <c r="D16" i="1869" s="1"/>
  <c r="R27" i="1869"/>
  <c r="D27" i="1869"/>
  <c r="R26" i="1869"/>
  <c r="L26" i="1869"/>
  <c r="D26" i="1869" s="1"/>
  <c r="R25" i="1869"/>
  <c r="L25" i="1869"/>
  <c r="D25" i="1869" s="1"/>
  <c r="R24" i="1869"/>
  <c r="D24" i="1869"/>
  <c r="R23" i="1869"/>
  <c r="R22" i="1869"/>
  <c r="R21" i="1869"/>
  <c r="D21" i="1869"/>
  <c r="R20" i="1869"/>
  <c r="L20" i="1869"/>
  <c r="D20" i="1869" s="1"/>
  <c r="R19" i="1869"/>
  <c r="L19" i="1869"/>
  <c r="D19" i="1869" s="1"/>
  <c r="R18" i="1869"/>
  <c r="D18" i="1869"/>
  <c r="R17" i="1869"/>
  <c r="D17" i="1869"/>
  <c r="R16" i="1869"/>
  <c r="R15" i="1869"/>
  <c r="D15" i="1869"/>
  <c r="R14" i="1869"/>
  <c r="D14" i="1869"/>
  <c r="R13" i="1869"/>
  <c r="D13" i="1869"/>
  <c r="R12" i="1869"/>
  <c r="R11" i="1869"/>
  <c r="L7" i="1869"/>
  <c r="D7" i="1869" s="1"/>
  <c r="R6" i="1869"/>
  <c r="R5" i="1869"/>
  <c r="R4" i="1869"/>
  <c r="R52" i="1868"/>
  <c r="R51" i="1868"/>
  <c r="D50" i="1868"/>
  <c r="R49" i="1868"/>
  <c r="D49" i="1868"/>
  <c r="R48" i="1868"/>
  <c r="D48" i="1868"/>
  <c r="D46" i="1868"/>
  <c r="D45" i="1868"/>
  <c r="R44" i="1868"/>
  <c r="L28" i="1868" s="1"/>
  <c r="D28" i="1868" s="1"/>
  <c r="D44" i="1868"/>
  <c r="R42" i="1868"/>
  <c r="L6" i="1868" s="1"/>
  <c r="D6" i="1868" s="1"/>
  <c r="D42" i="1868"/>
  <c r="R41" i="1868"/>
  <c r="L7" i="1868" s="1"/>
  <c r="D7" i="1868" s="1"/>
  <c r="D41" i="1868"/>
  <c r="R40" i="1868"/>
  <c r="L8" i="1868" s="1"/>
  <c r="D8" i="1868" s="1"/>
  <c r="D40" i="1868"/>
  <c r="R39" i="1868"/>
  <c r="L20" i="1868" s="1"/>
  <c r="D20" i="1868" s="1"/>
  <c r="H39" i="1868"/>
  <c r="D39" i="1868"/>
  <c r="R38" i="1868"/>
  <c r="L9" i="1868" s="1"/>
  <c r="D9" i="1868" s="1"/>
  <c r="H38" i="1868"/>
  <c r="D38" i="1868"/>
  <c r="R37" i="1868"/>
  <c r="H37" i="1868"/>
  <c r="D37" i="1868"/>
  <c r="R36" i="1868"/>
  <c r="L10" i="1868" s="1"/>
  <c r="D10" i="1868" s="1"/>
  <c r="H36" i="1868"/>
  <c r="D36" i="1868"/>
  <c r="R35" i="1868"/>
  <c r="L19" i="1868" s="1"/>
  <c r="D19" i="1868" s="1"/>
  <c r="H35" i="1868"/>
  <c r="D35" i="1868"/>
  <c r="R34" i="1868"/>
  <c r="L12" i="1868" s="1"/>
  <c r="D12" i="1868" s="1"/>
  <c r="H34" i="1868"/>
  <c r="D34" i="1868"/>
  <c r="R33" i="1868"/>
  <c r="L23" i="1868" s="1"/>
  <c r="D23" i="1868" s="1"/>
  <c r="R32" i="1868"/>
  <c r="R31" i="1868"/>
  <c r="R30" i="1868"/>
  <c r="R29" i="1868"/>
  <c r="R28" i="1868"/>
  <c r="L16" i="1868" s="1"/>
  <c r="D16" i="1868" s="1"/>
  <c r="R27" i="1868"/>
  <c r="D27" i="1868"/>
  <c r="R26" i="1868"/>
  <c r="L26" i="1868"/>
  <c r="D26" i="1868" s="1"/>
  <c r="R25" i="1868"/>
  <c r="L25" i="1868"/>
  <c r="D25" i="1868" s="1"/>
  <c r="R24" i="1868"/>
  <c r="L24" i="1868"/>
  <c r="D24" i="1868"/>
  <c r="R23" i="1868"/>
  <c r="R22" i="1868"/>
  <c r="L22" i="1868"/>
  <c r="D22" i="1868" s="1"/>
  <c r="R21" i="1868"/>
  <c r="L17" i="1868" s="1"/>
  <c r="D17" i="1868" s="1"/>
  <c r="D21" i="1868"/>
  <c r="R20" i="1868"/>
  <c r="R19" i="1868"/>
  <c r="R18" i="1868"/>
  <c r="D18" i="1868"/>
  <c r="R17" i="1868"/>
  <c r="R16" i="1868"/>
  <c r="R15" i="1868"/>
  <c r="D15" i="1868"/>
  <c r="R14" i="1868"/>
  <c r="D14" i="1868"/>
  <c r="R13" i="1868"/>
  <c r="D13" i="1868"/>
  <c r="R12" i="1868"/>
  <c r="R11" i="1868"/>
  <c r="L11" i="1868"/>
  <c r="D11" i="1868" s="1"/>
  <c r="R6" i="1868"/>
  <c r="R5" i="1868"/>
  <c r="R4" i="1868"/>
  <c r="R52" i="1867"/>
  <c r="R51" i="1867"/>
  <c r="D50" i="1867"/>
  <c r="R49" i="1867"/>
  <c r="D49" i="1867"/>
  <c r="R48" i="1867"/>
  <c r="D48" i="1867"/>
  <c r="D46" i="1867"/>
  <c r="D45" i="1867"/>
  <c r="R44" i="1867"/>
  <c r="L28" i="1867" s="1"/>
  <c r="D28" i="1867" s="1"/>
  <c r="D44" i="1867"/>
  <c r="R42" i="1867"/>
  <c r="L6" i="1867" s="1"/>
  <c r="D6" i="1867" s="1"/>
  <c r="D42" i="1867"/>
  <c r="R41" i="1867"/>
  <c r="L7" i="1867" s="1"/>
  <c r="D7" i="1867" s="1"/>
  <c r="D41" i="1867"/>
  <c r="R40" i="1867"/>
  <c r="L8" i="1867" s="1"/>
  <c r="D8" i="1867" s="1"/>
  <c r="D40" i="1867"/>
  <c r="R39" i="1867"/>
  <c r="L20" i="1867" s="1"/>
  <c r="D20" i="1867" s="1"/>
  <c r="H39" i="1867"/>
  <c r="D39" i="1867"/>
  <c r="R38" i="1867"/>
  <c r="H38" i="1867"/>
  <c r="D38" i="1867"/>
  <c r="R37" i="1867"/>
  <c r="H37" i="1867"/>
  <c r="D37" i="1867"/>
  <c r="R36" i="1867"/>
  <c r="H36" i="1867"/>
  <c r="D36" i="1867"/>
  <c r="R35" i="1867"/>
  <c r="H35" i="1867"/>
  <c r="D35" i="1867"/>
  <c r="R34" i="1867"/>
  <c r="L12" i="1867" s="1"/>
  <c r="D12" i="1867" s="1"/>
  <c r="H34" i="1867"/>
  <c r="D34" i="1867"/>
  <c r="R33" i="1867"/>
  <c r="R32" i="1867"/>
  <c r="L11" i="1867" s="1"/>
  <c r="D11" i="1867" s="1"/>
  <c r="R31" i="1867"/>
  <c r="R30" i="1867"/>
  <c r="R29" i="1867"/>
  <c r="R28" i="1867"/>
  <c r="R27" i="1867"/>
  <c r="D27" i="1867"/>
  <c r="R26" i="1867"/>
  <c r="L26" i="1867"/>
  <c r="D26" i="1867" s="1"/>
  <c r="R25" i="1867"/>
  <c r="L25" i="1867"/>
  <c r="D25" i="1867" s="1"/>
  <c r="R24" i="1867"/>
  <c r="L24" i="1867"/>
  <c r="D24" i="1867" s="1"/>
  <c r="R23" i="1867"/>
  <c r="D23" i="1867"/>
  <c r="R22" i="1867"/>
  <c r="D22" i="1867"/>
  <c r="R21" i="1867"/>
  <c r="D21" i="1867"/>
  <c r="R20" i="1867"/>
  <c r="R19" i="1867"/>
  <c r="D19" i="1867"/>
  <c r="R18" i="1867"/>
  <c r="D18" i="1867"/>
  <c r="R17" i="1867"/>
  <c r="L17" i="1867"/>
  <c r="D17" i="1867" s="1"/>
  <c r="R16" i="1867"/>
  <c r="L16" i="1867"/>
  <c r="D16" i="1867" s="1"/>
  <c r="R15" i="1867"/>
  <c r="D15" i="1867"/>
  <c r="R14" i="1867"/>
  <c r="D14" i="1867"/>
  <c r="R13" i="1867"/>
  <c r="D13" i="1867"/>
  <c r="R12" i="1867"/>
  <c r="R11" i="1867"/>
  <c r="L10" i="1867"/>
  <c r="D10" i="1867" s="1"/>
  <c r="L9" i="1867"/>
  <c r="D9" i="1867" s="1"/>
  <c r="R6" i="1867"/>
  <c r="R5" i="1867"/>
  <c r="R4" i="1867"/>
  <c r="R52" i="1866"/>
  <c r="R51" i="1866"/>
  <c r="D50" i="1866"/>
  <c r="R49" i="1866"/>
  <c r="G49" i="1866"/>
  <c r="D49" i="1866"/>
  <c r="R48" i="1866"/>
  <c r="D48" i="1866"/>
  <c r="D46" i="1866"/>
  <c r="D45" i="1866"/>
  <c r="D44" i="1866"/>
  <c r="R42" i="1866"/>
  <c r="L6" i="1866" s="1"/>
  <c r="D6" i="1866" s="1"/>
  <c r="D42" i="1866"/>
  <c r="R41" i="1866"/>
  <c r="L7" i="1866" s="1"/>
  <c r="D7" i="1866" s="1"/>
  <c r="D41" i="1866"/>
  <c r="R40" i="1866"/>
  <c r="L8" i="1866" s="1"/>
  <c r="D8" i="1866" s="1"/>
  <c r="D40" i="1866"/>
  <c r="R39" i="1866"/>
  <c r="D39" i="1866"/>
  <c r="R38" i="1866"/>
  <c r="L9" i="1866" s="1"/>
  <c r="D9" i="1866" s="1"/>
  <c r="D38" i="1866"/>
  <c r="R37" i="1866"/>
  <c r="D37" i="1866"/>
  <c r="R36" i="1866"/>
  <c r="L10" i="1866" s="1"/>
  <c r="D10" i="1866" s="1"/>
  <c r="D36" i="1866"/>
  <c r="R35" i="1866"/>
  <c r="L19" i="1866" s="1"/>
  <c r="D19" i="1866" s="1"/>
  <c r="D35" i="1866"/>
  <c r="R34" i="1866"/>
  <c r="L12" i="1866" s="1"/>
  <c r="D12" i="1866" s="1"/>
  <c r="D34" i="1866"/>
  <c r="R33" i="1866"/>
  <c r="L23" i="1866" s="1"/>
  <c r="D23" i="1866" s="1"/>
  <c r="R32" i="1866"/>
  <c r="L11" i="1866" s="1"/>
  <c r="D11" i="1866" s="1"/>
  <c r="R31" i="1866"/>
  <c r="R30" i="1866"/>
  <c r="R29" i="1866"/>
  <c r="R28" i="1866"/>
  <c r="L16" i="1866" s="1"/>
  <c r="D16" i="1866" s="1"/>
  <c r="D28" i="1866"/>
  <c r="R27" i="1866"/>
  <c r="D27" i="1866"/>
  <c r="R26" i="1866"/>
  <c r="L26" i="1866"/>
  <c r="D26" i="1866" s="1"/>
  <c r="R25" i="1866"/>
  <c r="L25" i="1866"/>
  <c r="D25" i="1866" s="1"/>
  <c r="R24" i="1866"/>
  <c r="D24" i="1866"/>
  <c r="R23" i="1866"/>
  <c r="R22" i="1866"/>
  <c r="L22" i="1866"/>
  <c r="D22" i="1866" s="1"/>
  <c r="R21" i="1866"/>
  <c r="D21" i="1866"/>
  <c r="R20" i="1866"/>
  <c r="L20" i="1866"/>
  <c r="D20" i="1866" s="1"/>
  <c r="R19" i="1866"/>
  <c r="R18" i="1866"/>
  <c r="D18" i="1866"/>
  <c r="R17" i="1866"/>
  <c r="D17" i="1866"/>
  <c r="R16" i="1866"/>
  <c r="S15" i="1866"/>
  <c r="R15" i="1866"/>
  <c r="D15" i="1866"/>
  <c r="S14" i="1866"/>
  <c r="R14" i="1866"/>
  <c r="D14" i="1866"/>
  <c r="R13" i="1866"/>
  <c r="D13" i="1866"/>
  <c r="R12" i="1866"/>
  <c r="R11" i="1866"/>
  <c r="R6" i="1866"/>
  <c r="R5" i="1866"/>
  <c r="R4" i="1866"/>
  <c r="D54" i="1869" l="1"/>
  <c r="H14" i="1869" s="1"/>
  <c r="G49" i="1885"/>
  <c r="G49" i="1868"/>
  <c r="D54" i="1880"/>
  <c r="H14" i="1880" s="1"/>
  <c r="D54" i="1881"/>
  <c r="H14" i="1881" s="1"/>
  <c r="G49" i="1877"/>
  <c r="D54" i="1879"/>
  <c r="H14" i="1879" s="1"/>
  <c r="G49" i="1881"/>
  <c r="D54" i="1867"/>
  <c r="H14" i="1867" s="1"/>
  <c r="D29" i="1881"/>
  <c r="H13" i="1881" s="1"/>
  <c r="H15" i="1881" s="1"/>
  <c r="H29" i="1881" s="1"/>
  <c r="D29" i="1887"/>
  <c r="H13" i="1887" s="1"/>
  <c r="H15" i="1887" s="1"/>
  <c r="H29" i="1887" s="1"/>
  <c r="D29" i="1866"/>
  <c r="H13" i="1866" s="1"/>
  <c r="H15" i="1866" s="1"/>
  <c r="H29" i="1866" s="1"/>
  <c r="G51" i="1866" s="1"/>
  <c r="D54" i="1874"/>
  <c r="H14" i="1874" s="1"/>
  <c r="D54" i="1878"/>
  <c r="H14" i="1878" s="1"/>
  <c r="G49" i="1883"/>
  <c r="D54" i="1884"/>
  <c r="H14" i="1884" s="1"/>
  <c r="G49" i="1888"/>
  <c r="D54" i="1871"/>
  <c r="H14" i="1871" s="1"/>
  <c r="G49" i="1884"/>
  <c r="G49" i="1872"/>
  <c r="D54" i="1876"/>
  <c r="H14" i="1876" s="1"/>
  <c r="D54" i="1883"/>
  <c r="H14" i="1883" s="1"/>
  <c r="D54" i="1888"/>
  <c r="H14" i="1888" s="1"/>
  <c r="G49" i="1869"/>
  <c r="G49" i="1867"/>
  <c r="D54" i="1868"/>
  <c r="H14" i="1868" s="1"/>
  <c r="D54" i="1885"/>
  <c r="H14" i="1885" s="1"/>
  <c r="D54" i="1886"/>
  <c r="H14" i="1886" s="1"/>
  <c r="D54" i="1889"/>
  <c r="H14" i="1889" s="1"/>
  <c r="D29" i="1869"/>
  <c r="H13" i="1869" s="1"/>
  <c r="D54" i="1882"/>
  <c r="H14" i="1882" s="1"/>
  <c r="D54" i="1873"/>
  <c r="H14" i="1873" s="1"/>
  <c r="D54" i="1866"/>
  <c r="H14" i="1866" s="1"/>
  <c r="G49" i="1871"/>
  <c r="D54" i="1872"/>
  <c r="H14" i="1872" s="1"/>
  <c r="G49" i="1873"/>
  <c r="G51" i="1873" s="1"/>
  <c r="D54" i="1875"/>
  <c r="H14" i="1875" s="1"/>
  <c r="G49" i="1879"/>
  <c r="D54" i="1887"/>
  <c r="H14" i="1887" s="1"/>
  <c r="G49" i="1875"/>
  <c r="G49" i="1876"/>
  <c r="G49" i="1887"/>
  <c r="G51" i="1887" s="1"/>
  <c r="D54" i="1877"/>
  <c r="H14" i="1877" s="1"/>
  <c r="D29" i="1882"/>
  <c r="H13" i="1882" s="1"/>
  <c r="D54" i="1870"/>
  <c r="H14" i="1870" s="1"/>
  <c r="G49" i="1880"/>
  <c r="D29" i="1889"/>
  <c r="H13" i="1889" s="1"/>
  <c r="H15" i="1889" s="1"/>
  <c r="H29" i="1889" s="1"/>
  <c r="G51" i="1889" s="1"/>
  <c r="D29" i="1888"/>
  <c r="H13" i="1888" s="1"/>
  <c r="H15" i="1888" s="1"/>
  <c r="H29" i="1888" s="1"/>
  <c r="G51" i="1888" s="1"/>
  <c r="D29" i="1886"/>
  <c r="H13" i="1886" s="1"/>
  <c r="D29" i="1885"/>
  <c r="H13" i="1885" s="1"/>
  <c r="H15" i="1885" s="1"/>
  <c r="H29" i="1885" s="1"/>
  <c r="G51" i="1885" s="1"/>
  <c r="D29" i="1884"/>
  <c r="H13" i="1884" s="1"/>
  <c r="D29" i="1883"/>
  <c r="H13" i="1883" s="1"/>
  <c r="G51" i="1881"/>
  <c r="D29" i="1880"/>
  <c r="H13" i="1880" s="1"/>
  <c r="H15" i="1880" s="1"/>
  <c r="H29" i="1880" s="1"/>
  <c r="G51" i="1880"/>
  <c r="D29" i="1879"/>
  <c r="H13" i="1879" s="1"/>
  <c r="D29" i="1878"/>
  <c r="H13" i="1878" s="1"/>
  <c r="H15" i="1878" s="1"/>
  <c r="H29" i="1878" s="1"/>
  <c r="G51" i="1878" s="1"/>
  <c r="D29" i="1877"/>
  <c r="H13" i="1877" s="1"/>
  <c r="D29" i="1876"/>
  <c r="H13" i="1876" s="1"/>
  <c r="H15" i="1876" s="1"/>
  <c r="H29" i="1876" s="1"/>
  <c r="G51" i="1876" s="1"/>
  <c r="D29" i="1875"/>
  <c r="H13" i="1875" s="1"/>
  <c r="D29" i="1874"/>
  <c r="H13" i="1874" s="1"/>
  <c r="D29" i="1873"/>
  <c r="H13" i="1873" s="1"/>
  <c r="H15" i="1873" s="1"/>
  <c r="H29" i="1873" s="1"/>
  <c r="D29" i="1872"/>
  <c r="H13" i="1872" s="1"/>
  <c r="D29" i="1871"/>
  <c r="H13" i="1871" s="1"/>
  <c r="D29" i="1870"/>
  <c r="H13" i="1870" s="1"/>
  <c r="H15" i="1870" s="1"/>
  <c r="H29" i="1870" s="1"/>
  <c r="G51" i="1870" s="1"/>
  <c r="D29" i="1868"/>
  <c r="H13" i="1868" s="1"/>
  <c r="D29" i="1867"/>
  <c r="H13" i="1867" s="1"/>
  <c r="H16" i="1861"/>
  <c r="C21" i="1859"/>
  <c r="H15" i="1868" l="1"/>
  <c r="H29" i="1868" s="1"/>
  <c r="G51" i="1868" s="1"/>
  <c r="H15" i="1879"/>
  <c r="H29" i="1879" s="1"/>
  <c r="G51" i="1879" s="1"/>
  <c r="H15" i="1871"/>
  <c r="H29" i="1871" s="1"/>
  <c r="G51" i="1871" s="1"/>
  <c r="H15" i="1884"/>
  <c r="H29" i="1884" s="1"/>
  <c r="G51" i="1884" s="1"/>
  <c r="H15" i="1869"/>
  <c r="H29" i="1869" s="1"/>
  <c r="G51" i="1869" s="1"/>
  <c r="H15" i="1867"/>
  <c r="H29" i="1867" s="1"/>
  <c r="G51" i="1867" s="1"/>
  <c r="H15" i="1872"/>
  <c r="H29" i="1872" s="1"/>
  <c r="G51" i="1872" s="1"/>
  <c r="H15" i="1883"/>
  <c r="H29" i="1883" s="1"/>
  <c r="G51" i="1883" s="1"/>
  <c r="H15" i="1882"/>
  <c r="H29" i="1882" s="1"/>
  <c r="G51" i="1882" s="1"/>
  <c r="H15" i="1874"/>
  <c r="H29" i="1874" s="1"/>
  <c r="G51" i="1874" s="1"/>
  <c r="H15" i="1875"/>
  <c r="H29" i="1875" s="1"/>
  <c r="G51" i="1875" s="1"/>
  <c r="H15" i="1877"/>
  <c r="H29" i="1877" s="1"/>
  <c r="G51" i="1877" s="1"/>
  <c r="H15" i="1886"/>
  <c r="H29" i="1886" s="1"/>
  <c r="G51" i="1886" s="1"/>
  <c r="H16" i="1851"/>
  <c r="H16" i="1852"/>
  <c r="C20" i="1852"/>
  <c r="C19" i="1852"/>
  <c r="C21" i="1852"/>
  <c r="H16" i="1848" l="1"/>
  <c r="H16" i="1847"/>
  <c r="H16" i="1849"/>
  <c r="H16" i="1844" l="1"/>
  <c r="H16" i="1845"/>
  <c r="C21" i="1843"/>
  <c r="H16" i="1821" l="1"/>
  <c r="H16" i="1820"/>
  <c r="L25" i="1820"/>
  <c r="L24" i="1820"/>
  <c r="H16" i="1819" l="1"/>
  <c r="R52" i="1865" l="1"/>
  <c r="L22" i="1865" s="1"/>
  <c r="D22" i="1865" s="1"/>
  <c r="R51" i="1865"/>
  <c r="D50" i="1865"/>
  <c r="R49" i="1865"/>
  <c r="D49" i="1865"/>
  <c r="R48" i="1865"/>
  <c r="D48" i="1865"/>
  <c r="D46" i="1865"/>
  <c r="D45" i="1865"/>
  <c r="R44" i="1865"/>
  <c r="L28" i="1865" s="1"/>
  <c r="D28" i="1865" s="1"/>
  <c r="D44" i="1865"/>
  <c r="R42" i="1865"/>
  <c r="L6" i="1865" s="1"/>
  <c r="D6" i="1865" s="1"/>
  <c r="D42" i="1865"/>
  <c r="R41" i="1865"/>
  <c r="L7" i="1865" s="1"/>
  <c r="D7" i="1865" s="1"/>
  <c r="D41" i="1865"/>
  <c r="R40" i="1865"/>
  <c r="D40" i="1865"/>
  <c r="R39" i="1865"/>
  <c r="H39" i="1865"/>
  <c r="D39" i="1865"/>
  <c r="R38" i="1865"/>
  <c r="L9" i="1865" s="1"/>
  <c r="D9" i="1865" s="1"/>
  <c r="H38" i="1865"/>
  <c r="D38" i="1865"/>
  <c r="R37" i="1865"/>
  <c r="H37" i="1865"/>
  <c r="D37" i="1865"/>
  <c r="R36" i="1865"/>
  <c r="L10" i="1865" s="1"/>
  <c r="D10" i="1865" s="1"/>
  <c r="H36" i="1865"/>
  <c r="D36" i="1865"/>
  <c r="R35" i="1865"/>
  <c r="L19" i="1865" s="1"/>
  <c r="D19" i="1865" s="1"/>
  <c r="H35" i="1865"/>
  <c r="D35" i="1865"/>
  <c r="R34" i="1865"/>
  <c r="L12" i="1865" s="1"/>
  <c r="D12" i="1865" s="1"/>
  <c r="H34" i="1865"/>
  <c r="D34" i="1865"/>
  <c r="R33" i="1865"/>
  <c r="L23" i="1865" s="1"/>
  <c r="D23" i="1865" s="1"/>
  <c r="R32" i="1865"/>
  <c r="L11" i="1865" s="1"/>
  <c r="D11" i="1865" s="1"/>
  <c r="R31" i="1865"/>
  <c r="R30" i="1865"/>
  <c r="R29" i="1865"/>
  <c r="R28" i="1865"/>
  <c r="L16" i="1865" s="1"/>
  <c r="D16" i="1865" s="1"/>
  <c r="R27" i="1865"/>
  <c r="D27" i="1865"/>
  <c r="R26" i="1865"/>
  <c r="L26" i="1865"/>
  <c r="D26" i="1865" s="1"/>
  <c r="R25" i="1865"/>
  <c r="L25" i="1865"/>
  <c r="D25" i="1865" s="1"/>
  <c r="R24" i="1865"/>
  <c r="D24" i="1865"/>
  <c r="R23" i="1865"/>
  <c r="R22" i="1865"/>
  <c r="R21" i="1865"/>
  <c r="D21" i="1865"/>
  <c r="R20" i="1865"/>
  <c r="L20" i="1865"/>
  <c r="D20" i="1865" s="1"/>
  <c r="R19" i="1865"/>
  <c r="R18" i="1865"/>
  <c r="D18" i="1865"/>
  <c r="R17" i="1865"/>
  <c r="D17" i="1865"/>
  <c r="R16" i="1865"/>
  <c r="R15" i="1865"/>
  <c r="D15" i="1865"/>
  <c r="R14" i="1865"/>
  <c r="D14" i="1865"/>
  <c r="R13" i="1865"/>
  <c r="D13" i="1865"/>
  <c r="R12" i="1865"/>
  <c r="R11" i="1865"/>
  <c r="L8" i="1865"/>
  <c r="D8" i="1865" s="1"/>
  <c r="R6" i="1865"/>
  <c r="R5" i="1865"/>
  <c r="R4" i="1865"/>
  <c r="R52" i="1864"/>
  <c r="R51" i="1864"/>
  <c r="D50" i="1864"/>
  <c r="R49" i="1864"/>
  <c r="D49" i="1864"/>
  <c r="R48" i="1864"/>
  <c r="D48" i="1864"/>
  <c r="D46" i="1864"/>
  <c r="D45" i="1864"/>
  <c r="R44" i="1864"/>
  <c r="L28" i="1864" s="1"/>
  <c r="D28" i="1864" s="1"/>
  <c r="D44" i="1864"/>
  <c r="R42" i="1864"/>
  <c r="L6" i="1864" s="1"/>
  <c r="D6" i="1864" s="1"/>
  <c r="D42" i="1864"/>
  <c r="R41" i="1864"/>
  <c r="L7" i="1864" s="1"/>
  <c r="D7" i="1864" s="1"/>
  <c r="D41" i="1864"/>
  <c r="R40" i="1864"/>
  <c r="D40" i="1864"/>
  <c r="R39" i="1864"/>
  <c r="L20" i="1864" s="1"/>
  <c r="D20" i="1864" s="1"/>
  <c r="H39" i="1864"/>
  <c r="D39" i="1864"/>
  <c r="R38" i="1864"/>
  <c r="L9" i="1864" s="1"/>
  <c r="D9" i="1864" s="1"/>
  <c r="H38" i="1864"/>
  <c r="D38" i="1864"/>
  <c r="R37" i="1864"/>
  <c r="H37" i="1864"/>
  <c r="D37" i="1864"/>
  <c r="R36" i="1864"/>
  <c r="L10" i="1864" s="1"/>
  <c r="D10" i="1864" s="1"/>
  <c r="H36" i="1864"/>
  <c r="D36" i="1864"/>
  <c r="R35" i="1864"/>
  <c r="L19" i="1864" s="1"/>
  <c r="D19" i="1864" s="1"/>
  <c r="H35" i="1864"/>
  <c r="D35" i="1864"/>
  <c r="R34" i="1864"/>
  <c r="L12" i="1864" s="1"/>
  <c r="D12" i="1864" s="1"/>
  <c r="H34" i="1864"/>
  <c r="D34" i="1864"/>
  <c r="R33" i="1864"/>
  <c r="L23" i="1864" s="1"/>
  <c r="D23" i="1864" s="1"/>
  <c r="R32" i="1864"/>
  <c r="L11" i="1864" s="1"/>
  <c r="D11" i="1864" s="1"/>
  <c r="R31" i="1864"/>
  <c r="R30" i="1864"/>
  <c r="R29" i="1864"/>
  <c r="R28" i="1864"/>
  <c r="R27" i="1864"/>
  <c r="D27" i="1864"/>
  <c r="R26" i="1864"/>
  <c r="L26" i="1864"/>
  <c r="D26" i="1864" s="1"/>
  <c r="R25" i="1864"/>
  <c r="L25" i="1864"/>
  <c r="D25" i="1864"/>
  <c r="R24" i="1864"/>
  <c r="L24" i="1864"/>
  <c r="D24" i="1864" s="1"/>
  <c r="R23" i="1864"/>
  <c r="R22" i="1864"/>
  <c r="L22" i="1864"/>
  <c r="D22" i="1864" s="1"/>
  <c r="R21" i="1864"/>
  <c r="L17" i="1864" s="1"/>
  <c r="D17" i="1864" s="1"/>
  <c r="D21" i="1864"/>
  <c r="R20" i="1864"/>
  <c r="R19" i="1864"/>
  <c r="R18" i="1864"/>
  <c r="D18" i="1864"/>
  <c r="R17" i="1864"/>
  <c r="R16" i="1864"/>
  <c r="L16" i="1864"/>
  <c r="D16" i="1864" s="1"/>
  <c r="R15" i="1864"/>
  <c r="D15" i="1864"/>
  <c r="R14" i="1864"/>
  <c r="D14" i="1864"/>
  <c r="R13" i="1864"/>
  <c r="D13" i="1864"/>
  <c r="R12" i="1864"/>
  <c r="R11" i="1864"/>
  <c r="L8" i="1864"/>
  <c r="D8" i="1864" s="1"/>
  <c r="R6" i="1864"/>
  <c r="R5" i="1864"/>
  <c r="R4" i="1864"/>
  <c r="R52" i="1863"/>
  <c r="R51" i="1863"/>
  <c r="D50" i="1863"/>
  <c r="R49" i="1863"/>
  <c r="D49" i="1863"/>
  <c r="R48" i="1863"/>
  <c r="D48" i="1863"/>
  <c r="D46" i="1863"/>
  <c r="D45" i="1863"/>
  <c r="R44" i="1863"/>
  <c r="L28" i="1863" s="1"/>
  <c r="D28" i="1863" s="1"/>
  <c r="D44" i="1863"/>
  <c r="R42" i="1863"/>
  <c r="L6" i="1863" s="1"/>
  <c r="D6" i="1863" s="1"/>
  <c r="D42" i="1863"/>
  <c r="R41" i="1863"/>
  <c r="L7" i="1863" s="1"/>
  <c r="D7" i="1863" s="1"/>
  <c r="D41" i="1863"/>
  <c r="R40" i="1863"/>
  <c r="L8" i="1863" s="1"/>
  <c r="D8" i="1863" s="1"/>
  <c r="D40" i="1863"/>
  <c r="R39" i="1863"/>
  <c r="L20" i="1863" s="1"/>
  <c r="D20" i="1863" s="1"/>
  <c r="H39" i="1863"/>
  <c r="D39" i="1863"/>
  <c r="R38" i="1863"/>
  <c r="L9" i="1863" s="1"/>
  <c r="D9" i="1863" s="1"/>
  <c r="H38" i="1863"/>
  <c r="D38" i="1863"/>
  <c r="R37" i="1863"/>
  <c r="H37" i="1863"/>
  <c r="D37" i="1863"/>
  <c r="R36" i="1863"/>
  <c r="L10" i="1863" s="1"/>
  <c r="D10" i="1863" s="1"/>
  <c r="H36" i="1863"/>
  <c r="D36" i="1863"/>
  <c r="R35" i="1863"/>
  <c r="H35" i="1863"/>
  <c r="D35" i="1863"/>
  <c r="R34" i="1863"/>
  <c r="L12" i="1863" s="1"/>
  <c r="D12" i="1863" s="1"/>
  <c r="H34" i="1863"/>
  <c r="D34" i="1863"/>
  <c r="R33" i="1863"/>
  <c r="R32" i="1863"/>
  <c r="L11" i="1863" s="1"/>
  <c r="D11" i="1863" s="1"/>
  <c r="R31" i="1863"/>
  <c r="R30" i="1863"/>
  <c r="R29" i="1863"/>
  <c r="R28" i="1863"/>
  <c r="L16" i="1863" s="1"/>
  <c r="D16" i="1863" s="1"/>
  <c r="R27" i="1863"/>
  <c r="D27" i="1863"/>
  <c r="R26" i="1863"/>
  <c r="L26" i="1863"/>
  <c r="D26" i="1863" s="1"/>
  <c r="R25" i="1863"/>
  <c r="L25" i="1863"/>
  <c r="D25" i="1863" s="1"/>
  <c r="R24" i="1863"/>
  <c r="D24" i="1863"/>
  <c r="R23" i="1863"/>
  <c r="D23" i="1863"/>
  <c r="R22" i="1863"/>
  <c r="D22" i="1863"/>
  <c r="R21" i="1863"/>
  <c r="D21" i="1863"/>
  <c r="R20" i="1863"/>
  <c r="R19" i="1863"/>
  <c r="D19" i="1863"/>
  <c r="R18" i="1863"/>
  <c r="D18" i="1863"/>
  <c r="R17" i="1863"/>
  <c r="L17" i="1863"/>
  <c r="D17" i="1863" s="1"/>
  <c r="R16" i="1863"/>
  <c r="R15" i="1863"/>
  <c r="D15" i="1863"/>
  <c r="R14" i="1863"/>
  <c r="D14" i="1863"/>
  <c r="R13" i="1863"/>
  <c r="D13" i="1863"/>
  <c r="R12" i="1863"/>
  <c r="R11" i="1863"/>
  <c r="R6" i="1863"/>
  <c r="R5" i="1863"/>
  <c r="R4" i="1863"/>
  <c r="R52" i="1862"/>
  <c r="R51" i="1862"/>
  <c r="D50" i="1862"/>
  <c r="R49" i="1862"/>
  <c r="G49" i="1862"/>
  <c r="D49" i="1862"/>
  <c r="R48" i="1862"/>
  <c r="D48" i="1862"/>
  <c r="D46" i="1862"/>
  <c r="D45" i="1862"/>
  <c r="D44" i="1862"/>
  <c r="R42" i="1862"/>
  <c r="L6" i="1862" s="1"/>
  <c r="D6" i="1862" s="1"/>
  <c r="D42" i="1862"/>
  <c r="R41" i="1862"/>
  <c r="L7" i="1862" s="1"/>
  <c r="D7" i="1862" s="1"/>
  <c r="D41" i="1862"/>
  <c r="R40" i="1862"/>
  <c r="L8" i="1862" s="1"/>
  <c r="D8" i="1862" s="1"/>
  <c r="D40" i="1862"/>
  <c r="R39" i="1862"/>
  <c r="D39" i="1862"/>
  <c r="R38" i="1862"/>
  <c r="L9" i="1862" s="1"/>
  <c r="D9" i="1862" s="1"/>
  <c r="D38" i="1862"/>
  <c r="R37" i="1862"/>
  <c r="D37" i="1862"/>
  <c r="R36" i="1862"/>
  <c r="L10" i="1862" s="1"/>
  <c r="D10" i="1862" s="1"/>
  <c r="D36" i="1862"/>
  <c r="R35" i="1862"/>
  <c r="L19" i="1862" s="1"/>
  <c r="D19" i="1862" s="1"/>
  <c r="D35" i="1862"/>
  <c r="R34" i="1862"/>
  <c r="L12" i="1862" s="1"/>
  <c r="D12" i="1862" s="1"/>
  <c r="D34" i="1862"/>
  <c r="R33" i="1862"/>
  <c r="L23" i="1862" s="1"/>
  <c r="D23" i="1862" s="1"/>
  <c r="R32" i="1862"/>
  <c r="R31" i="1862"/>
  <c r="R30" i="1862"/>
  <c r="R29" i="1862"/>
  <c r="R28" i="1862"/>
  <c r="L16" i="1862" s="1"/>
  <c r="D16" i="1862" s="1"/>
  <c r="D28" i="1862"/>
  <c r="R27" i="1862"/>
  <c r="D27" i="1862"/>
  <c r="R26" i="1862"/>
  <c r="L26" i="1862"/>
  <c r="D26" i="1862" s="1"/>
  <c r="R25" i="1862"/>
  <c r="L25" i="1862"/>
  <c r="D25" i="1862"/>
  <c r="R24" i="1862"/>
  <c r="D24" i="1862"/>
  <c r="R23" i="1862"/>
  <c r="R22" i="1862"/>
  <c r="L22" i="1862"/>
  <c r="D22" i="1862" s="1"/>
  <c r="R21" i="1862"/>
  <c r="D21" i="1862"/>
  <c r="R20" i="1862"/>
  <c r="L20" i="1862"/>
  <c r="D20" i="1862" s="1"/>
  <c r="R19" i="1862"/>
  <c r="R18" i="1862"/>
  <c r="D18" i="1862"/>
  <c r="R17" i="1862"/>
  <c r="D17" i="1862"/>
  <c r="R16" i="1862"/>
  <c r="S15" i="1862"/>
  <c r="R15" i="1862"/>
  <c r="D15" i="1862"/>
  <c r="S14" i="1862"/>
  <c r="R14" i="1862"/>
  <c r="D14" i="1862"/>
  <c r="R13" i="1862"/>
  <c r="D13" i="1862"/>
  <c r="R12" i="1862"/>
  <c r="R11" i="1862"/>
  <c r="L11" i="1862"/>
  <c r="D11" i="1862" s="1"/>
  <c r="R6" i="1862"/>
  <c r="R5" i="1862"/>
  <c r="R4" i="1862"/>
  <c r="R52" i="1861"/>
  <c r="L22" i="1861" s="1"/>
  <c r="D22" i="1861" s="1"/>
  <c r="R51" i="1861"/>
  <c r="D50" i="1861"/>
  <c r="R49" i="1861"/>
  <c r="D49" i="1861"/>
  <c r="R48" i="1861"/>
  <c r="D48" i="1861"/>
  <c r="D46" i="1861"/>
  <c r="D45" i="1861"/>
  <c r="R44" i="1861"/>
  <c r="L28" i="1861" s="1"/>
  <c r="D28" i="1861" s="1"/>
  <c r="D44" i="1861"/>
  <c r="R42" i="1861"/>
  <c r="L6" i="1861" s="1"/>
  <c r="D6" i="1861" s="1"/>
  <c r="D42" i="1861"/>
  <c r="R41" i="1861"/>
  <c r="L7" i="1861" s="1"/>
  <c r="D7" i="1861" s="1"/>
  <c r="D41" i="1861"/>
  <c r="R40" i="1861"/>
  <c r="D40" i="1861"/>
  <c r="R39" i="1861"/>
  <c r="H39" i="1861"/>
  <c r="D39" i="1861"/>
  <c r="R38" i="1861"/>
  <c r="L9" i="1861" s="1"/>
  <c r="D9" i="1861" s="1"/>
  <c r="H38" i="1861"/>
  <c r="D38" i="1861"/>
  <c r="R37" i="1861"/>
  <c r="H37" i="1861"/>
  <c r="D37" i="1861"/>
  <c r="R36" i="1861"/>
  <c r="L10" i="1861" s="1"/>
  <c r="D10" i="1861" s="1"/>
  <c r="H36" i="1861"/>
  <c r="D36" i="1861"/>
  <c r="R35" i="1861"/>
  <c r="L19" i="1861" s="1"/>
  <c r="D19" i="1861" s="1"/>
  <c r="H35" i="1861"/>
  <c r="D35" i="1861"/>
  <c r="R34" i="1861"/>
  <c r="L12" i="1861" s="1"/>
  <c r="D12" i="1861" s="1"/>
  <c r="H34" i="1861"/>
  <c r="D34" i="1861"/>
  <c r="R33" i="1861"/>
  <c r="L23" i="1861" s="1"/>
  <c r="D23" i="1861" s="1"/>
  <c r="R32" i="1861"/>
  <c r="L11" i="1861" s="1"/>
  <c r="D11" i="1861" s="1"/>
  <c r="R31" i="1861"/>
  <c r="R30" i="1861"/>
  <c r="R29" i="1861"/>
  <c r="R28" i="1861"/>
  <c r="L16" i="1861" s="1"/>
  <c r="D16" i="1861" s="1"/>
  <c r="R27" i="1861"/>
  <c r="D27" i="1861"/>
  <c r="R26" i="1861"/>
  <c r="L26" i="1861"/>
  <c r="D26" i="1861" s="1"/>
  <c r="R25" i="1861"/>
  <c r="L25" i="1861"/>
  <c r="D25" i="1861" s="1"/>
  <c r="R24" i="1861"/>
  <c r="D24" i="1861"/>
  <c r="R23" i="1861"/>
  <c r="R22" i="1861"/>
  <c r="R21" i="1861"/>
  <c r="D21" i="1861"/>
  <c r="R20" i="1861"/>
  <c r="L20" i="1861"/>
  <c r="D20" i="1861" s="1"/>
  <c r="R19" i="1861"/>
  <c r="R18" i="1861"/>
  <c r="D18" i="1861"/>
  <c r="R17" i="1861"/>
  <c r="D17" i="1861"/>
  <c r="R16" i="1861"/>
  <c r="R15" i="1861"/>
  <c r="D15" i="1861"/>
  <c r="R14" i="1861"/>
  <c r="D14" i="1861"/>
  <c r="R13" i="1861"/>
  <c r="D13" i="1861"/>
  <c r="R12" i="1861"/>
  <c r="R11" i="1861"/>
  <c r="L8" i="1861"/>
  <c r="D8" i="1861" s="1"/>
  <c r="R6" i="1861"/>
  <c r="R5" i="1861"/>
  <c r="R4" i="1861"/>
  <c r="R52" i="1860"/>
  <c r="R51" i="1860"/>
  <c r="D50" i="1860"/>
  <c r="R49" i="1860"/>
  <c r="D49" i="1860"/>
  <c r="R48" i="1860"/>
  <c r="D48" i="1860"/>
  <c r="D46" i="1860"/>
  <c r="D45" i="1860"/>
  <c r="R44" i="1860"/>
  <c r="L28" i="1860" s="1"/>
  <c r="D28" i="1860" s="1"/>
  <c r="D44" i="1860"/>
  <c r="R42" i="1860"/>
  <c r="L6" i="1860" s="1"/>
  <c r="D6" i="1860" s="1"/>
  <c r="D42" i="1860"/>
  <c r="R41" i="1860"/>
  <c r="L7" i="1860" s="1"/>
  <c r="D7" i="1860" s="1"/>
  <c r="D41" i="1860"/>
  <c r="R40" i="1860"/>
  <c r="L8" i="1860" s="1"/>
  <c r="D8" i="1860" s="1"/>
  <c r="D40" i="1860"/>
  <c r="R39" i="1860"/>
  <c r="L20" i="1860" s="1"/>
  <c r="D20" i="1860" s="1"/>
  <c r="H39" i="1860"/>
  <c r="D39" i="1860"/>
  <c r="R38" i="1860"/>
  <c r="L9" i="1860" s="1"/>
  <c r="D9" i="1860" s="1"/>
  <c r="H38" i="1860"/>
  <c r="D38" i="1860"/>
  <c r="R37" i="1860"/>
  <c r="H37" i="1860"/>
  <c r="D37" i="1860"/>
  <c r="R36" i="1860"/>
  <c r="L10" i="1860" s="1"/>
  <c r="D10" i="1860" s="1"/>
  <c r="H36" i="1860"/>
  <c r="D36" i="1860"/>
  <c r="R35" i="1860"/>
  <c r="L19" i="1860" s="1"/>
  <c r="D19" i="1860" s="1"/>
  <c r="H35" i="1860"/>
  <c r="D35" i="1860"/>
  <c r="R34" i="1860"/>
  <c r="H34" i="1860"/>
  <c r="D34" i="1860"/>
  <c r="R33" i="1860"/>
  <c r="L23" i="1860" s="1"/>
  <c r="D23" i="1860" s="1"/>
  <c r="R32" i="1860"/>
  <c r="L11" i="1860" s="1"/>
  <c r="D11" i="1860" s="1"/>
  <c r="R31" i="1860"/>
  <c r="R30" i="1860"/>
  <c r="R29" i="1860"/>
  <c r="R28" i="1860"/>
  <c r="L16" i="1860" s="1"/>
  <c r="D16" i="1860" s="1"/>
  <c r="R27" i="1860"/>
  <c r="D27" i="1860"/>
  <c r="R26" i="1860"/>
  <c r="L26" i="1860"/>
  <c r="D26" i="1860" s="1"/>
  <c r="R25" i="1860"/>
  <c r="L25" i="1860"/>
  <c r="D25" i="1860" s="1"/>
  <c r="R24" i="1860"/>
  <c r="L24" i="1860"/>
  <c r="D24" i="1860" s="1"/>
  <c r="R23" i="1860"/>
  <c r="R22" i="1860"/>
  <c r="L22" i="1860"/>
  <c r="D22" i="1860" s="1"/>
  <c r="R21" i="1860"/>
  <c r="D21" i="1860"/>
  <c r="R20" i="1860"/>
  <c r="R19" i="1860"/>
  <c r="R18" i="1860"/>
  <c r="D18" i="1860"/>
  <c r="R17" i="1860"/>
  <c r="L17" i="1860"/>
  <c r="D17" i="1860" s="1"/>
  <c r="R16" i="1860"/>
  <c r="R15" i="1860"/>
  <c r="D15" i="1860"/>
  <c r="R14" i="1860"/>
  <c r="D14" i="1860"/>
  <c r="R13" i="1860"/>
  <c r="D13" i="1860"/>
  <c r="R12" i="1860"/>
  <c r="L12" i="1860"/>
  <c r="D12" i="1860" s="1"/>
  <c r="R11" i="1860"/>
  <c r="R6" i="1860"/>
  <c r="R5" i="1860"/>
  <c r="R4" i="1860"/>
  <c r="R52" i="1859"/>
  <c r="R51" i="1859"/>
  <c r="D50" i="1859"/>
  <c r="R49" i="1859"/>
  <c r="D49" i="1859"/>
  <c r="R48" i="1859"/>
  <c r="D48" i="1859"/>
  <c r="D46" i="1859"/>
  <c r="D45" i="1859"/>
  <c r="R44" i="1859"/>
  <c r="D44" i="1859"/>
  <c r="R42" i="1859"/>
  <c r="L6" i="1859" s="1"/>
  <c r="D6" i="1859" s="1"/>
  <c r="D42" i="1859"/>
  <c r="R41" i="1859"/>
  <c r="L7" i="1859" s="1"/>
  <c r="D7" i="1859" s="1"/>
  <c r="D41" i="1859"/>
  <c r="R40" i="1859"/>
  <c r="L8" i="1859" s="1"/>
  <c r="D8" i="1859" s="1"/>
  <c r="D40" i="1859"/>
  <c r="R39" i="1859"/>
  <c r="H39" i="1859"/>
  <c r="D39" i="1859"/>
  <c r="R38" i="1859"/>
  <c r="L9" i="1859" s="1"/>
  <c r="D9" i="1859" s="1"/>
  <c r="H38" i="1859"/>
  <c r="D38" i="1859"/>
  <c r="R37" i="1859"/>
  <c r="H37" i="1859"/>
  <c r="D37" i="1859"/>
  <c r="R36" i="1859"/>
  <c r="H36" i="1859"/>
  <c r="D36" i="1859"/>
  <c r="R35" i="1859"/>
  <c r="H35" i="1859"/>
  <c r="D35" i="1859"/>
  <c r="R34" i="1859"/>
  <c r="L12" i="1859" s="1"/>
  <c r="D12" i="1859" s="1"/>
  <c r="H34" i="1859"/>
  <c r="D34" i="1859"/>
  <c r="R33" i="1859"/>
  <c r="R32" i="1859"/>
  <c r="L11" i="1859" s="1"/>
  <c r="D11" i="1859" s="1"/>
  <c r="R31" i="1859"/>
  <c r="R30" i="1859"/>
  <c r="R29" i="1859"/>
  <c r="R28" i="1859"/>
  <c r="L16" i="1859" s="1"/>
  <c r="D16" i="1859" s="1"/>
  <c r="L28" i="1859"/>
  <c r="D28" i="1859" s="1"/>
  <c r="R27" i="1859"/>
  <c r="D27" i="1859"/>
  <c r="R26" i="1859"/>
  <c r="L26" i="1859"/>
  <c r="D26" i="1859" s="1"/>
  <c r="R25" i="1859"/>
  <c r="L25" i="1859"/>
  <c r="D25" i="1859" s="1"/>
  <c r="R24" i="1859"/>
  <c r="L24" i="1859"/>
  <c r="D24" i="1859" s="1"/>
  <c r="R23" i="1859"/>
  <c r="D23" i="1859"/>
  <c r="R22" i="1859"/>
  <c r="D22" i="1859"/>
  <c r="R21" i="1859"/>
  <c r="D21" i="1859"/>
  <c r="R20" i="1859"/>
  <c r="L20" i="1859"/>
  <c r="D20" i="1859" s="1"/>
  <c r="R19" i="1859"/>
  <c r="D19" i="1859"/>
  <c r="R18" i="1859"/>
  <c r="D18" i="1859"/>
  <c r="R17" i="1859"/>
  <c r="L17" i="1859"/>
  <c r="D17" i="1859" s="1"/>
  <c r="R16" i="1859"/>
  <c r="R15" i="1859"/>
  <c r="D15" i="1859"/>
  <c r="R14" i="1859"/>
  <c r="D14" i="1859"/>
  <c r="R13" i="1859"/>
  <c r="D13" i="1859"/>
  <c r="R12" i="1859"/>
  <c r="R11" i="1859"/>
  <c r="L10" i="1859"/>
  <c r="D10" i="1859" s="1"/>
  <c r="R6" i="1859"/>
  <c r="R5" i="1859"/>
  <c r="R4" i="1859"/>
  <c r="R52" i="1858"/>
  <c r="R51" i="1858"/>
  <c r="D50" i="1858"/>
  <c r="R49" i="1858"/>
  <c r="G49" i="1858"/>
  <c r="D49" i="1858"/>
  <c r="R48" i="1858"/>
  <c r="D48" i="1858"/>
  <c r="D46" i="1858"/>
  <c r="D45" i="1858"/>
  <c r="D44" i="1858"/>
  <c r="R42" i="1858"/>
  <c r="L6" i="1858" s="1"/>
  <c r="D6" i="1858" s="1"/>
  <c r="D42" i="1858"/>
  <c r="R41" i="1858"/>
  <c r="L7" i="1858" s="1"/>
  <c r="D7" i="1858" s="1"/>
  <c r="D41" i="1858"/>
  <c r="R40" i="1858"/>
  <c r="L8" i="1858" s="1"/>
  <c r="D8" i="1858" s="1"/>
  <c r="D40" i="1858"/>
  <c r="R39" i="1858"/>
  <c r="D39" i="1858"/>
  <c r="R38" i="1858"/>
  <c r="L9" i="1858" s="1"/>
  <c r="D9" i="1858" s="1"/>
  <c r="D38" i="1858"/>
  <c r="R37" i="1858"/>
  <c r="D37" i="1858"/>
  <c r="R36" i="1858"/>
  <c r="L10" i="1858" s="1"/>
  <c r="D10" i="1858" s="1"/>
  <c r="D36" i="1858"/>
  <c r="R35" i="1858"/>
  <c r="L19" i="1858" s="1"/>
  <c r="D19" i="1858" s="1"/>
  <c r="D35" i="1858"/>
  <c r="R34" i="1858"/>
  <c r="L12" i="1858" s="1"/>
  <c r="D12" i="1858" s="1"/>
  <c r="D34" i="1858"/>
  <c r="R33" i="1858"/>
  <c r="L23" i="1858" s="1"/>
  <c r="D23" i="1858" s="1"/>
  <c r="R32" i="1858"/>
  <c r="L11" i="1858" s="1"/>
  <c r="D11" i="1858" s="1"/>
  <c r="R31" i="1858"/>
  <c r="R30" i="1858"/>
  <c r="R29" i="1858"/>
  <c r="R28" i="1858"/>
  <c r="L16" i="1858" s="1"/>
  <c r="D16" i="1858" s="1"/>
  <c r="D28" i="1858"/>
  <c r="R27" i="1858"/>
  <c r="D27" i="1858"/>
  <c r="R26" i="1858"/>
  <c r="L26" i="1858"/>
  <c r="D26" i="1858" s="1"/>
  <c r="R25" i="1858"/>
  <c r="L25" i="1858"/>
  <c r="D25" i="1858" s="1"/>
  <c r="R24" i="1858"/>
  <c r="D24" i="1858"/>
  <c r="R23" i="1858"/>
  <c r="R22" i="1858"/>
  <c r="L22" i="1858"/>
  <c r="D22" i="1858" s="1"/>
  <c r="R21" i="1858"/>
  <c r="D21" i="1858"/>
  <c r="R20" i="1858"/>
  <c r="L20" i="1858"/>
  <c r="D20" i="1858" s="1"/>
  <c r="R19" i="1858"/>
  <c r="R18" i="1858"/>
  <c r="D18" i="1858"/>
  <c r="R17" i="1858"/>
  <c r="D17" i="1858"/>
  <c r="R16" i="1858"/>
  <c r="S15" i="1858"/>
  <c r="R15" i="1858"/>
  <c r="D15" i="1858"/>
  <c r="S14" i="1858"/>
  <c r="R14" i="1858"/>
  <c r="D14" i="1858"/>
  <c r="R13" i="1858"/>
  <c r="D13" i="1858"/>
  <c r="R12" i="1858"/>
  <c r="R11" i="1858"/>
  <c r="R6" i="1858"/>
  <c r="R5" i="1858"/>
  <c r="R4" i="1858"/>
  <c r="R52" i="1857"/>
  <c r="L22" i="1857" s="1"/>
  <c r="D22" i="1857" s="1"/>
  <c r="R51" i="1857"/>
  <c r="D50" i="1857"/>
  <c r="R49" i="1857"/>
  <c r="D49" i="1857"/>
  <c r="R48" i="1857"/>
  <c r="D48" i="1857"/>
  <c r="D46" i="1857"/>
  <c r="D45" i="1857"/>
  <c r="R44" i="1857"/>
  <c r="D44" i="1857"/>
  <c r="R42" i="1857"/>
  <c r="L6" i="1857" s="1"/>
  <c r="D6" i="1857" s="1"/>
  <c r="D42" i="1857"/>
  <c r="R41" i="1857"/>
  <c r="L7" i="1857" s="1"/>
  <c r="D7" i="1857" s="1"/>
  <c r="D41" i="1857"/>
  <c r="R40" i="1857"/>
  <c r="D40" i="1857"/>
  <c r="R39" i="1857"/>
  <c r="H39" i="1857"/>
  <c r="D39" i="1857"/>
  <c r="R38" i="1857"/>
  <c r="L9" i="1857" s="1"/>
  <c r="D9" i="1857" s="1"/>
  <c r="H38" i="1857"/>
  <c r="D38" i="1857"/>
  <c r="R37" i="1857"/>
  <c r="H37" i="1857"/>
  <c r="D37" i="1857"/>
  <c r="R36" i="1857"/>
  <c r="L10" i="1857" s="1"/>
  <c r="D10" i="1857" s="1"/>
  <c r="H36" i="1857"/>
  <c r="D36" i="1857"/>
  <c r="R35" i="1857"/>
  <c r="H35" i="1857"/>
  <c r="D35" i="1857"/>
  <c r="R34" i="1857"/>
  <c r="L12" i="1857" s="1"/>
  <c r="D12" i="1857" s="1"/>
  <c r="H34" i="1857"/>
  <c r="D34" i="1857"/>
  <c r="R33" i="1857"/>
  <c r="L23" i="1857" s="1"/>
  <c r="D23" i="1857" s="1"/>
  <c r="R32" i="1857"/>
  <c r="L11" i="1857" s="1"/>
  <c r="D11" i="1857" s="1"/>
  <c r="R31" i="1857"/>
  <c r="R30" i="1857"/>
  <c r="R29" i="1857"/>
  <c r="R28" i="1857"/>
  <c r="L16" i="1857" s="1"/>
  <c r="D16" i="1857" s="1"/>
  <c r="L28" i="1857"/>
  <c r="D28" i="1857"/>
  <c r="R27" i="1857"/>
  <c r="D27" i="1857"/>
  <c r="R26" i="1857"/>
  <c r="L26" i="1857"/>
  <c r="D26" i="1857" s="1"/>
  <c r="R25" i="1857"/>
  <c r="L25" i="1857"/>
  <c r="D25" i="1857" s="1"/>
  <c r="R24" i="1857"/>
  <c r="D24" i="1857"/>
  <c r="R23" i="1857"/>
  <c r="R22" i="1857"/>
  <c r="R21" i="1857"/>
  <c r="D21" i="1857"/>
  <c r="R20" i="1857"/>
  <c r="L20" i="1857"/>
  <c r="D20" i="1857" s="1"/>
  <c r="R19" i="1857"/>
  <c r="L19" i="1857"/>
  <c r="D19" i="1857" s="1"/>
  <c r="R18" i="1857"/>
  <c r="D18" i="1857"/>
  <c r="R17" i="1857"/>
  <c r="D17" i="1857"/>
  <c r="R16" i="1857"/>
  <c r="R15" i="1857"/>
  <c r="D15" i="1857"/>
  <c r="R14" i="1857"/>
  <c r="D14" i="1857"/>
  <c r="R13" i="1857"/>
  <c r="D13" i="1857"/>
  <c r="R12" i="1857"/>
  <c r="R11" i="1857"/>
  <c r="L8" i="1857"/>
  <c r="D8" i="1857" s="1"/>
  <c r="R6" i="1857"/>
  <c r="R5" i="1857"/>
  <c r="R4" i="1857"/>
  <c r="R52" i="1856"/>
  <c r="R51" i="1856"/>
  <c r="D50" i="1856"/>
  <c r="R49" i="1856"/>
  <c r="D49" i="1856"/>
  <c r="R48" i="1856"/>
  <c r="D48" i="1856"/>
  <c r="D46" i="1856"/>
  <c r="D45" i="1856"/>
  <c r="R44" i="1856"/>
  <c r="L28" i="1856" s="1"/>
  <c r="D28" i="1856" s="1"/>
  <c r="D44" i="1856"/>
  <c r="R42" i="1856"/>
  <c r="D42" i="1856"/>
  <c r="R41" i="1856"/>
  <c r="L7" i="1856" s="1"/>
  <c r="D7" i="1856" s="1"/>
  <c r="D41" i="1856"/>
  <c r="R40" i="1856"/>
  <c r="L8" i="1856" s="1"/>
  <c r="D8" i="1856" s="1"/>
  <c r="D40" i="1856"/>
  <c r="R39" i="1856"/>
  <c r="L20" i="1856" s="1"/>
  <c r="D20" i="1856" s="1"/>
  <c r="H39" i="1856"/>
  <c r="D39" i="1856"/>
  <c r="R38" i="1856"/>
  <c r="L9" i="1856" s="1"/>
  <c r="D9" i="1856" s="1"/>
  <c r="H38" i="1856"/>
  <c r="D38" i="1856"/>
  <c r="R37" i="1856"/>
  <c r="H37" i="1856"/>
  <c r="D37" i="1856"/>
  <c r="R36" i="1856"/>
  <c r="L10" i="1856" s="1"/>
  <c r="D10" i="1856" s="1"/>
  <c r="H36" i="1856"/>
  <c r="D36" i="1856"/>
  <c r="R35" i="1856"/>
  <c r="L19" i="1856" s="1"/>
  <c r="D19" i="1856" s="1"/>
  <c r="H35" i="1856"/>
  <c r="D35" i="1856"/>
  <c r="R34" i="1856"/>
  <c r="L12" i="1856" s="1"/>
  <c r="D12" i="1856" s="1"/>
  <c r="H34" i="1856"/>
  <c r="D34" i="1856"/>
  <c r="R33" i="1856"/>
  <c r="R32" i="1856"/>
  <c r="L11" i="1856" s="1"/>
  <c r="D11" i="1856" s="1"/>
  <c r="R31" i="1856"/>
  <c r="R30" i="1856"/>
  <c r="R29" i="1856"/>
  <c r="R28" i="1856"/>
  <c r="L16" i="1856" s="1"/>
  <c r="D16" i="1856" s="1"/>
  <c r="R27" i="1856"/>
  <c r="D27" i="1856"/>
  <c r="R26" i="1856"/>
  <c r="L26" i="1856"/>
  <c r="D26" i="1856"/>
  <c r="R25" i="1856"/>
  <c r="L25" i="1856"/>
  <c r="D25" i="1856"/>
  <c r="R24" i="1856"/>
  <c r="L24" i="1856"/>
  <c r="D24" i="1856" s="1"/>
  <c r="R23" i="1856"/>
  <c r="L23" i="1856"/>
  <c r="D23" i="1856" s="1"/>
  <c r="R22" i="1856"/>
  <c r="L22" i="1856"/>
  <c r="D22" i="1856" s="1"/>
  <c r="R21" i="1856"/>
  <c r="L17" i="1856" s="1"/>
  <c r="D17" i="1856" s="1"/>
  <c r="D21" i="1856"/>
  <c r="R20" i="1856"/>
  <c r="R19" i="1856"/>
  <c r="R18" i="1856"/>
  <c r="D18" i="1856"/>
  <c r="R17" i="1856"/>
  <c r="R16" i="1856"/>
  <c r="R15" i="1856"/>
  <c r="D15" i="1856"/>
  <c r="R14" i="1856"/>
  <c r="D14" i="1856"/>
  <c r="R13" i="1856"/>
  <c r="D13" i="1856"/>
  <c r="R12" i="1856"/>
  <c r="R11" i="1856"/>
  <c r="R6" i="1856"/>
  <c r="L6" i="1856"/>
  <c r="D6" i="1856" s="1"/>
  <c r="R5" i="1856"/>
  <c r="R4" i="1856"/>
  <c r="R52" i="1855"/>
  <c r="R51" i="1855"/>
  <c r="D50" i="1855"/>
  <c r="R49" i="1855"/>
  <c r="D49" i="1855"/>
  <c r="R48" i="1855"/>
  <c r="D48" i="1855"/>
  <c r="D46" i="1855"/>
  <c r="D45" i="1855"/>
  <c r="R44" i="1855"/>
  <c r="L28" i="1855" s="1"/>
  <c r="D28" i="1855" s="1"/>
  <c r="D44" i="1855"/>
  <c r="R42" i="1855"/>
  <c r="L6" i="1855" s="1"/>
  <c r="D6" i="1855" s="1"/>
  <c r="D42" i="1855"/>
  <c r="R41" i="1855"/>
  <c r="L7" i="1855" s="1"/>
  <c r="D7" i="1855" s="1"/>
  <c r="D41" i="1855"/>
  <c r="R40" i="1855"/>
  <c r="L8" i="1855" s="1"/>
  <c r="D8" i="1855" s="1"/>
  <c r="D40" i="1855"/>
  <c r="R39" i="1855"/>
  <c r="L20" i="1855" s="1"/>
  <c r="D20" i="1855" s="1"/>
  <c r="H39" i="1855"/>
  <c r="D39" i="1855"/>
  <c r="R38" i="1855"/>
  <c r="L9" i="1855" s="1"/>
  <c r="D9" i="1855" s="1"/>
  <c r="H38" i="1855"/>
  <c r="D38" i="1855"/>
  <c r="R37" i="1855"/>
  <c r="H37" i="1855"/>
  <c r="D37" i="1855"/>
  <c r="R36" i="1855"/>
  <c r="L10" i="1855" s="1"/>
  <c r="D10" i="1855" s="1"/>
  <c r="H36" i="1855"/>
  <c r="D36" i="1855"/>
  <c r="R35" i="1855"/>
  <c r="H35" i="1855"/>
  <c r="D35" i="1855"/>
  <c r="R34" i="1855"/>
  <c r="L12" i="1855" s="1"/>
  <c r="D12" i="1855" s="1"/>
  <c r="H34" i="1855"/>
  <c r="D34" i="1855"/>
  <c r="R33" i="1855"/>
  <c r="R32" i="1855"/>
  <c r="L11" i="1855" s="1"/>
  <c r="D11" i="1855" s="1"/>
  <c r="R31" i="1855"/>
  <c r="R30" i="1855"/>
  <c r="R29" i="1855"/>
  <c r="R28" i="1855"/>
  <c r="R27" i="1855"/>
  <c r="D27" i="1855"/>
  <c r="R26" i="1855"/>
  <c r="L26" i="1855"/>
  <c r="D26" i="1855" s="1"/>
  <c r="R25" i="1855"/>
  <c r="L25" i="1855"/>
  <c r="D25" i="1855" s="1"/>
  <c r="R24" i="1855"/>
  <c r="L24" i="1855"/>
  <c r="D24" i="1855" s="1"/>
  <c r="R23" i="1855"/>
  <c r="D23" i="1855"/>
  <c r="R22" i="1855"/>
  <c r="D22" i="1855"/>
  <c r="R21" i="1855"/>
  <c r="D21" i="1855"/>
  <c r="R20" i="1855"/>
  <c r="R19" i="1855"/>
  <c r="D19" i="1855"/>
  <c r="R18" i="1855"/>
  <c r="D18" i="1855"/>
  <c r="R17" i="1855"/>
  <c r="L17" i="1855"/>
  <c r="D17" i="1855"/>
  <c r="R16" i="1855"/>
  <c r="L16" i="1855"/>
  <c r="D16" i="1855" s="1"/>
  <c r="R15" i="1855"/>
  <c r="D15" i="1855"/>
  <c r="R14" i="1855"/>
  <c r="D14" i="1855"/>
  <c r="R13" i="1855"/>
  <c r="D13" i="1855"/>
  <c r="R12" i="1855"/>
  <c r="R11" i="1855"/>
  <c r="R6" i="1855"/>
  <c r="R5" i="1855"/>
  <c r="R4" i="1855"/>
  <c r="R52" i="1854"/>
  <c r="R51" i="1854"/>
  <c r="D50" i="1854"/>
  <c r="R49" i="1854"/>
  <c r="G49" i="1854"/>
  <c r="D49" i="1854"/>
  <c r="R48" i="1854"/>
  <c r="D48" i="1854"/>
  <c r="D46" i="1854"/>
  <c r="D45" i="1854"/>
  <c r="D44" i="1854"/>
  <c r="R42" i="1854"/>
  <c r="L6" i="1854" s="1"/>
  <c r="D6" i="1854" s="1"/>
  <c r="D42" i="1854"/>
  <c r="R41" i="1854"/>
  <c r="L7" i="1854" s="1"/>
  <c r="D7" i="1854" s="1"/>
  <c r="D41" i="1854"/>
  <c r="R40" i="1854"/>
  <c r="L8" i="1854" s="1"/>
  <c r="D8" i="1854" s="1"/>
  <c r="D40" i="1854"/>
  <c r="R39" i="1854"/>
  <c r="D39" i="1854"/>
  <c r="R38" i="1854"/>
  <c r="L9" i="1854" s="1"/>
  <c r="D9" i="1854" s="1"/>
  <c r="D38" i="1854"/>
  <c r="R37" i="1854"/>
  <c r="D37" i="1854"/>
  <c r="R36" i="1854"/>
  <c r="L10" i="1854" s="1"/>
  <c r="D10" i="1854" s="1"/>
  <c r="D36" i="1854"/>
  <c r="R35" i="1854"/>
  <c r="L19" i="1854" s="1"/>
  <c r="D19" i="1854" s="1"/>
  <c r="D35" i="1854"/>
  <c r="R34" i="1854"/>
  <c r="L12" i="1854" s="1"/>
  <c r="D12" i="1854" s="1"/>
  <c r="D34" i="1854"/>
  <c r="R33" i="1854"/>
  <c r="L23" i="1854" s="1"/>
  <c r="D23" i="1854" s="1"/>
  <c r="R32" i="1854"/>
  <c r="L11" i="1854" s="1"/>
  <c r="D11" i="1854" s="1"/>
  <c r="R31" i="1854"/>
  <c r="R30" i="1854"/>
  <c r="R29" i="1854"/>
  <c r="R28" i="1854"/>
  <c r="L16" i="1854" s="1"/>
  <c r="D16" i="1854" s="1"/>
  <c r="D28" i="1854"/>
  <c r="R27" i="1854"/>
  <c r="D27" i="1854"/>
  <c r="R26" i="1854"/>
  <c r="L26" i="1854"/>
  <c r="D26" i="1854" s="1"/>
  <c r="R25" i="1854"/>
  <c r="L25" i="1854"/>
  <c r="D25" i="1854" s="1"/>
  <c r="R24" i="1854"/>
  <c r="D24" i="1854"/>
  <c r="R23" i="1854"/>
  <c r="R22" i="1854"/>
  <c r="L22" i="1854"/>
  <c r="D22" i="1854" s="1"/>
  <c r="R21" i="1854"/>
  <c r="D21" i="1854"/>
  <c r="R20" i="1854"/>
  <c r="L20" i="1854"/>
  <c r="D20" i="1854" s="1"/>
  <c r="R19" i="1854"/>
  <c r="R18" i="1854"/>
  <c r="D18" i="1854"/>
  <c r="R17" i="1854"/>
  <c r="D17" i="1854"/>
  <c r="R16" i="1854"/>
  <c r="S15" i="1854"/>
  <c r="R15" i="1854"/>
  <c r="D15" i="1854"/>
  <c r="S14" i="1854"/>
  <c r="R14" i="1854"/>
  <c r="D14" i="1854"/>
  <c r="R13" i="1854"/>
  <c r="D13" i="1854"/>
  <c r="R12" i="1854"/>
  <c r="R11" i="1854"/>
  <c r="R6" i="1854"/>
  <c r="R5" i="1854"/>
  <c r="R4" i="1854"/>
  <c r="R52" i="1853"/>
  <c r="L22" i="1853" s="1"/>
  <c r="D22" i="1853" s="1"/>
  <c r="R51" i="1853"/>
  <c r="D50" i="1853"/>
  <c r="R49" i="1853"/>
  <c r="D49" i="1853"/>
  <c r="R48" i="1853"/>
  <c r="D48" i="1853"/>
  <c r="D46" i="1853"/>
  <c r="D45" i="1853"/>
  <c r="R44" i="1853"/>
  <c r="L28" i="1853" s="1"/>
  <c r="D28" i="1853" s="1"/>
  <c r="D44" i="1853"/>
  <c r="R42" i="1853"/>
  <c r="L6" i="1853" s="1"/>
  <c r="D6" i="1853" s="1"/>
  <c r="D42" i="1853"/>
  <c r="R41" i="1853"/>
  <c r="L7" i="1853" s="1"/>
  <c r="D7" i="1853" s="1"/>
  <c r="D41" i="1853"/>
  <c r="R40" i="1853"/>
  <c r="L8" i="1853" s="1"/>
  <c r="D8" i="1853" s="1"/>
  <c r="D40" i="1853"/>
  <c r="R39" i="1853"/>
  <c r="H39" i="1853"/>
  <c r="D39" i="1853"/>
  <c r="R38" i="1853"/>
  <c r="L9" i="1853" s="1"/>
  <c r="D9" i="1853" s="1"/>
  <c r="H38" i="1853"/>
  <c r="D38" i="1853"/>
  <c r="R37" i="1853"/>
  <c r="H37" i="1853"/>
  <c r="D37" i="1853"/>
  <c r="R36" i="1853"/>
  <c r="L10" i="1853" s="1"/>
  <c r="D10" i="1853" s="1"/>
  <c r="H36" i="1853"/>
  <c r="D36" i="1853"/>
  <c r="R35" i="1853"/>
  <c r="L19" i="1853" s="1"/>
  <c r="D19" i="1853" s="1"/>
  <c r="H35" i="1853"/>
  <c r="D35" i="1853"/>
  <c r="R34" i="1853"/>
  <c r="L12" i="1853" s="1"/>
  <c r="D12" i="1853" s="1"/>
  <c r="H34" i="1853"/>
  <c r="D34" i="1853"/>
  <c r="R33" i="1853"/>
  <c r="L23" i="1853" s="1"/>
  <c r="D23" i="1853" s="1"/>
  <c r="R32" i="1853"/>
  <c r="R31" i="1853"/>
  <c r="R30" i="1853"/>
  <c r="R29" i="1853"/>
  <c r="R28" i="1853"/>
  <c r="L16" i="1853" s="1"/>
  <c r="D16" i="1853" s="1"/>
  <c r="R27" i="1853"/>
  <c r="D27" i="1853"/>
  <c r="R26" i="1853"/>
  <c r="L26" i="1853"/>
  <c r="D26" i="1853" s="1"/>
  <c r="R25" i="1853"/>
  <c r="L25" i="1853"/>
  <c r="D25" i="1853" s="1"/>
  <c r="R24" i="1853"/>
  <c r="D24" i="1853"/>
  <c r="R23" i="1853"/>
  <c r="R22" i="1853"/>
  <c r="R21" i="1853"/>
  <c r="D21" i="1853"/>
  <c r="R20" i="1853"/>
  <c r="L20" i="1853"/>
  <c r="D20" i="1853"/>
  <c r="R19" i="1853"/>
  <c r="R18" i="1853"/>
  <c r="D18" i="1853"/>
  <c r="R17" i="1853"/>
  <c r="D17" i="1853"/>
  <c r="R16" i="1853"/>
  <c r="R15" i="1853"/>
  <c r="D15" i="1853"/>
  <c r="R14" i="1853"/>
  <c r="D14" i="1853"/>
  <c r="R13" i="1853"/>
  <c r="D13" i="1853"/>
  <c r="R12" i="1853"/>
  <c r="R11" i="1853"/>
  <c r="L11" i="1853"/>
  <c r="D11" i="1853"/>
  <c r="R6" i="1853"/>
  <c r="R5" i="1853"/>
  <c r="R4" i="1853"/>
  <c r="R52" i="1852"/>
  <c r="R51" i="1852"/>
  <c r="D50" i="1852"/>
  <c r="R49" i="1852"/>
  <c r="D49" i="1852"/>
  <c r="R48" i="1852"/>
  <c r="D48" i="1852"/>
  <c r="D46" i="1852"/>
  <c r="D45" i="1852"/>
  <c r="R44" i="1852"/>
  <c r="L28" i="1852" s="1"/>
  <c r="D28" i="1852" s="1"/>
  <c r="D44" i="1852"/>
  <c r="R42" i="1852"/>
  <c r="L6" i="1852" s="1"/>
  <c r="D6" i="1852" s="1"/>
  <c r="D42" i="1852"/>
  <c r="R41" i="1852"/>
  <c r="L7" i="1852" s="1"/>
  <c r="D7" i="1852" s="1"/>
  <c r="D41" i="1852"/>
  <c r="R40" i="1852"/>
  <c r="L8" i="1852" s="1"/>
  <c r="D8" i="1852" s="1"/>
  <c r="D40" i="1852"/>
  <c r="R39" i="1852"/>
  <c r="L20" i="1852" s="1"/>
  <c r="D20" i="1852" s="1"/>
  <c r="H39" i="1852"/>
  <c r="D39" i="1852"/>
  <c r="R38" i="1852"/>
  <c r="L9" i="1852" s="1"/>
  <c r="D9" i="1852" s="1"/>
  <c r="H38" i="1852"/>
  <c r="D38" i="1852"/>
  <c r="R37" i="1852"/>
  <c r="H37" i="1852"/>
  <c r="D37" i="1852"/>
  <c r="R36" i="1852"/>
  <c r="L10" i="1852" s="1"/>
  <c r="D10" i="1852" s="1"/>
  <c r="H36" i="1852"/>
  <c r="D36" i="1852"/>
  <c r="R35" i="1852"/>
  <c r="L19" i="1852" s="1"/>
  <c r="D19" i="1852" s="1"/>
  <c r="H35" i="1852"/>
  <c r="D35" i="1852"/>
  <c r="R34" i="1852"/>
  <c r="L12" i="1852" s="1"/>
  <c r="D12" i="1852" s="1"/>
  <c r="H34" i="1852"/>
  <c r="D34" i="1852"/>
  <c r="R33" i="1852"/>
  <c r="R32" i="1852"/>
  <c r="L11" i="1852" s="1"/>
  <c r="D11" i="1852" s="1"/>
  <c r="R31" i="1852"/>
  <c r="R30" i="1852"/>
  <c r="R29" i="1852"/>
  <c r="R28" i="1852"/>
  <c r="L16" i="1852" s="1"/>
  <c r="D16" i="1852" s="1"/>
  <c r="R27" i="1852"/>
  <c r="D27" i="1852"/>
  <c r="R26" i="1852"/>
  <c r="L26" i="1852"/>
  <c r="D26" i="1852" s="1"/>
  <c r="R25" i="1852"/>
  <c r="L25" i="1852"/>
  <c r="D25" i="1852" s="1"/>
  <c r="R24" i="1852"/>
  <c r="L24" i="1852"/>
  <c r="D24" i="1852" s="1"/>
  <c r="R23" i="1852"/>
  <c r="D23" i="1852"/>
  <c r="R22" i="1852"/>
  <c r="L22" i="1852"/>
  <c r="D22" i="1852" s="1"/>
  <c r="R21" i="1852"/>
  <c r="L17" i="1852" s="1"/>
  <c r="D17" i="1852" s="1"/>
  <c r="D21" i="1852"/>
  <c r="R20" i="1852"/>
  <c r="R19" i="1852"/>
  <c r="R18" i="1852"/>
  <c r="D18" i="1852"/>
  <c r="R17" i="1852"/>
  <c r="R16" i="1852"/>
  <c r="R15" i="1852"/>
  <c r="D15" i="1852"/>
  <c r="R14" i="1852"/>
  <c r="D14" i="1852"/>
  <c r="R13" i="1852"/>
  <c r="D13" i="1852"/>
  <c r="R12" i="1852"/>
  <c r="R11" i="1852"/>
  <c r="R6" i="1852"/>
  <c r="R5" i="1852"/>
  <c r="R4" i="1852"/>
  <c r="R52" i="1851"/>
  <c r="R51" i="1851"/>
  <c r="D50" i="1851"/>
  <c r="R49" i="1851"/>
  <c r="D49" i="1851"/>
  <c r="R48" i="1851"/>
  <c r="D48" i="1851"/>
  <c r="D46" i="1851"/>
  <c r="D45" i="1851"/>
  <c r="R44" i="1851"/>
  <c r="L28" i="1851" s="1"/>
  <c r="D28" i="1851" s="1"/>
  <c r="D44" i="1851"/>
  <c r="R42" i="1851"/>
  <c r="L6" i="1851" s="1"/>
  <c r="D6" i="1851" s="1"/>
  <c r="D42" i="1851"/>
  <c r="R41" i="1851"/>
  <c r="L7" i="1851" s="1"/>
  <c r="D7" i="1851" s="1"/>
  <c r="D41" i="1851"/>
  <c r="R40" i="1851"/>
  <c r="L8" i="1851" s="1"/>
  <c r="D8" i="1851" s="1"/>
  <c r="D40" i="1851"/>
  <c r="R39" i="1851"/>
  <c r="L20" i="1851" s="1"/>
  <c r="D20" i="1851" s="1"/>
  <c r="H39" i="1851"/>
  <c r="D39" i="1851"/>
  <c r="R38" i="1851"/>
  <c r="L9" i="1851" s="1"/>
  <c r="D9" i="1851" s="1"/>
  <c r="H38" i="1851"/>
  <c r="D38" i="1851"/>
  <c r="R37" i="1851"/>
  <c r="H37" i="1851"/>
  <c r="D37" i="1851"/>
  <c r="R36" i="1851"/>
  <c r="L10" i="1851" s="1"/>
  <c r="D10" i="1851" s="1"/>
  <c r="H36" i="1851"/>
  <c r="D36" i="1851"/>
  <c r="R35" i="1851"/>
  <c r="H35" i="1851"/>
  <c r="D35" i="1851"/>
  <c r="R34" i="1851"/>
  <c r="H34" i="1851"/>
  <c r="D34" i="1851"/>
  <c r="R33" i="1851"/>
  <c r="R32" i="1851"/>
  <c r="L11" i="1851" s="1"/>
  <c r="D11" i="1851" s="1"/>
  <c r="R31" i="1851"/>
  <c r="R30" i="1851"/>
  <c r="R29" i="1851"/>
  <c r="R28" i="1851"/>
  <c r="L16" i="1851" s="1"/>
  <c r="D16" i="1851" s="1"/>
  <c r="R27" i="1851"/>
  <c r="D27" i="1851"/>
  <c r="R26" i="1851"/>
  <c r="L26" i="1851"/>
  <c r="D26" i="1851" s="1"/>
  <c r="R25" i="1851"/>
  <c r="L25" i="1851"/>
  <c r="D25" i="1851" s="1"/>
  <c r="R24" i="1851"/>
  <c r="L24" i="1851"/>
  <c r="D24" i="1851" s="1"/>
  <c r="R23" i="1851"/>
  <c r="D23" i="1851"/>
  <c r="R22" i="1851"/>
  <c r="D22" i="1851"/>
  <c r="R21" i="1851"/>
  <c r="D21" i="1851"/>
  <c r="R20" i="1851"/>
  <c r="R19" i="1851"/>
  <c r="D19" i="1851"/>
  <c r="R18" i="1851"/>
  <c r="D18" i="1851"/>
  <c r="R17" i="1851"/>
  <c r="L17" i="1851"/>
  <c r="D17" i="1851" s="1"/>
  <c r="R16" i="1851"/>
  <c r="R15" i="1851"/>
  <c r="D15" i="1851"/>
  <c r="R14" i="1851"/>
  <c r="D14" i="1851"/>
  <c r="R13" i="1851"/>
  <c r="D13" i="1851"/>
  <c r="R12" i="1851"/>
  <c r="L12" i="1851"/>
  <c r="D12" i="1851"/>
  <c r="R11" i="1851"/>
  <c r="R6" i="1851"/>
  <c r="R5" i="1851"/>
  <c r="R4" i="1851"/>
  <c r="R52" i="1850"/>
  <c r="R51" i="1850"/>
  <c r="D50" i="1850"/>
  <c r="R49" i="1850"/>
  <c r="G49" i="1850"/>
  <c r="D49" i="1850"/>
  <c r="R48" i="1850"/>
  <c r="D48" i="1850"/>
  <c r="D46" i="1850"/>
  <c r="D45" i="1850"/>
  <c r="D44" i="1850"/>
  <c r="R42" i="1850"/>
  <c r="L6" i="1850" s="1"/>
  <c r="D6" i="1850" s="1"/>
  <c r="D42" i="1850"/>
  <c r="R41" i="1850"/>
  <c r="L7" i="1850" s="1"/>
  <c r="D7" i="1850" s="1"/>
  <c r="D41" i="1850"/>
  <c r="R40" i="1850"/>
  <c r="L8" i="1850" s="1"/>
  <c r="D8" i="1850" s="1"/>
  <c r="D40" i="1850"/>
  <c r="R39" i="1850"/>
  <c r="D39" i="1850"/>
  <c r="R38" i="1850"/>
  <c r="L9" i="1850" s="1"/>
  <c r="D9" i="1850" s="1"/>
  <c r="D38" i="1850"/>
  <c r="R37" i="1850"/>
  <c r="D37" i="1850"/>
  <c r="R36" i="1850"/>
  <c r="L10" i="1850" s="1"/>
  <c r="D10" i="1850" s="1"/>
  <c r="D36" i="1850"/>
  <c r="R35" i="1850"/>
  <c r="L19" i="1850" s="1"/>
  <c r="D19" i="1850" s="1"/>
  <c r="D35" i="1850"/>
  <c r="R34" i="1850"/>
  <c r="L12" i="1850" s="1"/>
  <c r="D12" i="1850" s="1"/>
  <c r="D34" i="1850"/>
  <c r="R33" i="1850"/>
  <c r="L23" i="1850" s="1"/>
  <c r="D23" i="1850" s="1"/>
  <c r="R32" i="1850"/>
  <c r="L11" i="1850" s="1"/>
  <c r="D11" i="1850" s="1"/>
  <c r="R31" i="1850"/>
  <c r="R30" i="1850"/>
  <c r="R29" i="1850"/>
  <c r="R28" i="1850"/>
  <c r="L16" i="1850" s="1"/>
  <c r="D16" i="1850" s="1"/>
  <c r="D28" i="1850"/>
  <c r="R27" i="1850"/>
  <c r="D27" i="1850"/>
  <c r="R26" i="1850"/>
  <c r="L26" i="1850"/>
  <c r="D26" i="1850" s="1"/>
  <c r="R25" i="1850"/>
  <c r="L25" i="1850"/>
  <c r="D25" i="1850" s="1"/>
  <c r="R24" i="1850"/>
  <c r="D24" i="1850"/>
  <c r="R23" i="1850"/>
  <c r="R22" i="1850"/>
  <c r="L22" i="1850"/>
  <c r="D22" i="1850" s="1"/>
  <c r="R21" i="1850"/>
  <c r="D21" i="1850"/>
  <c r="R20" i="1850"/>
  <c r="L20" i="1850"/>
  <c r="D20" i="1850" s="1"/>
  <c r="R19" i="1850"/>
  <c r="R18" i="1850"/>
  <c r="D18" i="1850"/>
  <c r="R17" i="1850"/>
  <c r="D17" i="1850"/>
  <c r="R16" i="1850"/>
  <c r="S15" i="1850"/>
  <c r="R15" i="1850"/>
  <c r="D15" i="1850"/>
  <c r="S14" i="1850"/>
  <c r="R14" i="1850"/>
  <c r="D14" i="1850"/>
  <c r="R13" i="1850"/>
  <c r="D13" i="1850"/>
  <c r="R12" i="1850"/>
  <c r="R11" i="1850"/>
  <c r="R6" i="1850"/>
  <c r="R5" i="1850"/>
  <c r="R4" i="1850"/>
  <c r="R52" i="1849"/>
  <c r="L22" i="1849" s="1"/>
  <c r="D22" i="1849" s="1"/>
  <c r="R51" i="1849"/>
  <c r="D50" i="1849"/>
  <c r="R49" i="1849"/>
  <c r="D49" i="1849"/>
  <c r="R48" i="1849"/>
  <c r="D48" i="1849"/>
  <c r="D46" i="1849"/>
  <c r="D45" i="1849"/>
  <c r="R44" i="1849"/>
  <c r="L28" i="1849" s="1"/>
  <c r="D28" i="1849" s="1"/>
  <c r="D44" i="1849"/>
  <c r="R42" i="1849"/>
  <c r="L6" i="1849" s="1"/>
  <c r="D6" i="1849" s="1"/>
  <c r="D42" i="1849"/>
  <c r="R41" i="1849"/>
  <c r="L7" i="1849" s="1"/>
  <c r="D7" i="1849" s="1"/>
  <c r="D41" i="1849"/>
  <c r="R40" i="1849"/>
  <c r="L8" i="1849" s="1"/>
  <c r="D8" i="1849" s="1"/>
  <c r="D40" i="1849"/>
  <c r="R39" i="1849"/>
  <c r="H39" i="1849"/>
  <c r="D39" i="1849"/>
  <c r="R38" i="1849"/>
  <c r="L9" i="1849" s="1"/>
  <c r="D9" i="1849" s="1"/>
  <c r="H38" i="1849"/>
  <c r="D38" i="1849"/>
  <c r="R37" i="1849"/>
  <c r="H37" i="1849"/>
  <c r="D37" i="1849"/>
  <c r="R36" i="1849"/>
  <c r="L10" i="1849" s="1"/>
  <c r="D10" i="1849" s="1"/>
  <c r="H36" i="1849"/>
  <c r="D36" i="1849"/>
  <c r="R35" i="1849"/>
  <c r="L19" i="1849" s="1"/>
  <c r="D19" i="1849" s="1"/>
  <c r="H35" i="1849"/>
  <c r="D35" i="1849"/>
  <c r="R34" i="1849"/>
  <c r="L12" i="1849" s="1"/>
  <c r="D12" i="1849" s="1"/>
  <c r="H34" i="1849"/>
  <c r="D34" i="1849"/>
  <c r="R33" i="1849"/>
  <c r="R32" i="1849"/>
  <c r="L11" i="1849" s="1"/>
  <c r="D11" i="1849" s="1"/>
  <c r="R31" i="1849"/>
  <c r="R30" i="1849"/>
  <c r="R29" i="1849"/>
  <c r="R28" i="1849"/>
  <c r="R27" i="1849"/>
  <c r="D27" i="1849"/>
  <c r="R26" i="1849"/>
  <c r="L26" i="1849"/>
  <c r="D26" i="1849" s="1"/>
  <c r="R25" i="1849"/>
  <c r="L25" i="1849"/>
  <c r="D25" i="1849" s="1"/>
  <c r="R24" i="1849"/>
  <c r="D24" i="1849"/>
  <c r="R23" i="1849"/>
  <c r="L23" i="1849"/>
  <c r="D23" i="1849"/>
  <c r="R22" i="1849"/>
  <c r="R21" i="1849"/>
  <c r="D21" i="1849"/>
  <c r="R20" i="1849"/>
  <c r="L20" i="1849"/>
  <c r="D20" i="1849" s="1"/>
  <c r="R19" i="1849"/>
  <c r="R18" i="1849"/>
  <c r="D18" i="1849"/>
  <c r="R17" i="1849"/>
  <c r="D17" i="1849"/>
  <c r="R16" i="1849"/>
  <c r="L16" i="1849"/>
  <c r="D16" i="1849" s="1"/>
  <c r="R15" i="1849"/>
  <c r="D15" i="1849"/>
  <c r="R14" i="1849"/>
  <c r="D14" i="1849"/>
  <c r="R13" i="1849"/>
  <c r="D13" i="1849"/>
  <c r="R12" i="1849"/>
  <c r="R11" i="1849"/>
  <c r="R6" i="1849"/>
  <c r="R5" i="1849"/>
  <c r="R4" i="1849"/>
  <c r="R52" i="1848"/>
  <c r="R51" i="1848"/>
  <c r="D50" i="1848"/>
  <c r="R49" i="1848"/>
  <c r="D49" i="1848"/>
  <c r="R48" i="1848"/>
  <c r="D48" i="1848"/>
  <c r="D46" i="1848"/>
  <c r="D45" i="1848"/>
  <c r="R44" i="1848"/>
  <c r="L28" i="1848" s="1"/>
  <c r="D28" i="1848" s="1"/>
  <c r="D44" i="1848"/>
  <c r="R42" i="1848"/>
  <c r="L6" i="1848" s="1"/>
  <c r="D6" i="1848" s="1"/>
  <c r="D42" i="1848"/>
  <c r="R41" i="1848"/>
  <c r="L7" i="1848" s="1"/>
  <c r="D7" i="1848" s="1"/>
  <c r="D41" i="1848"/>
  <c r="R40" i="1848"/>
  <c r="L8" i="1848" s="1"/>
  <c r="D8" i="1848" s="1"/>
  <c r="D40" i="1848"/>
  <c r="R39" i="1848"/>
  <c r="L20" i="1848" s="1"/>
  <c r="D20" i="1848" s="1"/>
  <c r="H39" i="1848"/>
  <c r="D39" i="1848"/>
  <c r="R38" i="1848"/>
  <c r="L9" i="1848" s="1"/>
  <c r="D9" i="1848" s="1"/>
  <c r="H38" i="1848"/>
  <c r="D38" i="1848"/>
  <c r="R37" i="1848"/>
  <c r="H37" i="1848"/>
  <c r="D37" i="1848"/>
  <c r="R36" i="1848"/>
  <c r="L10" i="1848" s="1"/>
  <c r="D10" i="1848" s="1"/>
  <c r="H36" i="1848"/>
  <c r="D36" i="1848"/>
  <c r="R35" i="1848"/>
  <c r="L19" i="1848" s="1"/>
  <c r="D19" i="1848" s="1"/>
  <c r="H35" i="1848"/>
  <c r="D35" i="1848"/>
  <c r="R34" i="1848"/>
  <c r="H34" i="1848"/>
  <c r="D34" i="1848"/>
  <c r="R33" i="1848"/>
  <c r="R32" i="1848"/>
  <c r="R31" i="1848"/>
  <c r="R30" i="1848"/>
  <c r="R29" i="1848"/>
  <c r="R28" i="1848"/>
  <c r="L16" i="1848" s="1"/>
  <c r="D16" i="1848" s="1"/>
  <c r="R27" i="1848"/>
  <c r="D27" i="1848"/>
  <c r="R26" i="1848"/>
  <c r="L26" i="1848"/>
  <c r="D26" i="1848" s="1"/>
  <c r="R25" i="1848"/>
  <c r="L25" i="1848"/>
  <c r="D25" i="1848" s="1"/>
  <c r="R24" i="1848"/>
  <c r="L24" i="1848"/>
  <c r="D24" i="1848" s="1"/>
  <c r="R23" i="1848"/>
  <c r="L23" i="1848"/>
  <c r="D23" i="1848" s="1"/>
  <c r="R22" i="1848"/>
  <c r="L22" i="1848"/>
  <c r="D22" i="1848" s="1"/>
  <c r="R21" i="1848"/>
  <c r="L17" i="1848" s="1"/>
  <c r="D17" i="1848" s="1"/>
  <c r="D21" i="1848"/>
  <c r="R20" i="1848"/>
  <c r="R19" i="1848"/>
  <c r="R18" i="1848"/>
  <c r="D18" i="1848"/>
  <c r="R17" i="1848"/>
  <c r="R16" i="1848"/>
  <c r="R15" i="1848"/>
  <c r="D15" i="1848"/>
  <c r="R14" i="1848"/>
  <c r="D14" i="1848"/>
  <c r="R13" i="1848"/>
  <c r="D13" i="1848"/>
  <c r="R12" i="1848"/>
  <c r="L12" i="1848"/>
  <c r="D12" i="1848" s="1"/>
  <c r="R11" i="1848"/>
  <c r="L11" i="1848"/>
  <c r="D11" i="1848"/>
  <c r="R6" i="1848"/>
  <c r="R5" i="1848"/>
  <c r="R4" i="1848"/>
  <c r="R52" i="1847"/>
  <c r="R51" i="1847"/>
  <c r="D50" i="1847"/>
  <c r="R49" i="1847"/>
  <c r="D49" i="1847"/>
  <c r="R48" i="1847"/>
  <c r="D48" i="1847"/>
  <c r="D46" i="1847"/>
  <c r="D45" i="1847"/>
  <c r="R44" i="1847"/>
  <c r="L28" i="1847" s="1"/>
  <c r="D28" i="1847" s="1"/>
  <c r="D44" i="1847"/>
  <c r="R42" i="1847"/>
  <c r="D42" i="1847"/>
  <c r="R41" i="1847"/>
  <c r="L7" i="1847" s="1"/>
  <c r="D7" i="1847" s="1"/>
  <c r="D41" i="1847"/>
  <c r="R40" i="1847"/>
  <c r="L8" i="1847" s="1"/>
  <c r="D8" i="1847" s="1"/>
  <c r="D40" i="1847"/>
  <c r="R39" i="1847"/>
  <c r="L20" i="1847" s="1"/>
  <c r="D20" i="1847" s="1"/>
  <c r="H39" i="1847"/>
  <c r="D39" i="1847"/>
  <c r="R38" i="1847"/>
  <c r="L9" i="1847" s="1"/>
  <c r="D9" i="1847" s="1"/>
  <c r="H38" i="1847"/>
  <c r="D38" i="1847"/>
  <c r="R37" i="1847"/>
  <c r="H37" i="1847"/>
  <c r="D37" i="1847"/>
  <c r="R36" i="1847"/>
  <c r="L10" i="1847" s="1"/>
  <c r="D10" i="1847" s="1"/>
  <c r="H36" i="1847"/>
  <c r="D36" i="1847"/>
  <c r="R35" i="1847"/>
  <c r="H35" i="1847"/>
  <c r="D35" i="1847"/>
  <c r="R34" i="1847"/>
  <c r="L12" i="1847" s="1"/>
  <c r="D12" i="1847" s="1"/>
  <c r="H34" i="1847"/>
  <c r="D34" i="1847"/>
  <c r="R33" i="1847"/>
  <c r="R32" i="1847"/>
  <c r="L11" i="1847" s="1"/>
  <c r="D11" i="1847" s="1"/>
  <c r="R31" i="1847"/>
  <c r="R30" i="1847"/>
  <c r="R29" i="1847"/>
  <c r="R28" i="1847"/>
  <c r="L16" i="1847" s="1"/>
  <c r="D16" i="1847" s="1"/>
  <c r="R27" i="1847"/>
  <c r="D27" i="1847"/>
  <c r="R26" i="1847"/>
  <c r="L26" i="1847"/>
  <c r="D26" i="1847" s="1"/>
  <c r="R25" i="1847"/>
  <c r="L25" i="1847"/>
  <c r="D25" i="1847" s="1"/>
  <c r="R24" i="1847"/>
  <c r="L24" i="1847"/>
  <c r="D24" i="1847" s="1"/>
  <c r="R23" i="1847"/>
  <c r="D23" i="1847"/>
  <c r="R22" i="1847"/>
  <c r="D22" i="1847"/>
  <c r="R21" i="1847"/>
  <c r="D21" i="1847"/>
  <c r="R20" i="1847"/>
  <c r="R19" i="1847"/>
  <c r="D19" i="1847"/>
  <c r="R18" i="1847"/>
  <c r="D18" i="1847"/>
  <c r="R17" i="1847"/>
  <c r="L17" i="1847"/>
  <c r="D17" i="1847" s="1"/>
  <c r="R16" i="1847"/>
  <c r="R15" i="1847"/>
  <c r="D15" i="1847"/>
  <c r="R14" i="1847"/>
  <c r="D14" i="1847"/>
  <c r="R13" i="1847"/>
  <c r="D13" i="1847"/>
  <c r="R12" i="1847"/>
  <c r="R11" i="1847"/>
  <c r="R6" i="1847"/>
  <c r="L6" i="1847"/>
  <c r="D6" i="1847" s="1"/>
  <c r="R5" i="1847"/>
  <c r="R4" i="1847"/>
  <c r="R52" i="1846"/>
  <c r="R51" i="1846"/>
  <c r="D50" i="1846"/>
  <c r="R49" i="1846"/>
  <c r="G49" i="1846"/>
  <c r="D49" i="1846"/>
  <c r="R48" i="1846"/>
  <c r="D48" i="1846"/>
  <c r="D46" i="1846"/>
  <c r="D45" i="1846"/>
  <c r="D44" i="1846"/>
  <c r="R42" i="1846"/>
  <c r="L6" i="1846" s="1"/>
  <c r="D6" i="1846" s="1"/>
  <c r="D42" i="1846"/>
  <c r="R41" i="1846"/>
  <c r="L7" i="1846" s="1"/>
  <c r="D7" i="1846" s="1"/>
  <c r="D41" i="1846"/>
  <c r="R40" i="1846"/>
  <c r="L8" i="1846" s="1"/>
  <c r="D8" i="1846" s="1"/>
  <c r="D40" i="1846"/>
  <c r="R39" i="1846"/>
  <c r="D39" i="1846"/>
  <c r="R38" i="1846"/>
  <c r="L9" i="1846" s="1"/>
  <c r="D9" i="1846" s="1"/>
  <c r="D38" i="1846"/>
  <c r="R37" i="1846"/>
  <c r="D37" i="1846"/>
  <c r="R36" i="1846"/>
  <c r="L10" i="1846" s="1"/>
  <c r="D10" i="1846" s="1"/>
  <c r="D36" i="1846"/>
  <c r="R35" i="1846"/>
  <c r="D35" i="1846"/>
  <c r="R34" i="1846"/>
  <c r="L12" i="1846" s="1"/>
  <c r="D12" i="1846" s="1"/>
  <c r="D34" i="1846"/>
  <c r="R33" i="1846"/>
  <c r="L23" i="1846" s="1"/>
  <c r="D23" i="1846" s="1"/>
  <c r="R32" i="1846"/>
  <c r="L11" i="1846" s="1"/>
  <c r="D11" i="1846" s="1"/>
  <c r="R31" i="1846"/>
  <c r="R30" i="1846"/>
  <c r="R29" i="1846"/>
  <c r="R28" i="1846"/>
  <c r="L16" i="1846" s="1"/>
  <c r="D16" i="1846" s="1"/>
  <c r="D28" i="1846"/>
  <c r="R27" i="1846"/>
  <c r="D27" i="1846"/>
  <c r="R26" i="1846"/>
  <c r="L26" i="1846"/>
  <c r="D26" i="1846" s="1"/>
  <c r="R25" i="1846"/>
  <c r="L25" i="1846"/>
  <c r="D25" i="1846" s="1"/>
  <c r="R24" i="1846"/>
  <c r="D24" i="1846"/>
  <c r="R23" i="1846"/>
  <c r="R22" i="1846"/>
  <c r="L22" i="1846"/>
  <c r="D22" i="1846"/>
  <c r="R21" i="1846"/>
  <c r="D21" i="1846"/>
  <c r="R20" i="1846"/>
  <c r="L20" i="1846"/>
  <c r="D20" i="1846" s="1"/>
  <c r="R19" i="1846"/>
  <c r="L19" i="1846"/>
  <c r="D19" i="1846"/>
  <c r="R18" i="1846"/>
  <c r="D18" i="1846"/>
  <c r="R17" i="1846"/>
  <c r="D17" i="1846"/>
  <c r="R16" i="1846"/>
  <c r="S15" i="1846"/>
  <c r="R15" i="1846"/>
  <c r="D15" i="1846"/>
  <c r="S14" i="1846"/>
  <c r="R14" i="1846"/>
  <c r="D14" i="1846"/>
  <c r="R13" i="1846"/>
  <c r="D13" i="1846"/>
  <c r="R12" i="1846"/>
  <c r="R11" i="1846"/>
  <c r="R6" i="1846"/>
  <c r="R5" i="1846"/>
  <c r="R4" i="1846"/>
  <c r="R52" i="1845"/>
  <c r="L22" i="1845" s="1"/>
  <c r="D22" i="1845" s="1"/>
  <c r="R51" i="1845"/>
  <c r="D50" i="1845"/>
  <c r="R49" i="1845"/>
  <c r="D49" i="1845"/>
  <c r="R48" i="1845"/>
  <c r="D48" i="1845"/>
  <c r="D46" i="1845"/>
  <c r="D45" i="1845"/>
  <c r="R44" i="1845"/>
  <c r="L28" i="1845" s="1"/>
  <c r="D28" i="1845" s="1"/>
  <c r="D44" i="1845"/>
  <c r="R42" i="1845"/>
  <c r="L6" i="1845" s="1"/>
  <c r="D6" i="1845" s="1"/>
  <c r="D42" i="1845"/>
  <c r="R41" i="1845"/>
  <c r="L7" i="1845" s="1"/>
  <c r="D7" i="1845" s="1"/>
  <c r="D41" i="1845"/>
  <c r="R40" i="1845"/>
  <c r="L8" i="1845" s="1"/>
  <c r="D8" i="1845" s="1"/>
  <c r="D40" i="1845"/>
  <c r="R39" i="1845"/>
  <c r="H39" i="1845"/>
  <c r="D39" i="1845"/>
  <c r="R38" i="1845"/>
  <c r="H38" i="1845"/>
  <c r="D38" i="1845"/>
  <c r="R37" i="1845"/>
  <c r="H37" i="1845"/>
  <c r="D37" i="1845"/>
  <c r="R36" i="1845"/>
  <c r="L10" i="1845" s="1"/>
  <c r="D10" i="1845" s="1"/>
  <c r="H36" i="1845"/>
  <c r="D36" i="1845"/>
  <c r="R35" i="1845"/>
  <c r="L19" i="1845" s="1"/>
  <c r="D19" i="1845" s="1"/>
  <c r="H35" i="1845"/>
  <c r="D35" i="1845"/>
  <c r="R34" i="1845"/>
  <c r="L12" i="1845" s="1"/>
  <c r="D12" i="1845" s="1"/>
  <c r="H34" i="1845"/>
  <c r="D34" i="1845"/>
  <c r="R33" i="1845"/>
  <c r="L23" i="1845" s="1"/>
  <c r="D23" i="1845" s="1"/>
  <c r="R32" i="1845"/>
  <c r="L11" i="1845" s="1"/>
  <c r="D11" i="1845" s="1"/>
  <c r="R31" i="1845"/>
  <c r="R30" i="1845"/>
  <c r="R29" i="1845"/>
  <c r="R28" i="1845"/>
  <c r="L16" i="1845" s="1"/>
  <c r="D16" i="1845" s="1"/>
  <c r="R27" i="1845"/>
  <c r="D27" i="1845"/>
  <c r="R26" i="1845"/>
  <c r="L26" i="1845"/>
  <c r="D26" i="1845" s="1"/>
  <c r="R25" i="1845"/>
  <c r="L25" i="1845"/>
  <c r="D25" i="1845" s="1"/>
  <c r="R24" i="1845"/>
  <c r="D24" i="1845"/>
  <c r="R23" i="1845"/>
  <c r="R22" i="1845"/>
  <c r="R21" i="1845"/>
  <c r="D21" i="1845"/>
  <c r="R20" i="1845"/>
  <c r="L20" i="1845"/>
  <c r="D20" i="1845" s="1"/>
  <c r="R19" i="1845"/>
  <c r="R18" i="1845"/>
  <c r="D18" i="1845"/>
  <c r="R17" i="1845"/>
  <c r="D17" i="1845"/>
  <c r="R16" i="1845"/>
  <c r="R15" i="1845"/>
  <c r="D15" i="1845"/>
  <c r="R14" i="1845"/>
  <c r="D14" i="1845"/>
  <c r="R13" i="1845"/>
  <c r="D13" i="1845"/>
  <c r="R12" i="1845"/>
  <c r="R11" i="1845"/>
  <c r="L9" i="1845"/>
  <c r="D9" i="1845" s="1"/>
  <c r="R6" i="1845"/>
  <c r="R5" i="1845"/>
  <c r="R4" i="1845"/>
  <c r="R52" i="1844"/>
  <c r="R51" i="1844"/>
  <c r="D50" i="1844"/>
  <c r="R49" i="1844"/>
  <c r="D49" i="1844"/>
  <c r="R48" i="1844"/>
  <c r="D48" i="1844"/>
  <c r="D46" i="1844"/>
  <c r="D45" i="1844"/>
  <c r="R44" i="1844"/>
  <c r="L28" i="1844" s="1"/>
  <c r="D28" i="1844" s="1"/>
  <c r="D44" i="1844"/>
  <c r="R42" i="1844"/>
  <c r="L6" i="1844" s="1"/>
  <c r="D6" i="1844" s="1"/>
  <c r="D42" i="1844"/>
  <c r="R41" i="1844"/>
  <c r="L7" i="1844" s="1"/>
  <c r="D7" i="1844" s="1"/>
  <c r="D41" i="1844"/>
  <c r="R40" i="1844"/>
  <c r="L8" i="1844" s="1"/>
  <c r="D8" i="1844" s="1"/>
  <c r="D40" i="1844"/>
  <c r="R39" i="1844"/>
  <c r="H39" i="1844"/>
  <c r="D39" i="1844"/>
  <c r="R38" i="1844"/>
  <c r="L9" i="1844" s="1"/>
  <c r="D9" i="1844" s="1"/>
  <c r="H38" i="1844"/>
  <c r="D38" i="1844"/>
  <c r="R37" i="1844"/>
  <c r="H37" i="1844"/>
  <c r="D37" i="1844"/>
  <c r="R36" i="1844"/>
  <c r="L10" i="1844" s="1"/>
  <c r="D10" i="1844" s="1"/>
  <c r="H36" i="1844"/>
  <c r="D36" i="1844"/>
  <c r="R35" i="1844"/>
  <c r="L19" i="1844" s="1"/>
  <c r="D19" i="1844" s="1"/>
  <c r="H35" i="1844"/>
  <c r="D35" i="1844"/>
  <c r="R34" i="1844"/>
  <c r="L12" i="1844" s="1"/>
  <c r="D12" i="1844" s="1"/>
  <c r="H34" i="1844"/>
  <c r="D34" i="1844"/>
  <c r="R33" i="1844"/>
  <c r="L23" i="1844" s="1"/>
  <c r="D23" i="1844" s="1"/>
  <c r="R32" i="1844"/>
  <c r="L11" i="1844" s="1"/>
  <c r="D11" i="1844" s="1"/>
  <c r="R31" i="1844"/>
  <c r="R30" i="1844"/>
  <c r="R29" i="1844"/>
  <c r="R28" i="1844"/>
  <c r="L16" i="1844" s="1"/>
  <c r="D16" i="1844" s="1"/>
  <c r="R27" i="1844"/>
  <c r="D27" i="1844"/>
  <c r="R26" i="1844"/>
  <c r="L26" i="1844"/>
  <c r="D26" i="1844" s="1"/>
  <c r="R25" i="1844"/>
  <c r="L25" i="1844"/>
  <c r="D25" i="1844" s="1"/>
  <c r="R24" i="1844"/>
  <c r="L24" i="1844"/>
  <c r="D24" i="1844" s="1"/>
  <c r="R23" i="1844"/>
  <c r="R22" i="1844"/>
  <c r="L22" i="1844"/>
  <c r="D22" i="1844" s="1"/>
  <c r="R21" i="1844"/>
  <c r="L17" i="1844" s="1"/>
  <c r="D17" i="1844" s="1"/>
  <c r="D21" i="1844"/>
  <c r="R20" i="1844"/>
  <c r="L20" i="1844"/>
  <c r="D20" i="1844" s="1"/>
  <c r="R19" i="1844"/>
  <c r="R18" i="1844"/>
  <c r="D18" i="1844"/>
  <c r="R17" i="1844"/>
  <c r="R16" i="1844"/>
  <c r="R15" i="1844"/>
  <c r="D15" i="1844"/>
  <c r="R14" i="1844"/>
  <c r="D14" i="1844"/>
  <c r="R13" i="1844"/>
  <c r="D13" i="1844"/>
  <c r="R12" i="1844"/>
  <c r="R11" i="1844"/>
  <c r="R6" i="1844"/>
  <c r="R5" i="1844"/>
  <c r="R4" i="1844"/>
  <c r="R52" i="1843"/>
  <c r="R51" i="1843"/>
  <c r="D50" i="1843"/>
  <c r="R49" i="1843"/>
  <c r="D49" i="1843"/>
  <c r="R48" i="1843"/>
  <c r="D48" i="1843"/>
  <c r="D46" i="1843"/>
  <c r="D45" i="1843"/>
  <c r="R44" i="1843"/>
  <c r="L28" i="1843" s="1"/>
  <c r="D28" i="1843" s="1"/>
  <c r="D44" i="1843"/>
  <c r="R42" i="1843"/>
  <c r="L6" i="1843" s="1"/>
  <c r="D6" i="1843" s="1"/>
  <c r="D42" i="1843"/>
  <c r="R41" i="1843"/>
  <c r="L7" i="1843" s="1"/>
  <c r="D7" i="1843" s="1"/>
  <c r="D41" i="1843"/>
  <c r="R40" i="1843"/>
  <c r="L8" i="1843" s="1"/>
  <c r="D8" i="1843" s="1"/>
  <c r="D40" i="1843"/>
  <c r="R39" i="1843"/>
  <c r="L20" i="1843" s="1"/>
  <c r="D20" i="1843" s="1"/>
  <c r="H39" i="1843"/>
  <c r="D39" i="1843"/>
  <c r="R38" i="1843"/>
  <c r="L9" i="1843" s="1"/>
  <c r="D9" i="1843" s="1"/>
  <c r="H38" i="1843"/>
  <c r="D38" i="1843"/>
  <c r="R37" i="1843"/>
  <c r="H37" i="1843"/>
  <c r="D37" i="1843"/>
  <c r="R36" i="1843"/>
  <c r="L10" i="1843" s="1"/>
  <c r="D10" i="1843" s="1"/>
  <c r="H36" i="1843"/>
  <c r="D36" i="1843"/>
  <c r="R35" i="1843"/>
  <c r="H35" i="1843"/>
  <c r="D35" i="1843"/>
  <c r="R34" i="1843"/>
  <c r="L12" i="1843" s="1"/>
  <c r="D12" i="1843" s="1"/>
  <c r="H34" i="1843"/>
  <c r="D34" i="1843"/>
  <c r="R33" i="1843"/>
  <c r="R32" i="1843"/>
  <c r="L11" i="1843" s="1"/>
  <c r="D11" i="1843" s="1"/>
  <c r="R31" i="1843"/>
  <c r="R30" i="1843"/>
  <c r="R29" i="1843"/>
  <c r="R28" i="1843"/>
  <c r="L16" i="1843" s="1"/>
  <c r="D16" i="1843" s="1"/>
  <c r="R27" i="1843"/>
  <c r="D27" i="1843"/>
  <c r="R26" i="1843"/>
  <c r="L26" i="1843"/>
  <c r="D26" i="1843" s="1"/>
  <c r="R25" i="1843"/>
  <c r="L25" i="1843"/>
  <c r="D25" i="1843" s="1"/>
  <c r="R24" i="1843"/>
  <c r="L24" i="1843"/>
  <c r="D24" i="1843" s="1"/>
  <c r="R23" i="1843"/>
  <c r="D23" i="1843"/>
  <c r="R22" i="1843"/>
  <c r="D22" i="1843"/>
  <c r="R21" i="1843"/>
  <c r="D21" i="1843"/>
  <c r="R20" i="1843"/>
  <c r="R19" i="1843"/>
  <c r="D19" i="1843"/>
  <c r="R18" i="1843"/>
  <c r="D18" i="1843"/>
  <c r="R17" i="1843"/>
  <c r="L17" i="1843"/>
  <c r="D17" i="1843" s="1"/>
  <c r="R16" i="1843"/>
  <c r="R15" i="1843"/>
  <c r="D15" i="1843"/>
  <c r="R14" i="1843"/>
  <c r="D14" i="1843"/>
  <c r="R13" i="1843"/>
  <c r="D13" i="1843"/>
  <c r="R12" i="1843"/>
  <c r="R11" i="1843"/>
  <c r="R6" i="1843"/>
  <c r="R5" i="1843"/>
  <c r="R4" i="1843"/>
  <c r="R52" i="1842"/>
  <c r="R51" i="1842"/>
  <c r="D50" i="1842"/>
  <c r="R49" i="1842"/>
  <c r="G49" i="1842"/>
  <c r="D49" i="1842"/>
  <c r="R48" i="1842"/>
  <c r="D48" i="1842"/>
  <c r="D46" i="1842"/>
  <c r="D45" i="1842"/>
  <c r="D44" i="1842"/>
  <c r="R42" i="1842"/>
  <c r="L6" i="1842" s="1"/>
  <c r="D6" i="1842" s="1"/>
  <c r="D42" i="1842"/>
  <c r="R41" i="1842"/>
  <c r="L7" i="1842" s="1"/>
  <c r="D7" i="1842" s="1"/>
  <c r="D41" i="1842"/>
  <c r="R40" i="1842"/>
  <c r="L8" i="1842" s="1"/>
  <c r="D8" i="1842" s="1"/>
  <c r="D40" i="1842"/>
  <c r="R39" i="1842"/>
  <c r="D39" i="1842"/>
  <c r="R38" i="1842"/>
  <c r="L9" i="1842" s="1"/>
  <c r="D9" i="1842" s="1"/>
  <c r="D38" i="1842"/>
  <c r="R37" i="1842"/>
  <c r="D37" i="1842"/>
  <c r="R36" i="1842"/>
  <c r="L10" i="1842" s="1"/>
  <c r="D10" i="1842" s="1"/>
  <c r="D36" i="1842"/>
  <c r="R35" i="1842"/>
  <c r="L19" i="1842" s="1"/>
  <c r="D19" i="1842" s="1"/>
  <c r="D35" i="1842"/>
  <c r="R34" i="1842"/>
  <c r="L12" i="1842" s="1"/>
  <c r="D12" i="1842" s="1"/>
  <c r="D34" i="1842"/>
  <c r="R33" i="1842"/>
  <c r="L23" i="1842" s="1"/>
  <c r="D23" i="1842" s="1"/>
  <c r="R32" i="1842"/>
  <c r="L11" i="1842" s="1"/>
  <c r="D11" i="1842" s="1"/>
  <c r="R31" i="1842"/>
  <c r="R30" i="1842"/>
  <c r="R29" i="1842"/>
  <c r="R28" i="1842"/>
  <c r="L16" i="1842" s="1"/>
  <c r="D16" i="1842" s="1"/>
  <c r="D28" i="1842"/>
  <c r="R27" i="1842"/>
  <c r="D27" i="1842"/>
  <c r="R26" i="1842"/>
  <c r="L26" i="1842"/>
  <c r="D26" i="1842"/>
  <c r="R25" i="1842"/>
  <c r="L25" i="1842"/>
  <c r="D25" i="1842" s="1"/>
  <c r="R24" i="1842"/>
  <c r="D24" i="1842"/>
  <c r="R23" i="1842"/>
  <c r="R22" i="1842"/>
  <c r="L22" i="1842"/>
  <c r="D22" i="1842" s="1"/>
  <c r="R21" i="1842"/>
  <c r="D21" i="1842"/>
  <c r="R20" i="1842"/>
  <c r="L20" i="1842"/>
  <c r="D20" i="1842" s="1"/>
  <c r="R19" i="1842"/>
  <c r="R18" i="1842"/>
  <c r="D18" i="1842"/>
  <c r="R17" i="1842"/>
  <c r="D17" i="1842"/>
  <c r="R16" i="1842"/>
  <c r="S15" i="1842"/>
  <c r="R15" i="1842"/>
  <c r="D15" i="1842"/>
  <c r="S14" i="1842"/>
  <c r="R14" i="1842"/>
  <c r="D14" i="1842"/>
  <c r="R13" i="1842"/>
  <c r="D13" i="1842"/>
  <c r="R12" i="1842"/>
  <c r="R11" i="1842"/>
  <c r="R6" i="1842"/>
  <c r="R5" i="1842"/>
  <c r="R4" i="1842"/>
  <c r="D54" i="1853" l="1"/>
  <c r="H14" i="1853" s="1"/>
  <c r="G49" i="1853"/>
  <c r="D54" i="1856"/>
  <c r="H14" i="1856" s="1"/>
  <c r="D54" i="1854"/>
  <c r="H14" i="1854" s="1"/>
  <c r="D54" i="1864"/>
  <c r="H14" i="1864" s="1"/>
  <c r="D54" i="1842"/>
  <c r="H14" i="1842" s="1"/>
  <c r="D29" i="1862"/>
  <c r="H13" i="1862" s="1"/>
  <c r="D29" i="1865"/>
  <c r="H13" i="1865" s="1"/>
  <c r="D29" i="1861"/>
  <c r="H13" i="1861" s="1"/>
  <c r="G49" i="1860"/>
  <c r="D54" i="1846"/>
  <c r="H14" i="1846" s="1"/>
  <c r="G49" i="1861"/>
  <c r="D54" i="1862"/>
  <c r="H14" i="1862" s="1"/>
  <c r="G49" i="1863"/>
  <c r="D54" i="1858"/>
  <c r="H14" i="1858" s="1"/>
  <c r="D54" i="1865"/>
  <c r="H14" i="1865" s="1"/>
  <c r="D54" i="1850"/>
  <c r="H14" i="1850" s="1"/>
  <c r="D29" i="1853"/>
  <c r="H13" i="1853" s="1"/>
  <c r="D54" i="1863"/>
  <c r="H14" i="1863" s="1"/>
  <c r="G49" i="1865"/>
  <c r="G49" i="1856"/>
  <c r="D54" i="1861"/>
  <c r="H14" i="1861" s="1"/>
  <c r="G49" i="1864"/>
  <c r="G49" i="1859"/>
  <c r="D54" i="1860"/>
  <c r="H14" i="1860" s="1"/>
  <c r="D54" i="1859"/>
  <c r="H14" i="1859" s="1"/>
  <c r="G49" i="1857"/>
  <c r="D54" i="1857"/>
  <c r="H14" i="1857" s="1"/>
  <c r="G49" i="1855"/>
  <c r="D54" i="1855"/>
  <c r="H14" i="1855" s="1"/>
  <c r="D29" i="1855"/>
  <c r="H13" i="1855" s="1"/>
  <c r="G49" i="1851"/>
  <c r="G49" i="1852"/>
  <c r="D54" i="1852"/>
  <c r="H14" i="1852" s="1"/>
  <c r="D54" i="1851"/>
  <c r="H14" i="1851" s="1"/>
  <c r="D54" i="1849"/>
  <c r="H14" i="1849" s="1"/>
  <c r="D54" i="1847"/>
  <c r="H14" i="1847" s="1"/>
  <c r="D54" i="1848"/>
  <c r="H14" i="1848" s="1"/>
  <c r="D29" i="1848"/>
  <c r="H13" i="1848" s="1"/>
  <c r="G49" i="1848"/>
  <c r="G49" i="1847"/>
  <c r="G49" i="1849"/>
  <c r="G49" i="1844"/>
  <c r="G49" i="1845"/>
  <c r="G49" i="1843"/>
  <c r="D54" i="1845"/>
  <c r="H14" i="1845" s="1"/>
  <c r="D54" i="1844"/>
  <c r="H14" i="1844" s="1"/>
  <c r="D54" i="1843"/>
  <c r="H14" i="1843" s="1"/>
  <c r="D29" i="1864"/>
  <c r="H13" i="1864" s="1"/>
  <c r="D29" i="1863"/>
  <c r="H13" i="1863" s="1"/>
  <c r="D29" i="1860"/>
  <c r="H13" i="1860" s="1"/>
  <c r="D29" i="1859"/>
  <c r="H13" i="1859" s="1"/>
  <c r="D29" i="1858"/>
  <c r="H13" i="1858" s="1"/>
  <c r="H15" i="1858" s="1"/>
  <c r="H29" i="1858" s="1"/>
  <c r="G51" i="1858" s="1"/>
  <c r="D29" i="1857"/>
  <c r="H13" i="1857" s="1"/>
  <c r="D29" i="1856"/>
  <c r="H13" i="1856" s="1"/>
  <c r="D29" i="1854"/>
  <c r="H13" i="1854" s="1"/>
  <c r="D29" i="1852"/>
  <c r="H13" i="1852" s="1"/>
  <c r="D29" i="1851"/>
  <c r="H13" i="1851" s="1"/>
  <c r="D29" i="1850"/>
  <c r="H13" i="1850" s="1"/>
  <c r="D29" i="1849"/>
  <c r="H13" i="1849" s="1"/>
  <c r="D29" i="1847"/>
  <c r="H13" i="1847" s="1"/>
  <c r="D29" i="1846"/>
  <c r="H13" i="1846" s="1"/>
  <c r="D29" i="1845"/>
  <c r="H13" i="1845" s="1"/>
  <c r="D29" i="1844"/>
  <c r="H13" i="1844" s="1"/>
  <c r="D29" i="1843"/>
  <c r="H13" i="1843" s="1"/>
  <c r="D29" i="1842"/>
  <c r="H13" i="1842" s="1"/>
  <c r="H15" i="1842" s="1"/>
  <c r="H29" i="1842" s="1"/>
  <c r="G51" i="1842" s="1"/>
  <c r="R52" i="1821"/>
  <c r="L22" i="1821" s="1"/>
  <c r="D22" i="1821" s="1"/>
  <c r="R51" i="1821"/>
  <c r="D50" i="1821"/>
  <c r="R49" i="1821"/>
  <c r="D49" i="1821"/>
  <c r="R48" i="1821"/>
  <c r="D48" i="1821"/>
  <c r="D46" i="1821"/>
  <c r="D45" i="1821"/>
  <c r="R44" i="1821"/>
  <c r="L28" i="1821" s="1"/>
  <c r="D28" i="1821" s="1"/>
  <c r="D44" i="1821"/>
  <c r="R42" i="1821"/>
  <c r="L6" i="1821" s="1"/>
  <c r="D6" i="1821" s="1"/>
  <c r="D42" i="1821"/>
  <c r="R41" i="1821"/>
  <c r="L7" i="1821" s="1"/>
  <c r="D7" i="1821" s="1"/>
  <c r="D41" i="1821"/>
  <c r="R40" i="1821"/>
  <c r="L8" i="1821" s="1"/>
  <c r="D8" i="1821" s="1"/>
  <c r="D40" i="1821"/>
  <c r="R39" i="1821"/>
  <c r="H39" i="1821"/>
  <c r="D39" i="1821"/>
  <c r="R38" i="1821"/>
  <c r="L9" i="1821" s="1"/>
  <c r="D9" i="1821" s="1"/>
  <c r="H38" i="1821"/>
  <c r="D38" i="1821"/>
  <c r="R37" i="1821"/>
  <c r="H37" i="1821"/>
  <c r="D37" i="1821"/>
  <c r="R36" i="1821"/>
  <c r="L10" i="1821" s="1"/>
  <c r="D10" i="1821" s="1"/>
  <c r="H36" i="1821"/>
  <c r="D36" i="1821"/>
  <c r="R35" i="1821"/>
  <c r="L19" i="1821" s="1"/>
  <c r="D19" i="1821" s="1"/>
  <c r="H35" i="1821"/>
  <c r="D35" i="1821"/>
  <c r="R34" i="1821"/>
  <c r="L12" i="1821" s="1"/>
  <c r="D12" i="1821" s="1"/>
  <c r="H34" i="1821"/>
  <c r="D34" i="1821"/>
  <c r="R33" i="1821"/>
  <c r="L23" i="1821" s="1"/>
  <c r="D23" i="1821" s="1"/>
  <c r="R32" i="1821"/>
  <c r="L11" i="1821" s="1"/>
  <c r="D11" i="1821" s="1"/>
  <c r="R31" i="1821"/>
  <c r="R30" i="1821"/>
  <c r="R29" i="1821"/>
  <c r="R28" i="1821"/>
  <c r="L16" i="1821" s="1"/>
  <c r="D16" i="1821" s="1"/>
  <c r="R27" i="1821"/>
  <c r="D27" i="1821"/>
  <c r="R26" i="1821"/>
  <c r="L26" i="1821"/>
  <c r="D26" i="1821" s="1"/>
  <c r="R25" i="1821"/>
  <c r="L25" i="1821"/>
  <c r="D25" i="1821" s="1"/>
  <c r="R24" i="1821"/>
  <c r="D24" i="1821"/>
  <c r="R23" i="1821"/>
  <c r="R22" i="1821"/>
  <c r="R21" i="1821"/>
  <c r="D21" i="1821"/>
  <c r="R20" i="1821"/>
  <c r="L20" i="1821"/>
  <c r="D20" i="1821" s="1"/>
  <c r="R19" i="1821"/>
  <c r="R18" i="1821"/>
  <c r="D18" i="1821"/>
  <c r="R17" i="1821"/>
  <c r="D17" i="1821"/>
  <c r="R16" i="1821"/>
  <c r="R15" i="1821"/>
  <c r="D15" i="1821"/>
  <c r="R14" i="1821"/>
  <c r="D14" i="1821"/>
  <c r="R13" i="1821"/>
  <c r="D13" i="1821"/>
  <c r="R12" i="1821"/>
  <c r="R11" i="1821"/>
  <c r="R6" i="1821"/>
  <c r="R5" i="1821"/>
  <c r="R4" i="1821"/>
  <c r="R52" i="1820"/>
  <c r="R51" i="1820"/>
  <c r="D50" i="1820"/>
  <c r="R49" i="1820"/>
  <c r="D49" i="1820"/>
  <c r="R48" i="1820"/>
  <c r="D48" i="1820"/>
  <c r="D46" i="1820"/>
  <c r="D45" i="1820"/>
  <c r="R44" i="1820"/>
  <c r="L28" i="1820" s="1"/>
  <c r="D28" i="1820" s="1"/>
  <c r="D44" i="1820"/>
  <c r="R42" i="1820"/>
  <c r="L6" i="1820" s="1"/>
  <c r="D6" i="1820" s="1"/>
  <c r="D42" i="1820"/>
  <c r="R41" i="1820"/>
  <c r="L7" i="1820" s="1"/>
  <c r="D7" i="1820" s="1"/>
  <c r="D41" i="1820"/>
  <c r="R40" i="1820"/>
  <c r="L8" i="1820" s="1"/>
  <c r="D8" i="1820" s="1"/>
  <c r="D40" i="1820"/>
  <c r="R39" i="1820"/>
  <c r="L20" i="1820" s="1"/>
  <c r="D20" i="1820" s="1"/>
  <c r="H39" i="1820"/>
  <c r="D39" i="1820"/>
  <c r="R38" i="1820"/>
  <c r="L9" i="1820" s="1"/>
  <c r="D9" i="1820" s="1"/>
  <c r="H38" i="1820"/>
  <c r="D38" i="1820"/>
  <c r="R37" i="1820"/>
  <c r="H37" i="1820"/>
  <c r="D37" i="1820"/>
  <c r="R36" i="1820"/>
  <c r="L10" i="1820" s="1"/>
  <c r="D10" i="1820" s="1"/>
  <c r="H36" i="1820"/>
  <c r="D36" i="1820"/>
  <c r="R35" i="1820"/>
  <c r="L19" i="1820" s="1"/>
  <c r="D19" i="1820" s="1"/>
  <c r="H35" i="1820"/>
  <c r="D35" i="1820"/>
  <c r="R34" i="1820"/>
  <c r="L12" i="1820" s="1"/>
  <c r="D12" i="1820" s="1"/>
  <c r="H34" i="1820"/>
  <c r="D34" i="1820"/>
  <c r="R33" i="1820"/>
  <c r="L23" i="1820" s="1"/>
  <c r="D23" i="1820" s="1"/>
  <c r="R32" i="1820"/>
  <c r="L11" i="1820" s="1"/>
  <c r="D11" i="1820" s="1"/>
  <c r="R31" i="1820"/>
  <c r="R30" i="1820"/>
  <c r="R29" i="1820"/>
  <c r="R28" i="1820"/>
  <c r="L16" i="1820" s="1"/>
  <c r="D16" i="1820" s="1"/>
  <c r="R27" i="1820"/>
  <c r="D27" i="1820"/>
  <c r="R26" i="1820"/>
  <c r="L26" i="1820"/>
  <c r="D26" i="1820" s="1"/>
  <c r="R25" i="1820"/>
  <c r="D25" i="1820"/>
  <c r="R24" i="1820"/>
  <c r="D24" i="1820"/>
  <c r="R23" i="1820"/>
  <c r="R22" i="1820"/>
  <c r="L22" i="1820"/>
  <c r="D22" i="1820" s="1"/>
  <c r="R21" i="1820"/>
  <c r="L17" i="1820" s="1"/>
  <c r="D17" i="1820" s="1"/>
  <c r="D21" i="1820"/>
  <c r="R20" i="1820"/>
  <c r="R19" i="1820"/>
  <c r="R18" i="1820"/>
  <c r="D18" i="1820"/>
  <c r="R17" i="1820"/>
  <c r="R16" i="1820"/>
  <c r="R15" i="1820"/>
  <c r="D15" i="1820"/>
  <c r="R14" i="1820"/>
  <c r="D14" i="1820"/>
  <c r="R13" i="1820"/>
  <c r="D13" i="1820"/>
  <c r="R12" i="1820"/>
  <c r="R11" i="1820"/>
  <c r="R6" i="1820"/>
  <c r="R5" i="1820"/>
  <c r="R4" i="1820"/>
  <c r="R52" i="1819"/>
  <c r="R51" i="1819"/>
  <c r="D50" i="1819"/>
  <c r="R49" i="1819"/>
  <c r="D49" i="1819"/>
  <c r="R48" i="1819"/>
  <c r="D48" i="1819"/>
  <c r="D46" i="1819"/>
  <c r="D45" i="1819"/>
  <c r="R44" i="1819"/>
  <c r="L28" i="1819" s="1"/>
  <c r="D28" i="1819" s="1"/>
  <c r="D44" i="1819"/>
  <c r="R42" i="1819"/>
  <c r="D42" i="1819"/>
  <c r="R41" i="1819"/>
  <c r="L7" i="1819" s="1"/>
  <c r="D7" i="1819" s="1"/>
  <c r="D41" i="1819"/>
  <c r="R40" i="1819"/>
  <c r="L8" i="1819" s="1"/>
  <c r="D8" i="1819" s="1"/>
  <c r="D40" i="1819"/>
  <c r="R39" i="1819"/>
  <c r="L20" i="1819" s="1"/>
  <c r="D20" i="1819" s="1"/>
  <c r="H39" i="1819"/>
  <c r="D39" i="1819"/>
  <c r="R38" i="1819"/>
  <c r="L9" i="1819" s="1"/>
  <c r="D9" i="1819" s="1"/>
  <c r="H38" i="1819"/>
  <c r="D38" i="1819"/>
  <c r="R37" i="1819"/>
  <c r="H37" i="1819"/>
  <c r="D37" i="1819"/>
  <c r="R36" i="1819"/>
  <c r="H36" i="1819"/>
  <c r="D36" i="1819"/>
  <c r="R35" i="1819"/>
  <c r="H35" i="1819"/>
  <c r="D35" i="1819"/>
  <c r="R34" i="1819"/>
  <c r="L12" i="1819" s="1"/>
  <c r="D12" i="1819" s="1"/>
  <c r="H34" i="1819"/>
  <c r="D34" i="1819"/>
  <c r="R33" i="1819"/>
  <c r="R32" i="1819"/>
  <c r="L11" i="1819" s="1"/>
  <c r="D11" i="1819" s="1"/>
  <c r="R31" i="1819"/>
  <c r="R30" i="1819"/>
  <c r="R29" i="1819"/>
  <c r="R28" i="1819"/>
  <c r="L16" i="1819" s="1"/>
  <c r="D16" i="1819" s="1"/>
  <c r="R27" i="1819"/>
  <c r="D27" i="1819"/>
  <c r="R26" i="1819"/>
  <c r="L26" i="1819"/>
  <c r="D26" i="1819" s="1"/>
  <c r="R25" i="1819"/>
  <c r="L25" i="1819"/>
  <c r="D25" i="1819" s="1"/>
  <c r="R24" i="1819"/>
  <c r="L24" i="1819"/>
  <c r="D24" i="1819"/>
  <c r="R23" i="1819"/>
  <c r="D23" i="1819"/>
  <c r="R22" i="1819"/>
  <c r="D22" i="1819"/>
  <c r="R21" i="1819"/>
  <c r="D21" i="1819"/>
  <c r="R20" i="1819"/>
  <c r="R19" i="1819"/>
  <c r="D19" i="1819"/>
  <c r="R18" i="1819"/>
  <c r="D18" i="1819"/>
  <c r="R17" i="1819"/>
  <c r="L17" i="1819"/>
  <c r="D17" i="1819" s="1"/>
  <c r="R16" i="1819"/>
  <c r="R15" i="1819"/>
  <c r="D15" i="1819"/>
  <c r="R14" i="1819"/>
  <c r="D14" i="1819"/>
  <c r="R13" i="1819"/>
  <c r="D13" i="1819"/>
  <c r="R12" i="1819"/>
  <c r="R11" i="1819"/>
  <c r="L10" i="1819"/>
  <c r="D10" i="1819" s="1"/>
  <c r="R6" i="1819"/>
  <c r="L6" i="1819"/>
  <c r="D6" i="1819" s="1"/>
  <c r="R5" i="1819"/>
  <c r="R4" i="1819"/>
  <c r="R52" i="1818"/>
  <c r="R51" i="1818"/>
  <c r="D50" i="1818"/>
  <c r="R49" i="1818"/>
  <c r="G49" i="1818"/>
  <c r="D49" i="1818"/>
  <c r="R48" i="1818"/>
  <c r="D48" i="1818"/>
  <c r="D46" i="1818"/>
  <c r="D45" i="1818"/>
  <c r="D44" i="1818"/>
  <c r="R42" i="1818"/>
  <c r="L6" i="1818" s="1"/>
  <c r="D6" i="1818" s="1"/>
  <c r="D42" i="1818"/>
  <c r="R41" i="1818"/>
  <c r="L7" i="1818" s="1"/>
  <c r="D7" i="1818" s="1"/>
  <c r="D41" i="1818"/>
  <c r="R40" i="1818"/>
  <c r="L8" i="1818" s="1"/>
  <c r="D8" i="1818" s="1"/>
  <c r="D40" i="1818"/>
  <c r="R39" i="1818"/>
  <c r="D39" i="1818"/>
  <c r="R38" i="1818"/>
  <c r="L9" i="1818" s="1"/>
  <c r="D9" i="1818" s="1"/>
  <c r="D38" i="1818"/>
  <c r="R37" i="1818"/>
  <c r="D37" i="1818"/>
  <c r="R36" i="1818"/>
  <c r="L10" i="1818" s="1"/>
  <c r="D10" i="1818" s="1"/>
  <c r="D36" i="1818"/>
  <c r="R35" i="1818"/>
  <c r="D35" i="1818"/>
  <c r="R34" i="1818"/>
  <c r="L12" i="1818" s="1"/>
  <c r="D12" i="1818" s="1"/>
  <c r="D34" i="1818"/>
  <c r="R33" i="1818"/>
  <c r="L23" i="1818" s="1"/>
  <c r="D23" i="1818" s="1"/>
  <c r="R32" i="1818"/>
  <c r="L11" i="1818" s="1"/>
  <c r="D11" i="1818" s="1"/>
  <c r="R31" i="1818"/>
  <c r="R30" i="1818"/>
  <c r="R29" i="1818"/>
  <c r="R28" i="1818"/>
  <c r="L16" i="1818" s="1"/>
  <c r="D16" i="1818" s="1"/>
  <c r="D28" i="1818"/>
  <c r="R27" i="1818"/>
  <c r="D27" i="1818"/>
  <c r="R26" i="1818"/>
  <c r="L26" i="1818"/>
  <c r="D26" i="1818"/>
  <c r="R25" i="1818"/>
  <c r="L25" i="1818"/>
  <c r="D25" i="1818" s="1"/>
  <c r="R24" i="1818"/>
  <c r="D24" i="1818"/>
  <c r="R23" i="1818"/>
  <c r="R22" i="1818"/>
  <c r="L22" i="1818"/>
  <c r="D22" i="1818" s="1"/>
  <c r="R21" i="1818"/>
  <c r="D21" i="1818"/>
  <c r="R20" i="1818"/>
  <c r="L20" i="1818"/>
  <c r="D20" i="1818"/>
  <c r="R19" i="1818"/>
  <c r="L19" i="1818"/>
  <c r="D19" i="1818" s="1"/>
  <c r="R18" i="1818"/>
  <c r="D18" i="1818"/>
  <c r="R17" i="1818"/>
  <c r="D17" i="1818"/>
  <c r="R16" i="1818"/>
  <c r="S15" i="1818"/>
  <c r="R15" i="1818"/>
  <c r="D15" i="1818"/>
  <c r="S14" i="1818"/>
  <c r="R14" i="1818"/>
  <c r="D14" i="1818"/>
  <c r="R13" i="1818"/>
  <c r="D13" i="1818"/>
  <c r="R12" i="1818"/>
  <c r="R11" i="1818"/>
  <c r="R6" i="1818"/>
  <c r="R5" i="1818"/>
  <c r="R4" i="1818"/>
  <c r="H15" i="1853" l="1"/>
  <c r="H29" i="1853" s="1"/>
  <c r="G51" i="1853" s="1"/>
  <c r="H15" i="1846"/>
  <c r="H29" i="1846" s="1"/>
  <c r="G51" i="1846" s="1"/>
  <c r="H15" i="1850"/>
  <c r="H29" i="1850" s="1"/>
  <c r="G51" i="1850" s="1"/>
  <c r="H15" i="1854"/>
  <c r="H29" i="1854" s="1"/>
  <c r="G51" i="1854" s="1"/>
  <c r="H15" i="1856"/>
  <c r="H29" i="1856" s="1"/>
  <c r="G51" i="1856" s="1"/>
  <c r="H15" i="1864"/>
  <c r="H29" i="1864" s="1"/>
  <c r="G51" i="1864" s="1"/>
  <c r="H15" i="1863"/>
  <c r="H29" i="1863" s="1"/>
  <c r="G51" i="1863" s="1"/>
  <c r="D54" i="1818"/>
  <c r="H14" i="1818" s="1"/>
  <c r="H15" i="1861"/>
  <c r="H29" i="1861" s="1"/>
  <c r="G51" i="1861" s="1"/>
  <c r="H15" i="1865"/>
  <c r="H29" i="1865" s="1"/>
  <c r="G51" i="1865" s="1"/>
  <c r="H15" i="1862"/>
  <c r="H29" i="1862" s="1"/>
  <c r="G51" i="1862" s="1"/>
  <c r="H15" i="1860"/>
  <c r="H29" i="1860" s="1"/>
  <c r="G51" i="1860" s="1"/>
  <c r="H15" i="1859"/>
  <c r="H29" i="1859" s="1"/>
  <c r="G51" i="1859" s="1"/>
  <c r="H15" i="1857"/>
  <c r="H29" i="1857" s="1"/>
  <c r="G51" i="1857" s="1"/>
  <c r="H15" i="1855"/>
  <c r="H29" i="1855" s="1"/>
  <c r="G51" i="1855" s="1"/>
  <c r="H15" i="1852"/>
  <c r="H29" i="1852" s="1"/>
  <c r="G51" i="1852" s="1"/>
  <c r="H15" i="1851"/>
  <c r="H29" i="1851" s="1"/>
  <c r="G51" i="1851" s="1"/>
  <c r="H15" i="1849"/>
  <c r="H29" i="1849" s="1"/>
  <c r="G51" i="1849" s="1"/>
  <c r="H15" i="1847"/>
  <c r="H29" i="1847" s="1"/>
  <c r="G51" i="1847" s="1"/>
  <c r="H15" i="1848"/>
  <c r="H29" i="1848" s="1"/>
  <c r="G51" i="1848" s="1"/>
  <c r="H15" i="1845"/>
  <c r="H29" i="1845" s="1"/>
  <c r="G51" i="1845" s="1"/>
  <c r="H15" i="1844"/>
  <c r="H29" i="1844" s="1"/>
  <c r="G51" i="1844" s="1"/>
  <c r="H15" i="1843"/>
  <c r="H29" i="1843" s="1"/>
  <c r="G51" i="1843" s="1"/>
  <c r="G49" i="1821"/>
  <c r="G49" i="1820"/>
  <c r="D54" i="1821"/>
  <c r="H14" i="1821" s="1"/>
  <c r="D54" i="1820"/>
  <c r="H14" i="1820" s="1"/>
  <c r="D54" i="1819"/>
  <c r="H14" i="1819" s="1"/>
  <c r="G49" i="1819"/>
  <c r="D29" i="1821"/>
  <c r="H13" i="1821" s="1"/>
  <c r="D29" i="1820"/>
  <c r="H13" i="1820" s="1"/>
  <c r="D29" i="1819"/>
  <c r="H13" i="1819" s="1"/>
  <c r="D29" i="1818"/>
  <c r="H13" i="1818" s="1"/>
  <c r="H15" i="1818" s="1"/>
  <c r="H29" i="1818" s="1"/>
  <c r="G51" i="1818" s="1"/>
  <c r="H15" i="1821" l="1"/>
  <c r="H29" i="1821" s="1"/>
  <c r="G51" i="1821" s="1"/>
  <c r="H15" i="1820"/>
  <c r="H29" i="1820" s="1"/>
  <c r="G51" i="1820" s="1"/>
  <c r="H15" i="1819"/>
  <c r="H29" i="1819" s="1"/>
  <c r="G51" i="1819" s="1"/>
</calcChain>
</file>

<file path=xl/sharedStrings.xml><?xml version="1.0" encoding="utf-8"?>
<sst xmlns="http://schemas.openxmlformats.org/spreadsheetml/2006/main" count="7020" uniqueCount="187">
  <si>
    <t>GUILLERMO BEVERAGE DISTRIBUTION SERVICES</t>
  </si>
  <si>
    <t>PRODUCTS</t>
  </si>
  <si>
    <t>SELLING PRICE</t>
  </si>
  <si>
    <t>EMPTIES</t>
  </si>
  <si>
    <t>TOTAL</t>
  </si>
  <si>
    <t>SALES AND CASH REMITTANCE REPORT</t>
  </si>
  <si>
    <t>NON-ALCOHOLIC BEVERAGES</t>
  </si>
  <si>
    <t>SALES</t>
  </si>
  <si>
    <t xml:space="preserve">ROUTE # </t>
  </si>
  <si>
    <t>DATE:</t>
  </si>
  <si>
    <t>CALI PINEAPPLE 330ml</t>
  </si>
  <si>
    <t>PRODUCT</t>
  </si>
  <si>
    <t># OF CASES</t>
  </si>
  <si>
    <t>AMOUNT</t>
  </si>
  <si>
    <t>CALI ICE APPLE 330ml</t>
  </si>
  <si>
    <t>RH1000</t>
  </si>
  <si>
    <t>DSP</t>
  </si>
  <si>
    <t>CALI PINEAPPLE CAN 330ml</t>
  </si>
  <si>
    <t>RH500</t>
  </si>
  <si>
    <t>CALI ICE APPLE CAN 330ml</t>
  </si>
  <si>
    <t>RH330</t>
  </si>
  <si>
    <t>DRIVER</t>
  </si>
  <si>
    <t>CALI 10 DIET CAN 330ml</t>
  </si>
  <si>
    <t>PP1000</t>
  </si>
  <si>
    <t>MAGNOLIA</t>
  </si>
  <si>
    <t>PP320</t>
  </si>
  <si>
    <t>TRUCKMAN</t>
  </si>
  <si>
    <t>FRUIT DRINK GRAPE 250ml</t>
  </si>
  <si>
    <t>SML330</t>
  </si>
  <si>
    <t>FRUIT DRINK ORANGE 250ml</t>
  </si>
  <si>
    <t>FB330</t>
  </si>
  <si>
    <t>HEALTHTEA APPLE 250ml</t>
  </si>
  <si>
    <t>MHT</t>
  </si>
  <si>
    <t>CASH REMITTANCE COMPUTATION</t>
  </si>
  <si>
    <t>HEALTHTEA LEMON 250ml</t>
  </si>
  <si>
    <t>MHT BOTTLE</t>
  </si>
  <si>
    <t>TOTAL SALES</t>
  </si>
  <si>
    <t>HEALTHTEA STRAWBERRY 250ml</t>
  </si>
  <si>
    <t>CALI</t>
  </si>
  <si>
    <t>LESS: CONTAINERS RETURNED</t>
  </si>
  <si>
    <t>GROSS SALES</t>
  </si>
  <si>
    <t>ALCO BEVERAGES</t>
  </si>
  <si>
    <t>LESS:</t>
  </si>
  <si>
    <t>DISCOUNT</t>
  </si>
  <si>
    <t>PREMIUM ALL MALT 330ml</t>
  </si>
  <si>
    <t>TCS</t>
  </si>
  <si>
    <t>PREMIUM ALL MALT CAN 330ml</t>
  </si>
  <si>
    <t>COL</t>
  </si>
  <si>
    <t>KIRIN 330ml</t>
  </si>
  <si>
    <t>KIRIN CAN 330ml</t>
  </si>
  <si>
    <t>TOLL, FEES</t>
  </si>
  <si>
    <t>CERVEZA BLANCA CAN 330ml</t>
  </si>
  <si>
    <t>SUPERDRY 330ml</t>
  </si>
  <si>
    <t>SUPERDRY CAN 330ml</t>
  </si>
  <si>
    <t>CERVEZA NEGRA 330ml</t>
  </si>
  <si>
    <t>NET SALES
AMOUNT TO BE REMITTED:</t>
  </si>
  <si>
    <t>SAN MIGUEL CHOCOLATE LAGER CAN 330ml</t>
  </si>
  <si>
    <t>SAN MIG ZERO 330ml</t>
  </si>
  <si>
    <t>CONTAINERS RETURNED</t>
  </si>
  <si>
    <t>CASH BREAKDOWN</t>
  </si>
  <si>
    <t>SAN MIG LIGHT 330ml</t>
  </si>
  <si>
    <t>QTY</t>
  </si>
  <si>
    <t>PESOS</t>
  </si>
  <si>
    <t>NO. OF PCS.</t>
  </si>
  <si>
    <t>SAN MIG LIGHT CAN 330ml</t>
  </si>
  <si>
    <t>PP</t>
  </si>
  <si>
    <t>COMPLETE</t>
  </si>
  <si>
    <t>FLAVORED BEER APL/LEM/LYC 330ml</t>
  </si>
  <si>
    <t>SHELL</t>
  </si>
  <si>
    <t>FLAVORED BEER CAN APL/LEM/LY 330ml</t>
  </si>
  <si>
    <t>BOTTLES</t>
  </si>
  <si>
    <t>PALE PILSEN 320ml</t>
  </si>
  <si>
    <t>RHL/PL/GEK</t>
  </si>
  <si>
    <t>PALE PILSEN 330ml</t>
  </si>
  <si>
    <t>PALE PILSEN 1000ml</t>
  </si>
  <si>
    <t>PALE PILSEN Can 330ml</t>
  </si>
  <si>
    <t>RHP</t>
  </si>
  <si>
    <t>RED HORSE 330ml</t>
  </si>
  <si>
    <t>RED HORSE 500ml</t>
  </si>
  <si>
    <t>COINS</t>
  </si>
  <si>
    <t>RED HORSE 1000ml</t>
  </si>
  <si>
    <t>FBA/SML/RHS</t>
  </si>
  <si>
    <t>BANK</t>
  </si>
  <si>
    <t>CHECK NO.</t>
  </si>
  <si>
    <t>RED HORSE CAN 330ml</t>
  </si>
  <si>
    <t>SAN MIG FREE</t>
  </si>
  <si>
    <t>TOTAL REMITTANCE</t>
  </si>
  <si>
    <t>GOLD EAGLE 320ml</t>
  </si>
  <si>
    <t>GOLD EAGLE 1000ml</t>
  </si>
  <si>
    <t>SAN MIG HARD SELTZER 330ml</t>
  </si>
  <si>
    <t>TOTAL CONTAINERS RETURNED</t>
  </si>
  <si>
    <t>DEALER SALES PERSONEL
NAME AND SIGNATURE</t>
  </si>
  <si>
    <t>CHECKED BY: WIC/CLERK
NAME AND SIGNATURE</t>
  </si>
  <si>
    <t>PAMB</t>
  </si>
  <si>
    <t>CNB</t>
  </si>
  <si>
    <t>CIB</t>
  </si>
  <si>
    <t>FBLYC</t>
  </si>
  <si>
    <t>RHSL</t>
  </si>
  <si>
    <t>S.I. NO.</t>
  </si>
  <si>
    <t>LESS: CREDIT</t>
  </si>
  <si>
    <t>ADD: COLLECTION</t>
  </si>
  <si>
    <t>RH500C</t>
  </si>
  <si>
    <t>CHOCO LAGER CAN</t>
  </si>
  <si>
    <t>RED HORSE 500 CAN</t>
  </si>
  <si>
    <t>GE1000</t>
  </si>
  <si>
    <t>FBA BOTT.</t>
  </si>
  <si>
    <t>RED HORSE SUPER 1000</t>
  </si>
  <si>
    <t>SMLC/RHC</t>
  </si>
  <si>
    <t>SMFC</t>
  </si>
  <si>
    <t>CHOCO LAG</t>
  </si>
  <si>
    <t>HSC</t>
  </si>
  <si>
    <t>DANDAYO, RONNEL</t>
  </si>
  <si>
    <t>PAMC</t>
  </si>
  <si>
    <t>ENCLONAR, JEROME</t>
  </si>
  <si>
    <t>SALIG, JOVANI</t>
  </si>
  <si>
    <t>SDC</t>
  </si>
  <si>
    <t>FBAC</t>
  </si>
  <si>
    <t>OTHERS/PROMO</t>
  </si>
  <si>
    <t>RHS BOTT.</t>
  </si>
  <si>
    <t>PPC/RHC</t>
  </si>
  <si>
    <t>PL BOTT.</t>
  </si>
  <si>
    <t>RHSL BOTT.</t>
  </si>
  <si>
    <t>SMLC/PPC/RHC</t>
  </si>
  <si>
    <t>CC/CIC</t>
  </si>
  <si>
    <t>PAMC/CBC</t>
  </si>
  <si>
    <t>SHORT / OVER</t>
  </si>
  <si>
    <t>PORMENTO, ESTEMARK</t>
  </si>
  <si>
    <t>BAOC, PRECILLANO</t>
  </si>
  <si>
    <r>
      <rPr>
        <u/>
        <sz val="11"/>
        <color rgb="FFFF0000"/>
        <rFont val="Calibri"/>
        <family val="2"/>
        <scheme val="minor"/>
      </rPr>
      <t>(SHORT</t>
    </r>
    <r>
      <rPr>
        <sz val="11"/>
        <color rgb="FFFF0000"/>
        <rFont val="Calibri"/>
        <family val="2"/>
        <scheme val="minor"/>
      </rPr>
      <t xml:space="preserve">) </t>
    </r>
    <r>
      <rPr>
        <sz val="11"/>
        <rFont val="Calibri"/>
        <family val="2"/>
        <scheme val="minor"/>
      </rPr>
      <t>/ OVER</t>
    </r>
  </si>
  <si>
    <t>FBAC/FBLC</t>
  </si>
  <si>
    <t>GOMORA, JURLAN</t>
  </si>
  <si>
    <t>CC/CIC/C10C</t>
  </si>
  <si>
    <t>CBB</t>
  </si>
  <si>
    <t>CLC/SDC</t>
  </si>
  <si>
    <t>SMZB</t>
  </si>
  <si>
    <r>
      <t xml:space="preserve">SHORT / </t>
    </r>
    <r>
      <rPr>
        <u/>
        <sz val="11"/>
        <rFont val="Calibri"/>
        <family val="2"/>
        <scheme val="minor"/>
      </rPr>
      <t xml:space="preserve">OVER </t>
    </r>
  </si>
  <si>
    <t>SAN MIG FREE 330ml</t>
  </si>
  <si>
    <t>SAN MIG HARD SELTZER CAN 330ml</t>
  </si>
  <si>
    <r>
      <t xml:space="preserve">SHORT / </t>
    </r>
    <r>
      <rPr>
        <u/>
        <sz val="11"/>
        <rFont val="Calibri"/>
        <family val="2"/>
        <scheme val="minor"/>
      </rPr>
      <t>OVER</t>
    </r>
  </si>
  <si>
    <t>RACAZA, ALEX</t>
  </si>
  <si>
    <t xml:space="preserve">                           RONNEL DANDAYO</t>
  </si>
  <si>
    <t>GICA, GRACE</t>
  </si>
  <si>
    <t xml:space="preserve">                            GRACE B. GICA</t>
  </si>
  <si>
    <t xml:space="preserve">                            ESTEMARK PORMENTO</t>
  </si>
  <si>
    <t>SALIG, JULIVEN</t>
  </si>
  <si>
    <t>BDO</t>
  </si>
  <si>
    <t>PNB</t>
  </si>
  <si>
    <t>146636</t>
  </si>
  <si>
    <t>BANK TRANSFER</t>
  </si>
  <si>
    <t>FBAC/FBLYC</t>
  </si>
  <si>
    <t>PP BOTT.</t>
  </si>
  <si>
    <t>PAMC/MGYZ</t>
  </si>
  <si>
    <t>132730</t>
  </si>
  <si>
    <r>
      <rPr>
        <sz val="11"/>
        <color rgb="FFFF0000"/>
        <rFont val="Calibri"/>
        <family val="2"/>
        <scheme val="minor"/>
      </rPr>
      <t>(</t>
    </r>
    <r>
      <rPr>
        <u/>
        <sz val="11"/>
        <color rgb="FFFF0000"/>
        <rFont val="Calibri"/>
        <family val="2"/>
        <scheme val="minor"/>
      </rPr>
      <t>SHORT</t>
    </r>
    <r>
      <rPr>
        <sz val="11"/>
        <color rgb="FFFF0000"/>
        <rFont val="Calibri"/>
        <family val="2"/>
        <scheme val="minor"/>
      </rPr>
      <t>)</t>
    </r>
    <r>
      <rPr>
        <sz val="11"/>
        <rFont val="Calibri"/>
        <family val="2"/>
        <scheme val="minor"/>
      </rPr>
      <t xml:space="preserve"> / OVER </t>
    </r>
  </si>
  <si>
    <t>1ST VB</t>
  </si>
  <si>
    <t>G-CASH</t>
  </si>
  <si>
    <t>52488</t>
  </si>
  <si>
    <t>5089379</t>
  </si>
  <si>
    <t>BOSS RIE</t>
  </si>
  <si>
    <t>SIR JOK</t>
  </si>
  <si>
    <t>2000002937</t>
  </si>
  <si>
    <t>JOHN PASAMANTE</t>
  </si>
  <si>
    <r>
      <rPr>
        <u/>
        <sz val="11"/>
        <color rgb="FFFF0000"/>
        <rFont val="Calibri"/>
        <family val="2"/>
        <scheme val="minor"/>
      </rPr>
      <t>(SHORT</t>
    </r>
    <r>
      <rPr>
        <sz val="11"/>
        <color rgb="FFFF0000"/>
        <rFont val="Calibri"/>
        <family val="2"/>
        <scheme val="minor"/>
      </rPr>
      <t xml:space="preserve">) </t>
    </r>
    <r>
      <rPr>
        <sz val="11"/>
        <rFont val="Calibri"/>
        <family val="2"/>
        <scheme val="minor"/>
      </rPr>
      <t xml:space="preserve">/ OVER </t>
    </r>
  </si>
  <si>
    <t>52505</t>
  </si>
  <si>
    <t>BALWARTE</t>
  </si>
  <si>
    <t>147317</t>
  </si>
  <si>
    <t>9125</t>
  </si>
  <si>
    <t>PAMC/CBC/CLC</t>
  </si>
  <si>
    <t>MGYZ</t>
  </si>
  <si>
    <t>PPC/RHC/SMLC</t>
  </si>
  <si>
    <t>147590</t>
  </si>
  <si>
    <t>42996</t>
  </si>
  <si>
    <t>PSBC</t>
  </si>
  <si>
    <t>2120012901</t>
  </si>
  <si>
    <t>SOUND CHECK</t>
  </si>
  <si>
    <t>147592</t>
  </si>
  <si>
    <t>FBLC/FBLYC</t>
  </si>
  <si>
    <t>2000007773</t>
  </si>
  <si>
    <t>2000002966</t>
  </si>
  <si>
    <t>PP BOT.</t>
  </si>
  <si>
    <t>5089388</t>
  </si>
  <si>
    <t>146662</t>
  </si>
  <si>
    <t>2130020804</t>
  </si>
  <si>
    <t>2130020805</t>
  </si>
  <si>
    <r>
      <rPr>
        <sz val="11"/>
        <color theme="1"/>
        <rFont val="Calibri"/>
        <family val="2"/>
        <scheme val="minor"/>
      </rPr>
      <t xml:space="preserve">SHORT / </t>
    </r>
    <r>
      <rPr>
        <u/>
        <sz val="11"/>
        <color theme="1"/>
        <rFont val="Calibri"/>
        <family val="2"/>
        <scheme val="minor"/>
      </rPr>
      <t>OVER</t>
    </r>
  </si>
  <si>
    <t>2968</t>
  </si>
  <si>
    <t>2971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</si>
</sst>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4" formatCode="_-&quot;₱&quot;* #,##0.00_-;\-&quot;₱&quot;* #,##0.00_-;_-&quot;₱&quot;* &quot;-&quot;??_-;_-@_-"/>
    <numFmt numFmtId="43" formatCode="_-* #,##0.00_-;\-* #,##0.00_-;_-* &quot;-&quot;??_-;_-@_-"/>
    <numFmt numFmtId="164" formatCode="[$-3409]mmmm\ dd\,\ yyyy;@"/>
    <numFmt numFmtId="165" formatCode="_-&quot;₱&quot;* #,##0.00_-;\-&quot;₱&quot;* \(#,##0.00\)_-;_-&quot;₱&quot;* &quot;-&quot;??_-;_-@_-"/>
  </numFmts>
  <fonts count="2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12"/>
      <color theme="1"/>
      <name val="Calibri"/>
      <family val="2"/>
      <scheme val="minor"/>
    </font>
    <font>
      <sz val="9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8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12"/>
      <color rgb="FFFF0000"/>
      <name val="Calibri"/>
      <family val="2"/>
      <scheme val="minor"/>
    </font>
    <font>
      <sz val="14"/>
      <color rgb="FFFF0000"/>
      <name val="Calibri"/>
      <family val="2"/>
      <scheme val="minor"/>
    </font>
    <font>
      <sz val="8"/>
      <color rgb="FFFF0000"/>
      <name val="Calibri"/>
      <family val="2"/>
      <scheme val="minor"/>
    </font>
    <font>
      <sz val="12"/>
      <name val="Calibri"/>
      <family val="2"/>
      <scheme val="minor"/>
    </font>
    <font>
      <sz val="8"/>
      <name val="Calibri"/>
      <family val="2"/>
      <scheme val="minor"/>
    </font>
    <font>
      <sz val="10"/>
      <name val="Calibri"/>
      <family val="2"/>
      <scheme val="minor"/>
    </font>
    <font>
      <sz val="10"/>
      <color rgb="FFFF0000"/>
      <name val="Calibri"/>
      <family val="2"/>
      <scheme val="minor"/>
    </font>
    <font>
      <b/>
      <sz val="14"/>
      <name val="Calibri"/>
      <family val="2"/>
      <scheme val="minor"/>
    </font>
    <font>
      <u/>
      <sz val="11"/>
      <color rgb="FFFF0000"/>
      <name val="Calibri"/>
      <family val="2"/>
      <scheme val="minor"/>
    </font>
    <font>
      <b/>
      <sz val="14"/>
      <color rgb="FFFF0000"/>
      <name val="Calibri"/>
      <family val="2"/>
      <scheme val="minor"/>
    </font>
    <font>
      <u/>
      <sz val="11"/>
      <name val="Calibri"/>
      <family val="2"/>
      <scheme val="minor"/>
    </font>
    <font>
      <sz val="8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u/>
      <sz val="11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2"/>
        <bgColor indexed="64"/>
      </patternFill>
    </fill>
  </fills>
  <borders count="5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/>
      <diagonal/>
    </border>
    <border>
      <left style="hair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/>
      <top style="hair">
        <color indexed="64"/>
      </top>
      <bottom style="thin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/>
      <diagonal/>
    </border>
    <border>
      <left style="hair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/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/>
      <diagonal/>
    </border>
    <border>
      <left style="hair">
        <color indexed="64"/>
      </left>
      <right style="hair">
        <color indexed="64"/>
      </right>
      <top/>
      <bottom/>
      <diagonal/>
    </border>
    <border>
      <left/>
      <right style="hair">
        <color indexed="64"/>
      </right>
      <top style="hair">
        <color indexed="64"/>
      </top>
      <bottom/>
      <diagonal/>
    </border>
    <border>
      <left/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thin">
        <color indexed="64"/>
      </right>
      <top style="hair">
        <color indexed="64"/>
      </top>
      <bottom/>
      <diagonal/>
    </border>
    <border>
      <left style="hair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/>
      <diagonal/>
    </border>
    <border>
      <left/>
      <right/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/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thin">
        <color indexed="64"/>
      </bottom>
      <diagonal/>
    </border>
    <border>
      <left style="hair">
        <color indexed="64"/>
      </left>
      <right style="thin">
        <color indexed="64"/>
      </right>
      <top/>
      <bottom/>
      <diagonal/>
    </border>
    <border>
      <left style="hair">
        <color indexed="64"/>
      </left>
      <right style="thin">
        <color indexed="64"/>
      </right>
      <top/>
      <bottom style="thin">
        <color indexed="64"/>
      </bottom>
      <diagonal/>
    </border>
    <border>
      <left style="hair">
        <color indexed="64"/>
      </left>
      <right/>
      <top style="thin">
        <color indexed="64"/>
      </top>
      <bottom style="hair">
        <color indexed="64"/>
      </bottom>
      <diagonal/>
    </border>
    <border>
      <left style="thin">
        <color indexed="64"/>
      </left>
      <right/>
      <top style="thin">
        <color indexed="64"/>
      </top>
      <bottom style="hair">
        <color indexed="64"/>
      </bottom>
      <diagonal/>
    </border>
    <border>
      <left style="hair">
        <color indexed="64"/>
      </left>
      <right/>
      <top/>
      <bottom/>
      <diagonal/>
    </border>
    <border>
      <left/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 style="hair">
        <color indexed="64"/>
      </right>
      <top/>
      <bottom style="thin">
        <color indexed="64"/>
      </bottom>
      <diagonal/>
    </border>
    <border>
      <left style="thin">
        <color indexed="64"/>
      </left>
      <right style="hair">
        <color indexed="64"/>
      </right>
      <top/>
      <bottom/>
      <diagonal/>
    </border>
    <border>
      <left/>
      <right style="hair">
        <color indexed="64"/>
      </right>
      <top/>
      <bottom/>
      <diagonal/>
    </border>
    <border>
      <left/>
      <right/>
      <top style="hair">
        <color indexed="64"/>
      </top>
      <bottom/>
      <diagonal/>
    </border>
    <border>
      <left/>
      <right style="hair">
        <color indexed="64"/>
      </right>
      <top/>
      <bottom style="hair">
        <color indexed="64"/>
      </bottom>
      <diagonal/>
    </border>
    <border>
      <left/>
      <right/>
      <top/>
      <bottom style="hair">
        <color indexed="64"/>
      </bottom>
      <diagonal/>
    </border>
    <border>
      <left/>
      <right style="hair">
        <color indexed="64"/>
      </right>
      <top style="thin">
        <color indexed="64"/>
      </top>
      <bottom style="hair">
        <color indexed="64"/>
      </bottom>
      <diagonal/>
    </border>
    <border>
      <left/>
      <right style="hair">
        <color indexed="64"/>
      </right>
      <top/>
      <bottom style="thin">
        <color indexed="64"/>
      </bottom>
      <diagonal/>
    </border>
    <border>
      <left style="hair">
        <color indexed="64"/>
      </left>
      <right/>
      <top/>
      <bottom style="thin">
        <color indexed="64"/>
      </bottom>
      <diagonal/>
    </border>
    <border>
      <left style="hair">
        <color indexed="64"/>
      </left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 style="hair">
        <color indexed="64"/>
      </right>
      <top/>
      <bottom style="hair">
        <color indexed="64"/>
      </bottom>
      <diagonal/>
    </border>
    <border>
      <left style="hair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hair">
        <color indexed="64"/>
      </right>
      <top style="thin">
        <color indexed="64"/>
      </top>
      <bottom/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241">
    <xf numFmtId="0" fontId="0" fillId="0" borderId="0" xfId="0"/>
    <xf numFmtId="0" fontId="2" fillId="0" borderId="0" xfId="0" applyFont="1"/>
    <xf numFmtId="0" fontId="2" fillId="2" borderId="0" xfId="0" applyFont="1" applyFill="1" applyAlignment="1">
      <alignment horizontal="center" vertical="center"/>
    </xf>
    <xf numFmtId="0" fontId="0" fillId="2" borderId="0" xfId="0" applyFill="1"/>
    <xf numFmtId="43" fontId="0" fillId="0" borderId="0" xfId="1" applyFont="1"/>
    <xf numFmtId="43" fontId="0" fillId="2" borderId="0" xfId="0" applyNumberFormat="1" applyFill="1"/>
    <xf numFmtId="43" fontId="0" fillId="4" borderId="1" xfId="0" applyNumberFormat="1" applyFill="1" applyBorder="1"/>
    <xf numFmtId="0" fontId="0" fillId="2" borderId="1" xfId="0" applyFill="1" applyBorder="1"/>
    <xf numFmtId="0" fontId="0" fillId="0" borderId="3" xfId="0" applyBorder="1"/>
    <xf numFmtId="0" fontId="0" fillId="0" borderId="10" xfId="0" applyBorder="1" applyAlignment="1">
      <alignment horizontal="center"/>
    </xf>
    <xf numFmtId="0" fontId="4" fillId="0" borderId="16" xfId="0" applyFont="1" applyBorder="1"/>
    <xf numFmtId="0" fontId="4" fillId="0" borderId="12" xfId="0" applyFont="1" applyBorder="1"/>
    <xf numFmtId="43" fontId="4" fillId="0" borderId="16" xfId="1" applyFont="1" applyBorder="1"/>
    <xf numFmtId="43" fontId="4" fillId="0" borderId="22" xfId="1" applyFont="1" applyBorder="1"/>
    <xf numFmtId="0" fontId="0" fillId="0" borderId="16" xfId="0" applyBorder="1"/>
    <xf numFmtId="0" fontId="0" fillId="0" borderId="22" xfId="0" applyBorder="1" applyAlignment="1">
      <alignment horizontal="center"/>
    </xf>
    <xf numFmtId="0" fontId="0" fillId="0" borderId="23" xfId="0" applyBorder="1"/>
    <xf numFmtId="0" fontId="0" fillId="0" borderId="22" xfId="0" applyBorder="1"/>
    <xf numFmtId="0" fontId="0" fillId="0" borderId="18" xfId="0" applyBorder="1"/>
    <xf numFmtId="0" fontId="0" fillId="0" borderId="10" xfId="0" applyBorder="1"/>
    <xf numFmtId="0" fontId="0" fillId="0" borderId="32" xfId="0" applyBorder="1"/>
    <xf numFmtId="0" fontId="0" fillId="0" borderId="36" xfId="0" applyBorder="1"/>
    <xf numFmtId="0" fontId="0" fillId="0" borderId="37" xfId="0" applyBorder="1"/>
    <xf numFmtId="0" fontId="0" fillId="0" borderId="24" xfId="0" applyBorder="1"/>
    <xf numFmtId="0" fontId="0" fillId="0" borderId="41" xfId="0" applyBorder="1"/>
    <xf numFmtId="0" fontId="0" fillId="0" borderId="16" xfId="0" applyBorder="1" applyAlignment="1">
      <alignment horizontal="center"/>
    </xf>
    <xf numFmtId="0" fontId="3" fillId="3" borderId="40" xfId="0" applyFont="1" applyFill="1" applyBorder="1"/>
    <xf numFmtId="0" fontId="3" fillId="3" borderId="16" xfId="0" applyFont="1" applyFill="1" applyBorder="1"/>
    <xf numFmtId="0" fontId="3" fillId="3" borderId="23" xfId="0" applyFont="1" applyFill="1" applyBorder="1"/>
    <xf numFmtId="0" fontId="3" fillId="3" borderId="41" xfId="0" applyFont="1" applyFill="1" applyBorder="1"/>
    <xf numFmtId="43" fontId="4" fillId="0" borderId="18" xfId="1" applyFont="1" applyBorder="1"/>
    <xf numFmtId="43" fontId="4" fillId="0" borderId="42" xfId="1" applyFont="1" applyBorder="1"/>
    <xf numFmtId="0" fontId="3" fillId="3" borderId="12" xfId="0" applyFont="1" applyFill="1" applyBorder="1"/>
    <xf numFmtId="0" fontId="4" fillId="0" borderId="29" xfId="0" applyFont="1" applyBorder="1"/>
    <xf numFmtId="0" fontId="0" fillId="0" borderId="40" xfId="0" applyBorder="1"/>
    <xf numFmtId="0" fontId="0" fillId="0" borderId="27" xfId="0" applyBorder="1"/>
    <xf numFmtId="0" fontId="0" fillId="0" borderId="29" xfId="0" applyBorder="1"/>
    <xf numFmtId="0" fontId="4" fillId="0" borderId="16" xfId="0" applyFont="1" applyBorder="1" applyAlignment="1">
      <alignment horizontal="right"/>
    </xf>
    <xf numFmtId="0" fontId="0" fillId="0" borderId="16" xfId="0" applyBorder="1" applyAlignment="1">
      <alignment horizontal="right"/>
    </xf>
    <xf numFmtId="0" fontId="4" fillId="0" borderId="18" xfId="0" applyFont="1" applyBorder="1" applyAlignment="1">
      <alignment horizontal="right"/>
    </xf>
    <xf numFmtId="0" fontId="4" fillId="0" borderId="43" xfId="0" applyFont="1" applyBorder="1" applyAlignment="1">
      <alignment horizontal="right"/>
    </xf>
    <xf numFmtId="0" fontId="4" fillId="0" borderId="12" xfId="0" applyFont="1" applyBorder="1" applyAlignment="1">
      <alignment horizontal="right"/>
    </xf>
    <xf numFmtId="0" fontId="4" fillId="0" borderId="28" xfId="0" applyFont="1" applyBorder="1" applyAlignment="1">
      <alignment horizontal="right"/>
    </xf>
    <xf numFmtId="0" fontId="0" fillId="0" borderId="42" xfId="0" applyBorder="1"/>
    <xf numFmtId="43" fontId="4" fillId="0" borderId="40" xfId="1" applyFont="1" applyBorder="1"/>
    <xf numFmtId="43" fontId="4" fillId="0" borderId="21" xfId="1" applyFont="1" applyBorder="1"/>
    <xf numFmtId="0" fontId="0" fillId="0" borderId="21" xfId="0" applyBorder="1"/>
    <xf numFmtId="43" fontId="0" fillId="2" borderId="1" xfId="0" applyNumberFormat="1" applyFill="1" applyBorder="1"/>
    <xf numFmtId="43" fontId="4" fillId="0" borderId="23" xfId="1" applyFont="1" applyBorder="1"/>
    <xf numFmtId="0" fontId="3" fillId="3" borderId="10" xfId="0" applyFont="1" applyFill="1" applyBorder="1"/>
    <xf numFmtId="0" fontId="0" fillId="0" borderId="43" xfId="0" applyBorder="1"/>
    <xf numFmtId="0" fontId="4" fillId="0" borderId="21" xfId="0" applyFont="1" applyBorder="1"/>
    <xf numFmtId="0" fontId="4" fillId="0" borderId="10" xfId="0" applyFont="1" applyBorder="1"/>
    <xf numFmtId="0" fontId="4" fillId="0" borderId="18" xfId="0" applyFont="1" applyBorder="1"/>
    <xf numFmtId="0" fontId="4" fillId="0" borderId="27" xfId="0" applyFont="1" applyBorder="1"/>
    <xf numFmtId="0" fontId="0" fillId="0" borderId="0" xfId="0" applyAlignment="1">
      <alignment horizontal="center"/>
    </xf>
    <xf numFmtId="0" fontId="0" fillId="3" borderId="21" xfId="0" applyFill="1" applyBorder="1"/>
    <xf numFmtId="0" fontId="0" fillId="3" borderId="18" xfId="0" applyFill="1" applyBorder="1"/>
    <xf numFmtId="43" fontId="4" fillId="0" borderId="12" xfId="1" applyFont="1" applyBorder="1"/>
    <xf numFmtId="0" fontId="4" fillId="0" borderId="16" xfId="0" applyFont="1" applyBorder="1" applyAlignment="1">
      <alignment horizontal="center"/>
    </xf>
    <xf numFmtId="0" fontId="9" fillId="0" borderId="10" xfId="0" applyFont="1" applyBorder="1" applyAlignment="1">
      <alignment horizontal="left" vertical="center"/>
    </xf>
    <xf numFmtId="0" fontId="10" fillId="0" borderId="40" xfId="0" applyFont="1" applyBorder="1" applyAlignment="1">
      <alignment horizontal="left"/>
    </xf>
    <xf numFmtId="49" fontId="4" fillId="0" borderId="16" xfId="0" applyNumberFormat="1" applyFont="1" applyBorder="1" applyAlignment="1">
      <alignment horizontal="right"/>
    </xf>
    <xf numFmtId="0" fontId="4" fillId="0" borderId="23" xfId="0" applyFont="1" applyBorder="1"/>
    <xf numFmtId="0" fontId="9" fillId="0" borderId="10" xfId="0" applyFont="1" applyBorder="1" applyAlignment="1">
      <alignment horizontal="center"/>
    </xf>
    <xf numFmtId="0" fontId="4" fillId="0" borderId="41" xfId="0" applyFont="1" applyBorder="1" applyAlignment="1">
      <alignment horizontal="center"/>
    </xf>
    <xf numFmtId="0" fontId="11" fillId="0" borderId="28" xfId="0" applyFont="1" applyBorder="1" applyAlignment="1">
      <alignment horizontal="left"/>
    </xf>
    <xf numFmtId="0" fontId="11" fillId="3" borderId="10" xfId="0" applyFont="1" applyFill="1" applyBorder="1"/>
    <xf numFmtId="0" fontId="11" fillId="0" borderId="43" xfId="0" applyFont="1" applyBorder="1" applyAlignment="1">
      <alignment horizontal="left"/>
    </xf>
    <xf numFmtId="0" fontId="11" fillId="0" borderId="18" xfId="0" applyFont="1" applyBorder="1" applyAlignment="1">
      <alignment horizontal="left"/>
    </xf>
    <xf numFmtId="0" fontId="14" fillId="0" borderId="41" xfId="0" applyFont="1" applyBorder="1" applyAlignment="1">
      <alignment horizontal="left"/>
    </xf>
    <xf numFmtId="0" fontId="16" fillId="0" borderId="16" xfId="0" applyFont="1" applyBorder="1" applyAlignment="1">
      <alignment horizontal="center"/>
    </xf>
    <xf numFmtId="0" fontId="11" fillId="0" borderId="10" xfId="0" applyFont="1" applyBorder="1" applyAlignment="1">
      <alignment horizontal="center"/>
    </xf>
    <xf numFmtId="0" fontId="12" fillId="0" borderId="41" xfId="0" applyFont="1" applyBorder="1" applyAlignment="1">
      <alignment horizontal="center"/>
    </xf>
    <xf numFmtId="0" fontId="15" fillId="0" borderId="43" xfId="0" applyFont="1" applyBorder="1" applyAlignment="1">
      <alignment horizontal="right"/>
    </xf>
    <xf numFmtId="0" fontId="17" fillId="0" borderId="10" xfId="0" applyFont="1" applyBorder="1" applyAlignment="1">
      <alignment horizontal="center"/>
    </xf>
    <xf numFmtId="49" fontId="0" fillId="0" borderId="16" xfId="0" applyNumberFormat="1" applyBorder="1" applyAlignment="1">
      <alignment horizontal="right"/>
    </xf>
    <xf numFmtId="0" fontId="18" fillId="0" borderId="10" xfId="0" applyFont="1" applyBorder="1" applyAlignment="1">
      <alignment horizontal="center"/>
    </xf>
    <xf numFmtId="0" fontId="18" fillId="0" borderId="16" xfId="0" applyFont="1" applyBorder="1" applyAlignment="1">
      <alignment horizontal="center"/>
    </xf>
    <xf numFmtId="0" fontId="12" fillId="0" borderId="16" xfId="0" applyFont="1" applyBorder="1" applyAlignment="1">
      <alignment horizontal="center"/>
    </xf>
    <xf numFmtId="0" fontId="11" fillId="0" borderId="16" xfId="0" applyFont="1" applyBorder="1" applyAlignment="1">
      <alignment horizontal="center"/>
    </xf>
    <xf numFmtId="0" fontId="4" fillId="0" borderId="36" xfId="0" applyFont="1" applyBorder="1"/>
    <xf numFmtId="4" fontId="12" fillId="0" borderId="28" xfId="0" applyNumberFormat="1" applyFont="1" applyBorder="1" applyAlignment="1">
      <alignment horizontal="center"/>
    </xf>
    <xf numFmtId="0" fontId="9" fillId="0" borderId="21" xfId="0" applyFont="1" applyBorder="1"/>
    <xf numFmtId="49" fontId="23" fillId="0" borderId="16" xfId="0" applyNumberFormat="1" applyFont="1" applyBorder="1" applyAlignment="1">
      <alignment horizontal="right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4" fontId="4" fillId="0" borderId="16" xfId="0" applyNumberFormat="1" applyFont="1" applyBorder="1" applyAlignment="1">
      <alignment horizontal="right"/>
    </xf>
    <xf numFmtId="0" fontId="4" fillId="0" borderId="23" xfId="0" applyFont="1" applyBorder="1" applyAlignment="1">
      <alignment horizontal="center"/>
    </xf>
    <xf numFmtId="0" fontId="24" fillId="0" borderId="21" xfId="0" applyFont="1" applyBorder="1"/>
    <xf numFmtId="49" fontId="0" fillId="0" borderId="16" xfId="0" applyNumberFormat="1" applyFont="1" applyBorder="1" applyAlignment="1">
      <alignment horizontal="right"/>
    </xf>
    <xf numFmtId="0" fontId="0" fillId="0" borderId="6" xfId="0" applyBorder="1" applyAlignment="1">
      <alignment horizontal="right" vertical="center" wrapText="1"/>
    </xf>
    <xf numFmtId="0" fontId="0" fillId="0" borderId="4" xfId="0" applyBorder="1" applyAlignment="1">
      <alignment horizontal="right" vertical="center" wrapText="1"/>
    </xf>
    <xf numFmtId="0" fontId="0" fillId="0" borderId="7" xfId="0" applyBorder="1" applyAlignment="1">
      <alignment horizontal="right" vertical="center" wrapText="1"/>
    </xf>
    <xf numFmtId="0" fontId="0" fillId="0" borderId="25" xfId="0" applyBorder="1" applyAlignment="1">
      <alignment horizontal="right" vertical="center" wrapText="1"/>
    </xf>
    <xf numFmtId="0" fontId="0" fillId="0" borderId="30" xfId="0" applyBorder="1" applyAlignment="1">
      <alignment horizontal="right" vertical="center" wrapText="1"/>
    </xf>
    <xf numFmtId="0" fontId="0" fillId="0" borderId="26" xfId="0" applyBorder="1" applyAlignment="1">
      <alignment horizontal="right" vertical="center" wrapText="1"/>
    </xf>
    <xf numFmtId="43" fontId="13" fillId="0" borderId="8" xfId="1" applyFont="1" applyBorder="1" applyAlignment="1">
      <alignment horizontal="left" vertical="center"/>
    </xf>
    <xf numFmtId="43" fontId="13" fillId="0" borderId="17" xfId="1" applyFont="1" applyBorder="1" applyAlignment="1">
      <alignment horizontal="left" vertical="center"/>
    </xf>
    <xf numFmtId="0" fontId="0" fillId="0" borderId="6" xfId="0" applyBorder="1" applyAlignment="1">
      <alignment horizontal="center" vertical="center" wrapText="1"/>
    </xf>
    <xf numFmtId="0" fontId="0" fillId="0" borderId="4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0" fontId="0" fillId="0" borderId="30" xfId="0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5" fillId="3" borderId="10" xfId="0" applyFont="1" applyFill="1" applyBorder="1" applyAlignment="1">
      <alignment horizontal="center" vertical="center" textRotation="90"/>
    </xf>
    <xf numFmtId="0" fontId="5" fillId="3" borderId="21" xfId="0" applyFont="1" applyFill="1" applyBorder="1" applyAlignment="1">
      <alignment horizontal="center" vertical="center" textRotation="90"/>
    </xf>
    <xf numFmtId="0" fontId="5" fillId="3" borderId="18" xfId="0" applyFont="1" applyFill="1" applyBorder="1" applyAlignment="1">
      <alignment horizontal="center" vertical="center" textRotation="90"/>
    </xf>
    <xf numFmtId="0" fontId="4" fillId="0" borderId="12" xfId="0" applyFont="1" applyBorder="1" applyAlignment="1">
      <alignment horizontal="center"/>
    </xf>
    <xf numFmtId="0" fontId="4" fillId="0" borderId="28" xfId="0" applyFont="1" applyBorder="1" applyAlignment="1">
      <alignment horizontal="center"/>
    </xf>
    <xf numFmtId="0" fontId="4" fillId="0" borderId="23" xfId="0" applyFont="1" applyBorder="1" applyAlignment="1">
      <alignment horizontal="center"/>
    </xf>
    <xf numFmtId="0" fontId="0" fillId="0" borderId="46" xfId="0" applyBorder="1" applyAlignment="1">
      <alignment horizontal="right" wrapText="1"/>
    </xf>
    <xf numFmtId="0" fontId="0" fillId="0" borderId="34" xfId="0" applyBorder="1" applyAlignment="1">
      <alignment horizontal="right" wrapText="1"/>
    </xf>
    <xf numFmtId="44" fontId="8" fillId="0" borderId="33" xfId="0" applyNumberFormat="1" applyFont="1" applyBorder="1" applyAlignment="1">
      <alignment horizontal="left" vertical="center"/>
    </xf>
    <xf numFmtId="44" fontId="8" fillId="0" borderId="2" xfId="0" applyNumberFormat="1" applyFont="1" applyBorder="1" applyAlignment="1">
      <alignment horizontal="left" vertical="center"/>
    </xf>
    <xf numFmtId="44" fontId="8" fillId="0" borderId="38" xfId="0" applyNumberFormat="1" applyFont="1" applyBorder="1" applyAlignment="1">
      <alignment horizontal="left" vertical="center"/>
    </xf>
    <xf numFmtId="44" fontId="8" fillId="0" borderId="25" xfId="0" applyNumberFormat="1" applyFont="1" applyBorder="1" applyAlignment="1">
      <alignment horizontal="left" vertical="center"/>
    </xf>
    <xf numFmtId="44" fontId="8" fillId="0" borderId="30" xfId="0" applyNumberFormat="1" applyFont="1" applyBorder="1" applyAlignment="1">
      <alignment horizontal="left" vertical="center"/>
    </xf>
    <xf numFmtId="44" fontId="8" fillId="0" borderId="26" xfId="0" applyNumberFormat="1" applyFont="1" applyBorder="1" applyAlignment="1">
      <alignment horizontal="left" vertical="center"/>
    </xf>
    <xf numFmtId="0" fontId="3" fillId="0" borderId="10" xfId="0" applyFont="1" applyBorder="1" applyAlignment="1">
      <alignment horizontal="right" vertical="center" wrapText="1"/>
    </xf>
    <xf numFmtId="0" fontId="3" fillId="0" borderId="21" xfId="0" applyFont="1" applyBorder="1" applyAlignment="1">
      <alignment horizontal="right" vertical="center" wrapText="1"/>
    </xf>
    <xf numFmtId="165" fontId="19" fillId="0" borderId="6" xfId="0" applyNumberFormat="1" applyFont="1" applyBorder="1" applyAlignment="1">
      <alignment horizontal="left" vertical="center"/>
    </xf>
    <xf numFmtId="165" fontId="19" fillId="0" borderId="4" xfId="0" applyNumberFormat="1" applyFont="1" applyBorder="1" applyAlignment="1">
      <alignment horizontal="left" vertical="center"/>
    </xf>
    <xf numFmtId="165" fontId="19" fillId="0" borderId="7" xfId="0" applyNumberFormat="1" applyFont="1" applyBorder="1" applyAlignment="1">
      <alignment horizontal="left" vertical="center"/>
    </xf>
    <xf numFmtId="165" fontId="19" fillId="0" borderId="50" xfId="0" applyNumberFormat="1" applyFont="1" applyBorder="1" applyAlignment="1">
      <alignment horizontal="left" vertical="center"/>
    </xf>
    <xf numFmtId="165" fontId="19" fillId="0" borderId="51" xfId="0" applyNumberFormat="1" applyFont="1" applyBorder="1" applyAlignment="1">
      <alignment horizontal="left" vertical="center"/>
    </xf>
    <xf numFmtId="165" fontId="19" fillId="0" borderId="52" xfId="0" applyNumberFormat="1" applyFont="1" applyBorder="1" applyAlignment="1">
      <alignment horizontal="left" vertical="center"/>
    </xf>
    <xf numFmtId="0" fontId="4" fillId="0" borderId="24" xfId="0" applyFont="1" applyBorder="1" applyAlignment="1">
      <alignment horizontal="center"/>
    </xf>
    <xf numFmtId="0" fontId="4" fillId="0" borderId="5" xfId="0" applyFont="1" applyBorder="1" applyAlignment="1">
      <alignment horizontal="center"/>
    </xf>
    <xf numFmtId="0" fontId="4" fillId="0" borderId="20" xfId="0" applyFont="1" applyBorder="1" applyAlignment="1">
      <alignment horizontal="center"/>
    </xf>
    <xf numFmtId="4" fontId="4" fillId="0" borderId="16" xfId="0" applyNumberFormat="1" applyFont="1" applyBorder="1" applyAlignment="1">
      <alignment horizontal="right"/>
    </xf>
    <xf numFmtId="4" fontId="4" fillId="0" borderId="16" xfId="0" applyNumberFormat="1" applyFont="1" applyBorder="1" applyAlignment="1">
      <alignment horizontal="center"/>
    </xf>
    <xf numFmtId="0" fontId="5" fillId="3" borderId="8" xfId="0" applyFont="1" applyFill="1" applyBorder="1" applyAlignment="1">
      <alignment horizontal="center" vertical="center" textRotation="90"/>
    </xf>
    <xf numFmtId="0" fontId="5" fillId="3" borderId="13" xfId="0" applyFont="1" applyFill="1" applyBorder="1" applyAlignment="1">
      <alignment horizontal="center" vertical="center" textRotation="90"/>
    </xf>
    <xf numFmtId="0" fontId="5" fillId="3" borderId="17" xfId="0" applyFont="1" applyFill="1" applyBorder="1" applyAlignment="1">
      <alignment horizontal="center" vertical="center" textRotation="90"/>
    </xf>
    <xf numFmtId="4" fontId="4" fillId="0" borderId="11" xfId="0" applyNumberFormat="1" applyFont="1" applyBorder="1" applyAlignment="1">
      <alignment horizontal="right"/>
    </xf>
    <xf numFmtId="4" fontId="4" fillId="0" borderId="14" xfId="0" applyNumberFormat="1" applyFont="1" applyBorder="1" applyAlignment="1">
      <alignment horizontal="right"/>
    </xf>
    <xf numFmtId="4" fontId="4" fillId="0" borderId="19" xfId="0" applyNumberFormat="1" applyFont="1" applyBorder="1" applyAlignment="1">
      <alignment horizontal="right"/>
    </xf>
    <xf numFmtId="0" fontId="0" fillId="0" borderId="11" xfId="0" applyBorder="1" applyAlignment="1">
      <alignment horizontal="center"/>
    </xf>
    <xf numFmtId="0" fontId="0" fillId="0" borderId="14" xfId="0" applyBorder="1" applyAlignment="1">
      <alignment horizontal="center"/>
    </xf>
    <xf numFmtId="0" fontId="0" fillId="0" borderId="19" xfId="0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20" xfId="0" applyBorder="1" applyAlignment="1">
      <alignment horizontal="center"/>
    </xf>
    <xf numFmtId="44" fontId="12" fillId="3" borderId="16" xfId="0" applyNumberFormat="1" applyFont="1" applyFill="1" applyBorder="1" applyAlignment="1">
      <alignment horizontal="center"/>
    </xf>
    <xf numFmtId="0" fontId="0" fillId="0" borderId="6" xfId="0" applyBorder="1" applyAlignment="1">
      <alignment horizontal="right" vertical="center"/>
    </xf>
    <xf numFmtId="0" fontId="0" fillId="0" borderId="4" xfId="0" applyBorder="1" applyAlignment="1">
      <alignment horizontal="right" vertical="center"/>
    </xf>
    <xf numFmtId="0" fontId="0" fillId="0" borderId="7" xfId="0" applyBorder="1" applyAlignment="1">
      <alignment horizontal="right" vertical="center"/>
    </xf>
    <xf numFmtId="0" fontId="0" fillId="0" borderId="25" xfId="0" applyBorder="1" applyAlignment="1">
      <alignment horizontal="right" vertical="center"/>
    </xf>
    <xf numFmtId="0" fontId="0" fillId="0" borderId="30" xfId="0" applyBorder="1" applyAlignment="1">
      <alignment horizontal="right" vertical="center"/>
    </xf>
    <xf numFmtId="0" fontId="0" fillId="0" borderId="26" xfId="0" applyBorder="1" applyAlignment="1">
      <alignment horizontal="right" vertical="center"/>
    </xf>
    <xf numFmtId="43" fontId="4" fillId="0" borderId="45" xfId="1" applyFont="1" applyBorder="1" applyAlignment="1">
      <alignment horizontal="left" vertical="center"/>
    </xf>
    <xf numFmtId="43" fontId="4" fillId="0" borderId="44" xfId="1" applyFont="1" applyBorder="1" applyAlignment="1">
      <alignment horizontal="left" vertical="center"/>
    </xf>
    <xf numFmtId="0" fontId="0" fillId="0" borderId="9" xfId="0" applyBorder="1" applyAlignment="1">
      <alignment horizontal="right" vertical="center" wrapText="1"/>
    </xf>
    <xf numFmtId="0" fontId="0" fillId="0" borderId="35" xfId="0" applyBorder="1" applyAlignment="1">
      <alignment horizontal="right" vertical="center" wrapText="1"/>
    </xf>
    <xf numFmtId="0" fontId="0" fillId="3" borderId="16" xfId="0" applyFill="1" applyBorder="1" applyAlignment="1">
      <alignment horizontal="center"/>
    </xf>
    <xf numFmtId="44" fontId="11" fillId="3" borderId="16" xfId="0" applyNumberFormat="1" applyFont="1" applyFill="1" applyBorder="1" applyAlignment="1">
      <alignment horizontal="right"/>
    </xf>
    <xf numFmtId="0" fontId="11" fillId="0" borderId="32" xfId="0" applyFont="1" applyBorder="1" applyAlignment="1">
      <alignment horizontal="center"/>
    </xf>
    <xf numFmtId="0" fontId="11" fillId="0" borderId="15" xfId="0" applyFont="1" applyBorder="1" applyAlignment="1">
      <alignment horizontal="center"/>
    </xf>
    <xf numFmtId="0" fontId="11" fillId="0" borderId="39" xfId="0" applyFont="1" applyBorder="1" applyAlignment="1">
      <alignment horizontal="center"/>
    </xf>
    <xf numFmtId="4" fontId="12" fillId="0" borderId="16" xfId="0" applyNumberFormat="1" applyFont="1" applyBorder="1" applyAlignment="1">
      <alignment horizontal="right"/>
    </xf>
    <xf numFmtId="4" fontId="4" fillId="0" borderId="23" xfId="0" applyNumberFormat="1" applyFont="1" applyBorder="1" applyAlignment="1">
      <alignment horizontal="right"/>
    </xf>
    <xf numFmtId="44" fontId="4" fillId="0" borderId="27" xfId="0" applyNumberFormat="1" applyFont="1" applyBorder="1" applyAlignment="1">
      <alignment horizontal="center"/>
    </xf>
    <xf numFmtId="44" fontId="4" fillId="0" borderId="41" xfId="0" applyNumberFormat="1" applyFont="1" applyBorder="1" applyAlignment="1">
      <alignment horizontal="center"/>
    </xf>
    <xf numFmtId="44" fontId="4" fillId="0" borderId="22" xfId="0" applyNumberFormat="1" applyFont="1" applyBorder="1" applyAlignment="1">
      <alignment horizontal="center"/>
    </xf>
    <xf numFmtId="44" fontId="4" fillId="0" borderId="12" xfId="0" applyNumberFormat="1" applyFont="1" applyBorder="1" applyAlignment="1">
      <alignment horizontal="right"/>
    </xf>
    <xf numFmtId="44" fontId="4" fillId="0" borderId="28" xfId="0" applyNumberFormat="1" applyFont="1" applyBorder="1" applyAlignment="1">
      <alignment horizontal="right"/>
    </xf>
    <xf numFmtId="44" fontId="4" fillId="0" borderId="23" xfId="0" applyNumberFormat="1" applyFont="1" applyBorder="1" applyAlignment="1">
      <alignment horizontal="right"/>
    </xf>
    <xf numFmtId="44" fontId="4" fillId="0" borderId="11" xfId="0" applyNumberFormat="1" applyFont="1" applyBorder="1" applyAlignment="1">
      <alignment horizontal="right"/>
    </xf>
    <xf numFmtId="44" fontId="4" fillId="0" borderId="14" xfId="0" applyNumberFormat="1" applyFont="1" applyBorder="1" applyAlignment="1">
      <alignment horizontal="right"/>
    </xf>
    <xf numFmtId="44" fontId="4" fillId="0" borderId="19" xfId="0" applyNumberFormat="1" applyFont="1" applyBorder="1" applyAlignment="1">
      <alignment horizontal="right"/>
    </xf>
    <xf numFmtId="44" fontId="4" fillId="0" borderId="47" xfId="0" applyNumberFormat="1" applyFont="1" applyBorder="1" applyAlignment="1">
      <alignment horizontal="right"/>
    </xf>
    <xf numFmtId="44" fontId="4" fillId="0" borderId="48" xfId="0" applyNumberFormat="1" applyFont="1" applyBorder="1" applyAlignment="1">
      <alignment horizontal="right"/>
    </xf>
    <xf numFmtId="44" fontId="4" fillId="0" borderId="49" xfId="0" applyNumberFormat="1" applyFont="1" applyBorder="1" applyAlignment="1">
      <alignment horizontal="right"/>
    </xf>
    <xf numFmtId="43" fontId="4" fillId="0" borderId="12" xfId="1" applyFont="1" applyBorder="1" applyAlignment="1">
      <alignment horizontal="left"/>
    </xf>
    <xf numFmtId="43" fontId="4" fillId="0" borderId="28" xfId="1" applyFont="1" applyBorder="1" applyAlignment="1">
      <alignment horizontal="left"/>
    </xf>
    <xf numFmtId="43" fontId="4" fillId="0" borderId="23" xfId="1" applyFont="1" applyBorder="1" applyAlignment="1">
      <alignment horizontal="left"/>
    </xf>
    <xf numFmtId="0" fontId="11" fillId="0" borderId="12" xfId="0" applyFont="1" applyBorder="1" applyAlignment="1">
      <alignment horizontal="left"/>
    </xf>
    <xf numFmtId="0" fontId="11" fillId="0" borderId="23" xfId="0" applyFont="1" applyBorder="1" applyAlignment="1">
      <alignment horizontal="left"/>
    </xf>
    <xf numFmtId="43" fontId="12" fillId="0" borderId="12" xfId="1" applyFont="1" applyBorder="1" applyAlignment="1">
      <alignment horizontal="left"/>
    </xf>
    <xf numFmtId="43" fontId="12" fillId="0" borderId="28" xfId="1" applyFont="1" applyBorder="1" applyAlignment="1">
      <alignment horizontal="left"/>
    </xf>
    <xf numFmtId="43" fontId="12" fillId="0" borderId="23" xfId="1" applyFont="1" applyBorder="1" applyAlignment="1">
      <alignment horizontal="left"/>
    </xf>
    <xf numFmtId="0" fontId="0" fillId="0" borderId="27" xfId="0" applyBorder="1" applyAlignment="1">
      <alignment horizontal="left"/>
    </xf>
    <xf numFmtId="0" fontId="0" fillId="0" borderId="23" xfId="0" applyBorder="1" applyAlignment="1">
      <alignment horizontal="left"/>
    </xf>
    <xf numFmtId="43" fontId="6" fillId="0" borderId="27" xfId="1" applyFont="1" applyBorder="1" applyAlignment="1">
      <alignment horizontal="right"/>
    </xf>
    <xf numFmtId="43" fontId="6" fillId="0" borderId="41" xfId="1" applyFont="1" applyBorder="1" applyAlignment="1">
      <alignment horizontal="right"/>
    </xf>
    <xf numFmtId="43" fontId="6" fillId="0" borderId="22" xfId="1" applyFont="1" applyBorder="1" applyAlignment="1">
      <alignment horizontal="right"/>
    </xf>
    <xf numFmtId="0" fontId="2" fillId="0" borderId="0" xfId="0" applyFont="1" applyAlignment="1">
      <alignment horizontal="center" vertical="center"/>
    </xf>
    <xf numFmtId="0" fontId="0" fillId="0" borderId="31" xfId="0" applyBorder="1" applyAlignment="1">
      <alignment horizontal="left" vertical="center"/>
    </xf>
    <xf numFmtId="0" fontId="0" fillId="0" borderId="34" xfId="0" applyBorder="1" applyAlignment="1">
      <alignment horizontal="left" vertical="center"/>
    </xf>
    <xf numFmtId="0" fontId="8" fillId="0" borderId="8" xfId="0" applyFont="1" applyBorder="1" applyAlignment="1">
      <alignment horizontal="center" vertical="center"/>
    </xf>
    <xf numFmtId="0" fontId="8" fillId="0" borderId="17" xfId="0" applyFont="1" applyBorder="1" applyAlignment="1">
      <alignment horizontal="center" vertical="center"/>
    </xf>
    <xf numFmtId="0" fontId="0" fillId="0" borderId="8" xfId="0" applyBorder="1" applyAlignment="1">
      <alignment horizontal="left" vertical="center"/>
    </xf>
    <xf numFmtId="0" fontId="0" fillId="0" borderId="17" xfId="0" applyBorder="1" applyAlignment="1">
      <alignment horizontal="left" vertical="center"/>
    </xf>
    <xf numFmtId="164" fontId="0" fillId="0" borderId="6" xfId="0" applyNumberFormat="1" applyBorder="1" applyAlignment="1">
      <alignment horizontal="center" vertical="center"/>
    </xf>
    <xf numFmtId="164" fontId="0" fillId="0" borderId="7" xfId="0" applyNumberFormat="1" applyBorder="1" applyAlignment="1">
      <alignment horizontal="center" vertical="center"/>
    </xf>
    <xf numFmtId="164" fontId="0" fillId="0" borderId="25" xfId="0" applyNumberFormat="1" applyBorder="1" applyAlignment="1">
      <alignment horizontal="center" vertical="center"/>
    </xf>
    <xf numFmtId="164" fontId="0" fillId="0" borderId="26" xfId="0" applyNumberFormat="1" applyBorder="1" applyAlignment="1">
      <alignment horizontal="center" vertical="center"/>
    </xf>
    <xf numFmtId="0" fontId="0" fillId="0" borderId="10" xfId="0" applyBorder="1" applyAlignment="1">
      <alignment horizontal="left" vertical="center"/>
    </xf>
    <xf numFmtId="0" fontId="0" fillId="0" borderId="18" xfId="0" applyBorder="1" applyAlignment="1">
      <alignment horizontal="left" vertical="center"/>
    </xf>
    <xf numFmtId="0" fontId="7" fillId="0" borderId="27" xfId="0" applyFont="1" applyBorder="1" applyAlignment="1">
      <alignment horizontal="center" vertical="center"/>
    </xf>
    <xf numFmtId="0" fontId="7" fillId="0" borderId="41" xfId="0" applyFont="1" applyBorder="1" applyAlignment="1">
      <alignment horizontal="center" vertical="center"/>
    </xf>
    <xf numFmtId="0" fontId="7" fillId="0" borderId="22" xfId="0" applyFont="1" applyBorder="1" applyAlignment="1">
      <alignment horizontal="center" vertical="center"/>
    </xf>
    <xf numFmtId="0" fontId="7" fillId="0" borderId="29" xfId="0" applyFont="1" applyBorder="1" applyAlignment="1">
      <alignment horizontal="center" vertical="center"/>
    </xf>
    <xf numFmtId="0" fontId="7" fillId="0" borderId="43" xfId="0" applyFont="1" applyBorder="1" applyAlignment="1">
      <alignment horizontal="center" vertical="center"/>
    </xf>
    <xf numFmtId="0" fontId="7" fillId="0" borderId="42" xfId="0" applyFont="1" applyBorder="1" applyAlignment="1">
      <alignment horizontal="center" vertical="center"/>
    </xf>
    <xf numFmtId="0" fontId="0" fillId="0" borderId="21" xfId="0" applyBorder="1" applyAlignment="1">
      <alignment horizontal="left" vertical="center"/>
    </xf>
    <xf numFmtId="0" fontId="0" fillId="0" borderId="36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40" xfId="0" applyBorder="1" applyAlignment="1">
      <alignment horizontal="center" vertical="center"/>
    </xf>
    <xf numFmtId="0" fontId="0" fillId="0" borderId="29" xfId="0" applyBorder="1" applyAlignment="1">
      <alignment horizontal="center" vertical="center"/>
    </xf>
    <xf numFmtId="0" fontId="0" fillId="0" borderId="43" xfId="0" applyBorder="1" applyAlignment="1">
      <alignment horizontal="center" vertical="center"/>
    </xf>
    <xf numFmtId="0" fontId="0" fillId="0" borderId="42" xfId="0" applyBorder="1" applyAlignment="1">
      <alignment horizontal="center" vertical="center"/>
    </xf>
    <xf numFmtId="0" fontId="0" fillId="0" borderId="27" xfId="0" applyBorder="1" applyAlignment="1">
      <alignment horizontal="center" vertical="center"/>
    </xf>
    <xf numFmtId="0" fontId="0" fillId="0" borderId="41" xfId="0" applyBorder="1" applyAlignment="1">
      <alignment horizontal="center" vertical="center"/>
    </xf>
    <xf numFmtId="0" fontId="0" fillId="0" borderId="22" xfId="0" applyBorder="1" applyAlignment="1">
      <alignment horizontal="center" vertical="center"/>
    </xf>
    <xf numFmtId="0" fontId="0" fillId="0" borderId="12" xfId="0" applyBorder="1" applyAlignment="1">
      <alignment horizontal="center"/>
    </xf>
    <xf numFmtId="0" fontId="0" fillId="0" borderId="28" xfId="0" applyBorder="1" applyAlignment="1">
      <alignment horizontal="center"/>
    </xf>
    <xf numFmtId="0" fontId="0" fillId="0" borderId="23" xfId="0" applyBorder="1" applyAlignment="1">
      <alignment horizontal="center"/>
    </xf>
    <xf numFmtId="0" fontId="0" fillId="0" borderId="12" xfId="0" applyBorder="1" applyAlignment="1">
      <alignment horizontal="left"/>
    </xf>
    <xf numFmtId="165" fontId="21" fillId="0" borderId="6" xfId="0" applyNumberFormat="1" applyFont="1" applyBorder="1" applyAlignment="1">
      <alignment horizontal="left" vertical="center"/>
    </xf>
    <xf numFmtId="165" fontId="21" fillId="0" borderId="4" xfId="0" applyNumberFormat="1" applyFont="1" applyBorder="1" applyAlignment="1">
      <alignment horizontal="left" vertical="center"/>
    </xf>
    <xf numFmtId="165" fontId="21" fillId="0" borderId="7" xfId="0" applyNumberFormat="1" applyFont="1" applyBorder="1" applyAlignment="1">
      <alignment horizontal="left" vertical="center"/>
    </xf>
    <xf numFmtId="165" fontId="21" fillId="0" borderId="50" xfId="0" applyNumberFormat="1" applyFont="1" applyBorder="1" applyAlignment="1">
      <alignment horizontal="left" vertical="center"/>
    </xf>
    <xf numFmtId="165" fontId="21" fillId="0" borderId="51" xfId="0" applyNumberFormat="1" applyFont="1" applyBorder="1" applyAlignment="1">
      <alignment horizontal="left" vertical="center"/>
    </xf>
    <xf numFmtId="165" fontId="21" fillId="0" borderId="52" xfId="0" applyNumberFormat="1" applyFont="1" applyBorder="1" applyAlignment="1">
      <alignment horizontal="left" vertical="center"/>
    </xf>
    <xf numFmtId="4" fontId="12" fillId="0" borderId="23" xfId="0" applyNumberFormat="1" applyFont="1" applyBorder="1"/>
    <xf numFmtId="4" fontId="12" fillId="0" borderId="16" xfId="0" applyNumberFormat="1" applyFont="1" applyBorder="1"/>
    <xf numFmtId="4" fontId="4" fillId="0" borderId="23" xfId="0" applyNumberFormat="1" applyFont="1" applyBorder="1"/>
    <xf numFmtId="4" fontId="4" fillId="0" borderId="16" xfId="0" applyNumberFormat="1" applyFont="1" applyBorder="1"/>
    <xf numFmtId="44" fontId="0" fillId="3" borderId="16" xfId="0" applyNumberFormat="1" applyFill="1" applyBorder="1" applyAlignment="1">
      <alignment horizontal="right"/>
    </xf>
    <xf numFmtId="44" fontId="12" fillId="3" borderId="16" xfId="0" applyNumberFormat="1" applyFont="1" applyFill="1" applyBorder="1" applyAlignment="1">
      <alignment horizontal="right"/>
    </xf>
    <xf numFmtId="0" fontId="0" fillId="0" borderId="10" xfId="0" applyFont="1" applyBorder="1" applyAlignment="1">
      <alignment horizontal="right" vertical="center" wrapText="1"/>
    </xf>
    <xf numFmtId="0" fontId="0" fillId="0" borderId="21" xfId="0" applyFont="1" applyBorder="1" applyAlignment="1">
      <alignment horizontal="right" vertical="center" wrapText="1"/>
    </xf>
    <xf numFmtId="165" fontId="8" fillId="0" borderId="6" xfId="0" applyNumberFormat="1" applyFont="1" applyBorder="1" applyAlignment="1">
      <alignment horizontal="left" vertical="center"/>
    </xf>
    <xf numFmtId="165" fontId="8" fillId="0" borderId="4" xfId="0" applyNumberFormat="1" applyFont="1" applyBorder="1" applyAlignment="1">
      <alignment horizontal="left" vertical="center"/>
    </xf>
    <xf numFmtId="165" fontId="8" fillId="0" borderId="7" xfId="0" applyNumberFormat="1" applyFont="1" applyBorder="1" applyAlignment="1">
      <alignment horizontal="left" vertical="center"/>
    </xf>
    <xf numFmtId="165" fontId="8" fillId="0" borderId="50" xfId="0" applyNumberFormat="1" applyFont="1" applyBorder="1" applyAlignment="1">
      <alignment horizontal="left" vertical="center"/>
    </xf>
    <xf numFmtId="165" fontId="8" fillId="0" borderId="51" xfId="0" applyNumberFormat="1" applyFont="1" applyBorder="1" applyAlignment="1">
      <alignment horizontal="left" vertical="center"/>
    </xf>
    <xf numFmtId="165" fontId="8" fillId="0" borderId="52" xfId="0" applyNumberFormat="1" applyFont="1" applyBorder="1" applyAlignment="1">
      <alignment horizontal="left" vertical="center"/>
    </xf>
  </cellXfs>
  <cellStyles count="2">
    <cellStyle name="Comma" xfId="1" builtinId="3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worksheet" Target="worksheets/sheet39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50" Type="http://schemas.openxmlformats.org/officeDocument/2006/relationships/worksheet" Target="worksheets/sheet50.xml"/><Relationship Id="rId55" Type="http://schemas.openxmlformats.org/officeDocument/2006/relationships/styles" Target="styles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worksheet" Target="worksheets/sheet29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53" Type="http://schemas.openxmlformats.org/officeDocument/2006/relationships/worksheet" Target="worksheets/sheet53.xml"/><Relationship Id="rId5" Type="http://schemas.openxmlformats.org/officeDocument/2006/relationships/worksheet" Target="worksheets/sheet5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56" Type="http://schemas.openxmlformats.org/officeDocument/2006/relationships/sharedStrings" Target="sharedStrings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worksheet" Target="worksheets/sheet46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54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worksheet" Target="worksheets/sheet49.xml"/><Relationship Id="rId57" Type="http://schemas.openxmlformats.org/officeDocument/2006/relationships/calcChain" Target="calcChain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worksheet" Target="worksheets/sheet52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12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1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4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5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16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1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8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9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20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2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2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24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2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6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27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28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2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0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1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32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3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4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5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36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3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8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9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0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4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4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4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6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7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8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4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0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51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52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3D675EB-04EB-4CB3-8CC5-A8E74845893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EC91C7C-41C3-42C7-92F8-033B1988C59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116FEA1-9A98-4E5C-8843-BEB7AD340B6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41B81C2-7D02-4049-BB74-BD9D5E1F052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E6F6C73-20B9-4193-AA14-2AE4C5C7BAE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1124A97-DDE3-42D1-8BF5-F4FA8126E54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F085DA1-7D53-471E-A6BA-2ED3CC7543A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2C2FC46-AD4D-4648-ADB9-2916DB4E6E0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63323EA-19D5-440B-A1B5-A7C612024D1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9DEEDEF-5EB7-4088-B127-F6A2585F7B1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9842448-6AE6-4074-8451-602791138E8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B45E2DB-377E-4DD2-B5D3-64EFC055666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01DD293-B550-4AA4-A4CE-B8FFEFE95EB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98952A3-A03A-4144-8B3D-0301401348B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1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DE9CE05-D2CA-4430-8EF2-C8DFE3A60AA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1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FC1DBC5-2CFF-4A44-B4D7-8273DA73276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1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05A2A13-17F5-4C98-B126-A70CE9547E7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1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191D5BA-F84F-4A78-9A55-CA8B8538092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1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F5EC14A-8C4C-46B7-AC7C-4414D355171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2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D445A89-6329-4D2F-83A1-3C1525120E2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2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3579CFB-4B88-49D8-9737-8B41C3150DC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2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2149AFA-BE10-48FB-8694-08515839891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2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F913F7C-829F-46F1-B268-D3BFB87AEA6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2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864E4E1-F86B-4538-9BF6-1AC65178387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2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BDE8787-CAEF-4F12-B1D7-DE8A415982A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2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109AAAA-579C-421C-B600-27F90F4944C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2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F74B69C-B580-4F76-BFED-307359961DE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2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B8C1C04-19A7-47D8-84A6-98E011D840D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2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EC11F4F-5EC0-4C60-AAC9-830BC55532F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3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82A0432-A0B1-4045-BDE9-6BDC589AB6B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3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615C042-B5ED-4A95-B439-341B29CAD83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3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354B6BC-6C34-4AF5-889E-ACC489427B3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3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BAA96A0-576A-4A5E-8DB1-7FF7656058E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3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C389C48-1DBC-41FC-AB5E-F0C07DEB437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3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6B32DB5-62C5-49D4-814F-B875F04624F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3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F74A6DA-A006-4F74-A954-685C79A1686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3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B900DC6-3BF0-4709-8882-C58FBEE5206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3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5BEAFC5-C9BA-41E6-AD50-D6800A5AC47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3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AA7878B-8A91-45DD-938E-7DB96724CD1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4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34A51C8-B4B3-429B-9E87-79385D3800D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4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4DCFDB3-1A68-4FE9-86B3-FC6364A0A79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4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620A013-E0A2-4E07-8D0E-CB72BD8A9E8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4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B719F4E-A94F-4292-A121-10640D40165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4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C8302C8-1CFA-45BD-BD2F-4B926AD9E36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4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240503D-85F6-41FA-95D3-93F79EC68FB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4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0725F3B-AF57-418C-A772-E0F412AC73D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4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2C2C95A-4409-4FD2-9378-1F8734C855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4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B8D0082-FCA7-490B-886F-1FDF41B4160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4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9B23162-9FBC-4F30-B0B5-24239F934A4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5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9F9B4CB-FAB1-4FAB-AFEC-64771F2816D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5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7F29212-524F-44EC-976E-BC2CB34F836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5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CB2E6C1-A672-4577-8A57-457D31568C8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2.xml"/><Relationship Id="rId1" Type="http://schemas.openxmlformats.org/officeDocument/2006/relationships/printerSettings" Target="../printerSettings/printerSettings12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3.xml"/><Relationship Id="rId1" Type="http://schemas.openxmlformats.org/officeDocument/2006/relationships/printerSettings" Target="../printerSettings/printerSettings13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4.xml"/><Relationship Id="rId1" Type="http://schemas.openxmlformats.org/officeDocument/2006/relationships/printerSettings" Target="../printerSettings/printerSettings14.bin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5.xml"/><Relationship Id="rId1" Type="http://schemas.openxmlformats.org/officeDocument/2006/relationships/printerSettings" Target="../printerSettings/printerSettings15.bin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6.xml"/><Relationship Id="rId1" Type="http://schemas.openxmlformats.org/officeDocument/2006/relationships/printerSettings" Target="../printerSettings/printerSettings16.bin"/></Relationships>
</file>

<file path=xl/worksheets/_rels/sheet1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7.xml"/><Relationship Id="rId1" Type="http://schemas.openxmlformats.org/officeDocument/2006/relationships/printerSettings" Target="../printerSettings/printerSettings17.bin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8.xml"/><Relationship Id="rId1" Type="http://schemas.openxmlformats.org/officeDocument/2006/relationships/printerSettings" Target="../printerSettings/printerSettings18.bin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9.xml"/><Relationship Id="rId1" Type="http://schemas.openxmlformats.org/officeDocument/2006/relationships/printerSettings" Target="../printerSettings/printerSettings19.bin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0.xml"/><Relationship Id="rId1" Type="http://schemas.openxmlformats.org/officeDocument/2006/relationships/printerSettings" Target="../printerSettings/printerSettings20.bin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1.xml"/><Relationship Id="rId1" Type="http://schemas.openxmlformats.org/officeDocument/2006/relationships/printerSettings" Target="../printerSettings/printerSettings21.bin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2.xml"/><Relationship Id="rId1" Type="http://schemas.openxmlformats.org/officeDocument/2006/relationships/printerSettings" Target="../printerSettings/printerSettings22.bin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3.xml"/><Relationship Id="rId1" Type="http://schemas.openxmlformats.org/officeDocument/2006/relationships/printerSettings" Target="../printerSettings/printerSettings23.bin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4.xml"/><Relationship Id="rId1" Type="http://schemas.openxmlformats.org/officeDocument/2006/relationships/printerSettings" Target="../printerSettings/printerSettings24.bin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5.xml"/><Relationship Id="rId1" Type="http://schemas.openxmlformats.org/officeDocument/2006/relationships/printerSettings" Target="../printerSettings/printerSettings25.bin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6.xml"/><Relationship Id="rId1" Type="http://schemas.openxmlformats.org/officeDocument/2006/relationships/printerSettings" Target="../printerSettings/printerSettings26.bin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7.xml"/><Relationship Id="rId1" Type="http://schemas.openxmlformats.org/officeDocument/2006/relationships/printerSettings" Target="../printerSettings/printerSettings27.bin"/></Relationships>
</file>

<file path=xl/worksheets/_rels/sheet2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8.xml"/><Relationship Id="rId1" Type="http://schemas.openxmlformats.org/officeDocument/2006/relationships/printerSettings" Target="../printerSettings/printerSettings28.bin"/></Relationships>
</file>

<file path=xl/worksheets/_rels/sheet3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9.xml"/><Relationship Id="rId1" Type="http://schemas.openxmlformats.org/officeDocument/2006/relationships/printerSettings" Target="../printerSettings/printerSettings29.bin"/></Relationships>
</file>

<file path=xl/worksheets/_rels/sheet3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0.xml"/><Relationship Id="rId1" Type="http://schemas.openxmlformats.org/officeDocument/2006/relationships/printerSettings" Target="../printerSettings/printerSettings30.bin"/></Relationships>
</file>

<file path=xl/worksheets/_rels/sheet3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1.xml"/><Relationship Id="rId1" Type="http://schemas.openxmlformats.org/officeDocument/2006/relationships/printerSettings" Target="../printerSettings/printerSettings31.bin"/></Relationships>
</file>

<file path=xl/worksheets/_rels/sheet3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2.xml"/><Relationship Id="rId1" Type="http://schemas.openxmlformats.org/officeDocument/2006/relationships/printerSettings" Target="../printerSettings/printerSettings32.bin"/></Relationships>
</file>

<file path=xl/worksheets/_rels/sheet3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3.xml"/><Relationship Id="rId1" Type="http://schemas.openxmlformats.org/officeDocument/2006/relationships/printerSettings" Target="../printerSettings/printerSettings33.bin"/></Relationships>
</file>

<file path=xl/worksheets/_rels/sheet3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4.xml"/><Relationship Id="rId1" Type="http://schemas.openxmlformats.org/officeDocument/2006/relationships/printerSettings" Target="../printerSettings/printerSettings34.bin"/></Relationships>
</file>

<file path=xl/worksheets/_rels/sheet3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5.xml"/><Relationship Id="rId1" Type="http://schemas.openxmlformats.org/officeDocument/2006/relationships/printerSettings" Target="../printerSettings/printerSettings35.bin"/></Relationships>
</file>

<file path=xl/worksheets/_rels/sheet3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6.xml"/><Relationship Id="rId1" Type="http://schemas.openxmlformats.org/officeDocument/2006/relationships/printerSettings" Target="../printerSettings/printerSettings36.bin"/></Relationships>
</file>

<file path=xl/worksheets/_rels/sheet3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7.xml"/><Relationship Id="rId1" Type="http://schemas.openxmlformats.org/officeDocument/2006/relationships/printerSettings" Target="../printerSettings/printerSettings37.bin"/></Relationships>
</file>

<file path=xl/worksheets/_rels/sheet3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8.xml"/><Relationship Id="rId1" Type="http://schemas.openxmlformats.org/officeDocument/2006/relationships/printerSettings" Target="../printerSettings/printerSettings38.bin"/></Relationships>
</file>

<file path=xl/worksheets/_rels/sheet4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9.xml"/><Relationship Id="rId1" Type="http://schemas.openxmlformats.org/officeDocument/2006/relationships/printerSettings" Target="../printerSettings/printerSettings39.bin"/></Relationships>
</file>

<file path=xl/worksheets/_rels/sheet4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0.xml"/><Relationship Id="rId1" Type="http://schemas.openxmlformats.org/officeDocument/2006/relationships/printerSettings" Target="../printerSettings/printerSettings40.bin"/></Relationships>
</file>

<file path=xl/worksheets/_rels/sheet4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1.xml"/><Relationship Id="rId1" Type="http://schemas.openxmlformats.org/officeDocument/2006/relationships/printerSettings" Target="../printerSettings/printerSettings41.bin"/></Relationships>
</file>

<file path=xl/worksheets/_rels/sheet4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2.xml"/><Relationship Id="rId1" Type="http://schemas.openxmlformats.org/officeDocument/2006/relationships/printerSettings" Target="../printerSettings/printerSettings42.bin"/></Relationships>
</file>

<file path=xl/worksheets/_rels/sheet4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3.xml"/><Relationship Id="rId1" Type="http://schemas.openxmlformats.org/officeDocument/2006/relationships/printerSettings" Target="../printerSettings/printerSettings43.bin"/></Relationships>
</file>

<file path=xl/worksheets/_rels/sheet4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4.xml"/><Relationship Id="rId1" Type="http://schemas.openxmlformats.org/officeDocument/2006/relationships/printerSettings" Target="../printerSettings/printerSettings44.bin"/></Relationships>
</file>

<file path=xl/worksheets/_rels/sheet4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5.xml"/><Relationship Id="rId1" Type="http://schemas.openxmlformats.org/officeDocument/2006/relationships/printerSettings" Target="../printerSettings/printerSettings45.bin"/></Relationships>
</file>

<file path=xl/worksheets/_rels/sheet4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6.xml"/><Relationship Id="rId1" Type="http://schemas.openxmlformats.org/officeDocument/2006/relationships/printerSettings" Target="../printerSettings/printerSettings46.bin"/></Relationships>
</file>

<file path=xl/worksheets/_rels/sheet4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7.xml"/><Relationship Id="rId1" Type="http://schemas.openxmlformats.org/officeDocument/2006/relationships/printerSettings" Target="../printerSettings/printerSettings47.bin"/></Relationships>
</file>

<file path=xl/worksheets/_rels/sheet4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8.xml"/><Relationship Id="rId1" Type="http://schemas.openxmlformats.org/officeDocument/2006/relationships/printerSettings" Target="../printerSettings/printerSettings48.bin"/></Relationships>
</file>

<file path=xl/worksheets/_rels/sheet5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9.xml"/><Relationship Id="rId1" Type="http://schemas.openxmlformats.org/officeDocument/2006/relationships/printerSettings" Target="../printerSettings/printerSettings49.bin"/></Relationships>
</file>

<file path=xl/worksheets/_rels/sheet5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0.xml"/><Relationship Id="rId1" Type="http://schemas.openxmlformats.org/officeDocument/2006/relationships/printerSettings" Target="../printerSettings/printerSettings50.bin"/></Relationships>
</file>

<file path=xl/worksheets/_rels/sheet5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1.xml"/><Relationship Id="rId1" Type="http://schemas.openxmlformats.org/officeDocument/2006/relationships/printerSettings" Target="../printerSettings/printerSettings51.bin"/></Relationships>
</file>

<file path=xl/worksheets/_rels/sheet5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2.xml"/><Relationship Id="rId1" Type="http://schemas.openxmlformats.org/officeDocument/2006/relationships/printerSettings" Target="../printerSettings/printerSettings5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4E2826-7E98-4473-9814-1B8909A373CC}">
  <dimension ref="A1"/>
  <sheetViews>
    <sheetView workbookViewId="0">
      <selection activeCell="I4" sqref="I4:J5"/>
    </sheetView>
  </sheetViews>
  <sheetFormatPr defaultRowHeight="15" x14ac:dyDescent="0.25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93D2B3-49A0-4239-88D5-D34331C56E79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88" t="s">
        <v>1</v>
      </c>
      <c r="O1" s="188"/>
      <c r="P1" s="85" t="s">
        <v>2</v>
      </c>
      <c r="Q1" s="85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39" t="s">
        <v>7</v>
      </c>
      <c r="B4" s="140"/>
      <c r="C4" s="140"/>
      <c r="D4" s="141"/>
      <c r="F4" s="189" t="s">
        <v>8</v>
      </c>
      <c r="G4" s="191"/>
      <c r="H4" s="193" t="s">
        <v>9</v>
      </c>
      <c r="I4" s="195"/>
      <c r="J4" s="19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33" t="s">
        <v>7</v>
      </c>
      <c r="B5" s="15" t="s">
        <v>11</v>
      </c>
      <c r="C5" s="9" t="s">
        <v>12</v>
      </c>
      <c r="D5" s="25" t="s">
        <v>13</v>
      </c>
      <c r="F5" s="190"/>
      <c r="G5" s="192"/>
      <c r="H5" s="194"/>
      <c r="I5" s="197"/>
      <c r="J5" s="19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34"/>
      <c r="B6" s="16"/>
      <c r="C6" s="10"/>
      <c r="D6" s="13">
        <f t="shared" ref="D6:D28" si="1">C6*L6</f>
        <v>0</v>
      </c>
      <c r="F6" s="199" t="s">
        <v>16</v>
      </c>
      <c r="G6" s="201"/>
      <c r="H6" s="202"/>
      <c r="I6" s="202"/>
      <c r="J6" s="203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34"/>
      <c r="B7" s="16"/>
      <c r="C7" s="10"/>
      <c r="D7" s="13">
        <f t="shared" si="1"/>
        <v>0</v>
      </c>
      <c r="F7" s="200"/>
      <c r="G7" s="204"/>
      <c r="H7" s="205"/>
      <c r="I7" s="205"/>
      <c r="J7" s="206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34"/>
      <c r="B8" s="16"/>
      <c r="C8" s="10"/>
      <c r="D8" s="13">
        <f t="shared" si="1"/>
        <v>0</v>
      </c>
      <c r="F8" s="207" t="s">
        <v>21</v>
      </c>
      <c r="G8" s="208"/>
      <c r="H8" s="209"/>
      <c r="I8" s="209"/>
      <c r="J8" s="210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34"/>
      <c r="B9" s="16"/>
      <c r="C9" s="10"/>
      <c r="D9" s="13">
        <f t="shared" si="1"/>
        <v>0</v>
      </c>
      <c r="F9" s="200"/>
      <c r="G9" s="211"/>
      <c r="H9" s="212"/>
      <c r="I9" s="212"/>
      <c r="J9" s="213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34"/>
      <c r="C10" s="10"/>
      <c r="D10" s="13">
        <f t="shared" si="1"/>
        <v>0</v>
      </c>
      <c r="F10" s="199" t="s">
        <v>26</v>
      </c>
      <c r="G10" s="214"/>
      <c r="H10" s="215"/>
      <c r="I10" s="215"/>
      <c r="J10" s="216"/>
      <c r="K10" s="8"/>
      <c r="L10" s="6">
        <f>R36</f>
        <v>972</v>
      </c>
      <c r="P10" s="4"/>
      <c r="Q10" s="4"/>
      <c r="R10" s="5"/>
    </row>
    <row r="11" spans="1:19" ht="15.75" x14ac:dyDescent="0.25">
      <c r="A11" s="134"/>
      <c r="B11" s="17"/>
      <c r="C11" s="10"/>
      <c r="D11" s="13">
        <f t="shared" si="1"/>
        <v>0</v>
      </c>
      <c r="F11" s="200"/>
      <c r="G11" s="211"/>
      <c r="H11" s="212"/>
      <c r="I11" s="212"/>
      <c r="J11" s="213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34"/>
      <c r="B12" s="17"/>
      <c r="C12" s="10"/>
      <c r="D12" s="48">
        <f t="shared" si="1"/>
        <v>0</v>
      </c>
      <c r="F12" s="217" t="s">
        <v>33</v>
      </c>
      <c r="G12" s="218"/>
      <c r="H12" s="218"/>
      <c r="I12" s="218"/>
      <c r="J12" s="219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34"/>
      <c r="B13" s="17"/>
      <c r="C13" s="10"/>
      <c r="D13" s="48">
        <f t="shared" si="1"/>
        <v>0</v>
      </c>
      <c r="F13" s="220" t="s">
        <v>36</v>
      </c>
      <c r="G13" s="184"/>
      <c r="H13" s="175">
        <f>D29</f>
        <v>0</v>
      </c>
      <c r="I13" s="176"/>
      <c r="J13" s="17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34"/>
      <c r="B14" s="14"/>
      <c r="C14" s="10"/>
      <c r="D14" s="31">
        <f t="shared" si="1"/>
        <v>0</v>
      </c>
      <c r="F14" s="178" t="s">
        <v>39</v>
      </c>
      <c r="G14" s="179"/>
      <c r="H14" s="180">
        <f>D54</f>
        <v>0</v>
      </c>
      <c r="I14" s="181"/>
      <c r="J14" s="18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34"/>
      <c r="B15" s="14"/>
      <c r="C15" s="10"/>
      <c r="D15" s="31">
        <f t="shared" si="1"/>
        <v>0</v>
      </c>
      <c r="F15" s="183" t="s">
        <v>40</v>
      </c>
      <c r="G15" s="184"/>
      <c r="H15" s="185">
        <f>H13-H14</f>
        <v>0</v>
      </c>
      <c r="I15" s="186"/>
      <c r="J15" s="187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34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45"/>
      <c r="I16" s="145"/>
      <c r="J16" s="145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4"/>
      <c r="C17" s="10"/>
      <c r="D17" s="48">
        <f t="shared" si="1"/>
        <v>0</v>
      </c>
      <c r="F17" s="56"/>
      <c r="G17" s="66" t="s">
        <v>45</v>
      </c>
      <c r="H17" s="156"/>
      <c r="I17" s="156"/>
      <c r="J17" s="156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4"/>
      <c r="B18" s="19"/>
      <c r="C18" s="10"/>
      <c r="D18" s="48">
        <f t="shared" si="1"/>
        <v>0</v>
      </c>
      <c r="F18" s="56"/>
      <c r="G18" s="66" t="s">
        <v>47</v>
      </c>
      <c r="H18" s="156"/>
      <c r="I18" s="156"/>
      <c r="J18" s="156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4"/>
      <c r="B19" s="14"/>
      <c r="C19" s="10"/>
      <c r="D19" s="48">
        <f t="shared" si="1"/>
        <v>0</v>
      </c>
      <c r="F19" s="56"/>
      <c r="G19" s="68" t="s">
        <v>50</v>
      </c>
      <c r="H19" s="157"/>
      <c r="I19" s="157"/>
      <c r="J19" s="157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4"/>
      <c r="B20" s="46"/>
      <c r="C20" s="10"/>
      <c r="D20" s="13">
        <f t="shared" si="1"/>
        <v>0</v>
      </c>
      <c r="F20" s="57"/>
      <c r="G20" s="70" t="s">
        <v>117</v>
      </c>
      <c r="H20" s="145"/>
      <c r="I20" s="145"/>
      <c r="J20" s="145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4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58" t="s">
        <v>13</v>
      </c>
      <c r="I21" s="159"/>
      <c r="J21" s="160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4"/>
      <c r="B22" s="46"/>
      <c r="C22" s="10"/>
      <c r="D22" s="48">
        <f t="shared" si="1"/>
        <v>0</v>
      </c>
      <c r="F22" s="77"/>
      <c r="G22" s="73"/>
      <c r="H22" s="161"/>
      <c r="I22" s="161"/>
      <c r="J22" s="161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4"/>
      <c r="B23" s="14"/>
      <c r="C23" s="10"/>
      <c r="D23" s="48">
        <f t="shared" si="1"/>
        <v>0</v>
      </c>
      <c r="F23" s="78"/>
      <c r="G23" s="79"/>
      <c r="H23" s="162"/>
      <c r="I23" s="131"/>
      <c r="J23" s="131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4"/>
      <c r="B24" s="14"/>
      <c r="C24" s="10"/>
      <c r="D24" s="48">
        <f t="shared" si="1"/>
        <v>0</v>
      </c>
      <c r="F24" s="38"/>
      <c r="G24" s="37"/>
      <c r="H24" s="162"/>
      <c r="I24" s="131"/>
      <c r="J24" s="131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4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63" t="s">
        <v>13</v>
      </c>
      <c r="I25" s="164"/>
      <c r="J25" s="165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4"/>
      <c r="B26" s="14"/>
      <c r="C26" s="10"/>
      <c r="D26" s="48">
        <f t="shared" si="1"/>
        <v>0</v>
      </c>
      <c r="F26" s="64"/>
      <c r="G26" s="59"/>
      <c r="H26" s="166"/>
      <c r="I26" s="167"/>
      <c r="J26" s="168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4"/>
      <c r="B27" s="14"/>
      <c r="C27" s="10"/>
      <c r="D27" s="44">
        <f t="shared" si="1"/>
        <v>0</v>
      </c>
      <c r="F27" s="25"/>
      <c r="G27" s="80"/>
      <c r="H27" s="169"/>
      <c r="I27" s="170"/>
      <c r="J27" s="171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5"/>
      <c r="B28" s="46"/>
      <c r="C28" s="10"/>
      <c r="D28" s="48">
        <f t="shared" si="1"/>
        <v>0</v>
      </c>
      <c r="F28" s="86"/>
      <c r="G28" s="61"/>
      <c r="H28" s="172"/>
      <c r="I28" s="173"/>
      <c r="J28" s="174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46" t="s">
        <v>36</v>
      </c>
      <c r="B29" s="147"/>
      <c r="C29" s="148"/>
      <c r="D29" s="152">
        <f>SUM(D6:D28)</f>
        <v>0</v>
      </c>
      <c r="F29" s="92" t="s">
        <v>55</v>
      </c>
      <c r="G29" s="154"/>
      <c r="H29" s="114">
        <f>H15-H16-H17-H18-H19-H20-H22-H23-H24+H26+H27</f>
        <v>0</v>
      </c>
      <c r="I29" s="115"/>
      <c r="J29" s="116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49"/>
      <c r="B30" s="150"/>
      <c r="C30" s="151"/>
      <c r="D30" s="153"/>
      <c r="F30" s="95"/>
      <c r="G30" s="155"/>
      <c r="H30" s="117"/>
      <c r="I30" s="118"/>
      <c r="J30" s="119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39" t="s">
        <v>58</v>
      </c>
      <c r="B32" s="140"/>
      <c r="C32" s="140"/>
      <c r="D32" s="141"/>
      <c r="F32" s="142" t="s">
        <v>59</v>
      </c>
      <c r="G32" s="143"/>
      <c r="H32" s="143"/>
      <c r="I32" s="143"/>
      <c r="J32" s="144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142" t="s">
        <v>13</v>
      </c>
      <c r="I33" s="143"/>
      <c r="J33" s="144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3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36"/>
      <c r="I34" s="137"/>
      <c r="J34" s="138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4"/>
      <c r="B35" s="27" t="s">
        <v>68</v>
      </c>
      <c r="C35" s="52"/>
      <c r="D35" s="30">
        <f>C35*84</f>
        <v>0</v>
      </c>
      <c r="F35" s="58">
        <v>500</v>
      </c>
      <c r="G35" s="41"/>
      <c r="H35" s="136"/>
      <c r="I35" s="137"/>
      <c r="J35" s="138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5"/>
      <c r="B36" s="26" t="s">
        <v>70</v>
      </c>
      <c r="C36" s="10"/>
      <c r="D36" s="12">
        <f>C36*1.5</f>
        <v>0</v>
      </c>
      <c r="F36" s="12">
        <v>200</v>
      </c>
      <c r="G36" s="37"/>
      <c r="H36" s="136"/>
      <c r="I36" s="137"/>
      <c r="J36" s="138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3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36"/>
      <c r="I37" s="137"/>
      <c r="J37" s="138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4"/>
      <c r="B38" s="29" t="s">
        <v>68</v>
      </c>
      <c r="C38" s="54"/>
      <c r="D38" s="12">
        <f>C38*84</f>
        <v>0</v>
      </c>
      <c r="F38" s="30">
        <v>50</v>
      </c>
      <c r="G38" s="39"/>
      <c r="H38" s="136"/>
      <c r="I38" s="137"/>
      <c r="J38" s="138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5"/>
      <c r="B39" s="29" t="s">
        <v>70</v>
      </c>
      <c r="C39" s="52"/>
      <c r="D39" s="31">
        <f>C39*4.5</f>
        <v>0</v>
      </c>
      <c r="F39" s="12">
        <v>20</v>
      </c>
      <c r="G39" s="37"/>
      <c r="H39" s="136"/>
      <c r="I39" s="137"/>
      <c r="J39" s="138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3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36"/>
      <c r="I40" s="137"/>
      <c r="J40" s="138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4"/>
      <c r="B41" s="27" t="s">
        <v>68</v>
      </c>
      <c r="C41" s="10"/>
      <c r="D41" s="12">
        <f>C41*84</f>
        <v>0</v>
      </c>
      <c r="F41" s="12">
        <v>5</v>
      </c>
      <c r="G41" s="42"/>
      <c r="H41" s="136"/>
      <c r="I41" s="137"/>
      <c r="J41" s="138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5"/>
      <c r="B42" s="27" t="s">
        <v>70</v>
      </c>
      <c r="C42" s="11"/>
      <c r="D42" s="12">
        <f>C42*2.25</f>
        <v>0</v>
      </c>
      <c r="F42" s="39" t="s">
        <v>79</v>
      </c>
      <c r="G42" s="136"/>
      <c r="H42" s="137"/>
      <c r="I42" s="137"/>
      <c r="J42" s="138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06" t="s">
        <v>81</v>
      </c>
      <c r="C43" s="11"/>
      <c r="D43" s="12"/>
      <c r="F43" s="59" t="s">
        <v>82</v>
      </c>
      <c r="G43" s="89" t="s">
        <v>83</v>
      </c>
      <c r="H43" s="128" t="s">
        <v>13</v>
      </c>
      <c r="I43" s="129"/>
      <c r="J43" s="130"/>
      <c r="K43" s="21"/>
      <c r="P43" s="4"/>
      <c r="Q43" s="4"/>
      <c r="R43" s="5"/>
    </row>
    <row r="44" spans="1:18" ht="15.75" x14ac:dyDescent="0.25">
      <c r="A44" s="107"/>
      <c r="B44" s="27" t="s">
        <v>66</v>
      </c>
      <c r="C44" s="10"/>
      <c r="D44" s="12">
        <f>C44*120</f>
        <v>0</v>
      </c>
      <c r="F44" s="37"/>
      <c r="G44" s="76"/>
      <c r="H44" s="131"/>
      <c r="I44" s="131"/>
      <c r="J44" s="131"/>
      <c r="K44" s="21"/>
      <c r="P44" s="4"/>
      <c r="Q44" s="4"/>
      <c r="R44" s="5"/>
    </row>
    <row r="45" spans="1:18" ht="15.75" x14ac:dyDescent="0.25">
      <c r="A45" s="107"/>
      <c r="B45" s="27" t="s">
        <v>68</v>
      </c>
      <c r="C45" s="33"/>
      <c r="D45" s="12">
        <f>C45*84</f>
        <v>0</v>
      </c>
      <c r="F45" s="37"/>
      <c r="G45" s="76"/>
      <c r="H45" s="131"/>
      <c r="I45" s="131"/>
      <c r="J45" s="131"/>
      <c r="K45" s="21"/>
      <c r="P45" s="4"/>
      <c r="Q45" s="4"/>
      <c r="R45" s="5"/>
    </row>
    <row r="46" spans="1:18" ht="15.75" x14ac:dyDescent="0.25">
      <c r="A46" s="107"/>
      <c r="B46" s="49" t="s">
        <v>70</v>
      </c>
      <c r="C46" s="81"/>
      <c r="D46" s="12">
        <f>C46*1.5</f>
        <v>0</v>
      </c>
      <c r="F46" s="37"/>
      <c r="G46" s="62"/>
      <c r="H46" s="132"/>
      <c r="I46" s="132"/>
      <c r="J46" s="132"/>
      <c r="K46" s="21"/>
      <c r="P46" s="4"/>
      <c r="Q46" s="4"/>
      <c r="R46" s="5"/>
    </row>
    <row r="47" spans="1:18" ht="15.75" x14ac:dyDescent="0.25">
      <c r="A47" s="108"/>
      <c r="B47" s="27"/>
      <c r="C47" s="11"/>
      <c r="D47" s="12"/>
      <c r="F47" s="59"/>
      <c r="G47" s="59"/>
      <c r="H47" s="109"/>
      <c r="I47" s="110"/>
      <c r="J47" s="111"/>
      <c r="K47" s="21"/>
      <c r="P47" s="4"/>
      <c r="Q47" s="4"/>
      <c r="R47" s="5"/>
    </row>
    <row r="48" spans="1:18" ht="15" customHeight="1" x14ac:dyDescent="0.25">
      <c r="A48" s="106" t="s">
        <v>32</v>
      </c>
      <c r="B48" s="27" t="s">
        <v>66</v>
      </c>
      <c r="C48" s="10"/>
      <c r="D48" s="12">
        <f>C48*78</f>
        <v>0</v>
      </c>
      <c r="F48" s="59"/>
      <c r="G48" s="59"/>
      <c r="H48" s="109"/>
      <c r="I48" s="110"/>
      <c r="J48" s="111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07"/>
      <c r="B49" s="29" t="s">
        <v>68</v>
      </c>
      <c r="C49" s="33"/>
      <c r="D49" s="12">
        <f>C49*42</f>
        <v>0</v>
      </c>
      <c r="F49" s="112" t="s">
        <v>86</v>
      </c>
      <c r="G49" s="114">
        <f>H34+H35+H36+H37+H38+H39+H40+H41+G42+H44+H45+H46</f>
        <v>0</v>
      </c>
      <c r="H49" s="115"/>
      <c r="I49" s="115"/>
      <c r="J49" s="116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07"/>
      <c r="B50" s="32" t="s">
        <v>70</v>
      </c>
      <c r="C50" s="11"/>
      <c r="D50" s="12">
        <f>C50*1.5</f>
        <v>0</v>
      </c>
      <c r="F50" s="113"/>
      <c r="G50" s="117"/>
      <c r="H50" s="118"/>
      <c r="I50" s="118"/>
      <c r="J50" s="119"/>
      <c r="P50" s="4"/>
      <c r="Q50" s="4"/>
      <c r="R50" s="5"/>
    </row>
    <row r="51" spans="1:18" ht="15" customHeight="1" x14ac:dyDescent="0.25">
      <c r="A51" s="107"/>
      <c r="B51" s="27"/>
      <c r="C51" s="10"/>
      <c r="D51" s="31"/>
      <c r="F51" s="120" t="s">
        <v>125</v>
      </c>
      <c r="G51" s="122">
        <f>G49-H29</f>
        <v>0</v>
      </c>
      <c r="H51" s="123"/>
      <c r="I51" s="123"/>
      <c r="J51" s="124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07"/>
      <c r="B52" s="29"/>
      <c r="C52" s="33"/>
      <c r="D52" s="45"/>
      <c r="F52" s="121"/>
      <c r="G52" s="125"/>
      <c r="H52" s="126"/>
      <c r="I52" s="126"/>
      <c r="J52" s="127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08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92" t="s">
        <v>90</v>
      </c>
      <c r="B54" s="93"/>
      <c r="C54" s="94"/>
      <c r="D54" s="98">
        <f>SUM(D34:D53)</f>
        <v>0</v>
      </c>
      <c r="F54" s="21"/>
      <c r="J54" s="34"/>
    </row>
    <row r="55" spans="1:18" x14ac:dyDescent="0.25">
      <c r="A55" s="95"/>
      <c r="B55" s="96"/>
      <c r="C55" s="97"/>
      <c r="D55" s="9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00" t="s">
        <v>91</v>
      </c>
      <c r="B58" s="101"/>
      <c r="C58" s="101"/>
      <c r="D58" s="102"/>
      <c r="F58" s="100" t="s">
        <v>92</v>
      </c>
      <c r="G58" s="101"/>
      <c r="H58" s="101"/>
      <c r="I58" s="101"/>
      <c r="J58" s="102"/>
    </row>
    <row r="59" spans="1:18" x14ac:dyDescent="0.25">
      <c r="A59" s="103"/>
      <c r="B59" s="104"/>
      <c r="C59" s="104"/>
      <c r="D59" s="105"/>
      <c r="F59" s="103"/>
      <c r="G59" s="104"/>
      <c r="H59" s="104"/>
      <c r="I59" s="104"/>
      <c r="J59" s="105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B84E27-AEDD-4FB2-B67D-6A76106A609C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88" t="s">
        <v>1</v>
      </c>
      <c r="O1" s="188"/>
      <c r="P1" s="85" t="s">
        <v>2</v>
      </c>
      <c r="Q1" s="8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9" t="s">
        <v>7</v>
      </c>
      <c r="B4" s="140"/>
      <c r="C4" s="140"/>
      <c r="D4" s="141"/>
      <c r="F4" s="189" t="s">
        <v>8</v>
      </c>
      <c r="G4" s="191">
        <v>1</v>
      </c>
      <c r="H4" s="193" t="s">
        <v>9</v>
      </c>
      <c r="I4" s="195">
        <v>46083</v>
      </c>
      <c r="J4" s="19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3" t="s">
        <v>7</v>
      </c>
      <c r="B5" s="15" t="s">
        <v>11</v>
      </c>
      <c r="C5" s="9" t="s">
        <v>12</v>
      </c>
      <c r="D5" s="25" t="s">
        <v>13</v>
      </c>
      <c r="F5" s="190"/>
      <c r="G5" s="192"/>
      <c r="H5" s="194"/>
      <c r="I5" s="197"/>
      <c r="J5" s="19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4"/>
      <c r="B6" s="16" t="s">
        <v>15</v>
      </c>
      <c r="C6" s="10">
        <v>308</v>
      </c>
      <c r="D6" s="13">
        <f t="shared" ref="D6:D28" si="1">C6*L6</f>
        <v>234388</v>
      </c>
      <c r="F6" s="199" t="s">
        <v>16</v>
      </c>
      <c r="G6" s="201" t="s">
        <v>111</v>
      </c>
      <c r="H6" s="202"/>
      <c r="I6" s="202"/>
      <c r="J6" s="203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4"/>
      <c r="B7" s="16" t="s">
        <v>18</v>
      </c>
      <c r="C7" s="10">
        <v>12</v>
      </c>
      <c r="D7" s="13">
        <f t="shared" si="1"/>
        <v>9372</v>
      </c>
      <c r="F7" s="200"/>
      <c r="G7" s="204"/>
      <c r="H7" s="205"/>
      <c r="I7" s="205"/>
      <c r="J7" s="206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4"/>
      <c r="B8" s="16" t="s">
        <v>20</v>
      </c>
      <c r="C8" s="10">
        <v>1</v>
      </c>
      <c r="D8" s="13">
        <f t="shared" si="1"/>
        <v>1093</v>
      </c>
      <c r="F8" s="207" t="s">
        <v>21</v>
      </c>
      <c r="G8" s="208" t="s">
        <v>144</v>
      </c>
      <c r="H8" s="209"/>
      <c r="I8" s="209"/>
      <c r="J8" s="210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4"/>
      <c r="B9" s="16" t="s">
        <v>23</v>
      </c>
      <c r="C9" s="10">
        <v>18</v>
      </c>
      <c r="D9" s="13">
        <f t="shared" si="1"/>
        <v>13194</v>
      </c>
      <c r="F9" s="200"/>
      <c r="G9" s="211"/>
      <c r="H9" s="212"/>
      <c r="I9" s="212"/>
      <c r="J9" s="213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4"/>
      <c r="B10" t="s">
        <v>25</v>
      </c>
      <c r="C10" s="10">
        <v>2</v>
      </c>
      <c r="D10" s="13">
        <f t="shared" si="1"/>
        <v>2064</v>
      </c>
      <c r="F10" s="199" t="s">
        <v>26</v>
      </c>
      <c r="G10" s="214" t="s">
        <v>139</v>
      </c>
      <c r="H10" s="215"/>
      <c r="I10" s="215"/>
      <c r="J10" s="216"/>
      <c r="K10" s="8"/>
      <c r="L10" s="6">
        <f>R36</f>
        <v>1032</v>
      </c>
      <c r="P10" s="4"/>
      <c r="Q10" s="4"/>
      <c r="R10" s="5"/>
    </row>
    <row r="11" spans="1:18" ht="15.75" x14ac:dyDescent="0.25">
      <c r="A11" s="134"/>
      <c r="B11" s="17" t="s">
        <v>28</v>
      </c>
      <c r="C11" s="10"/>
      <c r="D11" s="13">
        <f t="shared" si="1"/>
        <v>0</v>
      </c>
      <c r="F11" s="200"/>
      <c r="G11" s="211"/>
      <c r="H11" s="212"/>
      <c r="I11" s="212"/>
      <c r="J11" s="213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4"/>
      <c r="B12" s="17" t="s">
        <v>30</v>
      </c>
      <c r="C12" s="10">
        <v>2</v>
      </c>
      <c r="D12" s="48">
        <f t="shared" si="1"/>
        <v>1984</v>
      </c>
      <c r="F12" s="217" t="s">
        <v>33</v>
      </c>
      <c r="G12" s="218"/>
      <c r="H12" s="218"/>
      <c r="I12" s="218"/>
      <c r="J12" s="219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4"/>
      <c r="B13" s="17" t="s">
        <v>32</v>
      </c>
      <c r="C13" s="10">
        <v>6</v>
      </c>
      <c r="D13" s="48">
        <f t="shared" si="1"/>
        <v>1842</v>
      </c>
      <c r="F13" s="220" t="s">
        <v>36</v>
      </c>
      <c r="G13" s="184"/>
      <c r="H13" s="175">
        <f>D29</f>
        <v>265882</v>
      </c>
      <c r="I13" s="176"/>
      <c r="J13" s="17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4"/>
      <c r="B14" s="14" t="s">
        <v>35</v>
      </c>
      <c r="C14" s="10">
        <v>5</v>
      </c>
      <c r="D14" s="31">
        <f t="shared" si="1"/>
        <v>55</v>
      </c>
      <c r="F14" s="178" t="s">
        <v>39</v>
      </c>
      <c r="G14" s="179"/>
      <c r="H14" s="180">
        <f>D54</f>
        <v>30599.25</v>
      </c>
      <c r="I14" s="181"/>
      <c r="J14" s="18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4"/>
      <c r="B15" s="14" t="s">
        <v>38</v>
      </c>
      <c r="C15" s="10">
        <v>1</v>
      </c>
      <c r="D15" s="31">
        <f t="shared" si="1"/>
        <v>620</v>
      </c>
      <c r="F15" s="183" t="s">
        <v>40</v>
      </c>
      <c r="G15" s="184"/>
      <c r="H15" s="185">
        <f>H13-H14</f>
        <v>235282.75</v>
      </c>
      <c r="I15" s="186"/>
      <c r="J15" s="187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4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45">
        <f>216*6+10*6</f>
        <v>1356</v>
      </c>
      <c r="I16" s="145"/>
      <c r="J16" s="145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4"/>
      <c r="B17" t="s">
        <v>133</v>
      </c>
      <c r="C17" s="10"/>
      <c r="D17" s="48">
        <f t="shared" si="1"/>
        <v>0</v>
      </c>
      <c r="F17" s="56"/>
      <c r="G17" s="66" t="s">
        <v>45</v>
      </c>
      <c r="H17" s="156"/>
      <c r="I17" s="156"/>
      <c r="J17" s="156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4"/>
      <c r="B18" s="19" t="s">
        <v>95</v>
      </c>
      <c r="C18" s="10">
        <v>1</v>
      </c>
      <c r="D18" s="48">
        <f t="shared" si="1"/>
        <v>620</v>
      </c>
      <c r="F18" s="56"/>
      <c r="G18" s="66" t="s">
        <v>47</v>
      </c>
      <c r="H18" s="156"/>
      <c r="I18" s="156"/>
      <c r="J18" s="156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4"/>
      <c r="B19" s="14" t="s">
        <v>129</v>
      </c>
      <c r="C19" s="10"/>
      <c r="D19" s="48">
        <f t="shared" si="1"/>
        <v>0</v>
      </c>
      <c r="F19" s="56"/>
      <c r="G19" s="68" t="s">
        <v>50</v>
      </c>
      <c r="H19" s="156"/>
      <c r="I19" s="156"/>
      <c r="J19" s="156"/>
      <c r="L19" s="6">
        <v>1102</v>
      </c>
      <c r="Q19" s="4"/>
      <c r="R19" s="5">
        <f t="shared" si="0"/>
        <v>0</v>
      </c>
    </row>
    <row r="20" spans="1:18" ht="15.75" x14ac:dyDescent="0.25">
      <c r="A20" s="134"/>
      <c r="B20" s="83" t="s">
        <v>122</v>
      </c>
      <c r="C20" s="10"/>
      <c r="D20" s="13">
        <f t="shared" si="1"/>
        <v>0</v>
      </c>
      <c r="F20" s="57"/>
      <c r="G20" s="70" t="s">
        <v>117</v>
      </c>
      <c r="H20" s="145"/>
      <c r="I20" s="145"/>
      <c r="J20" s="145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4"/>
      <c r="B21" s="14" t="s">
        <v>131</v>
      </c>
      <c r="C21" s="10">
        <v>1</v>
      </c>
      <c r="D21" s="48">
        <f t="shared" si="1"/>
        <v>650</v>
      </c>
      <c r="F21" s="69" t="s">
        <v>99</v>
      </c>
      <c r="G21" s="82" t="s">
        <v>98</v>
      </c>
      <c r="H21" s="158" t="s">
        <v>13</v>
      </c>
      <c r="I21" s="159"/>
      <c r="J21" s="160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4"/>
      <c r="B22" s="46" t="s">
        <v>124</v>
      </c>
      <c r="C22" s="10"/>
      <c r="D22" s="48">
        <f t="shared" si="1"/>
        <v>0</v>
      </c>
      <c r="F22" s="77"/>
      <c r="G22" s="73"/>
      <c r="H22" s="161"/>
      <c r="I22" s="161"/>
      <c r="J22" s="161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4"/>
      <c r="B23" s="14" t="s">
        <v>101</v>
      </c>
      <c r="C23" s="10"/>
      <c r="D23" s="48">
        <f t="shared" si="1"/>
        <v>0</v>
      </c>
      <c r="F23" s="77"/>
      <c r="G23" s="79"/>
      <c r="H23" s="227"/>
      <c r="I23" s="228"/>
      <c r="J23" s="228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4"/>
      <c r="B24" s="14" t="s">
        <v>118</v>
      </c>
      <c r="C24" s="10"/>
      <c r="D24" s="48">
        <f t="shared" si="1"/>
        <v>0</v>
      </c>
      <c r="F24" s="77"/>
      <c r="G24" s="79"/>
      <c r="H24" s="227"/>
      <c r="I24" s="228"/>
      <c r="J24" s="228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4"/>
      <c r="B25" s="14" t="s">
        <v>134</v>
      </c>
      <c r="C25" s="10"/>
      <c r="D25" s="48">
        <f t="shared" si="1"/>
        <v>0</v>
      </c>
      <c r="F25" s="60" t="s">
        <v>100</v>
      </c>
      <c r="G25" s="55" t="s">
        <v>98</v>
      </c>
      <c r="H25" s="163" t="s">
        <v>13</v>
      </c>
      <c r="I25" s="164"/>
      <c r="J25" s="165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4"/>
      <c r="B26" s="14" t="s">
        <v>132</v>
      </c>
      <c r="C26" s="10"/>
      <c r="D26" s="48">
        <f t="shared" si="1"/>
        <v>0</v>
      </c>
      <c r="F26" s="75"/>
      <c r="G26" s="65"/>
      <c r="H26" s="131"/>
      <c r="I26" s="131"/>
      <c r="J26" s="131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4"/>
      <c r="B27" s="14" t="s">
        <v>110</v>
      </c>
      <c r="C27" s="10"/>
      <c r="D27" s="44">
        <f t="shared" si="1"/>
        <v>0</v>
      </c>
      <c r="F27" s="71"/>
      <c r="G27" s="89"/>
      <c r="H27" s="229"/>
      <c r="I27" s="230"/>
      <c r="J27" s="230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5"/>
      <c r="B28" s="46" t="s">
        <v>97</v>
      </c>
      <c r="C28" s="10"/>
      <c r="D28" s="48">
        <f t="shared" si="1"/>
        <v>0</v>
      </c>
      <c r="F28" s="86"/>
      <c r="G28" s="61"/>
      <c r="H28" s="172"/>
      <c r="I28" s="173"/>
      <c r="J28" s="174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46" t="s">
        <v>36</v>
      </c>
      <c r="B29" s="147"/>
      <c r="C29" s="148"/>
      <c r="D29" s="152">
        <f>SUM(D6:D28)</f>
        <v>265882</v>
      </c>
      <c r="F29" s="92" t="s">
        <v>55</v>
      </c>
      <c r="G29" s="154"/>
      <c r="H29" s="114">
        <f>H15-H16-H17-H18-H19-H20-H22-H23-H24+H26+H27+H28</f>
        <v>233926.75</v>
      </c>
      <c r="I29" s="115"/>
      <c r="J29" s="116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49"/>
      <c r="B30" s="150"/>
      <c r="C30" s="151"/>
      <c r="D30" s="153"/>
      <c r="F30" s="95"/>
      <c r="G30" s="155"/>
      <c r="H30" s="117"/>
      <c r="I30" s="118"/>
      <c r="J30" s="119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39" t="s">
        <v>58</v>
      </c>
      <c r="B32" s="140"/>
      <c r="C32" s="140"/>
      <c r="D32" s="141"/>
      <c r="F32" s="142" t="s">
        <v>59</v>
      </c>
      <c r="G32" s="143"/>
      <c r="H32" s="143"/>
      <c r="I32" s="143"/>
      <c r="J32" s="144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142" t="s">
        <v>13</v>
      </c>
      <c r="I33" s="143"/>
      <c r="J33" s="144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3" t="s">
        <v>65</v>
      </c>
      <c r="B34" s="26" t="s">
        <v>66</v>
      </c>
      <c r="C34" s="51">
        <v>1</v>
      </c>
      <c r="D34" s="30">
        <f>C34*120</f>
        <v>120</v>
      </c>
      <c r="F34" s="12">
        <v>1000</v>
      </c>
      <c r="G34" s="40">
        <v>64</v>
      </c>
      <c r="H34" s="136">
        <f t="shared" ref="H34:H39" si="2">F34*G34</f>
        <v>64000</v>
      </c>
      <c r="I34" s="137"/>
      <c r="J34" s="138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4"/>
      <c r="B35" s="27" t="s">
        <v>68</v>
      </c>
      <c r="C35" s="52">
        <v>1</v>
      </c>
      <c r="D35" s="30">
        <f>C35*84</f>
        <v>84</v>
      </c>
      <c r="F35" s="58">
        <v>500</v>
      </c>
      <c r="G35" s="41">
        <v>13</v>
      </c>
      <c r="H35" s="136">
        <f t="shared" si="2"/>
        <v>6500</v>
      </c>
      <c r="I35" s="137"/>
      <c r="J35" s="138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5"/>
      <c r="B36" s="26" t="s">
        <v>70</v>
      </c>
      <c r="C36" s="10">
        <v>20</v>
      </c>
      <c r="D36" s="12">
        <f>C36*1.5</f>
        <v>30</v>
      </c>
      <c r="F36" s="12">
        <v>200</v>
      </c>
      <c r="G36" s="37">
        <v>2</v>
      </c>
      <c r="H36" s="136">
        <f t="shared" si="2"/>
        <v>400</v>
      </c>
      <c r="I36" s="137"/>
      <c r="J36" s="138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3" t="s">
        <v>72</v>
      </c>
      <c r="B37" s="28" t="s">
        <v>66</v>
      </c>
      <c r="C37" s="53">
        <v>240</v>
      </c>
      <c r="D37" s="12">
        <f>C37*111</f>
        <v>26640</v>
      </c>
      <c r="F37" s="12">
        <v>100</v>
      </c>
      <c r="G37" s="39">
        <v>43</v>
      </c>
      <c r="H37" s="136">
        <f t="shared" si="2"/>
        <v>4300</v>
      </c>
      <c r="I37" s="137"/>
      <c r="J37" s="138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4"/>
      <c r="B38" s="29" t="s">
        <v>68</v>
      </c>
      <c r="C38" s="54">
        <v>1</v>
      </c>
      <c r="D38" s="12">
        <f>C38*84</f>
        <v>84</v>
      </c>
      <c r="F38" s="30">
        <v>50</v>
      </c>
      <c r="G38" s="39">
        <v>22</v>
      </c>
      <c r="H38" s="136">
        <f t="shared" si="2"/>
        <v>1100</v>
      </c>
      <c r="I38" s="137"/>
      <c r="J38" s="138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5"/>
      <c r="B39" s="29" t="s">
        <v>70</v>
      </c>
      <c r="C39" s="52">
        <v>1</v>
      </c>
      <c r="D39" s="31">
        <f>C39*4.5</f>
        <v>4.5</v>
      </c>
      <c r="F39" s="12">
        <v>20</v>
      </c>
      <c r="G39" s="37"/>
      <c r="H39" s="136">
        <f t="shared" si="2"/>
        <v>0</v>
      </c>
      <c r="I39" s="137"/>
      <c r="J39" s="138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3" t="s">
        <v>76</v>
      </c>
      <c r="B40" s="27" t="s">
        <v>66</v>
      </c>
      <c r="C40" s="63">
        <v>22</v>
      </c>
      <c r="D40" s="12">
        <f>C40*111</f>
        <v>2442</v>
      </c>
      <c r="F40" s="12">
        <v>10</v>
      </c>
      <c r="G40" s="42"/>
      <c r="H40" s="136"/>
      <c r="I40" s="137"/>
      <c r="J40" s="138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4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136"/>
      <c r="I41" s="137"/>
      <c r="J41" s="138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5"/>
      <c r="B42" s="27" t="s">
        <v>70</v>
      </c>
      <c r="C42" s="11">
        <v>7</v>
      </c>
      <c r="D42" s="12">
        <f>C42*2.25</f>
        <v>15.75</v>
      </c>
      <c r="F42" s="39" t="s">
        <v>79</v>
      </c>
      <c r="G42" s="136">
        <v>30</v>
      </c>
      <c r="H42" s="137"/>
      <c r="I42" s="137"/>
      <c r="J42" s="138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06" t="s">
        <v>81</v>
      </c>
      <c r="C43" s="11"/>
      <c r="D43" s="12"/>
      <c r="F43" s="59" t="s">
        <v>82</v>
      </c>
      <c r="G43" s="89" t="s">
        <v>83</v>
      </c>
      <c r="H43" s="128" t="s">
        <v>13</v>
      </c>
      <c r="I43" s="129"/>
      <c r="J43" s="130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07"/>
      <c r="B44" s="27" t="s">
        <v>66</v>
      </c>
      <c r="C44" s="10">
        <v>3</v>
      </c>
      <c r="D44" s="12">
        <f>C44*120</f>
        <v>360</v>
      </c>
      <c r="F44" s="37" t="s">
        <v>145</v>
      </c>
      <c r="G44" s="62" t="s">
        <v>147</v>
      </c>
      <c r="H44" s="131">
        <v>150017</v>
      </c>
      <c r="I44" s="131"/>
      <c r="J44" s="131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07"/>
      <c r="B45" s="27" t="s">
        <v>68</v>
      </c>
      <c r="C45" s="33">
        <v>2</v>
      </c>
      <c r="D45" s="12">
        <f>C45*84</f>
        <v>168</v>
      </c>
      <c r="F45" s="37" t="s">
        <v>146</v>
      </c>
      <c r="G45" s="84" t="s">
        <v>148</v>
      </c>
      <c r="H45" s="131">
        <v>7564</v>
      </c>
      <c r="I45" s="131"/>
      <c r="J45" s="131"/>
      <c r="K45" s="21"/>
      <c r="P45" s="4"/>
      <c r="Q45" s="4"/>
      <c r="R45" s="5"/>
    </row>
    <row r="46" spans="1:18" ht="15.75" x14ac:dyDescent="0.25">
      <c r="A46" s="107"/>
      <c r="B46" s="49" t="s">
        <v>70</v>
      </c>
      <c r="C46" s="81">
        <v>11</v>
      </c>
      <c r="D46" s="12">
        <f>C46*1.5</f>
        <v>16.5</v>
      </c>
      <c r="F46" s="37"/>
      <c r="G46" s="62"/>
      <c r="H46" s="131"/>
      <c r="I46" s="131"/>
      <c r="J46" s="131"/>
      <c r="K46" s="21"/>
      <c r="P46" s="4"/>
      <c r="Q46" s="4"/>
      <c r="R46" s="5"/>
    </row>
    <row r="47" spans="1:18" ht="15.75" x14ac:dyDescent="0.25">
      <c r="A47" s="108"/>
      <c r="B47" s="27"/>
      <c r="C47" s="11"/>
      <c r="D47" s="12"/>
      <c r="F47" s="59"/>
      <c r="G47" s="59"/>
      <c r="H47" s="109"/>
      <c r="I47" s="110"/>
      <c r="J47" s="111"/>
      <c r="K47" s="21"/>
      <c r="P47" s="4"/>
      <c r="Q47" s="4"/>
      <c r="R47" s="5"/>
    </row>
    <row r="48" spans="1:18" ht="15" customHeight="1" x14ac:dyDescent="0.25">
      <c r="A48" s="106" t="s">
        <v>32</v>
      </c>
      <c r="B48" s="27" t="s">
        <v>66</v>
      </c>
      <c r="C48" s="10">
        <v>7</v>
      </c>
      <c r="D48" s="12">
        <f>C48*78</f>
        <v>546</v>
      </c>
      <c r="F48" s="59"/>
      <c r="G48" s="59"/>
      <c r="H48" s="109"/>
      <c r="I48" s="110"/>
      <c r="J48" s="111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07"/>
      <c r="B49" s="29" t="s">
        <v>68</v>
      </c>
      <c r="C49" s="33"/>
      <c r="D49" s="12">
        <f>C49*42</f>
        <v>0</v>
      </c>
      <c r="F49" s="112" t="s">
        <v>86</v>
      </c>
      <c r="G49" s="114">
        <f>H34+H35+H36+H37+H38+H39+H40+H41+G42+H44+H45+H46</f>
        <v>233911</v>
      </c>
      <c r="H49" s="115"/>
      <c r="I49" s="115"/>
      <c r="J49" s="116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07"/>
      <c r="B50" s="32" t="s">
        <v>70</v>
      </c>
      <c r="C50" s="11">
        <v>3</v>
      </c>
      <c r="D50" s="12">
        <f>C50*1.5</f>
        <v>4.5</v>
      </c>
      <c r="F50" s="113"/>
      <c r="G50" s="117"/>
      <c r="H50" s="118"/>
      <c r="I50" s="118"/>
      <c r="J50" s="119"/>
      <c r="O50" t="s">
        <v>137</v>
      </c>
      <c r="P50" s="4">
        <v>1204</v>
      </c>
      <c r="Q50" s="4"/>
      <c r="R50" s="5"/>
    </row>
    <row r="51" spans="1:18" ht="15" customHeight="1" x14ac:dyDescent="0.25">
      <c r="A51" s="107"/>
      <c r="B51" s="27"/>
      <c r="C51" s="10"/>
      <c r="D51" s="31"/>
      <c r="F51" s="120" t="s">
        <v>128</v>
      </c>
      <c r="G51" s="221">
        <f>G49-H29</f>
        <v>-15.75</v>
      </c>
      <c r="H51" s="222"/>
      <c r="I51" s="222"/>
      <c r="J51" s="223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07"/>
      <c r="B52" s="29"/>
      <c r="C52" s="33"/>
      <c r="D52" s="45"/>
      <c r="F52" s="121"/>
      <c r="G52" s="224"/>
      <c r="H52" s="225"/>
      <c r="I52" s="225"/>
      <c r="J52" s="226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08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92" t="s">
        <v>90</v>
      </c>
      <c r="B54" s="93"/>
      <c r="C54" s="94"/>
      <c r="D54" s="98">
        <f>SUM(D34:D53)</f>
        <v>30599.25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95"/>
      <c r="B55" s="96"/>
      <c r="C55" s="97"/>
      <c r="D55" s="9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140</v>
      </c>
      <c r="D57" s="34"/>
      <c r="F57" s="36"/>
      <c r="G57" s="50"/>
      <c r="H57" s="50"/>
      <c r="I57" s="50"/>
      <c r="J57" s="43"/>
    </row>
    <row r="58" spans="1:18" x14ac:dyDescent="0.25">
      <c r="A58" s="100" t="s">
        <v>91</v>
      </c>
      <c r="B58" s="101"/>
      <c r="C58" s="101"/>
      <c r="D58" s="102"/>
      <c r="F58" s="100" t="s">
        <v>92</v>
      </c>
      <c r="G58" s="101"/>
      <c r="H58" s="101"/>
      <c r="I58" s="101"/>
      <c r="J58" s="102"/>
    </row>
    <row r="59" spans="1:18" x14ac:dyDescent="0.25">
      <c r="A59" s="103"/>
      <c r="B59" s="104"/>
      <c r="C59" s="104"/>
      <c r="D59" s="105"/>
      <c r="F59" s="103"/>
      <c r="G59" s="104"/>
      <c r="H59" s="104"/>
      <c r="I59" s="104"/>
      <c r="J59" s="105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682EEE-E618-4585-8393-F4AAE3CCDD0F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88" t="s">
        <v>1</v>
      </c>
      <c r="O1" s="188"/>
      <c r="P1" s="85" t="s">
        <v>2</v>
      </c>
      <c r="Q1" s="8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9" t="s">
        <v>7</v>
      </c>
      <c r="B4" s="140"/>
      <c r="C4" s="140"/>
      <c r="D4" s="141"/>
      <c r="F4" s="189" t="s">
        <v>8</v>
      </c>
      <c r="G4" s="191">
        <v>2</v>
      </c>
      <c r="H4" s="193" t="s">
        <v>9</v>
      </c>
      <c r="I4" s="195">
        <v>46083</v>
      </c>
      <c r="J4" s="19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3" t="s">
        <v>7</v>
      </c>
      <c r="B5" s="15" t="s">
        <v>11</v>
      </c>
      <c r="C5" s="9" t="s">
        <v>12</v>
      </c>
      <c r="D5" s="25" t="s">
        <v>13</v>
      </c>
      <c r="F5" s="190"/>
      <c r="G5" s="192"/>
      <c r="H5" s="194"/>
      <c r="I5" s="197"/>
      <c r="J5" s="19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4"/>
      <c r="B6" s="16" t="s">
        <v>15</v>
      </c>
      <c r="C6" s="10">
        <v>351</v>
      </c>
      <c r="D6" s="13">
        <f t="shared" ref="D6:D28" si="1">C6*L6</f>
        <v>267111</v>
      </c>
      <c r="F6" s="199" t="s">
        <v>16</v>
      </c>
      <c r="G6" s="201" t="s">
        <v>126</v>
      </c>
      <c r="H6" s="202"/>
      <c r="I6" s="202"/>
      <c r="J6" s="203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4"/>
      <c r="B7" s="16" t="s">
        <v>18</v>
      </c>
      <c r="C7" s="10">
        <v>1</v>
      </c>
      <c r="D7" s="13">
        <f t="shared" si="1"/>
        <v>781</v>
      </c>
      <c r="F7" s="200"/>
      <c r="G7" s="204"/>
      <c r="H7" s="205"/>
      <c r="I7" s="205"/>
      <c r="J7" s="206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4"/>
      <c r="B8" s="16" t="s">
        <v>20</v>
      </c>
      <c r="C8" s="10"/>
      <c r="D8" s="13">
        <f t="shared" si="1"/>
        <v>0</v>
      </c>
      <c r="F8" s="207" t="s">
        <v>21</v>
      </c>
      <c r="G8" s="208" t="s">
        <v>113</v>
      </c>
      <c r="H8" s="209"/>
      <c r="I8" s="209"/>
      <c r="J8" s="210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4"/>
      <c r="B9" s="16" t="s">
        <v>23</v>
      </c>
      <c r="C9" s="10">
        <v>40</v>
      </c>
      <c r="D9" s="13">
        <f t="shared" si="1"/>
        <v>29320</v>
      </c>
      <c r="F9" s="200"/>
      <c r="G9" s="211"/>
      <c r="H9" s="212"/>
      <c r="I9" s="212"/>
      <c r="J9" s="213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4"/>
      <c r="B10" t="s">
        <v>25</v>
      </c>
      <c r="C10" s="10">
        <v>10</v>
      </c>
      <c r="D10" s="13">
        <f t="shared" si="1"/>
        <v>10320</v>
      </c>
      <c r="F10" s="199" t="s">
        <v>26</v>
      </c>
      <c r="G10" s="214" t="s">
        <v>114</v>
      </c>
      <c r="H10" s="215"/>
      <c r="I10" s="215"/>
      <c r="J10" s="216"/>
      <c r="K10" s="8"/>
      <c r="L10" s="6">
        <f>R36</f>
        <v>1032</v>
      </c>
      <c r="P10" s="4"/>
      <c r="Q10" s="4"/>
      <c r="R10" s="5"/>
    </row>
    <row r="11" spans="1:18" ht="15.75" x14ac:dyDescent="0.25">
      <c r="A11" s="134"/>
      <c r="B11" s="17" t="s">
        <v>28</v>
      </c>
      <c r="C11" s="10"/>
      <c r="D11" s="13">
        <f t="shared" si="1"/>
        <v>0</v>
      </c>
      <c r="F11" s="200"/>
      <c r="G11" s="211"/>
      <c r="H11" s="212"/>
      <c r="I11" s="212"/>
      <c r="J11" s="213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4"/>
      <c r="B12" s="17" t="s">
        <v>30</v>
      </c>
      <c r="C12" s="10"/>
      <c r="D12" s="48">
        <f t="shared" si="1"/>
        <v>0</v>
      </c>
      <c r="F12" s="217" t="s">
        <v>33</v>
      </c>
      <c r="G12" s="218"/>
      <c r="H12" s="218"/>
      <c r="I12" s="218"/>
      <c r="J12" s="219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4"/>
      <c r="B13" s="17" t="s">
        <v>32</v>
      </c>
      <c r="C13" s="10">
        <v>9</v>
      </c>
      <c r="D13" s="48">
        <f t="shared" si="1"/>
        <v>2763</v>
      </c>
      <c r="F13" s="220" t="s">
        <v>36</v>
      </c>
      <c r="G13" s="184"/>
      <c r="H13" s="175">
        <f>D29</f>
        <v>313708.5</v>
      </c>
      <c r="I13" s="176"/>
      <c r="J13" s="17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4"/>
      <c r="B14" s="14" t="s">
        <v>35</v>
      </c>
      <c r="C14" s="10">
        <v>3</v>
      </c>
      <c r="D14" s="31">
        <f t="shared" si="1"/>
        <v>33</v>
      </c>
      <c r="F14" s="178" t="s">
        <v>39</v>
      </c>
      <c r="G14" s="179"/>
      <c r="H14" s="180">
        <f>D54</f>
        <v>55225.5</v>
      </c>
      <c r="I14" s="181"/>
      <c r="J14" s="18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4"/>
      <c r="B15" s="14" t="s">
        <v>38</v>
      </c>
      <c r="C15" s="10"/>
      <c r="D15" s="31">
        <f t="shared" si="1"/>
        <v>0</v>
      </c>
      <c r="F15" s="183" t="s">
        <v>40</v>
      </c>
      <c r="G15" s="184"/>
      <c r="H15" s="185">
        <f>H13-H14</f>
        <v>258483</v>
      </c>
      <c r="I15" s="186"/>
      <c r="J15" s="187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4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45">
        <f>230*6</f>
        <v>1380</v>
      </c>
      <c r="I16" s="145"/>
      <c r="J16" s="145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4"/>
      <c r="B17" t="s">
        <v>93</v>
      </c>
      <c r="C17" s="10"/>
      <c r="D17" s="48">
        <f t="shared" si="1"/>
        <v>0</v>
      </c>
      <c r="F17" s="56"/>
      <c r="G17" s="66" t="s">
        <v>45</v>
      </c>
      <c r="H17" s="156"/>
      <c r="I17" s="156"/>
      <c r="J17" s="156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4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56"/>
      <c r="I18" s="156"/>
      <c r="J18" s="156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4"/>
      <c r="B19" s="14" t="s">
        <v>149</v>
      </c>
      <c r="C19" s="10">
        <v>1</v>
      </c>
      <c r="D19" s="48">
        <f t="shared" si="1"/>
        <v>1102</v>
      </c>
      <c r="F19" s="56"/>
      <c r="G19" s="68" t="s">
        <v>50</v>
      </c>
      <c r="H19" s="231"/>
      <c r="I19" s="231"/>
      <c r="J19" s="231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4"/>
      <c r="B20" s="46" t="s">
        <v>119</v>
      </c>
      <c r="C20" s="10"/>
      <c r="D20" s="13">
        <f t="shared" si="1"/>
        <v>0</v>
      </c>
      <c r="F20" s="57"/>
      <c r="G20" s="70" t="s">
        <v>117</v>
      </c>
      <c r="H20" s="156"/>
      <c r="I20" s="156"/>
      <c r="J20" s="156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4"/>
      <c r="B21" s="14" t="s">
        <v>131</v>
      </c>
      <c r="C21" s="10">
        <v>2</v>
      </c>
      <c r="D21" s="48">
        <f t="shared" si="1"/>
        <v>1300</v>
      </c>
      <c r="F21" s="69" t="s">
        <v>99</v>
      </c>
      <c r="G21" s="82" t="s">
        <v>98</v>
      </c>
      <c r="H21" s="158" t="s">
        <v>13</v>
      </c>
      <c r="I21" s="159"/>
      <c r="J21" s="160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4"/>
      <c r="B22" s="46" t="s">
        <v>104</v>
      </c>
      <c r="C22" s="10"/>
      <c r="D22" s="48">
        <f t="shared" si="1"/>
        <v>0</v>
      </c>
      <c r="F22" s="72"/>
      <c r="G22" s="73"/>
      <c r="H22" s="161"/>
      <c r="I22" s="161"/>
      <c r="J22" s="161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4"/>
      <c r="B23" s="14" t="s">
        <v>107</v>
      </c>
      <c r="C23" s="10"/>
      <c r="D23" s="48">
        <f t="shared" si="1"/>
        <v>0</v>
      </c>
      <c r="F23" s="25"/>
      <c r="G23" s="37"/>
      <c r="H23" s="162"/>
      <c r="I23" s="131"/>
      <c r="J23" s="131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4"/>
      <c r="B24" s="14" t="s">
        <v>150</v>
      </c>
      <c r="C24" s="10">
        <v>12</v>
      </c>
      <c r="D24" s="48">
        <f t="shared" si="1"/>
        <v>474</v>
      </c>
      <c r="F24" s="38"/>
      <c r="G24" s="37"/>
      <c r="H24" s="162"/>
      <c r="I24" s="131"/>
      <c r="J24" s="131"/>
      <c r="L24" s="47">
        <f>912/24+1.5</f>
        <v>39.5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4"/>
      <c r="B25" s="14" t="s">
        <v>118</v>
      </c>
      <c r="C25" s="10">
        <v>12</v>
      </c>
      <c r="D25" s="48">
        <f t="shared" si="1"/>
        <v>504.5</v>
      </c>
      <c r="F25" s="60" t="s">
        <v>100</v>
      </c>
      <c r="G25" s="55" t="s">
        <v>98</v>
      </c>
      <c r="H25" s="163" t="s">
        <v>13</v>
      </c>
      <c r="I25" s="164"/>
      <c r="J25" s="165"/>
      <c r="L25" s="47">
        <f>973/24+1.5</f>
        <v>42.041666666666664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4"/>
      <c r="B26" s="14" t="s">
        <v>105</v>
      </c>
      <c r="C26" s="10"/>
      <c r="D26" s="48">
        <f t="shared" si="1"/>
        <v>0</v>
      </c>
      <c r="F26" s="64"/>
      <c r="G26" s="10"/>
      <c r="H26" s="166"/>
      <c r="I26" s="167"/>
      <c r="J26" s="168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4"/>
      <c r="B27" s="14" t="s">
        <v>109</v>
      </c>
      <c r="C27" s="10"/>
      <c r="D27" s="44">
        <f t="shared" si="1"/>
        <v>0</v>
      </c>
      <c r="F27" s="14"/>
      <c r="G27" s="14"/>
      <c r="H27" s="169"/>
      <c r="I27" s="170"/>
      <c r="J27" s="171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5"/>
      <c r="B28" s="46" t="s">
        <v>97</v>
      </c>
      <c r="C28" s="10"/>
      <c r="D28" s="48">
        <f t="shared" si="1"/>
        <v>0</v>
      </c>
      <c r="F28" s="86"/>
      <c r="G28" s="61"/>
      <c r="H28" s="172"/>
      <c r="I28" s="173"/>
      <c r="J28" s="174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46" t="s">
        <v>36</v>
      </c>
      <c r="B29" s="147"/>
      <c r="C29" s="148"/>
      <c r="D29" s="152">
        <f>SUM(D6:D28)</f>
        <v>313708.5</v>
      </c>
      <c r="F29" s="92" t="s">
        <v>55</v>
      </c>
      <c r="G29" s="154"/>
      <c r="H29" s="114">
        <f>H15-H16-H17-H18-H19-H20-H22-H23-H24+H26+H27</f>
        <v>257103</v>
      </c>
      <c r="I29" s="115"/>
      <c r="J29" s="116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49"/>
      <c r="B30" s="150"/>
      <c r="C30" s="151"/>
      <c r="D30" s="153"/>
      <c r="F30" s="95"/>
      <c r="G30" s="155"/>
      <c r="H30" s="117"/>
      <c r="I30" s="118"/>
      <c r="J30" s="119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39" t="s">
        <v>58</v>
      </c>
      <c r="B32" s="140"/>
      <c r="C32" s="140"/>
      <c r="D32" s="141"/>
      <c r="F32" s="142" t="s">
        <v>59</v>
      </c>
      <c r="G32" s="143"/>
      <c r="H32" s="143"/>
      <c r="I32" s="143"/>
      <c r="J32" s="144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142" t="s">
        <v>13</v>
      </c>
      <c r="I33" s="143"/>
      <c r="J33" s="144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3" t="s">
        <v>65</v>
      </c>
      <c r="B34" s="26" t="s">
        <v>66</v>
      </c>
      <c r="C34" s="51">
        <v>9</v>
      </c>
      <c r="D34" s="30">
        <f>C34*120</f>
        <v>1080</v>
      </c>
      <c r="F34" s="12">
        <v>1000</v>
      </c>
      <c r="G34" s="74">
        <v>101</v>
      </c>
      <c r="H34" s="136">
        <f>F34*G34</f>
        <v>101000</v>
      </c>
      <c r="I34" s="137"/>
      <c r="J34" s="138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4"/>
      <c r="B35" s="27" t="s">
        <v>68</v>
      </c>
      <c r="C35" s="52"/>
      <c r="D35" s="30">
        <f>C35*84</f>
        <v>0</v>
      </c>
      <c r="F35" s="58">
        <v>500</v>
      </c>
      <c r="G35" s="41">
        <v>22</v>
      </c>
      <c r="H35" s="136">
        <f t="shared" ref="H35:H39" si="2">F35*G35</f>
        <v>11000</v>
      </c>
      <c r="I35" s="137"/>
      <c r="J35" s="138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5"/>
      <c r="B36" s="26" t="s">
        <v>70</v>
      </c>
      <c r="C36" s="10">
        <v>10</v>
      </c>
      <c r="D36" s="12">
        <f>C36*1.5</f>
        <v>15</v>
      </c>
      <c r="F36" s="12">
        <v>200</v>
      </c>
      <c r="G36" s="37"/>
      <c r="H36" s="136">
        <f>F36*G36</f>
        <v>0</v>
      </c>
      <c r="I36" s="137"/>
      <c r="J36" s="138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3" t="s">
        <v>72</v>
      </c>
      <c r="B37" s="28" t="s">
        <v>66</v>
      </c>
      <c r="C37" s="53">
        <v>465</v>
      </c>
      <c r="D37" s="12">
        <f>C37*111</f>
        <v>51615</v>
      </c>
      <c r="F37" s="12">
        <v>100</v>
      </c>
      <c r="G37" s="39">
        <v>1</v>
      </c>
      <c r="H37" s="136">
        <f t="shared" si="2"/>
        <v>100</v>
      </c>
      <c r="I37" s="137"/>
      <c r="J37" s="138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4"/>
      <c r="B38" s="29" t="s">
        <v>68</v>
      </c>
      <c r="C38" s="54">
        <v>10</v>
      </c>
      <c r="D38" s="12">
        <f>C38*84</f>
        <v>840</v>
      </c>
      <c r="F38" s="30">
        <v>50</v>
      </c>
      <c r="G38" s="39">
        <v>1</v>
      </c>
      <c r="H38" s="136">
        <f t="shared" si="2"/>
        <v>50</v>
      </c>
      <c r="I38" s="137"/>
      <c r="J38" s="138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5"/>
      <c r="B39" s="29" t="s">
        <v>70</v>
      </c>
      <c r="C39" s="52">
        <v>5</v>
      </c>
      <c r="D39" s="31">
        <f>C39*4.5</f>
        <v>22.5</v>
      </c>
      <c r="F39" s="12">
        <v>20</v>
      </c>
      <c r="G39" s="37"/>
      <c r="H39" s="136">
        <f t="shared" si="2"/>
        <v>0</v>
      </c>
      <c r="I39" s="137"/>
      <c r="J39" s="138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3" t="s">
        <v>76</v>
      </c>
      <c r="B40" s="27" t="s">
        <v>66</v>
      </c>
      <c r="C40" s="63">
        <v>1</v>
      </c>
      <c r="D40" s="12">
        <f>C40*111</f>
        <v>111</v>
      </c>
      <c r="F40" s="12">
        <v>10</v>
      </c>
      <c r="G40" s="42"/>
      <c r="H40" s="136"/>
      <c r="I40" s="137"/>
      <c r="J40" s="138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4"/>
      <c r="B41" s="27" t="s">
        <v>68</v>
      </c>
      <c r="C41" s="10"/>
      <c r="D41" s="12">
        <f>C41*84</f>
        <v>0</v>
      </c>
      <c r="F41" s="12">
        <v>5</v>
      </c>
      <c r="G41" s="42"/>
      <c r="H41" s="136"/>
      <c r="I41" s="137"/>
      <c r="J41" s="138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5"/>
      <c r="B42" s="27" t="s">
        <v>70</v>
      </c>
      <c r="C42" s="11">
        <v>2</v>
      </c>
      <c r="D42" s="12">
        <f>C42*2.25</f>
        <v>4.5</v>
      </c>
      <c r="F42" s="39" t="s">
        <v>79</v>
      </c>
      <c r="G42" s="136">
        <v>136</v>
      </c>
      <c r="H42" s="137"/>
      <c r="I42" s="137"/>
      <c r="J42" s="138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06" t="s">
        <v>81</v>
      </c>
      <c r="C43" s="11"/>
      <c r="D43" s="12"/>
      <c r="F43" s="59" t="s">
        <v>82</v>
      </c>
      <c r="G43" s="89" t="s">
        <v>83</v>
      </c>
      <c r="H43" s="128" t="s">
        <v>13</v>
      </c>
      <c r="I43" s="129"/>
      <c r="J43" s="130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07"/>
      <c r="B44" s="27" t="s">
        <v>66</v>
      </c>
      <c r="C44" s="10"/>
      <c r="D44" s="12">
        <f>C44*120</f>
        <v>0</v>
      </c>
      <c r="F44" s="37" t="s">
        <v>145</v>
      </c>
      <c r="G44" s="62" t="s">
        <v>152</v>
      </c>
      <c r="H44" s="131">
        <v>144193</v>
      </c>
      <c r="I44" s="131"/>
      <c r="J44" s="131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07"/>
      <c r="B45" s="27" t="s">
        <v>68</v>
      </c>
      <c r="C45" s="33">
        <v>1</v>
      </c>
      <c r="D45" s="12">
        <f>C45*84</f>
        <v>84</v>
      </c>
      <c r="F45" s="37"/>
      <c r="G45" s="62"/>
      <c r="H45" s="131"/>
      <c r="I45" s="131"/>
      <c r="J45" s="131"/>
      <c r="K45" s="21"/>
      <c r="P45" s="4"/>
      <c r="Q45" s="4"/>
      <c r="R45" s="5"/>
    </row>
    <row r="46" spans="1:18" ht="15.75" x14ac:dyDescent="0.25">
      <c r="A46" s="107"/>
      <c r="B46" s="49" t="s">
        <v>70</v>
      </c>
      <c r="C46" s="81">
        <v>36</v>
      </c>
      <c r="D46" s="12">
        <f>C46*1.5</f>
        <v>54</v>
      </c>
      <c r="F46" s="37"/>
      <c r="G46" s="88"/>
      <c r="H46" s="132"/>
      <c r="I46" s="132"/>
      <c r="J46" s="132"/>
      <c r="K46" s="21"/>
      <c r="P46" s="4"/>
      <c r="Q46" s="4"/>
      <c r="R46" s="5"/>
    </row>
    <row r="47" spans="1:18" ht="15.75" x14ac:dyDescent="0.25">
      <c r="A47" s="108"/>
      <c r="B47" s="27"/>
      <c r="C47" s="11"/>
      <c r="D47" s="12"/>
      <c r="F47" s="59"/>
      <c r="G47" s="59"/>
      <c r="H47" s="109"/>
      <c r="I47" s="110"/>
      <c r="J47" s="111"/>
      <c r="K47" s="21"/>
      <c r="P47" s="4"/>
      <c r="Q47" s="4"/>
      <c r="R47" s="5"/>
    </row>
    <row r="48" spans="1:18" ht="15" customHeight="1" x14ac:dyDescent="0.25">
      <c r="A48" s="106" t="s">
        <v>32</v>
      </c>
      <c r="B48" s="27" t="s">
        <v>66</v>
      </c>
      <c r="C48" s="10">
        <v>6</v>
      </c>
      <c r="D48" s="12">
        <f>C48*78</f>
        <v>468</v>
      </c>
      <c r="F48" s="59"/>
      <c r="G48" s="59"/>
      <c r="H48" s="109"/>
      <c r="I48" s="110"/>
      <c r="J48" s="111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07"/>
      <c r="B49" s="29" t="s">
        <v>68</v>
      </c>
      <c r="C49" s="33">
        <v>22</v>
      </c>
      <c r="D49" s="12">
        <f>C49*42</f>
        <v>924</v>
      </c>
      <c r="F49" s="112" t="s">
        <v>86</v>
      </c>
      <c r="G49" s="114">
        <f>H34+H35+H36+H37+H38+H39+H40+H41+G42+H44+H45+H46</f>
        <v>256479</v>
      </c>
      <c r="H49" s="115"/>
      <c r="I49" s="115"/>
      <c r="J49" s="116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07"/>
      <c r="B50" s="32" t="s">
        <v>70</v>
      </c>
      <c r="C50" s="11">
        <v>5</v>
      </c>
      <c r="D50" s="12">
        <f>C50*1.5</f>
        <v>7.5</v>
      </c>
      <c r="F50" s="113"/>
      <c r="G50" s="117"/>
      <c r="H50" s="118"/>
      <c r="I50" s="118"/>
      <c r="J50" s="119"/>
      <c r="O50" t="s">
        <v>137</v>
      </c>
      <c r="P50" s="4">
        <v>1204</v>
      </c>
      <c r="Q50" s="4"/>
      <c r="R50" s="5"/>
    </row>
    <row r="51" spans="1:18" ht="15" customHeight="1" x14ac:dyDescent="0.25">
      <c r="A51" s="107"/>
      <c r="B51" s="27"/>
      <c r="C51" s="10"/>
      <c r="D51" s="31"/>
      <c r="F51" s="120" t="s">
        <v>153</v>
      </c>
      <c r="G51" s="221">
        <f>G49-H29</f>
        <v>-624</v>
      </c>
      <c r="H51" s="222"/>
      <c r="I51" s="222"/>
      <c r="J51" s="223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07"/>
      <c r="B52" s="29"/>
      <c r="C52" s="33"/>
      <c r="D52" s="45"/>
      <c r="F52" s="121"/>
      <c r="G52" s="224"/>
      <c r="H52" s="225"/>
      <c r="I52" s="225"/>
      <c r="J52" s="226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08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92" t="s">
        <v>90</v>
      </c>
      <c r="B54" s="93"/>
      <c r="C54" s="94"/>
      <c r="D54" s="98">
        <f>SUM(D34:D53)</f>
        <v>55225.5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95"/>
      <c r="B55" s="96"/>
      <c r="C55" s="97"/>
      <c r="D55" s="9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100" t="s">
        <v>91</v>
      </c>
      <c r="B58" s="101"/>
      <c r="C58" s="101"/>
      <c r="D58" s="102"/>
      <c r="F58" s="100" t="s">
        <v>92</v>
      </c>
      <c r="G58" s="101"/>
      <c r="H58" s="101"/>
      <c r="I58" s="101"/>
      <c r="J58" s="102"/>
    </row>
    <row r="59" spans="1:18" x14ac:dyDescent="0.25">
      <c r="A59" s="103"/>
      <c r="B59" s="104"/>
      <c r="C59" s="104"/>
      <c r="D59" s="105"/>
      <c r="F59" s="103"/>
      <c r="G59" s="104"/>
      <c r="H59" s="104"/>
      <c r="I59" s="104"/>
      <c r="J59" s="105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CFA2A3-074A-4D0C-B58C-7B3CBC5FB564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88" t="s">
        <v>1</v>
      </c>
      <c r="O1" s="188"/>
      <c r="P1" s="85" t="s">
        <v>2</v>
      </c>
      <c r="Q1" s="8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9" t="s">
        <v>7</v>
      </c>
      <c r="B4" s="140"/>
      <c r="C4" s="140"/>
      <c r="D4" s="141"/>
      <c r="F4" s="189" t="s">
        <v>8</v>
      </c>
      <c r="G4" s="191">
        <v>3</v>
      </c>
      <c r="H4" s="193" t="s">
        <v>9</v>
      </c>
      <c r="I4" s="195">
        <v>46083</v>
      </c>
      <c r="J4" s="19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3" t="s">
        <v>7</v>
      </c>
      <c r="B5" s="15" t="s">
        <v>11</v>
      </c>
      <c r="C5" s="9" t="s">
        <v>12</v>
      </c>
      <c r="D5" s="25" t="s">
        <v>13</v>
      </c>
      <c r="F5" s="190"/>
      <c r="G5" s="192"/>
      <c r="H5" s="194"/>
      <c r="I5" s="197"/>
      <c r="J5" s="19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4"/>
      <c r="B6" s="16" t="s">
        <v>15</v>
      </c>
      <c r="C6" s="10">
        <v>266</v>
      </c>
      <c r="D6" s="13">
        <f t="shared" ref="D6:D28" si="1">C6*L6</f>
        <v>202426</v>
      </c>
      <c r="F6" s="199" t="s">
        <v>16</v>
      </c>
      <c r="G6" s="201" t="s">
        <v>141</v>
      </c>
      <c r="H6" s="202"/>
      <c r="I6" s="202"/>
      <c r="J6" s="203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4"/>
      <c r="B7" s="16" t="s">
        <v>18</v>
      </c>
      <c r="C7" s="10">
        <v>9</v>
      </c>
      <c r="D7" s="13">
        <f t="shared" si="1"/>
        <v>7029</v>
      </c>
      <c r="F7" s="200"/>
      <c r="G7" s="204"/>
      <c r="H7" s="205"/>
      <c r="I7" s="205"/>
      <c r="J7" s="206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4"/>
      <c r="B8" s="16" t="s">
        <v>20</v>
      </c>
      <c r="C8" s="10"/>
      <c r="D8" s="13">
        <f t="shared" si="1"/>
        <v>0</v>
      </c>
      <c r="F8" s="207" t="s">
        <v>21</v>
      </c>
      <c r="G8" s="208" t="s">
        <v>130</v>
      </c>
      <c r="H8" s="209"/>
      <c r="I8" s="209"/>
      <c r="J8" s="210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4"/>
      <c r="B9" s="16" t="s">
        <v>23</v>
      </c>
      <c r="C9" s="10">
        <v>57</v>
      </c>
      <c r="D9" s="13">
        <f t="shared" si="1"/>
        <v>41781</v>
      </c>
      <c r="F9" s="200"/>
      <c r="G9" s="211"/>
      <c r="H9" s="212"/>
      <c r="I9" s="212"/>
      <c r="J9" s="213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4"/>
      <c r="B10" t="s">
        <v>25</v>
      </c>
      <c r="C10" s="10">
        <v>1</v>
      </c>
      <c r="D10" s="13">
        <f t="shared" si="1"/>
        <v>1032</v>
      </c>
      <c r="F10" s="199" t="s">
        <v>26</v>
      </c>
      <c r="G10" s="214" t="s">
        <v>127</v>
      </c>
      <c r="H10" s="215"/>
      <c r="I10" s="215"/>
      <c r="J10" s="216"/>
      <c r="K10" s="8"/>
      <c r="L10" s="6">
        <f>R36</f>
        <v>1032</v>
      </c>
      <c r="P10" s="4"/>
      <c r="Q10" s="4"/>
      <c r="R10" s="5"/>
    </row>
    <row r="11" spans="1:18" ht="15.75" x14ac:dyDescent="0.25">
      <c r="A11" s="134"/>
      <c r="B11" s="17" t="s">
        <v>28</v>
      </c>
      <c r="C11" s="10"/>
      <c r="D11" s="13">
        <f t="shared" si="1"/>
        <v>0</v>
      </c>
      <c r="F11" s="200"/>
      <c r="G11" s="211"/>
      <c r="H11" s="212"/>
      <c r="I11" s="212"/>
      <c r="J11" s="213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4"/>
      <c r="B12" s="17" t="s">
        <v>30</v>
      </c>
      <c r="C12" s="10">
        <v>2</v>
      </c>
      <c r="D12" s="48">
        <f t="shared" si="1"/>
        <v>1984</v>
      </c>
      <c r="F12" s="217" t="s">
        <v>33</v>
      </c>
      <c r="G12" s="218"/>
      <c r="H12" s="218"/>
      <c r="I12" s="218"/>
      <c r="J12" s="219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4"/>
      <c r="B13" s="17" t="s">
        <v>32</v>
      </c>
      <c r="C13" s="10">
        <v>12</v>
      </c>
      <c r="D13" s="48">
        <f t="shared" si="1"/>
        <v>3684</v>
      </c>
      <c r="F13" s="220" t="s">
        <v>36</v>
      </c>
      <c r="G13" s="184"/>
      <c r="H13" s="175">
        <f>D29</f>
        <v>259606</v>
      </c>
      <c r="I13" s="176"/>
      <c r="J13" s="17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4"/>
      <c r="B14" s="14" t="s">
        <v>35</v>
      </c>
      <c r="C14" s="10">
        <v>8</v>
      </c>
      <c r="D14" s="31">
        <f t="shared" si="1"/>
        <v>88</v>
      </c>
      <c r="F14" s="178" t="s">
        <v>39</v>
      </c>
      <c r="G14" s="179"/>
      <c r="H14" s="180">
        <f>D54</f>
        <v>36129</v>
      </c>
      <c r="I14" s="181"/>
      <c r="J14" s="18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4"/>
      <c r="B15" s="14" t="s">
        <v>38</v>
      </c>
      <c r="C15" s="10"/>
      <c r="D15" s="31">
        <f t="shared" si="1"/>
        <v>0</v>
      </c>
      <c r="F15" s="183" t="s">
        <v>40</v>
      </c>
      <c r="G15" s="184"/>
      <c r="H15" s="185">
        <f>H13-H14</f>
        <v>223477</v>
      </c>
      <c r="I15" s="186"/>
      <c r="J15" s="187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4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45">
        <f>115*6</f>
        <v>690</v>
      </c>
      <c r="I16" s="145"/>
      <c r="J16" s="145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4"/>
      <c r="B17" t="s">
        <v>151</v>
      </c>
      <c r="C17" s="10">
        <v>1</v>
      </c>
      <c r="D17" s="48">
        <f t="shared" si="1"/>
        <v>1582</v>
      </c>
      <c r="F17" s="56"/>
      <c r="G17" s="66" t="s">
        <v>45</v>
      </c>
      <c r="H17" s="156"/>
      <c r="I17" s="156"/>
      <c r="J17" s="156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4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56"/>
      <c r="I18" s="156"/>
      <c r="J18" s="156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4"/>
      <c r="B19" s="14" t="s">
        <v>116</v>
      </c>
      <c r="C19" s="10"/>
      <c r="D19" s="48">
        <f t="shared" si="1"/>
        <v>0</v>
      </c>
      <c r="F19" s="56"/>
      <c r="G19" s="68" t="s">
        <v>50</v>
      </c>
      <c r="H19" s="232">
        <v>50</v>
      </c>
      <c r="I19" s="232"/>
      <c r="J19" s="232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4"/>
      <c r="B20" s="46" t="s">
        <v>108</v>
      </c>
      <c r="C20" s="10"/>
      <c r="D20" s="13">
        <f t="shared" si="1"/>
        <v>0</v>
      </c>
      <c r="F20" s="57"/>
      <c r="G20" s="70" t="s">
        <v>117</v>
      </c>
      <c r="H20" s="145"/>
      <c r="I20" s="145"/>
      <c r="J20" s="145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4"/>
      <c r="B21" s="14" t="s">
        <v>123</v>
      </c>
      <c r="C21" s="10"/>
      <c r="D21" s="48">
        <f t="shared" si="1"/>
        <v>0</v>
      </c>
      <c r="F21" s="69" t="s">
        <v>99</v>
      </c>
      <c r="G21" s="82" t="s">
        <v>98</v>
      </c>
      <c r="H21" s="158" t="s">
        <v>13</v>
      </c>
      <c r="I21" s="159"/>
      <c r="J21" s="160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4"/>
      <c r="B22" s="46" t="s">
        <v>104</v>
      </c>
      <c r="C22" s="10"/>
      <c r="D22" s="48">
        <f t="shared" si="1"/>
        <v>0</v>
      </c>
      <c r="F22" s="77"/>
      <c r="G22" s="73"/>
      <c r="H22" s="161"/>
      <c r="I22" s="161"/>
      <c r="J22" s="161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4"/>
      <c r="B23" s="14" t="s">
        <v>107</v>
      </c>
      <c r="C23" s="10"/>
      <c r="D23" s="48">
        <f t="shared" si="1"/>
        <v>0</v>
      </c>
      <c r="F23" s="78"/>
      <c r="G23" s="79"/>
      <c r="H23" s="162"/>
      <c r="I23" s="131"/>
      <c r="J23" s="131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4"/>
      <c r="B24" s="14" t="s">
        <v>101</v>
      </c>
      <c r="C24" s="10"/>
      <c r="D24" s="48">
        <f t="shared" si="1"/>
        <v>0</v>
      </c>
      <c r="F24" s="38"/>
      <c r="G24" s="37"/>
      <c r="H24" s="162"/>
      <c r="I24" s="131"/>
      <c r="J24" s="131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4"/>
      <c r="B25" s="14" t="s">
        <v>115</v>
      </c>
      <c r="C25" s="10"/>
      <c r="D25" s="48">
        <f t="shared" si="1"/>
        <v>0</v>
      </c>
      <c r="F25" s="60" t="s">
        <v>100</v>
      </c>
      <c r="G25" s="55" t="s">
        <v>98</v>
      </c>
      <c r="H25" s="163" t="s">
        <v>13</v>
      </c>
      <c r="I25" s="164"/>
      <c r="J25" s="165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4"/>
      <c r="B26" s="14" t="s">
        <v>105</v>
      </c>
      <c r="C26" s="10"/>
      <c r="D26" s="48">
        <f t="shared" si="1"/>
        <v>0</v>
      </c>
      <c r="F26" s="64"/>
      <c r="G26" s="59"/>
      <c r="H26" s="166"/>
      <c r="I26" s="167"/>
      <c r="J26" s="168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4"/>
      <c r="B27" s="14" t="s">
        <v>109</v>
      </c>
      <c r="C27" s="10"/>
      <c r="D27" s="44">
        <f t="shared" si="1"/>
        <v>0</v>
      </c>
      <c r="F27" s="25"/>
      <c r="G27" s="80"/>
      <c r="H27" s="169"/>
      <c r="I27" s="170"/>
      <c r="J27" s="171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5"/>
      <c r="B28" s="46" t="s">
        <v>97</v>
      </c>
      <c r="C28" s="10"/>
      <c r="D28" s="48">
        <f t="shared" si="1"/>
        <v>0</v>
      </c>
      <c r="F28" s="86"/>
      <c r="G28" s="61"/>
      <c r="H28" s="172"/>
      <c r="I28" s="173"/>
      <c r="J28" s="174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46" t="s">
        <v>36</v>
      </c>
      <c r="B29" s="147"/>
      <c r="C29" s="148"/>
      <c r="D29" s="152">
        <f>SUM(D6:D28)</f>
        <v>259606</v>
      </c>
      <c r="F29" s="92" t="s">
        <v>55</v>
      </c>
      <c r="G29" s="154"/>
      <c r="H29" s="114">
        <f>H15-H16-H17-H18-H19-H20-H22-H23-H24+H26+H27</f>
        <v>222737</v>
      </c>
      <c r="I29" s="115"/>
      <c r="J29" s="116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49"/>
      <c r="B30" s="150"/>
      <c r="C30" s="151"/>
      <c r="D30" s="153"/>
      <c r="F30" s="95"/>
      <c r="G30" s="155"/>
      <c r="H30" s="117"/>
      <c r="I30" s="118"/>
      <c r="J30" s="119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39" t="s">
        <v>58</v>
      </c>
      <c r="B32" s="140"/>
      <c r="C32" s="140"/>
      <c r="D32" s="141"/>
      <c r="F32" s="142" t="s">
        <v>59</v>
      </c>
      <c r="G32" s="143"/>
      <c r="H32" s="143"/>
      <c r="I32" s="143"/>
      <c r="J32" s="144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142" t="s">
        <v>13</v>
      </c>
      <c r="I33" s="143"/>
      <c r="J33" s="144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3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41</v>
      </c>
      <c r="H34" s="136">
        <f>F34*G34</f>
        <v>41000</v>
      </c>
      <c r="I34" s="137"/>
      <c r="J34" s="138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4"/>
      <c r="B35" s="27" t="s">
        <v>68</v>
      </c>
      <c r="C35" s="52">
        <v>1</v>
      </c>
      <c r="D35" s="30">
        <f>C35*84</f>
        <v>84</v>
      </c>
      <c r="F35" s="58">
        <v>500</v>
      </c>
      <c r="G35" s="41">
        <v>7</v>
      </c>
      <c r="H35" s="136">
        <f>F35*G35</f>
        <v>3500</v>
      </c>
      <c r="I35" s="137"/>
      <c r="J35" s="138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5"/>
      <c r="B36" s="26" t="s">
        <v>70</v>
      </c>
      <c r="C36" s="10">
        <v>12</v>
      </c>
      <c r="D36" s="12">
        <f>C36*1.5</f>
        <v>18</v>
      </c>
      <c r="F36" s="12">
        <v>200</v>
      </c>
      <c r="G36" s="37"/>
      <c r="H36" s="136">
        <f t="shared" ref="H36:H39" si="2">F36*G36</f>
        <v>0</v>
      </c>
      <c r="I36" s="137"/>
      <c r="J36" s="138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3" t="s">
        <v>72</v>
      </c>
      <c r="B37" s="28" t="s">
        <v>66</v>
      </c>
      <c r="C37" s="53">
        <v>284</v>
      </c>
      <c r="D37" s="12">
        <f>C37*111</f>
        <v>31524</v>
      </c>
      <c r="F37" s="12">
        <v>100</v>
      </c>
      <c r="G37" s="39">
        <v>1</v>
      </c>
      <c r="H37" s="136">
        <f t="shared" si="2"/>
        <v>100</v>
      </c>
      <c r="I37" s="137"/>
      <c r="J37" s="138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4"/>
      <c r="B38" s="29" t="s">
        <v>68</v>
      </c>
      <c r="C38" s="54">
        <v>17</v>
      </c>
      <c r="D38" s="12">
        <f>C38*84</f>
        <v>1428</v>
      </c>
      <c r="F38" s="30">
        <v>50</v>
      </c>
      <c r="G38" s="39">
        <v>2</v>
      </c>
      <c r="H38" s="136">
        <f t="shared" si="2"/>
        <v>100</v>
      </c>
      <c r="I38" s="137"/>
      <c r="J38" s="138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5"/>
      <c r="B39" s="29" t="s">
        <v>70</v>
      </c>
      <c r="C39" s="52"/>
      <c r="D39" s="31">
        <f>C39*4.5</f>
        <v>0</v>
      </c>
      <c r="F39" s="12">
        <v>20</v>
      </c>
      <c r="G39" s="37"/>
      <c r="H39" s="136">
        <f t="shared" si="2"/>
        <v>0</v>
      </c>
      <c r="I39" s="137"/>
      <c r="J39" s="138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3" t="s">
        <v>76</v>
      </c>
      <c r="B40" s="27" t="s">
        <v>66</v>
      </c>
      <c r="C40" s="63">
        <v>16</v>
      </c>
      <c r="D40" s="12">
        <f>C40*111</f>
        <v>1776</v>
      </c>
      <c r="F40" s="12">
        <v>10</v>
      </c>
      <c r="G40" s="42"/>
      <c r="H40" s="136"/>
      <c r="I40" s="137"/>
      <c r="J40" s="138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4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136"/>
      <c r="I41" s="137"/>
      <c r="J41" s="138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5"/>
      <c r="B42" s="27" t="s">
        <v>70</v>
      </c>
      <c r="C42" s="11">
        <v>10</v>
      </c>
      <c r="D42" s="12">
        <f>C42*2.25</f>
        <v>22.5</v>
      </c>
      <c r="F42" s="39" t="s">
        <v>79</v>
      </c>
      <c r="G42" s="136">
        <v>88</v>
      </c>
      <c r="H42" s="137"/>
      <c r="I42" s="137"/>
      <c r="J42" s="138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06" t="s">
        <v>81</v>
      </c>
      <c r="C43" s="11"/>
      <c r="D43" s="12"/>
      <c r="F43" s="59" t="s">
        <v>82</v>
      </c>
      <c r="G43" s="89" t="s">
        <v>83</v>
      </c>
      <c r="H43" s="128" t="s">
        <v>13</v>
      </c>
      <c r="I43" s="129"/>
      <c r="J43" s="130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07"/>
      <c r="B44" s="27" t="s">
        <v>66</v>
      </c>
      <c r="C44" s="10">
        <v>2</v>
      </c>
      <c r="D44" s="12">
        <f>C44*120</f>
        <v>240</v>
      </c>
      <c r="F44" s="37" t="s">
        <v>145</v>
      </c>
      <c r="G44" s="76" t="s">
        <v>156</v>
      </c>
      <c r="H44" s="131">
        <v>75280</v>
      </c>
      <c r="I44" s="131"/>
      <c r="J44" s="131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07"/>
      <c r="B45" s="27" t="s">
        <v>68</v>
      </c>
      <c r="C45" s="33"/>
      <c r="D45" s="12">
        <f>C45*84</f>
        <v>0</v>
      </c>
      <c r="F45" s="37" t="s">
        <v>154</v>
      </c>
      <c r="G45" s="76" t="s">
        <v>157</v>
      </c>
      <c r="H45" s="131">
        <v>101194</v>
      </c>
      <c r="I45" s="131"/>
      <c r="J45" s="131"/>
      <c r="K45" s="21"/>
      <c r="P45" s="4"/>
      <c r="Q45" s="4"/>
      <c r="R45" s="5"/>
    </row>
    <row r="46" spans="1:18" ht="15.75" x14ac:dyDescent="0.25">
      <c r="A46" s="107"/>
      <c r="B46" s="49" t="s">
        <v>70</v>
      </c>
      <c r="C46" s="81">
        <v>10</v>
      </c>
      <c r="D46" s="12">
        <f>C46*1.5</f>
        <v>15</v>
      </c>
      <c r="F46" s="37" t="s">
        <v>155</v>
      </c>
      <c r="G46" s="62"/>
      <c r="H46" s="132">
        <v>1582</v>
      </c>
      <c r="I46" s="132"/>
      <c r="J46" s="132"/>
      <c r="K46" s="21"/>
      <c r="P46" s="4"/>
      <c r="Q46" s="4"/>
      <c r="R46" s="5"/>
    </row>
    <row r="47" spans="1:18" ht="15.75" x14ac:dyDescent="0.25">
      <c r="A47" s="108"/>
      <c r="B47" s="27"/>
      <c r="C47" s="11"/>
      <c r="D47" s="12"/>
      <c r="F47" s="59"/>
      <c r="G47" s="59"/>
      <c r="H47" s="109"/>
      <c r="I47" s="110"/>
      <c r="J47" s="111"/>
      <c r="K47" s="21"/>
      <c r="P47" s="4"/>
      <c r="Q47" s="4"/>
      <c r="R47" s="5"/>
    </row>
    <row r="48" spans="1:18" ht="15" customHeight="1" x14ac:dyDescent="0.25">
      <c r="A48" s="106" t="s">
        <v>32</v>
      </c>
      <c r="B48" s="27" t="s">
        <v>66</v>
      </c>
      <c r="C48" s="10">
        <v>12</v>
      </c>
      <c r="D48" s="12">
        <f>C48*78</f>
        <v>936</v>
      </c>
      <c r="F48" s="59"/>
      <c r="G48" s="59"/>
      <c r="H48" s="109"/>
      <c r="I48" s="110"/>
      <c r="J48" s="111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07"/>
      <c r="B49" s="29" t="s">
        <v>68</v>
      </c>
      <c r="C49" s="33"/>
      <c r="D49" s="12">
        <f>C49*42</f>
        <v>0</v>
      </c>
      <c r="F49" s="112" t="s">
        <v>86</v>
      </c>
      <c r="G49" s="114">
        <f>H34+H35+H36+H37+H38+H39+H40+H41+G42+H44+H45+H46</f>
        <v>222844</v>
      </c>
      <c r="H49" s="115"/>
      <c r="I49" s="115"/>
      <c r="J49" s="116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07"/>
      <c r="B50" s="32" t="s">
        <v>70</v>
      </c>
      <c r="C50" s="11">
        <v>1</v>
      </c>
      <c r="D50" s="12">
        <f>C50*1.5</f>
        <v>1.5</v>
      </c>
      <c r="F50" s="113"/>
      <c r="G50" s="117"/>
      <c r="H50" s="118"/>
      <c r="I50" s="118"/>
      <c r="J50" s="119"/>
      <c r="O50" t="s">
        <v>137</v>
      </c>
      <c r="P50" s="4">
        <v>1204</v>
      </c>
      <c r="Q50" s="4"/>
      <c r="R50" s="5"/>
    </row>
    <row r="51" spans="1:18" ht="15" customHeight="1" x14ac:dyDescent="0.25">
      <c r="A51" s="107"/>
      <c r="B51" s="27"/>
      <c r="C51" s="10"/>
      <c r="D51" s="31"/>
      <c r="F51" s="120" t="s">
        <v>138</v>
      </c>
      <c r="G51" s="122">
        <f>G49-H29</f>
        <v>107</v>
      </c>
      <c r="H51" s="123"/>
      <c r="I51" s="123"/>
      <c r="J51" s="124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07"/>
      <c r="B52" s="29"/>
      <c r="C52" s="33"/>
      <c r="D52" s="45"/>
      <c r="F52" s="121"/>
      <c r="G52" s="125"/>
      <c r="H52" s="126"/>
      <c r="I52" s="126"/>
      <c r="J52" s="127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08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92" t="s">
        <v>90</v>
      </c>
      <c r="B54" s="93"/>
      <c r="C54" s="94"/>
      <c r="D54" s="98">
        <f>SUM(D34:D53)</f>
        <v>36129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95"/>
      <c r="B55" s="96"/>
      <c r="C55" s="97"/>
      <c r="D55" s="9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100" t="s">
        <v>91</v>
      </c>
      <c r="B58" s="101"/>
      <c r="C58" s="101"/>
      <c r="D58" s="102"/>
      <c r="F58" s="100" t="s">
        <v>92</v>
      </c>
      <c r="G58" s="101"/>
      <c r="H58" s="101"/>
      <c r="I58" s="101"/>
      <c r="J58" s="102"/>
    </row>
    <row r="59" spans="1:18" x14ac:dyDescent="0.25">
      <c r="A59" s="103"/>
      <c r="B59" s="104"/>
      <c r="C59" s="104"/>
      <c r="D59" s="105"/>
      <c r="F59" s="103"/>
      <c r="G59" s="104"/>
      <c r="H59" s="104"/>
      <c r="I59" s="104"/>
      <c r="J59" s="105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CF4B8E-B384-4651-8C61-42BE14A6AC6A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88" t="s">
        <v>1</v>
      </c>
      <c r="O1" s="188"/>
      <c r="P1" s="85" t="s">
        <v>2</v>
      </c>
      <c r="Q1" s="85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39" t="s">
        <v>7</v>
      </c>
      <c r="B4" s="140"/>
      <c r="C4" s="140"/>
      <c r="D4" s="141"/>
      <c r="F4" s="189" t="s">
        <v>8</v>
      </c>
      <c r="G4" s="191"/>
      <c r="H4" s="193" t="s">
        <v>9</v>
      </c>
      <c r="I4" s="195"/>
      <c r="J4" s="19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33" t="s">
        <v>7</v>
      </c>
      <c r="B5" s="15" t="s">
        <v>11</v>
      </c>
      <c r="C5" s="9" t="s">
        <v>12</v>
      </c>
      <c r="D5" s="25" t="s">
        <v>13</v>
      </c>
      <c r="F5" s="190"/>
      <c r="G5" s="192"/>
      <c r="H5" s="194"/>
      <c r="I5" s="197"/>
      <c r="J5" s="19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34"/>
      <c r="B6" s="16"/>
      <c r="C6" s="10"/>
      <c r="D6" s="13">
        <f t="shared" ref="D6:D28" si="1">C6*L6</f>
        <v>0</v>
      </c>
      <c r="F6" s="199" t="s">
        <v>16</v>
      </c>
      <c r="G6" s="201"/>
      <c r="H6" s="202"/>
      <c r="I6" s="202"/>
      <c r="J6" s="203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34"/>
      <c r="B7" s="16"/>
      <c r="C7" s="10"/>
      <c r="D7" s="13">
        <f t="shared" si="1"/>
        <v>0</v>
      </c>
      <c r="F7" s="200"/>
      <c r="G7" s="204"/>
      <c r="H7" s="205"/>
      <c r="I7" s="205"/>
      <c r="J7" s="206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34"/>
      <c r="B8" s="16"/>
      <c r="C8" s="10"/>
      <c r="D8" s="13">
        <f t="shared" si="1"/>
        <v>0</v>
      </c>
      <c r="F8" s="207" t="s">
        <v>21</v>
      </c>
      <c r="G8" s="208"/>
      <c r="H8" s="209"/>
      <c r="I8" s="209"/>
      <c r="J8" s="210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34"/>
      <c r="B9" s="16"/>
      <c r="C9" s="10"/>
      <c r="D9" s="13">
        <f t="shared" si="1"/>
        <v>0</v>
      </c>
      <c r="F9" s="200"/>
      <c r="G9" s="211"/>
      <c r="H9" s="212"/>
      <c r="I9" s="212"/>
      <c r="J9" s="213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34"/>
      <c r="C10" s="10"/>
      <c r="D10" s="13">
        <f t="shared" si="1"/>
        <v>0</v>
      </c>
      <c r="F10" s="199" t="s">
        <v>26</v>
      </c>
      <c r="G10" s="214"/>
      <c r="H10" s="215"/>
      <c r="I10" s="215"/>
      <c r="J10" s="216"/>
      <c r="K10" s="8"/>
      <c r="L10" s="6">
        <f>R36</f>
        <v>972</v>
      </c>
      <c r="P10" s="4"/>
      <c r="Q10" s="4"/>
      <c r="R10" s="5"/>
    </row>
    <row r="11" spans="1:19" ht="15.75" x14ac:dyDescent="0.25">
      <c r="A11" s="134"/>
      <c r="B11" s="17"/>
      <c r="C11" s="10"/>
      <c r="D11" s="13">
        <f t="shared" si="1"/>
        <v>0</v>
      </c>
      <c r="F11" s="200"/>
      <c r="G11" s="211"/>
      <c r="H11" s="212"/>
      <c r="I11" s="212"/>
      <c r="J11" s="213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34"/>
      <c r="B12" s="17"/>
      <c r="C12" s="10"/>
      <c r="D12" s="48">
        <f t="shared" si="1"/>
        <v>0</v>
      </c>
      <c r="F12" s="217" t="s">
        <v>33</v>
      </c>
      <c r="G12" s="218"/>
      <c r="H12" s="218"/>
      <c r="I12" s="218"/>
      <c r="J12" s="219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34"/>
      <c r="B13" s="17"/>
      <c r="C13" s="10"/>
      <c r="D13" s="48">
        <f t="shared" si="1"/>
        <v>0</v>
      </c>
      <c r="F13" s="220" t="s">
        <v>36</v>
      </c>
      <c r="G13" s="184"/>
      <c r="H13" s="175">
        <f>D29</f>
        <v>0</v>
      </c>
      <c r="I13" s="176"/>
      <c r="J13" s="17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34"/>
      <c r="B14" s="14"/>
      <c r="C14" s="10"/>
      <c r="D14" s="31">
        <f t="shared" si="1"/>
        <v>0</v>
      </c>
      <c r="F14" s="178" t="s">
        <v>39</v>
      </c>
      <c r="G14" s="179"/>
      <c r="H14" s="180">
        <f>D54</f>
        <v>0</v>
      </c>
      <c r="I14" s="181"/>
      <c r="J14" s="18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34"/>
      <c r="B15" s="14"/>
      <c r="C15" s="10"/>
      <c r="D15" s="31">
        <f t="shared" si="1"/>
        <v>0</v>
      </c>
      <c r="F15" s="183" t="s">
        <v>40</v>
      </c>
      <c r="G15" s="184"/>
      <c r="H15" s="185">
        <f>H13-H14</f>
        <v>0</v>
      </c>
      <c r="I15" s="186"/>
      <c r="J15" s="187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34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45"/>
      <c r="I16" s="145"/>
      <c r="J16" s="145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4"/>
      <c r="C17" s="10"/>
      <c r="D17" s="48">
        <f t="shared" si="1"/>
        <v>0</v>
      </c>
      <c r="F17" s="56"/>
      <c r="G17" s="66" t="s">
        <v>45</v>
      </c>
      <c r="H17" s="156"/>
      <c r="I17" s="156"/>
      <c r="J17" s="156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4"/>
      <c r="B18" s="19"/>
      <c r="C18" s="10"/>
      <c r="D18" s="48">
        <f t="shared" si="1"/>
        <v>0</v>
      </c>
      <c r="F18" s="56"/>
      <c r="G18" s="66" t="s">
        <v>47</v>
      </c>
      <c r="H18" s="156"/>
      <c r="I18" s="156"/>
      <c r="J18" s="156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4"/>
      <c r="B19" s="14"/>
      <c r="C19" s="10"/>
      <c r="D19" s="48">
        <f t="shared" si="1"/>
        <v>0</v>
      </c>
      <c r="F19" s="56"/>
      <c r="G19" s="68" t="s">
        <v>50</v>
      </c>
      <c r="H19" s="157"/>
      <c r="I19" s="157"/>
      <c r="J19" s="157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4"/>
      <c r="B20" s="46"/>
      <c r="C20" s="10"/>
      <c r="D20" s="13">
        <f t="shared" si="1"/>
        <v>0</v>
      </c>
      <c r="F20" s="57"/>
      <c r="G20" s="70" t="s">
        <v>117</v>
      </c>
      <c r="H20" s="145"/>
      <c r="I20" s="145"/>
      <c r="J20" s="145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4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58" t="s">
        <v>13</v>
      </c>
      <c r="I21" s="159"/>
      <c r="J21" s="160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4"/>
      <c r="B22" s="46"/>
      <c r="C22" s="10"/>
      <c r="D22" s="48">
        <f t="shared" si="1"/>
        <v>0</v>
      </c>
      <c r="F22" s="77"/>
      <c r="G22" s="73"/>
      <c r="H22" s="161"/>
      <c r="I22" s="161"/>
      <c r="J22" s="161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4"/>
      <c r="B23" s="14"/>
      <c r="C23" s="10"/>
      <c r="D23" s="48">
        <f t="shared" si="1"/>
        <v>0</v>
      </c>
      <c r="F23" s="78"/>
      <c r="G23" s="79"/>
      <c r="H23" s="162"/>
      <c r="I23" s="131"/>
      <c r="J23" s="131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4"/>
      <c r="B24" s="14"/>
      <c r="C24" s="10"/>
      <c r="D24" s="48">
        <f t="shared" si="1"/>
        <v>0</v>
      </c>
      <c r="F24" s="38"/>
      <c r="G24" s="37"/>
      <c r="H24" s="162"/>
      <c r="I24" s="131"/>
      <c r="J24" s="131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4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63" t="s">
        <v>13</v>
      </c>
      <c r="I25" s="164"/>
      <c r="J25" s="165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4"/>
      <c r="B26" s="14"/>
      <c r="C26" s="10"/>
      <c r="D26" s="48">
        <f t="shared" si="1"/>
        <v>0</v>
      </c>
      <c r="F26" s="64"/>
      <c r="G26" s="59"/>
      <c r="H26" s="166"/>
      <c r="I26" s="167"/>
      <c r="J26" s="168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4"/>
      <c r="B27" s="14"/>
      <c r="C27" s="10"/>
      <c r="D27" s="44">
        <f t="shared" si="1"/>
        <v>0</v>
      </c>
      <c r="F27" s="25"/>
      <c r="G27" s="80"/>
      <c r="H27" s="169"/>
      <c r="I27" s="170"/>
      <c r="J27" s="171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5"/>
      <c r="B28" s="46"/>
      <c r="C28" s="10"/>
      <c r="D28" s="48">
        <f t="shared" si="1"/>
        <v>0</v>
      </c>
      <c r="F28" s="86"/>
      <c r="G28" s="61"/>
      <c r="H28" s="172"/>
      <c r="I28" s="173"/>
      <c r="J28" s="174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46" t="s">
        <v>36</v>
      </c>
      <c r="B29" s="147"/>
      <c r="C29" s="148"/>
      <c r="D29" s="152">
        <f>SUM(D6:D28)</f>
        <v>0</v>
      </c>
      <c r="F29" s="92" t="s">
        <v>55</v>
      </c>
      <c r="G29" s="154"/>
      <c r="H29" s="114">
        <f>H15-H16-H17-H18-H19-H20-H22-H23-H24+H26+H27</f>
        <v>0</v>
      </c>
      <c r="I29" s="115"/>
      <c r="J29" s="116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49"/>
      <c r="B30" s="150"/>
      <c r="C30" s="151"/>
      <c r="D30" s="153"/>
      <c r="F30" s="95"/>
      <c r="G30" s="155"/>
      <c r="H30" s="117"/>
      <c r="I30" s="118"/>
      <c r="J30" s="119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39" t="s">
        <v>58</v>
      </c>
      <c r="B32" s="140"/>
      <c r="C32" s="140"/>
      <c r="D32" s="141"/>
      <c r="F32" s="142" t="s">
        <v>59</v>
      </c>
      <c r="G32" s="143"/>
      <c r="H32" s="143"/>
      <c r="I32" s="143"/>
      <c r="J32" s="144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142" t="s">
        <v>13</v>
      </c>
      <c r="I33" s="143"/>
      <c r="J33" s="144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3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36"/>
      <c r="I34" s="137"/>
      <c r="J34" s="138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4"/>
      <c r="B35" s="27" t="s">
        <v>68</v>
      </c>
      <c r="C35" s="52"/>
      <c r="D35" s="30">
        <f>C35*84</f>
        <v>0</v>
      </c>
      <c r="F35" s="58">
        <v>500</v>
      </c>
      <c r="G35" s="41"/>
      <c r="H35" s="136"/>
      <c r="I35" s="137"/>
      <c r="J35" s="138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5"/>
      <c r="B36" s="26" t="s">
        <v>70</v>
      </c>
      <c r="C36" s="10"/>
      <c r="D36" s="12">
        <f>C36*1.5</f>
        <v>0</v>
      </c>
      <c r="F36" s="12">
        <v>200</v>
      </c>
      <c r="G36" s="37"/>
      <c r="H36" s="136"/>
      <c r="I36" s="137"/>
      <c r="J36" s="138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3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36"/>
      <c r="I37" s="137"/>
      <c r="J37" s="138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4"/>
      <c r="B38" s="29" t="s">
        <v>68</v>
      </c>
      <c r="C38" s="54"/>
      <c r="D38" s="12">
        <f>C38*84</f>
        <v>0</v>
      </c>
      <c r="F38" s="30">
        <v>50</v>
      </c>
      <c r="G38" s="39"/>
      <c r="H38" s="136"/>
      <c r="I38" s="137"/>
      <c r="J38" s="138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5"/>
      <c r="B39" s="29" t="s">
        <v>70</v>
      </c>
      <c r="C39" s="52"/>
      <c r="D39" s="31">
        <f>C39*4.5</f>
        <v>0</v>
      </c>
      <c r="F39" s="12">
        <v>20</v>
      </c>
      <c r="G39" s="37"/>
      <c r="H39" s="136"/>
      <c r="I39" s="137"/>
      <c r="J39" s="138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3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36"/>
      <c r="I40" s="137"/>
      <c r="J40" s="138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4"/>
      <c r="B41" s="27" t="s">
        <v>68</v>
      </c>
      <c r="C41" s="10"/>
      <c r="D41" s="12">
        <f>C41*84</f>
        <v>0</v>
      </c>
      <c r="F41" s="12">
        <v>5</v>
      </c>
      <c r="G41" s="42"/>
      <c r="H41" s="136"/>
      <c r="I41" s="137"/>
      <c r="J41" s="138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5"/>
      <c r="B42" s="27" t="s">
        <v>70</v>
      </c>
      <c r="C42" s="11"/>
      <c r="D42" s="12">
        <f>C42*2.25</f>
        <v>0</v>
      </c>
      <c r="F42" s="39" t="s">
        <v>79</v>
      </c>
      <c r="G42" s="136"/>
      <c r="H42" s="137"/>
      <c r="I42" s="137"/>
      <c r="J42" s="138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06" t="s">
        <v>81</v>
      </c>
      <c r="C43" s="11"/>
      <c r="D43" s="12"/>
      <c r="F43" s="59" t="s">
        <v>82</v>
      </c>
      <c r="G43" s="89" t="s">
        <v>83</v>
      </c>
      <c r="H43" s="128" t="s">
        <v>13</v>
      </c>
      <c r="I43" s="129"/>
      <c r="J43" s="130"/>
      <c r="K43" s="21"/>
      <c r="P43" s="4"/>
      <c r="Q43" s="4"/>
      <c r="R43" s="5"/>
    </row>
    <row r="44" spans="1:18" ht="15.75" x14ac:dyDescent="0.25">
      <c r="A44" s="107"/>
      <c r="B44" s="27" t="s">
        <v>66</v>
      </c>
      <c r="C44" s="10"/>
      <c r="D44" s="12">
        <f>C44*120</f>
        <v>0</v>
      </c>
      <c r="F44" s="37"/>
      <c r="G44" s="76"/>
      <c r="H44" s="131"/>
      <c r="I44" s="131"/>
      <c r="J44" s="131"/>
      <c r="K44" s="21"/>
      <c r="P44" s="4"/>
      <c r="Q44" s="4"/>
      <c r="R44" s="5"/>
    </row>
    <row r="45" spans="1:18" ht="15.75" x14ac:dyDescent="0.25">
      <c r="A45" s="107"/>
      <c r="B45" s="27" t="s">
        <v>68</v>
      </c>
      <c r="C45" s="33"/>
      <c r="D45" s="12">
        <f>C45*84</f>
        <v>0</v>
      </c>
      <c r="F45" s="37"/>
      <c r="G45" s="76"/>
      <c r="H45" s="131"/>
      <c r="I45" s="131"/>
      <c r="J45" s="131"/>
      <c r="K45" s="21"/>
      <c r="P45" s="4"/>
      <c r="Q45" s="4"/>
      <c r="R45" s="5"/>
    </row>
    <row r="46" spans="1:18" ht="15.75" x14ac:dyDescent="0.25">
      <c r="A46" s="107"/>
      <c r="B46" s="49" t="s">
        <v>70</v>
      </c>
      <c r="C46" s="81"/>
      <c r="D46" s="12">
        <f>C46*1.5</f>
        <v>0</v>
      </c>
      <c r="F46" s="37"/>
      <c r="G46" s="62"/>
      <c r="H46" s="132"/>
      <c r="I46" s="132"/>
      <c r="J46" s="132"/>
      <c r="K46" s="21"/>
      <c r="P46" s="4"/>
      <c r="Q46" s="4"/>
      <c r="R46" s="5"/>
    </row>
    <row r="47" spans="1:18" ht="15.75" x14ac:dyDescent="0.25">
      <c r="A47" s="108"/>
      <c r="B47" s="27"/>
      <c r="C47" s="11"/>
      <c r="D47" s="12"/>
      <c r="F47" s="59"/>
      <c r="G47" s="59"/>
      <c r="H47" s="109"/>
      <c r="I47" s="110"/>
      <c r="J47" s="111"/>
      <c r="K47" s="21"/>
      <c r="P47" s="4"/>
      <c r="Q47" s="4"/>
      <c r="R47" s="5"/>
    </row>
    <row r="48" spans="1:18" ht="15" customHeight="1" x14ac:dyDescent="0.25">
      <c r="A48" s="106" t="s">
        <v>32</v>
      </c>
      <c r="B48" s="27" t="s">
        <v>66</v>
      </c>
      <c r="C48" s="10"/>
      <c r="D48" s="12">
        <f>C48*78</f>
        <v>0</v>
      </c>
      <c r="F48" s="59"/>
      <c r="G48" s="59"/>
      <c r="H48" s="109"/>
      <c r="I48" s="110"/>
      <c r="J48" s="111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07"/>
      <c r="B49" s="29" t="s">
        <v>68</v>
      </c>
      <c r="C49" s="33"/>
      <c r="D49" s="12">
        <f>C49*42</f>
        <v>0</v>
      </c>
      <c r="F49" s="112" t="s">
        <v>86</v>
      </c>
      <c r="G49" s="114">
        <f>H34+H35+H36+H37+H38+H39+H40+H41+G42+H44+H45+H46</f>
        <v>0</v>
      </c>
      <c r="H49" s="115"/>
      <c r="I49" s="115"/>
      <c r="J49" s="116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07"/>
      <c r="B50" s="32" t="s">
        <v>70</v>
      </c>
      <c r="C50" s="11"/>
      <c r="D50" s="12">
        <f>C50*1.5</f>
        <v>0</v>
      </c>
      <c r="F50" s="113"/>
      <c r="G50" s="117"/>
      <c r="H50" s="118"/>
      <c r="I50" s="118"/>
      <c r="J50" s="119"/>
      <c r="P50" s="4"/>
      <c r="Q50" s="4"/>
      <c r="R50" s="5"/>
    </row>
    <row r="51" spans="1:18" ht="15" customHeight="1" x14ac:dyDescent="0.25">
      <c r="A51" s="107"/>
      <c r="B51" s="27"/>
      <c r="C51" s="10"/>
      <c r="D51" s="31"/>
      <c r="F51" s="120" t="s">
        <v>125</v>
      </c>
      <c r="G51" s="122">
        <f>G49-H29</f>
        <v>0</v>
      </c>
      <c r="H51" s="123"/>
      <c r="I51" s="123"/>
      <c r="J51" s="124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07"/>
      <c r="B52" s="29"/>
      <c r="C52" s="33"/>
      <c r="D52" s="45"/>
      <c r="F52" s="121"/>
      <c r="G52" s="125"/>
      <c r="H52" s="126"/>
      <c r="I52" s="126"/>
      <c r="J52" s="127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08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92" t="s">
        <v>90</v>
      </c>
      <c r="B54" s="93"/>
      <c r="C54" s="94"/>
      <c r="D54" s="98">
        <f>SUM(D34:D53)</f>
        <v>0</v>
      </c>
      <c r="F54" s="21"/>
      <c r="J54" s="34"/>
    </row>
    <row r="55" spans="1:18" x14ac:dyDescent="0.25">
      <c r="A55" s="95"/>
      <c r="B55" s="96"/>
      <c r="C55" s="97"/>
      <c r="D55" s="9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00" t="s">
        <v>91</v>
      </c>
      <c r="B58" s="101"/>
      <c r="C58" s="101"/>
      <c r="D58" s="102"/>
      <c r="F58" s="100" t="s">
        <v>92</v>
      </c>
      <c r="G58" s="101"/>
      <c r="H58" s="101"/>
      <c r="I58" s="101"/>
      <c r="J58" s="102"/>
    </row>
    <row r="59" spans="1:18" x14ac:dyDescent="0.25">
      <c r="A59" s="103"/>
      <c r="B59" s="104"/>
      <c r="C59" s="104"/>
      <c r="D59" s="105"/>
      <c r="F59" s="103"/>
      <c r="G59" s="104"/>
      <c r="H59" s="104"/>
      <c r="I59" s="104"/>
      <c r="J59" s="105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281778-1822-423D-B47A-69C74143B1A4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88" t="s">
        <v>1</v>
      </c>
      <c r="O1" s="188"/>
      <c r="P1" s="85" t="s">
        <v>2</v>
      </c>
      <c r="Q1" s="8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9" t="s">
        <v>7</v>
      </c>
      <c r="B4" s="140"/>
      <c r="C4" s="140"/>
      <c r="D4" s="141"/>
      <c r="F4" s="189" t="s">
        <v>8</v>
      </c>
      <c r="G4" s="191">
        <v>1</v>
      </c>
      <c r="H4" s="193" t="s">
        <v>9</v>
      </c>
      <c r="I4" s="195">
        <v>46084</v>
      </c>
      <c r="J4" s="19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3" t="s">
        <v>7</v>
      </c>
      <c r="B5" s="15" t="s">
        <v>11</v>
      </c>
      <c r="C5" s="9" t="s">
        <v>12</v>
      </c>
      <c r="D5" s="25" t="s">
        <v>13</v>
      </c>
      <c r="F5" s="190"/>
      <c r="G5" s="192"/>
      <c r="H5" s="194"/>
      <c r="I5" s="197"/>
      <c r="J5" s="19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4"/>
      <c r="B6" s="16" t="s">
        <v>15</v>
      </c>
      <c r="C6" s="10">
        <v>382</v>
      </c>
      <c r="D6" s="13">
        <f t="shared" ref="D6:D28" si="1">C6*L6</f>
        <v>290702</v>
      </c>
      <c r="F6" s="199" t="s">
        <v>16</v>
      </c>
      <c r="G6" s="201" t="s">
        <v>111</v>
      </c>
      <c r="H6" s="202"/>
      <c r="I6" s="202"/>
      <c r="J6" s="203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4"/>
      <c r="B7" s="16" t="s">
        <v>18</v>
      </c>
      <c r="C7" s="10">
        <v>7</v>
      </c>
      <c r="D7" s="13">
        <f t="shared" si="1"/>
        <v>5467</v>
      </c>
      <c r="F7" s="200"/>
      <c r="G7" s="204"/>
      <c r="H7" s="205"/>
      <c r="I7" s="205"/>
      <c r="J7" s="206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4"/>
      <c r="B8" s="16" t="s">
        <v>20</v>
      </c>
      <c r="C8" s="10"/>
      <c r="D8" s="13">
        <f t="shared" si="1"/>
        <v>0</v>
      </c>
      <c r="F8" s="207" t="s">
        <v>21</v>
      </c>
      <c r="G8" s="208" t="s">
        <v>144</v>
      </c>
      <c r="H8" s="209"/>
      <c r="I8" s="209"/>
      <c r="J8" s="210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4"/>
      <c r="B9" s="16" t="s">
        <v>23</v>
      </c>
      <c r="C9" s="10">
        <v>31</v>
      </c>
      <c r="D9" s="13">
        <f t="shared" si="1"/>
        <v>22723</v>
      </c>
      <c r="F9" s="200"/>
      <c r="G9" s="211"/>
      <c r="H9" s="212"/>
      <c r="I9" s="212"/>
      <c r="J9" s="213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4"/>
      <c r="B10" t="s">
        <v>25</v>
      </c>
      <c r="C10" s="10"/>
      <c r="D10" s="13">
        <f t="shared" si="1"/>
        <v>0</v>
      </c>
      <c r="F10" s="199" t="s">
        <v>26</v>
      </c>
      <c r="G10" s="214" t="s">
        <v>139</v>
      </c>
      <c r="H10" s="215"/>
      <c r="I10" s="215"/>
      <c r="J10" s="216"/>
      <c r="K10" s="8"/>
      <c r="L10" s="6">
        <f>R36</f>
        <v>1032</v>
      </c>
      <c r="P10" s="4"/>
      <c r="Q10" s="4"/>
      <c r="R10" s="5"/>
    </row>
    <row r="11" spans="1:18" ht="15.75" x14ac:dyDescent="0.25">
      <c r="A11" s="134"/>
      <c r="B11" s="17" t="s">
        <v>28</v>
      </c>
      <c r="C11" s="10"/>
      <c r="D11" s="13">
        <f t="shared" si="1"/>
        <v>0</v>
      </c>
      <c r="F11" s="200"/>
      <c r="G11" s="211"/>
      <c r="H11" s="212"/>
      <c r="I11" s="212"/>
      <c r="J11" s="213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4"/>
      <c r="B12" s="17" t="s">
        <v>30</v>
      </c>
      <c r="C12" s="10"/>
      <c r="D12" s="48">
        <f t="shared" si="1"/>
        <v>0</v>
      </c>
      <c r="F12" s="217" t="s">
        <v>33</v>
      </c>
      <c r="G12" s="218"/>
      <c r="H12" s="218"/>
      <c r="I12" s="218"/>
      <c r="J12" s="219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4"/>
      <c r="B13" s="17" t="s">
        <v>32</v>
      </c>
      <c r="C13" s="10"/>
      <c r="D13" s="48">
        <f t="shared" si="1"/>
        <v>0</v>
      </c>
      <c r="F13" s="220" t="s">
        <v>36</v>
      </c>
      <c r="G13" s="184"/>
      <c r="H13" s="175">
        <f>D29</f>
        <v>322724</v>
      </c>
      <c r="I13" s="176"/>
      <c r="J13" s="17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4"/>
      <c r="B14" s="14" t="s">
        <v>35</v>
      </c>
      <c r="C14" s="10">
        <v>9</v>
      </c>
      <c r="D14" s="31">
        <f t="shared" si="1"/>
        <v>99</v>
      </c>
      <c r="F14" s="178" t="s">
        <v>39</v>
      </c>
      <c r="G14" s="179"/>
      <c r="H14" s="180">
        <f>D54</f>
        <v>44362.5</v>
      </c>
      <c r="I14" s="181"/>
      <c r="J14" s="18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4"/>
      <c r="B15" s="14" t="s">
        <v>38</v>
      </c>
      <c r="C15" s="10"/>
      <c r="D15" s="31">
        <f t="shared" si="1"/>
        <v>0</v>
      </c>
      <c r="F15" s="183" t="s">
        <v>40</v>
      </c>
      <c r="G15" s="184"/>
      <c r="H15" s="185">
        <f>H13-H14</f>
        <v>278361.5</v>
      </c>
      <c r="I15" s="186"/>
      <c r="J15" s="187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4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45"/>
      <c r="I16" s="145"/>
      <c r="J16" s="145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4"/>
      <c r="B17" t="s">
        <v>133</v>
      </c>
      <c r="C17" s="10"/>
      <c r="D17" s="48">
        <f t="shared" si="1"/>
        <v>0</v>
      </c>
      <c r="F17" s="56"/>
      <c r="G17" s="66" t="s">
        <v>45</v>
      </c>
      <c r="H17" s="156"/>
      <c r="I17" s="156"/>
      <c r="J17" s="156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4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56"/>
      <c r="I18" s="156"/>
      <c r="J18" s="156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4"/>
      <c r="B19" s="14" t="s">
        <v>129</v>
      </c>
      <c r="C19" s="10"/>
      <c r="D19" s="48">
        <f t="shared" si="1"/>
        <v>0</v>
      </c>
      <c r="F19" s="56"/>
      <c r="G19" s="68" t="s">
        <v>50</v>
      </c>
      <c r="H19" s="156"/>
      <c r="I19" s="156"/>
      <c r="J19" s="156"/>
      <c r="L19" s="6">
        <v>1102</v>
      </c>
      <c r="Q19" s="4"/>
      <c r="R19" s="5">
        <f t="shared" si="0"/>
        <v>0</v>
      </c>
    </row>
    <row r="20" spans="1:18" ht="15.75" x14ac:dyDescent="0.25">
      <c r="A20" s="134"/>
      <c r="B20" s="83" t="s">
        <v>122</v>
      </c>
      <c r="C20" s="10"/>
      <c r="D20" s="13">
        <f t="shared" si="1"/>
        <v>0</v>
      </c>
      <c r="F20" s="57"/>
      <c r="G20" s="70" t="s">
        <v>117</v>
      </c>
      <c r="H20" s="145"/>
      <c r="I20" s="145"/>
      <c r="J20" s="145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4"/>
      <c r="B21" s="14" t="s">
        <v>131</v>
      </c>
      <c r="C21" s="10">
        <f>1+1</f>
        <v>2</v>
      </c>
      <c r="D21" s="48">
        <f t="shared" si="1"/>
        <v>1300</v>
      </c>
      <c r="F21" s="69" t="s">
        <v>99</v>
      </c>
      <c r="G21" s="82" t="s">
        <v>98</v>
      </c>
      <c r="H21" s="158" t="s">
        <v>13</v>
      </c>
      <c r="I21" s="159"/>
      <c r="J21" s="160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4"/>
      <c r="B22" s="46" t="s">
        <v>124</v>
      </c>
      <c r="C22" s="10"/>
      <c r="D22" s="48">
        <f t="shared" si="1"/>
        <v>0</v>
      </c>
      <c r="F22" s="77"/>
      <c r="G22" s="73"/>
      <c r="H22" s="161"/>
      <c r="I22" s="161"/>
      <c r="J22" s="161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4"/>
      <c r="B23" s="14" t="s">
        <v>101</v>
      </c>
      <c r="C23" s="10"/>
      <c r="D23" s="48">
        <f t="shared" si="1"/>
        <v>0</v>
      </c>
      <c r="F23" s="77"/>
      <c r="G23" s="79"/>
      <c r="H23" s="227"/>
      <c r="I23" s="228"/>
      <c r="J23" s="228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4"/>
      <c r="B24" s="14" t="s">
        <v>118</v>
      </c>
      <c r="C24" s="10"/>
      <c r="D24" s="48">
        <f t="shared" si="1"/>
        <v>0</v>
      </c>
      <c r="F24" s="77"/>
      <c r="G24" s="79"/>
      <c r="H24" s="227"/>
      <c r="I24" s="228"/>
      <c r="J24" s="228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4"/>
      <c r="B25" s="14" t="s">
        <v>134</v>
      </c>
      <c r="C25" s="10"/>
      <c r="D25" s="48">
        <f t="shared" si="1"/>
        <v>0</v>
      </c>
      <c r="F25" s="60" t="s">
        <v>100</v>
      </c>
      <c r="G25" s="55" t="s">
        <v>98</v>
      </c>
      <c r="H25" s="163" t="s">
        <v>13</v>
      </c>
      <c r="I25" s="164"/>
      <c r="J25" s="165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4"/>
      <c r="B26" s="14" t="s">
        <v>132</v>
      </c>
      <c r="C26" s="10"/>
      <c r="D26" s="48">
        <f t="shared" si="1"/>
        <v>0</v>
      </c>
      <c r="F26" s="75"/>
      <c r="G26" s="65"/>
      <c r="H26" s="131"/>
      <c r="I26" s="131"/>
      <c r="J26" s="131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4"/>
      <c r="B27" s="14" t="s">
        <v>110</v>
      </c>
      <c r="C27" s="10"/>
      <c r="D27" s="44">
        <f t="shared" si="1"/>
        <v>0</v>
      </c>
      <c r="F27" s="71"/>
      <c r="G27" s="89"/>
      <c r="H27" s="229"/>
      <c r="I27" s="230"/>
      <c r="J27" s="230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5"/>
      <c r="B28" s="46" t="s">
        <v>97</v>
      </c>
      <c r="C28" s="10">
        <v>3</v>
      </c>
      <c r="D28" s="48">
        <f t="shared" si="1"/>
        <v>2433</v>
      </c>
      <c r="F28" s="86"/>
      <c r="G28" s="61"/>
      <c r="H28" s="172"/>
      <c r="I28" s="173"/>
      <c r="J28" s="174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46" t="s">
        <v>36</v>
      </c>
      <c r="B29" s="147"/>
      <c r="C29" s="148"/>
      <c r="D29" s="152">
        <f>SUM(D6:D28)</f>
        <v>322724</v>
      </c>
      <c r="F29" s="92" t="s">
        <v>55</v>
      </c>
      <c r="G29" s="154"/>
      <c r="H29" s="114">
        <f>H15-H16-H17-H18-H19-H20-H22-H23-H24+H26+H27+H28</f>
        <v>278361.5</v>
      </c>
      <c r="I29" s="115"/>
      <c r="J29" s="116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49"/>
      <c r="B30" s="150"/>
      <c r="C30" s="151"/>
      <c r="D30" s="153"/>
      <c r="F30" s="95"/>
      <c r="G30" s="155"/>
      <c r="H30" s="117"/>
      <c r="I30" s="118"/>
      <c r="J30" s="119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39" t="s">
        <v>58</v>
      </c>
      <c r="B32" s="140"/>
      <c r="C32" s="140"/>
      <c r="D32" s="141"/>
      <c r="F32" s="142" t="s">
        <v>59</v>
      </c>
      <c r="G32" s="143"/>
      <c r="H32" s="143"/>
      <c r="I32" s="143"/>
      <c r="J32" s="144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142" t="s">
        <v>13</v>
      </c>
      <c r="I33" s="143"/>
      <c r="J33" s="144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3" t="s">
        <v>65</v>
      </c>
      <c r="B34" s="26" t="s">
        <v>66</v>
      </c>
      <c r="C34" s="51"/>
      <c r="D34" s="30">
        <f>C34*120</f>
        <v>0</v>
      </c>
      <c r="F34" s="12">
        <v>1000</v>
      </c>
      <c r="G34" s="40">
        <v>212</v>
      </c>
      <c r="H34" s="136">
        <f t="shared" ref="H34:H39" si="2">F34*G34</f>
        <v>212000</v>
      </c>
      <c r="I34" s="137"/>
      <c r="J34" s="138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4"/>
      <c r="B35" s="27" t="s">
        <v>68</v>
      </c>
      <c r="C35" s="52"/>
      <c r="D35" s="30">
        <f>C35*84</f>
        <v>0</v>
      </c>
      <c r="F35" s="58">
        <v>500</v>
      </c>
      <c r="G35" s="41">
        <v>36</v>
      </c>
      <c r="H35" s="136">
        <f t="shared" si="2"/>
        <v>18000</v>
      </c>
      <c r="I35" s="137"/>
      <c r="J35" s="138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5"/>
      <c r="B36" s="26" t="s">
        <v>70</v>
      </c>
      <c r="C36" s="10"/>
      <c r="D36" s="12">
        <f>C36*1.5</f>
        <v>0</v>
      </c>
      <c r="F36" s="12">
        <v>200</v>
      </c>
      <c r="G36" s="37">
        <v>2</v>
      </c>
      <c r="H36" s="136">
        <f t="shared" si="2"/>
        <v>400</v>
      </c>
      <c r="I36" s="137"/>
      <c r="J36" s="138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3" t="s">
        <v>72</v>
      </c>
      <c r="B37" s="28" t="s">
        <v>66</v>
      </c>
      <c r="C37" s="53">
        <v>393</v>
      </c>
      <c r="D37" s="12">
        <f>C37*111</f>
        <v>43623</v>
      </c>
      <c r="F37" s="12">
        <v>100</v>
      </c>
      <c r="G37" s="39">
        <v>27</v>
      </c>
      <c r="H37" s="136">
        <f t="shared" si="2"/>
        <v>2700</v>
      </c>
      <c r="I37" s="137"/>
      <c r="J37" s="138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4"/>
      <c r="B38" s="29" t="s">
        <v>68</v>
      </c>
      <c r="C38" s="54">
        <v>1</v>
      </c>
      <c r="D38" s="12">
        <f>C38*84</f>
        <v>84</v>
      </c>
      <c r="F38" s="30">
        <v>50</v>
      </c>
      <c r="G38" s="39">
        <v>23</v>
      </c>
      <c r="H38" s="136">
        <f t="shared" si="2"/>
        <v>1150</v>
      </c>
      <c r="I38" s="137"/>
      <c r="J38" s="138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5"/>
      <c r="B39" s="29" t="s">
        <v>70</v>
      </c>
      <c r="C39" s="52"/>
      <c r="D39" s="31">
        <f>C39*4.5</f>
        <v>0</v>
      </c>
      <c r="F39" s="12">
        <v>20</v>
      </c>
      <c r="G39" s="37">
        <v>2</v>
      </c>
      <c r="H39" s="136">
        <f t="shared" si="2"/>
        <v>40</v>
      </c>
      <c r="I39" s="137"/>
      <c r="J39" s="138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3" t="s">
        <v>76</v>
      </c>
      <c r="B40" s="27" t="s">
        <v>66</v>
      </c>
      <c r="C40" s="63">
        <v>5</v>
      </c>
      <c r="D40" s="12">
        <f>C40*111</f>
        <v>555</v>
      </c>
      <c r="F40" s="12">
        <v>10</v>
      </c>
      <c r="G40" s="42"/>
      <c r="H40" s="136"/>
      <c r="I40" s="137"/>
      <c r="J40" s="138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4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136"/>
      <c r="I41" s="137"/>
      <c r="J41" s="138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5"/>
      <c r="B42" s="27" t="s">
        <v>70</v>
      </c>
      <c r="C42" s="11">
        <v>2</v>
      </c>
      <c r="D42" s="12">
        <f>C42*2.25</f>
        <v>4.5</v>
      </c>
      <c r="F42" s="39" t="s">
        <v>79</v>
      </c>
      <c r="G42" s="136"/>
      <c r="H42" s="137"/>
      <c r="I42" s="137"/>
      <c r="J42" s="138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06" t="s">
        <v>81</v>
      </c>
      <c r="C43" s="11"/>
      <c r="D43" s="12"/>
      <c r="F43" s="59" t="s">
        <v>82</v>
      </c>
      <c r="G43" s="89" t="s">
        <v>83</v>
      </c>
      <c r="H43" s="128" t="s">
        <v>13</v>
      </c>
      <c r="I43" s="129"/>
      <c r="J43" s="130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07"/>
      <c r="B44" s="27" t="s">
        <v>66</v>
      </c>
      <c r="C44" s="10"/>
      <c r="D44" s="12">
        <f>C44*120</f>
        <v>0</v>
      </c>
      <c r="F44" s="37" t="s">
        <v>155</v>
      </c>
      <c r="G44" s="62" t="s">
        <v>158</v>
      </c>
      <c r="H44" s="131">
        <v>10000</v>
      </c>
      <c r="I44" s="131"/>
      <c r="J44" s="131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07"/>
      <c r="B45" s="27" t="s">
        <v>68</v>
      </c>
      <c r="C45" s="33"/>
      <c r="D45" s="12">
        <f>C45*84</f>
        <v>0</v>
      </c>
      <c r="F45" s="37" t="s">
        <v>155</v>
      </c>
      <c r="G45" s="62" t="s">
        <v>159</v>
      </c>
      <c r="H45" s="131">
        <v>35000</v>
      </c>
      <c r="I45" s="131"/>
      <c r="J45" s="131"/>
      <c r="K45" s="21"/>
      <c r="P45" s="4"/>
      <c r="Q45" s="4"/>
      <c r="R45" s="5"/>
    </row>
    <row r="46" spans="1:18" ht="15.75" x14ac:dyDescent="0.25">
      <c r="A46" s="107"/>
      <c r="B46" s="49" t="s">
        <v>70</v>
      </c>
      <c r="C46" s="81"/>
      <c r="D46" s="12">
        <f>C46*1.5</f>
        <v>0</v>
      </c>
      <c r="F46" s="37"/>
      <c r="G46" s="62"/>
      <c r="H46" s="131"/>
      <c r="I46" s="131"/>
      <c r="J46" s="131"/>
      <c r="K46" s="21"/>
      <c r="P46" s="4"/>
      <c r="Q46" s="4"/>
      <c r="R46" s="5"/>
    </row>
    <row r="47" spans="1:18" ht="15.75" x14ac:dyDescent="0.25">
      <c r="A47" s="108"/>
      <c r="B47" s="27"/>
      <c r="C47" s="11"/>
      <c r="D47" s="12"/>
      <c r="F47" s="59"/>
      <c r="G47" s="59"/>
      <c r="H47" s="109"/>
      <c r="I47" s="110"/>
      <c r="J47" s="111"/>
      <c r="K47" s="21"/>
      <c r="P47" s="4"/>
      <c r="Q47" s="4"/>
      <c r="R47" s="5"/>
    </row>
    <row r="48" spans="1:18" ht="15" customHeight="1" x14ac:dyDescent="0.25">
      <c r="A48" s="106" t="s">
        <v>32</v>
      </c>
      <c r="B48" s="27" t="s">
        <v>66</v>
      </c>
      <c r="C48" s="10"/>
      <c r="D48" s="12">
        <f>C48*78</f>
        <v>0</v>
      </c>
      <c r="F48" s="59"/>
      <c r="G48" s="59"/>
      <c r="H48" s="109"/>
      <c r="I48" s="110"/>
      <c r="J48" s="111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07"/>
      <c r="B49" s="29" t="s">
        <v>68</v>
      </c>
      <c r="C49" s="33"/>
      <c r="D49" s="12">
        <f>C49*42</f>
        <v>0</v>
      </c>
      <c r="F49" s="112" t="s">
        <v>86</v>
      </c>
      <c r="G49" s="114">
        <f>H34+H35+H36+H37+H38+H39+H40+H41+G42+H44+H45+H46</f>
        <v>279290</v>
      </c>
      <c r="H49" s="115"/>
      <c r="I49" s="115"/>
      <c r="J49" s="116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07"/>
      <c r="B50" s="32" t="s">
        <v>70</v>
      </c>
      <c r="C50" s="11">
        <v>8</v>
      </c>
      <c r="D50" s="12">
        <f>C50*1.5</f>
        <v>12</v>
      </c>
      <c r="F50" s="113"/>
      <c r="G50" s="117"/>
      <c r="H50" s="118"/>
      <c r="I50" s="118"/>
      <c r="J50" s="119"/>
      <c r="O50" t="s">
        <v>137</v>
      </c>
      <c r="P50" s="4">
        <v>1204</v>
      </c>
      <c r="Q50" s="4"/>
      <c r="R50" s="5"/>
    </row>
    <row r="51" spans="1:18" ht="15" customHeight="1" x14ac:dyDescent="0.25">
      <c r="A51" s="107"/>
      <c r="B51" s="27"/>
      <c r="C51" s="10"/>
      <c r="D51" s="31"/>
      <c r="F51" s="120" t="s">
        <v>138</v>
      </c>
      <c r="G51" s="122">
        <f>G49-H29</f>
        <v>928.5</v>
      </c>
      <c r="H51" s="123"/>
      <c r="I51" s="123"/>
      <c r="J51" s="124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07"/>
      <c r="B52" s="29"/>
      <c r="C52" s="33"/>
      <c r="D52" s="45"/>
      <c r="F52" s="121"/>
      <c r="G52" s="125"/>
      <c r="H52" s="126"/>
      <c r="I52" s="126"/>
      <c r="J52" s="127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08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92" t="s">
        <v>90</v>
      </c>
      <c r="B54" s="93"/>
      <c r="C54" s="94"/>
      <c r="D54" s="98">
        <f>SUM(D34:D53)</f>
        <v>44362.5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95"/>
      <c r="B55" s="96"/>
      <c r="C55" s="97"/>
      <c r="D55" s="9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140</v>
      </c>
      <c r="D57" s="34"/>
      <c r="F57" s="36"/>
      <c r="G57" s="50"/>
      <c r="H57" s="50"/>
      <c r="I57" s="50"/>
      <c r="J57" s="43"/>
    </row>
    <row r="58" spans="1:18" x14ac:dyDescent="0.25">
      <c r="A58" s="100" t="s">
        <v>91</v>
      </c>
      <c r="B58" s="101"/>
      <c r="C58" s="101"/>
      <c r="D58" s="102"/>
      <c r="F58" s="100" t="s">
        <v>92</v>
      </c>
      <c r="G58" s="101"/>
      <c r="H58" s="101"/>
      <c r="I58" s="101"/>
      <c r="J58" s="102"/>
    </row>
    <row r="59" spans="1:18" x14ac:dyDescent="0.25">
      <c r="A59" s="103"/>
      <c r="B59" s="104"/>
      <c r="C59" s="104"/>
      <c r="D59" s="105"/>
      <c r="F59" s="103"/>
      <c r="G59" s="104"/>
      <c r="H59" s="104"/>
      <c r="I59" s="104"/>
      <c r="J59" s="105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BF8E36-22DC-4194-9416-CB91F78DB7D3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88" t="s">
        <v>1</v>
      </c>
      <c r="O1" s="188"/>
      <c r="P1" s="85" t="s">
        <v>2</v>
      </c>
      <c r="Q1" s="8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9" t="s">
        <v>7</v>
      </c>
      <c r="B4" s="140"/>
      <c r="C4" s="140"/>
      <c r="D4" s="141"/>
      <c r="F4" s="189" t="s">
        <v>8</v>
      </c>
      <c r="G4" s="191">
        <v>2</v>
      </c>
      <c r="H4" s="193" t="s">
        <v>9</v>
      </c>
      <c r="I4" s="195">
        <v>46084</v>
      </c>
      <c r="J4" s="19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3" t="s">
        <v>7</v>
      </c>
      <c r="B5" s="15" t="s">
        <v>11</v>
      </c>
      <c r="C5" s="9" t="s">
        <v>12</v>
      </c>
      <c r="D5" s="25" t="s">
        <v>13</v>
      </c>
      <c r="F5" s="190"/>
      <c r="G5" s="192"/>
      <c r="H5" s="194"/>
      <c r="I5" s="197"/>
      <c r="J5" s="19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4"/>
      <c r="B6" s="16" t="s">
        <v>15</v>
      </c>
      <c r="C6" s="10">
        <v>224</v>
      </c>
      <c r="D6" s="13">
        <f t="shared" ref="D6:D28" si="1">C6*L6</f>
        <v>170464</v>
      </c>
      <c r="F6" s="199" t="s">
        <v>16</v>
      </c>
      <c r="G6" s="201" t="s">
        <v>126</v>
      </c>
      <c r="H6" s="202"/>
      <c r="I6" s="202"/>
      <c r="J6" s="203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4"/>
      <c r="B7" s="16" t="s">
        <v>18</v>
      </c>
      <c r="C7" s="10">
        <v>2</v>
      </c>
      <c r="D7" s="13">
        <f t="shared" si="1"/>
        <v>1562</v>
      </c>
      <c r="F7" s="200"/>
      <c r="G7" s="204"/>
      <c r="H7" s="205"/>
      <c r="I7" s="205"/>
      <c r="J7" s="206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4"/>
      <c r="B8" s="16" t="s">
        <v>20</v>
      </c>
      <c r="C8" s="10"/>
      <c r="D8" s="13">
        <f t="shared" si="1"/>
        <v>0</v>
      </c>
      <c r="F8" s="207" t="s">
        <v>21</v>
      </c>
      <c r="G8" s="208" t="s">
        <v>113</v>
      </c>
      <c r="H8" s="209"/>
      <c r="I8" s="209"/>
      <c r="J8" s="210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4"/>
      <c r="B9" s="16" t="s">
        <v>23</v>
      </c>
      <c r="C9" s="10">
        <v>71</v>
      </c>
      <c r="D9" s="13">
        <f t="shared" si="1"/>
        <v>52043</v>
      </c>
      <c r="F9" s="200"/>
      <c r="G9" s="211"/>
      <c r="H9" s="212"/>
      <c r="I9" s="212"/>
      <c r="J9" s="213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4"/>
      <c r="B10" t="s">
        <v>25</v>
      </c>
      <c r="C10" s="10"/>
      <c r="D10" s="13">
        <f t="shared" si="1"/>
        <v>0</v>
      </c>
      <c r="F10" s="199" t="s">
        <v>26</v>
      </c>
      <c r="G10" s="214" t="s">
        <v>114</v>
      </c>
      <c r="H10" s="215"/>
      <c r="I10" s="215"/>
      <c r="J10" s="216"/>
      <c r="K10" s="8"/>
      <c r="L10" s="6">
        <f>R36</f>
        <v>1032</v>
      </c>
      <c r="P10" s="4"/>
      <c r="Q10" s="4"/>
      <c r="R10" s="5"/>
    </row>
    <row r="11" spans="1:18" ht="15.75" x14ac:dyDescent="0.25">
      <c r="A11" s="134"/>
      <c r="B11" s="17" t="s">
        <v>28</v>
      </c>
      <c r="C11" s="10"/>
      <c r="D11" s="13">
        <f t="shared" si="1"/>
        <v>0</v>
      </c>
      <c r="F11" s="200"/>
      <c r="G11" s="211"/>
      <c r="H11" s="212"/>
      <c r="I11" s="212"/>
      <c r="J11" s="213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4"/>
      <c r="B12" s="17" t="s">
        <v>30</v>
      </c>
      <c r="C12" s="10"/>
      <c r="D12" s="48">
        <f t="shared" si="1"/>
        <v>0</v>
      </c>
      <c r="F12" s="217" t="s">
        <v>33</v>
      </c>
      <c r="G12" s="218"/>
      <c r="H12" s="218"/>
      <c r="I12" s="218"/>
      <c r="J12" s="219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4"/>
      <c r="B13" s="17" t="s">
        <v>32</v>
      </c>
      <c r="C13" s="10">
        <v>7</v>
      </c>
      <c r="D13" s="48">
        <f t="shared" si="1"/>
        <v>2149</v>
      </c>
      <c r="F13" s="220" t="s">
        <v>36</v>
      </c>
      <c r="G13" s="184"/>
      <c r="H13" s="175">
        <f>D29</f>
        <v>228774</v>
      </c>
      <c r="I13" s="176"/>
      <c r="J13" s="17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4"/>
      <c r="B14" s="14" t="s">
        <v>35</v>
      </c>
      <c r="C14" s="10">
        <v>14</v>
      </c>
      <c r="D14" s="31">
        <f t="shared" si="1"/>
        <v>154</v>
      </c>
      <c r="F14" s="178" t="s">
        <v>39</v>
      </c>
      <c r="G14" s="179"/>
      <c r="H14" s="180">
        <f>D54</f>
        <v>35040</v>
      </c>
      <c r="I14" s="181"/>
      <c r="J14" s="18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4"/>
      <c r="B15" s="14" t="s">
        <v>38</v>
      </c>
      <c r="C15" s="10"/>
      <c r="D15" s="31">
        <f t="shared" si="1"/>
        <v>0</v>
      </c>
      <c r="F15" s="183" t="s">
        <v>40</v>
      </c>
      <c r="G15" s="184"/>
      <c r="H15" s="185">
        <f>H13-H14</f>
        <v>193734</v>
      </c>
      <c r="I15" s="186"/>
      <c r="J15" s="187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4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45">
        <f>122*6</f>
        <v>732</v>
      </c>
      <c r="I16" s="145"/>
      <c r="J16" s="145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4"/>
      <c r="B17" t="s">
        <v>93</v>
      </c>
      <c r="C17" s="10"/>
      <c r="D17" s="48">
        <f t="shared" si="1"/>
        <v>0</v>
      </c>
      <c r="F17" s="56"/>
      <c r="G17" s="66" t="s">
        <v>45</v>
      </c>
      <c r="H17" s="156"/>
      <c r="I17" s="156"/>
      <c r="J17" s="156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4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56"/>
      <c r="I18" s="156"/>
      <c r="J18" s="156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4"/>
      <c r="B19" s="14" t="s">
        <v>149</v>
      </c>
      <c r="C19" s="10">
        <v>1</v>
      </c>
      <c r="D19" s="48">
        <f t="shared" si="1"/>
        <v>1102</v>
      </c>
      <c r="F19" s="56"/>
      <c r="G19" s="68" t="s">
        <v>50</v>
      </c>
      <c r="H19" s="231"/>
      <c r="I19" s="231"/>
      <c r="J19" s="231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4"/>
      <c r="B20" s="46" t="s">
        <v>119</v>
      </c>
      <c r="C20" s="10"/>
      <c r="D20" s="13">
        <f t="shared" si="1"/>
        <v>0</v>
      </c>
      <c r="F20" s="57"/>
      <c r="G20" s="70" t="s">
        <v>117</v>
      </c>
      <c r="H20" s="156"/>
      <c r="I20" s="156"/>
      <c r="J20" s="156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4"/>
      <c r="B21" s="14" t="s">
        <v>131</v>
      </c>
      <c r="C21" s="10">
        <v>2</v>
      </c>
      <c r="D21" s="48">
        <f t="shared" si="1"/>
        <v>1300</v>
      </c>
      <c r="F21" s="69" t="s">
        <v>99</v>
      </c>
      <c r="G21" s="82" t="s">
        <v>98</v>
      </c>
      <c r="H21" s="158" t="s">
        <v>13</v>
      </c>
      <c r="I21" s="159"/>
      <c r="J21" s="160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4"/>
      <c r="B22" s="46" t="s">
        <v>104</v>
      </c>
      <c r="C22" s="10"/>
      <c r="D22" s="48">
        <f t="shared" si="1"/>
        <v>0</v>
      </c>
      <c r="F22" s="77" t="s">
        <v>161</v>
      </c>
      <c r="G22" s="73">
        <v>9463</v>
      </c>
      <c r="H22" s="161">
        <v>265</v>
      </c>
      <c r="I22" s="161"/>
      <c r="J22" s="161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4"/>
      <c r="B23" s="14" t="s">
        <v>107</v>
      </c>
      <c r="C23" s="10"/>
      <c r="D23" s="48">
        <f t="shared" si="1"/>
        <v>0</v>
      </c>
      <c r="F23" s="25"/>
      <c r="G23" s="37"/>
      <c r="H23" s="162"/>
      <c r="I23" s="131"/>
      <c r="J23" s="131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4"/>
      <c r="B24" s="14" t="s">
        <v>120</v>
      </c>
      <c r="C24" s="10"/>
      <c r="D24" s="48">
        <f t="shared" si="1"/>
        <v>0</v>
      </c>
      <c r="F24" s="38"/>
      <c r="G24" s="37"/>
      <c r="H24" s="162"/>
      <c r="I24" s="131"/>
      <c r="J24" s="131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4"/>
      <c r="B25" s="14" t="s">
        <v>121</v>
      </c>
      <c r="C25" s="10"/>
      <c r="D25" s="48">
        <f t="shared" si="1"/>
        <v>0</v>
      </c>
      <c r="F25" s="60" t="s">
        <v>100</v>
      </c>
      <c r="G25" s="55" t="s">
        <v>98</v>
      </c>
      <c r="H25" s="163" t="s">
        <v>13</v>
      </c>
      <c r="I25" s="164"/>
      <c r="J25" s="165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4"/>
      <c r="B26" s="14" t="s">
        <v>105</v>
      </c>
      <c r="C26" s="10"/>
      <c r="D26" s="48">
        <f t="shared" si="1"/>
        <v>0</v>
      </c>
      <c r="F26" s="64"/>
      <c r="G26" s="10"/>
      <c r="H26" s="166"/>
      <c r="I26" s="167"/>
      <c r="J26" s="168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4"/>
      <c r="B27" s="14" t="s">
        <v>109</v>
      </c>
      <c r="C27" s="10"/>
      <c r="D27" s="44">
        <f t="shared" si="1"/>
        <v>0</v>
      </c>
      <c r="F27" s="14"/>
      <c r="G27" s="14"/>
      <c r="H27" s="169"/>
      <c r="I27" s="170"/>
      <c r="J27" s="171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5"/>
      <c r="B28" s="46" t="s">
        <v>97</v>
      </c>
      <c r="C28" s="10"/>
      <c r="D28" s="48">
        <f t="shared" si="1"/>
        <v>0</v>
      </c>
      <c r="F28" s="86"/>
      <c r="G28" s="61"/>
      <c r="H28" s="172"/>
      <c r="I28" s="173"/>
      <c r="J28" s="174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46" t="s">
        <v>36</v>
      </c>
      <c r="B29" s="147"/>
      <c r="C29" s="148"/>
      <c r="D29" s="152">
        <f>SUM(D6:D28)</f>
        <v>228774</v>
      </c>
      <c r="F29" s="92" t="s">
        <v>55</v>
      </c>
      <c r="G29" s="154"/>
      <c r="H29" s="114">
        <f>H15-H16-H17-H18-H19-H20-H22-H23-H24+H26+H27</f>
        <v>192737</v>
      </c>
      <c r="I29" s="115"/>
      <c r="J29" s="116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49"/>
      <c r="B30" s="150"/>
      <c r="C30" s="151"/>
      <c r="D30" s="153"/>
      <c r="F30" s="95"/>
      <c r="G30" s="155"/>
      <c r="H30" s="117"/>
      <c r="I30" s="118"/>
      <c r="J30" s="119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39" t="s">
        <v>58</v>
      </c>
      <c r="B32" s="140"/>
      <c r="C32" s="140"/>
      <c r="D32" s="141"/>
      <c r="F32" s="142" t="s">
        <v>59</v>
      </c>
      <c r="G32" s="143"/>
      <c r="H32" s="143"/>
      <c r="I32" s="143"/>
      <c r="J32" s="144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142" t="s">
        <v>13</v>
      </c>
      <c r="I33" s="143"/>
      <c r="J33" s="144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3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140</v>
      </c>
      <c r="H34" s="136">
        <f>F34*G34</f>
        <v>140000</v>
      </c>
      <c r="I34" s="137"/>
      <c r="J34" s="138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4"/>
      <c r="B35" s="27" t="s">
        <v>68</v>
      </c>
      <c r="C35" s="52"/>
      <c r="D35" s="30">
        <f>C35*84</f>
        <v>0</v>
      </c>
      <c r="F35" s="58">
        <v>500</v>
      </c>
      <c r="G35" s="41">
        <v>93</v>
      </c>
      <c r="H35" s="136">
        <f t="shared" ref="H35:H39" si="2">F35*G35</f>
        <v>46500</v>
      </c>
      <c r="I35" s="137"/>
      <c r="J35" s="138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5"/>
      <c r="B36" s="26" t="s">
        <v>70</v>
      </c>
      <c r="C36" s="10"/>
      <c r="D36" s="12">
        <f>C36*1.5</f>
        <v>0</v>
      </c>
      <c r="F36" s="12">
        <v>200</v>
      </c>
      <c r="G36" s="37">
        <v>2</v>
      </c>
      <c r="H36" s="136">
        <f>F36*G36</f>
        <v>400</v>
      </c>
      <c r="I36" s="137"/>
      <c r="J36" s="138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3" t="s">
        <v>72</v>
      </c>
      <c r="B37" s="28" t="s">
        <v>66</v>
      </c>
      <c r="C37" s="53">
        <v>282</v>
      </c>
      <c r="D37" s="12">
        <f>C37*111</f>
        <v>31302</v>
      </c>
      <c r="F37" s="12">
        <v>100</v>
      </c>
      <c r="G37" s="39">
        <v>43</v>
      </c>
      <c r="H37" s="136">
        <f t="shared" si="2"/>
        <v>4300</v>
      </c>
      <c r="I37" s="137"/>
      <c r="J37" s="138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4"/>
      <c r="B38" s="29" t="s">
        <v>68</v>
      </c>
      <c r="C38" s="54">
        <v>31</v>
      </c>
      <c r="D38" s="12">
        <f>C38*84</f>
        <v>2604</v>
      </c>
      <c r="F38" s="30">
        <v>50</v>
      </c>
      <c r="G38" s="39">
        <v>27</v>
      </c>
      <c r="H38" s="136">
        <f t="shared" si="2"/>
        <v>1350</v>
      </c>
      <c r="I38" s="137"/>
      <c r="J38" s="138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5"/>
      <c r="B39" s="29" t="s">
        <v>70</v>
      </c>
      <c r="C39" s="52"/>
      <c r="D39" s="31">
        <f>C39*4.5</f>
        <v>0</v>
      </c>
      <c r="F39" s="12">
        <v>20</v>
      </c>
      <c r="G39" s="37"/>
      <c r="H39" s="136">
        <f t="shared" si="2"/>
        <v>0</v>
      </c>
      <c r="I39" s="137"/>
      <c r="J39" s="138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3" t="s">
        <v>76</v>
      </c>
      <c r="B40" s="27" t="s">
        <v>66</v>
      </c>
      <c r="C40" s="63">
        <v>6</v>
      </c>
      <c r="D40" s="12">
        <f>C40*111</f>
        <v>666</v>
      </c>
      <c r="F40" s="12">
        <v>10</v>
      </c>
      <c r="G40" s="42"/>
      <c r="H40" s="136"/>
      <c r="I40" s="137"/>
      <c r="J40" s="138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4"/>
      <c r="B41" s="27" t="s">
        <v>68</v>
      </c>
      <c r="C41" s="10"/>
      <c r="D41" s="12">
        <f>C41*84</f>
        <v>0</v>
      </c>
      <c r="F41" s="12">
        <v>5</v>
      </c>
      <c r="G41" s="42"/>
      <c r="H41" s="136"/>
      <c r="I41" s="137"/>
      <c r="J41" s="138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5"/>
      <c r="B42" s="27" t="s">
        <v>70</v>
      </c>
      <c r="C42" s="11"/>
      <c r="D42" s="12">
        <f>C42*2.25</f>
        <v>0</v>
      </c>
      <c r="F42" s="39" t="s">
        <v>79</v>
      </c>
      <c r="G42" s="136">
        <v>45</v>
      </c>
      <c r="H42" s="137"/>
      <c r="I42" s="137"/>
      <c r="J42" s="138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06" t="s">
        <v>81</v>
      </c>
      <c r="C43" s="11"/>
      <c r="D43" s="12"/>
      <c r="F43" s="59" t="s">
        <v>82</v>
      </c>
      <c r="G43" s="89" t="s">
        <v>83</v>
      </c>
      <c r="H43" s="128" t="s">
        <v>13</v>
      </c>
      <c r="I43" s="129"/>
      <c r="J43" s="130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07"/>
      <c r="B44" s="27" t="s">
        <v>66</v>
      </c>
      <c r="C44" s="10"/>
      <c r="D44" s="12">
        <f>C44*120</f>
        <v>0</v>
      </c>
      <c r="F44" s="37"/>
      <c r="G44" s="62"/>
      <c r="H44" s="131"/>
      <c r="I44" s="131"/>
      <c r="J44" s="131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07"/>
      <c r="B45" s="27" t="s">
        <v>68</v>
      </c>
      <c r="C45" s="33"/>
      <c r="D45" s="12">
        <f>C45*84</f>
        <v>0</v>
      </c>
      <c r="F45" s="37"/>
      <c r="G45" s="62"/>
      <c r="H45" s="131"/>
      <c r="I45" s="131"/>
      <c r="J45" s="131"/>
      <c r="K45" s="21"/>
      <c r="P45" s="4"/>
      <c r="Q45" s="4"/>
      <c r="R45" s="5"/>
    </row>
    <row r="46" spans="1:18" ht="15.75" x14ac:dyDescent="0.25">
      <c r="A46" s="107"/>
      <c r="B46" s="49" t="s">
        <v>70</v>
      </c>
      <c r="C46" s="81">
        <v>1</v>
      </c>
      <c r="D46" s="12">
        <f>C46*1.5</f>
        <v>1.5</v>
      </c>
      <c r="F46" s="37"/>
      <c r="G46" s="88"/>
      <c r="H46" s="132"/>
      <c r="I46" s="132"/>
      <c r="J46" s="132"/>
      <c r="K46" s="21"/>
      <c r="P46" s="4"/>
      <c r="Q46" s="4"/>
      <c r="R46" s="5"/>
    </row>
    <row r="47" spans="1:18" ht="15.75" x14ac:dyDescent="0.25">
      <c r="A47" s="108"/>
      <c r="B47" s="27"/>
      <c r="C47" s="11"/>
      <c r="D47" s="12"/>
      <c r="F47" s="59"/>
      <c r="G47" s="59"/>
      <c r="H47" s="109"/>
      <c r="I47" s="110"/>
      <c r="J47" s="111"/>
      <c r="K47" s="21"/>
      <c r="P47" s="4"/>
      <c r="Q47" s="4"/>
      <c r="R47" s="5"/>
    </row>
    <row r="48" spans="1:18" ht="15" customHeight="1" x14ac:dyDescent="0.25">
      <c r="A48" s="106" t="s">
        <v>32</v>
      </c>
      <c r="B48" s="27" t="s">
        <v>66</v>
      </c>
      <c r="C48" s="10">
        <v>4</v>
      </c>
      <c r="D48" s="12">
        <f>C48*78</f>
        <v>312</v>
      </c>
      <c r="F48" s="59"/>
      <c r="G48" s="59"/>
      <c r="H48" s="109"/>
      <c r="I48" s="110"/>
      <c r="J48" s="111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07"/>
      <c r="B49" s="29" t="s">
        <v>68</v>
      </c>
      <c r="C49" s="33">
        <v>3</v>
      </c>
      <c r="D49" s="12">
        <f>C49*42</f>
        <v>126</v>
      </c>
      <c r="F49" s="112" t="s">
        <v>86</v>
      </c>
      <c r="G49" s="114">
        <f>H34+H35+H36+H37+H38+H39+H40+H41+G42+H44+H45+H46</f>
        <v>192595</v>
      </c>
      <c r="H49" s="115"/>
      <c r="I49" s="115"/>
      <c r="J49" s="116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07"/>
      <c r="B50" s="32" t="s">
        <v>70</v>
      </c>
      <c r="C50" s="11">
        <v>19</v>
      </c>
      <c r="D50" s="12">
        <f>C50*1.5</f>
        <v>28.5</v>
      </c>
      <c r="F50" s="113"/>
      <c r="G50" s="117"/>
      <c r="H50" s="118"/>
      <c r="I50" s="118"/>
      <c r="J50" s="119"/>
      <c r="O50" t="s">
        <v>137</v>
      </c>
      <c r="P50" s="4">
        <v>1204</v>
      </c>
      <c r="Q50" s="4"/>
      <c r="R50" s="5"/>
    </row>
    <row r="51" spans="1:18" ht="15" customHeight="1" x14ac:dyDescent="0.25">
      <c r="A51" s="107"/>
      <c r="B51" s="27"/>
      <c r="C51" s="10"/>
      <c r="D51" s="31"/>
      <c r="F51" s="120" t="s">
        <v>162</v>
      </c>
      <c r="G51" s="221">
        <f>G49-H29</f>
        <v>-142</v>
      </c>
      <c r="H51" s="222"/>
      <c r="I51" s="222"/>
      <c r="J51" s="223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07"/>
      <c r="B52" s="29"/>
      <c r="C52" s="33"/>
      <c r="D52" s="45"/>
      <c r="F52" s="121"/>
      <c r="G52" s="224"/>
      <c r="H52" s="225"/>
      <c r="I52" s="225"/>
      <c r="J52" s="226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08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92" t="s">
        <v>90</v>
      </c>
      <c r="B54" s="93"/>
      <c r="C54" s="94"/>
      <c r="D54" s="98">
        <f>SUM(D34:D53)</f>
        <v>35040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95"/>
      <c r="B55" s="96"/>
      <c r="C55" s="97"/>
      <c r="D55" s="9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100" t="s">
        <v>91</v>
      </c>
      <c r="B58" s="101"/>
      <c r="C58" s="101"/>
      <c r="D58" s="102"/>
      <c r="F58" s="100" t="s">
        <v>92</v>
      </c>
      <c r="G58" s="101"/>
      <c r="H58" s="101"/>
      <c r="I58" s="101"/>
      <c r="J58" s="102"/>
    </row>
    <row r="59" spans="1:18" x14ac:dyDescent="0.25">
      <c r="A59" s="103"/>
      <c r="B59" s="104"/>
      <c r="C59" s="104"/>
      <c r="D59" s="105"/>
      <c r="F59" s="103"/>
      <c r="G59" s="104"/>
      <c r="H59" s="104"/>
      <c r="I59" s="104"/>
      <c r="J59" s="105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EA98FC-8A93-4282-8BF7-DB31A8636CB0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88" t="s">
        <v>1</v>
      </c>
      <c r="O1" s="188"/>
      <c r="P1" s="85" t="s">
        <v>2</v>
      </c>
      <c r="Q1" s="8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9" t="s">
        <v>7</v>
      </c>
      <c r="B4" s="140"/>
      <c r="C4" s="140"/>
      <c r="D4" s="141"/>
      <c r="F4" s="189" t="s">
        <v>8</v>
      </c>
      <c r="G4" s="191">
        <v>3</v>
      </c>
      <c r="H4" s="193" t="s">
        <v>9</v>
      </c>
      <c r="I4" s="195">
        <v>46084</v>
      </c>
      <c r="J4" s="19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3" t="s">
        <v>7</v>
      </c>
      <c r="B5" s="15" t="s">
        <v>11</v>
      </c>
      <c r="C5" s="9" t="s">
        <v>12</v>
      </c>
      <c r="D5" s="25" t="s">
        <v>13</v>
      </c>
      <c r="F5" s="190"/>
      <c r="G5" s="192"/>
      <c r="H5" s="194"/>
      <c r="I5" s="197"/>
      <c r="J5" s="19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4"/>
      <c r="B6" s="16" t="s">
        <v>15</v>
      </c>
      <c r="C6" s="10">
        <v>291</v>
      </c>
      <c r="D6" s="13">
        <f t="shared" ref="D6:D28" si="1">C6*L6</f>
        <v>221451</v>
      </c>
      <c r="F6" s="199" t="s">
        <v>16</v>
      </c>
      <c r="G6" s="201" t="s">
        <v>141</v>
      </c>
      <c r="H6" s="202"/>
      <c r="I6" s="202"/>
      <c r="J6" s="203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4"/>
      <c r="B7" s="16" t="s">
        <v>18</v>
      </c>
      <c r="C7" s="10">
        <v>20</v>
      </c>
      <c r="D7" s="13">
        <f t="shared" si="1"/>
        <v>15620</v>
      </c>
      <c r="F7" s="200"/>
      <c r="G7" s="204"/>
      <c r="H7" s="205"/>
      <c r="I7" s="205"/>
      <c r="J7" s="206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4"/>
      <c r="B8" s="16" t="s">
        <v>20</v>
      </c>
      <c r="C8" s="10">
        <v>1</v>
      </c>
      <c r="D8" s="13">
        <f t="shared" si="1"/>
        <v>1093</v>
      </c>
      <c r="F8" s="207" t="s">
        <v>21</v>
      </c>
      <c r="G8" s="208" t="s">
        <v>130</v>
      </c>
      <c r="H8" s="209"/>
      <c r="I8" s="209"/>
      <c r="J8" s="210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4"/>
      <c r="B9" s="16" t="s">
        <v>23</v>
      </c>
      <c r="C9" s="10">
        <v>36</v>
      </c>
      <c r="D9" s="13">
        <f t="shared" si="1"/>
        <v>26388</v>
      </c>
      <c r="F9" s="200"/>
      <c r="G9" s="211"/>
      <c r="H9" s="212"/>
      <c r="I9" s="212"/>
      <c r="J9" s="213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4"/>
      <c r="B10" t="s">
        <v>25</v>
      </c>
      <c r="C10" s="10"/>
      <c r="D10" s="13">
        <f t="shared" si="1"/>
        <v>0</v>
      </c>
      <c r="F10" s="199" t="s">
        <v>26</v>
      </c>
      <c r="G10" s="214" t="s">
        <v>127</v>
      </c>
      <c r="H10" s="215"/>
      <c r="I10" s="215"/>
      <c r="J10" s="216"/>
      <c r="K10" s="8"/>
      <c r="L10" s="6">
        <f>R36</f>
        <v>1032</v>
      </c>
      <c r="P10" s="4"/>
      <c r="Q10" s="4"/>
      <c r="R10" s="5"/>
    </row>
    <row r="11" spans="1:18" ht="15.75" x14ac:dyDescent="0.25">
      <c r="A11" s="134"/>
      <c r="B11" s="17" t="s">
        <v>28</v>
      </c>
      <c r="C11" s="10"/>
      <c r="D11" s="13">
        <f t="shared" si="1"/>
        <v>0</v>
      </c>
      <c r="F11" s="200"/>
      <c r="G11" s="211"/>
      <c r="H11" s="212"/>
      <c r="I11" s="212"/>
      <c r="J11" s="213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4"/>
      <c r="B12" s="17" t="s">
        <v>30</v>
      </c>
      <c r="C12" s="10">
        <v>3</v>
      </c>
      <c r="D12" s="48">
        <f t="shared" si="1"/>
        <v>2976</v>
      </c>
      <c r="F12" s="217" t="s">
        <v>33</v>
      </c>
      <c r="G12" s="218"/>
      <c r="H12" s="218"/>
      <c r="I12" s="218"/>
      <c r="J12" s="219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4"/>
      <c r="B13" s="17" t="s">
        <v>32</v>
      </c>
      <c r="C13" s="10">
        <v>15</v>
      </c>
      <c r="D13" s="48">
        <f t="shared" si="1"/>
        <v>4605</v>
      </c>
      <c r="F13" s="220" t="s">
        <v>36</v>
      </c>
      <c r="G13" s="184"/>
      <c r="H13" s="175">
        <f>D29</f>
        <v>273403</v>
      </c>
      <c r="I13" s="176"/>
      <c r="J13" s="17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4"/>
      <c r="B14" s="14" t="s">
        <v>35</v>
      </c>
      <c r="C14" s="10"/>
      <c r="D14" s="31">
        <f t="shared" si="1"/>
        <v>0</v>
      </c>
      <c r="F14" s="178" t="s">
        <v>39</v>
      </c>
      <c r="G14" s="179"/>
      <c r="H14" s="180">
        <f>D54</f>
        <v>40279.5</v>
      </c>
      <c r="I14" s="181"/>
      <c r="J14" s="18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4"/>
      <c r="B15" s="14" t="s">
        <v>38</v>
      </c>
      <c r="C15" s="10">
        <v>1</v>
      </c>
      <c r="D15" s="31">
        <f t="shared" si="1"/>
        <v>620</v>
      </c>
      <c r="F15" s="183" t="s">
        <v>40</v>
      </c>
      <c r="G15" s="184"/>
      <c r="H15" s="185">
        <f>H13-H14</f>
        <v>233123.5</v>
      </c>
      <c r="I15" s="186"/>
      <c r="J15" s="187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4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45">
        <f>153*6</f>
        <v>918</v>
      </c>
      <c r="I16" s="145"/>
      <c r="J16" s="145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4"/>
      <c r="B17" t="s">
        <v>112</v>
      </c>
      <c r="C17" s="10"/>
      <c r="D17" s="48">
        <f t="shared" si="1"/>
        <v>0</v>
      </c>
      <c r="F17" s="56"/>
      <c r="G17" s="66" t="s">
        <v>45</v>
      </c>
      <c r="H17" s="156"/>
      <c r="I17" s="156"/>
      <c r="J17" s="156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4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56"/>
      <c r="I18" s="156"/>
      <c r="J18" s="156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4"/>
      <c r="B19" s="14" t="s">
        <v>116</v>
      </c>
      <c r="C19" s="10"/>
      <c r="D19" s="48">
        <f t="shared" si="1"/>
        <v>0</v>
      </c>
      <c r="F19" s="56"/>
      <c r="G19" s="68" t="s">
        <v>50</v>
      </c>
      <c r="H19" s="232"/>
      <c r="I19" s="232"/>
      <c r="J19" s="232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4"/>
      <c r="B20" s="46" t="s">
        <v>108</v>
      </c>
      <c r="C20" s="10"/>
      <c r="D20" s="13">
        <f t="shared" si="1"/>
        <v>0</v>
      </c>
      <c r="F20" s="57"/>
      <c r="G20" s="70" t="s">
        <v>117</v>
      </c>
      <c r="H20" s="145"/>
      <c r="I20" s="145"/>
      <c r="J20" s="145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4"/>
      <c r="B21" s="14" t="s">
        <v>123</v>
      </c>
      <c r="C21" s="10">
        <v>1</v>
      </c>
      <c r="D21" s="48">
        <f t="shared" si="1"/>
        <v>650</v>
      </c>
      <c r="F21" s="69" t="s">
        <v>99</v>
      </c>
      <c r="G21" s="82" t="s">
        <v>98</v>
      </c>
      <c r="H21" s="158" t="s">
        <v>13</v>
      </c>
      <c r="I21" s="159"/>
      <c r="J21" s="160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4"/>
      <c r="B22" s="46" t="s">
        <v>104</v>
      </c>
      <c r="C22" s="10"/>
      <c r="D22" s="48">
        <f t="shared" si="1"/>
        <v>0</v>
      </c>
      <c r="F22" s="77"/>
      <c r="G22" s="73"/>
      <c r="H22" s="161"/>
      <c r="I22" s="161"/>
      <c r="J22" s="161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4"/>
      <c r="B23" s="14" t="s">
        <v>107</v>
      </c>
      <c r="C23" s="10"/>
      <c r="D23" s="48">
        <f t="shared" si="1"/>
        <v>0</v>
      </c>
      <c r="F23" s="78"/>
      <c r="G23" s="79"/>
      <c r="H23" s="162"/>
      <c r="I23" s="131"/>
      <c r="J23" s="131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4"/>
      <c r="B24" s="14" t="s">
        <v>101</v>
      </c>
      <c r="C24" s="10"/>
      <c r="D24" s="48">
        <f t="shared" si="1"/>
        <v>0</v>
      </c>
      <c r="F24" s="38"/>
      <c r="G24" s="37"/>
      <c r="H24" s="162"/>
      <c r="I24" s="131"/>
      <c r="J24" s="131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4"/>
      <c r="B25" s="14" t="s">
        <v>115</v>
      </c>
      <c r="C25" s="10"/>
      <c r="D25" s="48">
        <f t="shared" si="1"/>
        <v>0</v>
      </c>
      <c r="F25" s="60" t="s">
        <v>100</v>
      </c>
      <c r="G25" s="55" t="s">
        <v>98</v>
      </c>
      <c r="H25" s="163" t="s">
        <v>13</v>
      </c>
      <c r="I25" s="164"/>
      <c r="J25" s="165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4"/>
      <c r="B26" s="14" t="s">
        <v>105</v>
      </c>
      <c r="C26" s="10"/>
      <c r="D26" s="48">
        <f t="shared" si="1"/>
        <v>0</v>
      </c>
      <c r="F26" s="64"/>
      <c r="G26" s="59"/>
      <c r="H26" s="166"/>
      <c r="I26" s="167"/>
      <c r="J26" s="168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4"/>
      <c r="B27" s="14" t="s">
        <v>109</v>
      </c>
      <c r="C27" s="10"/>
      <c r="D27" s="44">
        <f t="shared" si="1"/>
        <v>0</v>
      </c>
      <c r="F27" s="25"/>
      <c r="G27" s="80"/>
      <c r="H27" s="169"/>
      <c r="I27" s="170"/>
      <c r="J27" s="171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5"/>
      <c r="B28" s="46" t="s">
        <v>97</v>
      </c>
      <c r="C28" s="10"/>
      <c r="D28" s="48">
        <f t="shared" si="1"/>
        <v>0</v>
      </c>
      <c r="F28" s="86"/>
      <c r="G28" s="61"/>
      <c r="H28" s="172"/>
      <c r="I28" s="173"/>
      <c r="J28" s="174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46" t="s">
        <v>36</v>
      </c>
      <c r="B29" s="147"/>
      <c r="C29" s="148"/>
      <c r="D29" s="152">
        <f>SUM(D6:D28)</f>
        <v>273403</v>
      </c>
      <c r="F29" s="92" t="s">
        <v>55</v>
      </c>
      <c r="G29" s="154"/>
      <c r="H29" s="114">
        <f>H15-H16-H17-H18-H19-H20-H22-H23-H24+H26+H27</f>
        <v>232205.5</v>
      </c>
      <c r="I29" s="115"/>
      <c r="J29" s="116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49"/>
      <c r="B30" s="150"/>
      <c r="C30" s="151"/>
      <c r="D30" s="153"/>
      <c r="F30" s="95"/>
      <c r="G30" s="155"/>
      <c r="H30" s="117"/>
      <c r="I30" s="118"/>
      <c r="J30" s="119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39" t="s">
        <v>58</v>
      </c>
      <c r="B32" s="140"/>
      <c r="C32" s="140"/>
      <c r="D32" s="141"/>
      <c r="F32" s="142" t="s">
        <v>59</v>
      </c>
      <c r="G32" s="143"/>
      <c r="H32" s="143"/>
      <c r="I32" s="143"/>
      <c r="J32" s="144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142" t="s">
        <v>13</v>
      </c>
      <c r="I33" s="143"/>
      <c r="J33" s="144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3" t="s">
        <v>65</v>
      </c>
      <c r="B34" s="26" t="s">
        <v>66</v>
      </c>
      <c r="C34" s="51">
        <v>2</v>
      </c>
      <c r="D34" s="30">
        <f>C34*120</f>
        <v>240</v>
      </c>
      <c r="F34" s="12">
        <v>1000</v>
      </c>
      <c r="G34" s="74">
        <v>75</v>
      </c>
      <c r="H34" s="136">
        <f>F34*G34</f>
        <v>75000</v>
      </c>
      <c r="I34" s="137"/>
      <c r="J34" s="138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4"/>
      <c r="B35" s="27" t="s">
        <v>68</v>
      </c>
      <c r="C35" s="52"/>
      <c r="D35" s="30">
        <f>C35*84</f>
        <v>0</v>
      </c>
      <c r="F35" s="58">
        <v>500</v>
      </c>
      <c r="G35" s="41">
        <v>97</v>
      </c>
      <c r="H35" s="136">
        <f>F35*G35</f>
        <v>48500</v>
      </c>
      <c r="I35" s="137"/>
      <c r="J35" s="138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5"/>
      <c r="B36" s="26" t="s">
        <v>70</v>
      </c>
      <c r="C36" s="10"/>
      <c r="D36" s="12">
        <f>C36*1.5</f>
        <v>0</v>
      </c>
      <c r="F36" s="12">
        <v>200</v>
      </c>
      <c r="G36" s="37"/>
      <c r="H36" s="136">
        <f t="shared" ref="H36:H39" si="2">F36*G36</f>
        <v>0</v>
      </c>
      <c r="I36" s="137"/>
      <c r="J36" s="138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3" t="s">
        <v>72</v>
      </c>
      <c r="B37" s="28" t="s">
        <v>66</v>
      </c>
      <c r="C37" s="53">
        <v>302</v>
      </c>
      <c r="D37" s="12">
        <f>C37*111</f>
        <v>33522</v>
      </c>
      <c r="F37" s="12">
        <v>100</v>
      </c>
      <c r="G37" s="39">
        <v>60</v>
      </c>
      <c r="H37" s="136">
        <f t="shared" si="2"/>
        <v>6000</v>
      </c>
      <c r="I37" s="137"/>
      <c r="J37" s="138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4"/>
      <c r="B38" s="29" t="s">
        <v>68</v>
      </c>
      <c r="C38" s="54">
        <v>3</v>
      </c>
      <c r="D38" s="12">
        <f>C38*84</f>
        <v>252</v>
      </c>
      <c r="F38" s="30">
        <v>50</v>
      </c>
      <c r="G38" s="39">
        <v>43</v>
      </c>
      <c r="H38" s="136">
        <f t="shared" si="2"/>
        <v>2150</v>
      </c>
      <c r="I38" s="137"/>
      <c r="J38" s="138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5"/>
      <c r="B39" s="29" t="s">
        <v>70</v>
      </c>
      <c r="C39" s="52">
        <v>3</v>
      </c>
      <c r="D39" s="31">
        <f>C39*4.5</f>
        <v>13.5</v>
      </c>
      <c r="F39" s="12">
        <v>20</v>
      </c>
      <c r="G39" s="37"/>
      <c r="H39" s="136">
        <f t="shared" si="2"/>
        <v>0</v>
      </c>
      <c r="I39" s="137"/>
      <c r="J39" s="138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3" t="s">
        <v>76</v>
      </c>
      <c r="B40" s="27" t="s">
        <v>66</v>
      </c>
      <c r="C40" s="63">
        <v>46</v>
      </c>
      <c r="D40" s="12">
        <f>C40*111</f>
        <v>5106</v>
      </c>
      <c r="F40" s="12">
        <v>10</v>
      </c>
      <c r="G40" s="42"/>
      <c r="H40" s="136"/>
      <c r="I40" s="137"/>
      <c r="J40" s="138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4"/>
      <c r="B41" s="27" t="s">
        <v>68</v>
      </c>
      <c r="C41" s="10"/>
      <c r="D41" s="12">
        <f>C41*84</f>
        <v>0</v>
      </c>
      <c r="F41" s="12">
        <v>5</v>
      </c>
      <c r="G41" s="42"/>
      <c r="H41" s="136"/>
      <c r="I41" s="137"/>
      <c r="J41" s="138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5"/>
      <c r="B42" s="27" t="s">
        <v>70</v>
      </c>
      <c r="C42" s="11">
        <v>12</v>
      </c>
      <c r="D42" s="12">
        <f>C42*2.25</f>
        <v>27</v>
      </c>
      <c r="F42" s="39" t="s">
        <v>79</v>
      </c>
      <c r="G42" s="136">
        <v>74</v>
      </c>
      <c r="H42" s="137"/>
      <c r="I42" s="137"/>
      <c r="J42" s="138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06" t="s">
        <v>81</v>
      </c>
      <c r="C43" s="11"/>
      <c r="D43" s="12"/>
      <c r="F43" s="59" t="s">
        <v>82</v>
      </c>
      <c r="G43" s="89" t="s">
        <v>83</v>
      </c>
      <c r="H43" s="128" t="s">
        <v>13</v>
      </c>
      <c r="I43" s="129"/>
      <c r="J43" s="130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07"/>
      <c r="B44" s="27" t="s">
        <v>66</v>
      </c>
      <c r="C44" s="10">
        <v>2</v>
      </c>
      <c r="D44" s="12">
        <f>C44*120</f>
        <v>240</v>
      </c>
      <c r="F44" s="37" t="s">
        <v>146</v>
      </c>
      <c r="G44" s="76" t="s">
        <v>160</v>
      </c>
      <c r="H44" s="131">
        <v>100483</v>
      </c>
      <c r="I44" s="131"/>
      <c r="J44" s="131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07"/>
      <c r="B45" s="27" t="s">
        <v>68</v>
      </c>
      <c r="C45" s="33"/>
      <c r="D45" s="12">
        <f>C45*84</f>
        <v>0</v>
      </c>
      <c r="F45" s="37"/>
      <c r="G45" s="76"/>
      <c r="H45" s="131"/>
      <c r="I45" s="131"/>
      <c r="J45" s="131"/>
      <c r="K45" s="21"/>
      <c r="P45" s="4"/>
      <c r="Q45" s="4"/>
      <c r="R45" s="5"/>
    </row>
    <row r="46" spans="1:18" ht="15.75" x14ac:dyDescent="0.25">
      <c r="A46" s="107"/>
      <c r="B46" s="49" t="s">
        <v>70</v>
      </c>
      <c r="C46" s="81">
        <v>64</v>
      </c>
      <c r="D46" s="12">
        <f>C46*1.5</f>
        <v>96</v>
      </c>
      <c r="F46" s="37"/>
      <c r="G46" s="62"/>
      <c r="H46" s="132"/>
      <c r="I46" s="132"/>
      <c r="J46" s="132"/>
      <c r="K46" s="21"/>
      <c r="P46" s="4"/>
      <c r="Q46" s="4"/>
      <c r="R46" s="5"/>
    </row>
    <row r="47" spans="1:18" ht="15.75" x14ac:dyDescent="0.25">
      <c r="A47" s="108"/>
      <c r="B47" s="27"/>
      <c r="C47" s="11"/>
      <c r="D47" s="12"/>
      <c r="F47" s="59"/>
      <c r="G47" s="59"/>
      <c r="H47" s="109"/>
      <c r="I47" s="110"/>
      <c r="J47" s="111"/>
      <c r="K47" s="21"/>
      <c r="P47" s="4"/>
      <c r="Q47" s="4"/>
      <c r="R47" s="5"/>
    </row>
    <row r="48" spans="1:18" ht="15" customHeight="1" x14ac:dyDescent="0.25">
      <c r="A48" s="106" t="s">
        <v>32</v>
      </c>
      <c r="B48" s="27" t="s">
        <v>66</v>
      </c>
      <c r="C48" s="10">
        <v>8</v>
      </c>
      <c r="D48" s="12">
        <f>C48*78</f>
        <v>624</v>
      </c>
      <c r="F48" s="59"/>
      <c r="G48" s="59"/>
      <c r="H48" s="109"/>
      <c r="I48" s="110"/>
      <c r="J48" s="111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07"/>
      <c r="B49" s="29" t="s">
        <v>68</v>
      </c>
      <c r="C49" s="33">
        <v>3</v>
      </c>
      <c r="D49" s="12">
        <f>C49*42</f>
        <v>126</v>
      </c>
      <c r="F49" s="112" t="s">
        <v>86</v>
      </c>
      <c r="G49" s="114">
        <f>H34+H35+H36+H37+H38+H39+H40+H41+G42+H44+H45+H46</f>
        <v>232207</v>
      </c>
      <c r="H49" s="115"/>
      <c r="I49" s="115"/>
      <c r="J49" s="116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07"/>
      <c r="B50" s="32" t="s">
        <v>70</v>
      </c>
      <c r="C50" s="11">
        <v>22</v>
      </c>
      <c r="D50" s="12">
        <f>C50*1.5</f>
        <v>33</v>
      </c>
      <c r="F50" s="113"/>
      <c r="G50" s="117"/>
      <c r="H50" s="118"/>
      <c r="I50" s="118"/>
      <c r="J50" s="119"/>
      <c r="O50" t="s">
        <v>137</v>
      </c>
      <c r="P50" s="4">
        <v>1204</v>
      </c>
      <c r="Q50" s="4"/>
      <c r="R50" s="5"/>
    </row>
    <row r="51" spans="1:18" ht="15" customHeight="1" x14ac:dyDescent="0.25">
      <c r="A51" s="107"/>
      <c r="B51" s="27"/>
      <c r="C51" s="10"/>
      <c r="D51" s="31"/>
      <c r="F51" s="120" t="s">
        <v>138</v>
      </c>
      <c r="G51" s="122">
        <f>G49-H29</f>
        <v>1.5</v>
      </c>
      <c r="H51" s="123"/>
      <c r="I51" s="123"/>
      <c r="J51" s="124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07"/>
      <c r="B52" s="29"/>
      <c r="C52" s="33"/>
      <c r="D52" s="45"/>
      <c r="F52" s="121"/>
      <c r="G52" s="125"/>
      <c r="H52" s="126"/>
      <c r="I52" s="126"/>
      <c r="J52" s="127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08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92" t="s">
        <v>90</v>
      </c>
      <c r="B54" s="93"/>
      <c r="C54" s="94"/>
      <c r="D54" s="98">
        <f>SUM(D34:D53)</f>
        <v>40279.5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95"/>
      <c r="B55" s="96"/>
      <c r="C55" s="97"/>
      <c r="D55" s="9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100" t="s">
        <v>91</v>
      </c>
      <c r="B58" s="101"/>
      <c r="C58" s="101"/>
      <c r="D58" s="102"/>
      <c r="F58" s="100" t="s">
        <v>92</v>
      </c>
      <c r="G58" s="101"/>
      <c r="H58" s="101"/>
      <c r="I58" s="101"/>
      <c r="J58" s="102"/>
    </row>
    <row r="59" spans="1:18" x14ac:dyDescent="0.25">
      <c r="A59" s="103"/>
      <c r="B59" s="104"/>
      <c r="C59" s="104"/>
      <c r="D59" s="105"/>
      <c r="F59" s="103"/>
      <c r="G59" s="104"/>
      <c r="H59" s="104"/>
      <c r="I59" s="104"/>
      <c r="J59" s="105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502641-0112-46AB-A2F6-D2DA4D02B7E0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88" t="s">
        <v>1</v>
      </c>
      <c r="O1" s="188"/>
      <c r="P1" s="85" t="s">
        <v>2</v>
      </c>
      <c r="Q1" s="85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39" t="s">
        <v>7</v>
      </c>
      <c r="B4" s="140"/>
      <c r="C4" s="140"/>
      <c r="D4" s="141"/>
      <c r="F4" s="189" t="s">
        <v>8</v>
      </c>
      <c r="G4" s="191"/>
      <c r="H4" s="193" t="s">
        <v>9</v>
      </c>
      <c r="I4" s="195"/>
      <c r="J4" s="19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33" t="s">
        <v>7</v>
      </c>
      <c r="B5" s="15" t="s">
        <v>11</v>
      </c>
      <c r="C5" s="9" t="s">
        <v>12</v>
      </c>
      <c r="D5" s="25" t="s">
        <v>13</v>
      </c>
      <c r="F5" s="190"/>
      <c r="G5" s="192"/>
      <c r="H5" s="194"/>
      <c r="I5" s="197"/>
      <c r="J5" s="19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34"/>
      <c r="B6" s="16"/>
      <c r="C6" s="10"/>
      <c r="D6" s="13">
        <f t="shared" ref="D6:D28" si="1">C6*L6</f>
        <v>0</v>
      </c>
      <c r="F6" s="199" t="s">
        <v>16</v>
      </c>
      <c r="G6" s="201"/>
      <c r="H6" s="202"/>
      <c r="I6" s="202"/>
      <c r="J6" s="203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34"/>
      <c r="B7" s="16"/>
      <c r="C7" s="10"/>
      <c r="D7" s="13">
        <f t="shared" si="1"/>
        <v>0</v>
      </c>
      <c r="F7" s="200"/>
      <c r="G7" s="204"/>
      <c r="H7" s="205"/>
      <c r="I7" s="205"/>
      <c r="J7" s="206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34"/>
      <c r="B8" s="16"/>
      <c r="C8" s="10"/>
      <c r="D8" s="13">
        <f t="shared" si="1"/>
        <v>0</v>
      </c>
      <c r="F8" s="207" t="s">
        <v>21</v>
      </c>
      <c r="G8" s="208"/>
      <c r="H8" s="209"/>
      <c r="I8" s="209"/>
      <c r="J8" s="210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34"/>
      <c r="B9" s="16"/>
      <c r="C9" s="10"/>
      <c r="D9" s="13">
        <f t="shared" si="1"/>
        <v>0</v>
      </c>
      <c r="F9" s="200"/>
      <c r="G9" s="211"/>
      <c r="H9" s="212"/>
      <c r="I9" s="212"/>
      <c r="J9" s="213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34"/>
      <c r="C10" s="10"/>
      <c r="D10" s="13">
        <f t="shared" si="1"/>
        <v>0</v>
      </c>
      <c r="F10" s="199" t="s">
        <v>26</v>
      </c>
      <c r="G10" s="214"/>
      <c r="H10" s="215"/>
      <c r="I10" s="215"/>
      <c r="J10" s="216"/>
      <c r="K10" s="8"/>
      <c r="L10" s="6">
        <f>R36</f>
        <v>972</v>
      </c>
      <c r="P10" s="4"/>
      <c r="Q10" s="4"/>
      <c r="R10" s="5"/>
    </row>
    <row r="11" spans="1:19" ht="15.75" x14ac:dyDescent="0.25">
      <c r="A11" s="134"/>
      <c r="B11" s="17"/>
      <c r="C11" s="10"/>
      <c r="D11" s="13">
        <f t="shared" si="1"/>
        <v>0</v>
      </c>
      <c r="F11" s="200"/>
      <c r="G11" s="211"/>
      <c r="H11" s="212"/>
      <c r="I11" s="212"/>
      <c r="J11" s="213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34"/>
      <c r="B12" s="17"/>
      <c r="C12" s="10"/>
      <c r="D12" s="48">
        <f t="shared" si="1"/>
        <v>0</v>
      </c>
      <c r="F12" s="217" t="s">
        <v>33</v>
      </c>
      <c r="G12" s="218"/>
      <c r="H12" s="218"/>
      <c r="I12" s="218"/>
      <c r="J12" s="219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34"/>
      <c r="B13" s="17"/>
      <c r="C13" s="10"/>
      <c r="D13" s="48">
        <f t="shared" si="1"/>
        <v>0</v>
      </c>
      <c r="F13" s="220" t="s">
        <v>36</v>
      </c>
      <c r="G13" s="184"/>
      <c r="H13" s="175">
        <f>D29</f>
        <v>0</v>
      </c>
      <c r="I13" s="176"/>
      <c r="J13" s="17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34"/>
      <c r="B14" s="14"/>
      <c r="C14" s="10"/>
      <c r="D14" s="31">
        <f t="shared" si="1"/>
        <v>0</v>
      </c>
      <c r="F14" s="178" t="s">
        <v>39</v>
      </c>
      <c r="G14" s="179"/>
      <c r="H14" s="180">
        <f>D54</f>
        <v>0</v>
      </c>
      <c r="I14" s="181"/>
      <c r="J14" s="18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34"/>
      <c r="B15" s="14"/>
      <c r="C15" s="10"/>
      <c r="D15" s="31">
        <f t="shared" si="1"/>
        <v>0</v>
      </c>
      <c r="F15" s="183" t="s">
        <v>40</v>
      </c>
      <c r="G15" s="184"/>
      <c r="H15" s="185">
        <f>H13-H14</f>
        <v>0</v>
      </c>
      <c r="I15" s="186"/>
      <c r="J15" s="187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34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45"/>
      <c r="I16" s="145"/>
      <c r="J16" s="145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4"/>
      <c r="C17" s="10"/>
      <c r="D17" s="48">
        <f t="shared" si="1"/>
        <v>0</v>
      </c>
      <c r="F17" s="56"/>
      <c r="G17" s="66" t="s">
        <v>45</v>
      </c>
      <c r="H17" s="156"/>
      <c r="I17" s="156"/>
      <c r="J17" s="156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4"/>
      <c r="B18" s="19"/>
      <c r="C18" s="10"/>
      <c r="D18" s="48">
        <f t="shared" si="1"/>
        <v>0</v>
      </c>
      <c r="F18" s="56"/>
      <c r="G18" s="66" t="s">
        <v>47</v>
      </c>
      <c r="H18" s="156"/>
      <c r="I18" s="156"/>
      <c r="J18" s="156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4"/>
      <c r="B19" s="14"/>
      <c r="C19" s="10"/>
      <c r="D19" s="48">
        <f t="shared" si="1"/>
        <v>0</v>
      </c>
      <c r="F19" s="56"/>
      <c r="G19" s="68" t="s">
        <v>50</v>
      </c>
      <c r="H19" s="157"/>
      <c r="I19" s="157"/>
      <c r="J19" s="157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4"/>
      <c r="B20" s="46"/>
      <c r="C20" s="10"/>
      <c r="D20" s="13">
        <f t="shared" si="1"/>
        <v>0</v>
      </c>
      <c r="F20" s="57"/>
      <c r="G20" s="70" t="s">
        <v>117</v>
      </c>
      <c r="H20" s="145"/>
      <c r="I20" s="145"/>
      <c r="J20" s="145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4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58" t="s">
        <v>13</v>
      </c>
      <c r="I21" s="159"/>
      <c r="J21" s="160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4"/>
      <c r="B22" s="46"/>
      <c r="C22" s="10"/>
      <c r="D22" s="48">
        <f t="shared" si="1"/>
        <v>0</v>
      </c>
      <c r="F22" s="77"/>
      <c r="G22" s="73"/>
      <c r="H22" s="161"/>
      <c r="I22" s="161"/>
      <c r="J22" s="161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4"/>
      <c r="B23" s="14"/>
      <c r="C23" s="10"/>
      <c r="D23" s="48">
        <f t="shared" si="1"/>
        <v>0</v>
      </c>
      <c r="F23" s="78"/>
      <c r="G23" s="79"/>
      <c r="H23" s="162"/>
      <c r="I23" s="131"/>
      <c r="J23" s="131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4"/>
      <c r="B24" s="14"/>
      <c r="C24" s="10"/>
      <c r="D24" s="48">
        <f t="shared" si="1"/>
        <v>0</v>
      </c>
      <c r="F24" s="38"/>
      <c r="G24" s="37"/>
      <c r="H24" s="162"/>
      <c r="I24" s="131"/>
      <c r="J24" s="131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4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63" t="s">
        <v>13</v>
      </c>
      <c r="I25" s="164"/>
      <c r="J25" s="165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4"/>
      <c r="B26" s="14"/>
      <c r="C26" s="10"/>
      <c r="D26" s="48">
        <f t="shared" si="1"/>
        <v>0</v>
      </c>
      <c r="F26" s="64"/>
      <c r="G26" s="59"/>
      <c r="H26" s="166"/>
      <c r="I26" s="167"/>
      <c r="J26" s="168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4"/>
      <c r="B27" s="14"/>
      <c r="C27" s="10"/>
      <c r="D27" s="44">
        <f t="shared" si="1"/>
        <v>0</v>
      </c>
      <c r="F27" s="25"/>
      <c r="G27" s="80"/>
      <c r="H27" s="169"/>
      <c r="I27" s="170"/>
      <c r="J27" s="171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5"/>
      <c r="B28" s="46"/>
      <c r="C28" s="10"/>
      <c r="D28" s="48">
        <f t="shared" si="1"/>
        <v>0</v>
      </c>
      <c r="F28" s="86"/>
      <c r="G28" s="61"/>
      <c r="H28" s="172"/>
      <c r="I28" s="173"/>
      <c r="J28" s="174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46" t="s">
        <v>36</v>
      </c>
      <c r="B29" s="147"/>
      <c r="C29" s="148"/>
      <c r="D29" s="152">
        <f>SUM(D6:D28)</f>
        <v>0</v>
      </c>
      <c r="F29" s="92" t="s">
        <v>55</v>
      </c>
      <c r="G29" s="154"/>
      <c r="H29" s="114">
        <f>H15-H16-H17-H18-H19-H20-H22-H23-H24+H26+H27</f>
        <v>0</v>
      </c>
      <c r="I29" s="115"/>
      <c r="J29" s="116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49"/>
      <c r="B30" s="150"/>
      <c r="C30" s="151"/>
      <c r="D30" s="153"/>
      <c r="F30" s="95"/>
      <c r="G30" s="155"/>
      <c r="H30" s="117"/>
      <c r="I30" s="118"/>
      <c r="J30" s="119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39" t="s">
        <v>58</v>
      </c>
      <c r="B32" s="140"/>
      <c r="C32" s="140"/>
      <c r="D32" s="141"/>
      <c r="F32" s="142" t="s">
        <v>59</v>
      </c>
      <c r="G32" s="143"/>
      <c r="H32" s="143"/>
      <c r="I32" s="143"/>
      <c r="J32" s="144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142" t="s">
        <v>13</v>
      </c>
      <c r="I33" s="143"/>
      <c r="J33" s="144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3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36"/>
      <c r="I34" s="137"/>
      <c r="J34" s="138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4"/>
      <c r="B35" s="27" t="s">
        <v>68</v>
      </c>
      <c r="C35" s="52"/>
      <c r="D35" s="30">
        <f>C35*84</f>
        <v>0</v>
      </c>
      <c r="F35" s="58">
        <v>500</v>
      </c>
      <c r="G35" s="41"/>
      <c r="H35" s="136"/>
      <c r="I35" s="137"/>
      <c r="J35" s="138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5"/>
      <c r="B36" s="26" t="s">
        <v>70</v>
      </c>
      <c r="C36" s="10"/>
      <c r="D36" s="12">
        <f>C36*1.5</f>
        <v>0</v>
      </c>
      <c r="F36" s="12">
        <v>200</v>
      </c>
      <c r="G36" s="37"/>
      <c r="H36" s="136"/>
      <c r="I36" s="137"/>
      <c r="J36" s="138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3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36"/>
      <c r="I37" s="137"/>
      <c r="J37" s="138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4"/>
      <c r="B38" s="29" t="s">
        <v>68</v>
      </c>
      <c r="C38" s="54"/>
      <c r="D38" s="12">
        <f>C38*84</f>
        <v>0</v>
      </c>
      <c r="F38" s="30">
        <v>50</v>
      </c>
      <c r="G38" s="39"/>
      <c r="H38" s="136"/>
      <c r="I38" s="137"/>
      <c r="J38" s="138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5"/>
      <c r="B39" s="29" t="s">
        <v>70</v>
      </c>
      <c r="C39" s="52"/>
      <c r="D39" s="31">
        <f>C39*4.5</f>
        <v>0</v>
      </c>
      <c r="F39" s="12">
        <v>20</v>
      </c>
      <c r="G39" s="37"/>
      <c r="H39" s="136"/>
      <c r="I39" s="137"/>
      <c r="J39" s="138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3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36"/>
      <c r="I40" s="137"/>
      <c r="J40" s="138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4"/>
      <c r="B41" s="27" t="s">
        <v>68</v>
      </c>
      <c r="C41" s="10"/>
      <c r="D41" s="12">
        <f>C41*84</f>
        <v>0</v>
      </c>
      <c r="F41" s="12">
        <v>5</v>
      </c>
      <c r="G41" s="42"/>
      <c r="H41" s="136"/>
      <c r="I41" s="137"/>
      <c r="J41" s="138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5"/>
      <c r="B42" s="27" t="s">
        <v>70</v>
      </c>
      <c r="C42" s="11"/>
      <c r="D42" s="12">
        <f>C42*2.25</f>
        <v>0</v>
      </c>
      <c r="F42" s="39" t="s">
        <v>79</v>
      </c>
      <c r="G42" s="136"/>
      <c r="H42" s="137"/>
      <c r="I42" s="137"/>
      <c r="J42" s="138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06" t="s">
        <v>81</v>
      </c>
      <c r="C43" s="11"/>
      <c r="D43" s="12"/>
      <c r="F43" s="59" t="s">
        <v>82</v>
      </c>
      <c r="G43" s="89" t="s">
        <v>83</v>
      </c>
      <c r="H43" s="128" t="s">
        <v>13</v>
      </c>
      <c r="I43" s="129"/>
      <c r="J43" s="130"/>
      <c r="K43" s="21"/>
      <c r="P43" s="4"/>
      <c r="Q43" s="4"/>
      <c r="R43" s="5"/>
    </row>
    <row r="44" spans="1:18" ht="15.75" x14ac:dyDescent="0.25">
      <c r="A44" s="107"/>
      <c r="B44" s="27" t="s">
        <v>66</v>
      </c>
      <c r="C44" s="10"/>
      <c r="D44" s="12">
        <f>C44*120</f>
        <v>0</v>
      </c>
      <c r="F44" s="37"/>
      <c r="G44" s="76"/>
      <c r="H44" s="131"/>
      <c r="I44" s="131"/>
      <c r="J44" s="131"/>
      <c r="K44" s="21"/>
      <c r="P44" s="4"/>
      <c r="Q44" s="4"/>
      <c r="R44" s="5"/>
    </row>
    <row r="45" spans="1:18" ht="15.75" x14ac:dyDescent="0.25">
      <c r="A45" s="107"/>
      <c r="B45" s="27" t="s">
        <v>68</v>
      </c>
      <c r="C45" s="33"/>
      <c r="D45" s="12">
        <f>C45*84</f>
        <v>0</v>
      </c>
      <c r="F45" s="37"/>
      <c r="G45" s="76"/>
      <c r="H45" s="131"/>
      <c r="I45" s="131"/>
      <c r="J45" s="131"/>
      <c r="K45" s="21"/>
      <c r="P45" s="4"/>
      <c r="Q45" s="4"/>
      <c r="R45" s="5"/>
    </row>
    <row r="46" spans="1:18" ht="15.75" x14ac:dyDescent="0.25">
      <c r="A46" s="107"/>
      <c r="B46" s="49" t="s">
        <v>70</v>
      </c>
      <c r="C46" s="81"/>
      <c r="D46" s="12">
        <f>C46*1.5</f>
        <v>0</v>
      </c>
      <c r="F46" s="37"/>
      <c r="G46" s="62"/>
      <c r="H46" s="132"/>
      <c r="I46" s="132"/>
      <c r="J46" s="132"/>
      <c r="K46" s="21"/>
      <c r="P46" s="4"/>
      <c r="Q46" s="4"/>
      <c r="R46" s="5"/>
    </row>
    <row r="47" spans="1:18" ht="15.75" x14ac:dyDescent="0.25">
      <c r="A47" s="108"/>
      <c r="B47" s="27"/>
      <c r="C47" s="11"/>
      <c r="D47" s="12"/>
      <c r="F47" s="59"/>
      <c r="G47" s="59"/>
      <c r="H47" s="109"/>
      <c r="I47" s="110"/>
      <c r="J47" s="111"/>
      <c r="K47" s="21"/>
      <c r="P47" s="4"/>
      <c r="Q47" s="4"/>
      <c r="R47" s="5"/>
    </row>
    <row r="48" spans="1:18" ht="15" customHeight="1" x14ac:dyDescent="0.25">
      <c r="A48" s="106" t="s">
        <v>32</v>
      </c>
      <c r="B48" s="27" t="s">
        <v>66</v>
      </c>
      <c r="C48" s="10"/>
      <c r="D48" s="12">
        <f>C48*78</f>
        <v>0</v>
      </c>
      <c r="F48" s="59"/>
      <c r="G48" s="59"/>
      <c r="H48" s="109"/>
      <c r="I48" s="110"/>
      <c r="J48" s="111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07"/>
      <c r="B49" s="29" t="s">
        <v>68</v>
      </c>
      <c r="C49" s="33"/>
      <c r="D49" s="12">
        <f>C49*42</f>
        <v>0</v>
      </c>
      <c r="F49" s="112" t="s">
        <v>86</v>
      </c>
      <c r="G49" s="114">
        <f>H34+H35+H36+H37+H38+H39+H40+H41+G42+H44+H45+H46</f>
        <v>0</v>
      </c>
      <c r="H49" s="115"/>
      <c r="I49" s="115"/>
      <c r="J49" s="116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07"/>
      <c r="B50" s="32" t="s">
        <v>70</v>
      </c>
      <c r="C50" s="11"/>
      <c r="D50" s="12">
        <f>C50*1.5</f>
        <v>0</v>
      </c>
      <c r="F50" s="113"/>
      <c r="G50" s="117"/>
      <c r="H50" s="118"/>
      <c r="I50" s="118"/>
      <c r="J50" s="119"/>
      <c r="P50" s="4"/>
      <c r="Q50" s="4"/>
      <c r="R50" s="5"/>
    </row>
    <row r="51" spans="1:18" ht="15" customHeight="1" x14ac:dyDescent="0.25">
      <c r="A51" s="107"/>
      <c r="B51" s="27"/>
      <c r="C51" s="10"/>
      <c r="D51" s="31"/>
      <c r="F51" s="120" t="s">
        <v>125</v>
      </c>
      <c r="G51" s="122">
        <f>G49-H29</f>
        <v>0</v>
      </c>
      <c r="H51" s="123"/>
      <c r="I51" s="123"/>
      <c r="J51" s="124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07"/>
      <c r="B52" s="29"/>
      <c r="C52" s="33"/>
      <c r="D52" s="45"/>
      <c r="F52" s="121"/>
      <c r="G52" s="125"/>
      <c r="H52" s="126"/>
      <c r="I52" s="126"/>
      <c r="J52" s="127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08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92" t="s">
        <v>90</v>
      </c>
      <c r="B54" s="93"/>
      <c r="C54" s="94"/>
      <c r="D54" s="98">
        <f>SUM(D34:D53)</f>
        <v>0</v>
      </c>
      <c r="F54" s="21"/>
      <c r="J54" s="34"/>
    </row>
    <row r="55" spans="1:18" x14ac:dyDescent="0.25">
      <c r="A55" s="95"/>
      <c r="B55" s="96"/>
      <c r="C55" s="97"/>
      <c r="D55" s="9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00" t="s">
        <v>91</v>
      </c>
      <c r="B58" s="101"/>
      <c r="C58" s="101"/>
      <c r="D58" s="102"/>
      <c r="F58" s="100" t="s">
        <v>92</v>
      </c>
      <c r="G58" s="101"/>
      <c r="H58" s="101"/>
      <c r="I58" s="101"/>
      <c r="J58" s="102"/>
    </row>
    <row r="59" spans="1:18" x14ac:dyDescent="0.25">
      <c r="A59" s="103"/>
      <c r="B59" s="104"/>
      <c r="C59" s="104"/>
      <c r="D59" s="105"/>
      <c r="F59" s="103"/>
      <c r="G59" s="104"/>
      <c r="H59" s="104"/>
      <c r="I59" s="104"/>
      <c r="J59" s="105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F51568-7FAD-436D-B181-6D7F577681D6}">
  <dimension ref="A1:R59"/>
  <sheetViews>
    <sheetView zoomScaleNormal="100" zoomScaleSheetLayoutView="85" workbookViewId="0">
      <selection activeCell="G10" sqref="G10:J11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88" t="s">
        <v>1</v>
      </c>
      <c r="O1" s="188"/>
      <c r="P1" s="85" t="s">
        <v>2</v>
      </c>
      <c r="Q1" s="8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9" t="s">
        <v>7</v>
      </c>
      <c r="B4" s="140"/>
      <c r="C4" s="140"/>
      <c r="D4" s="141"/>
      <c r="F4" s="189" t="s">
        <v>8</v>
      </c>
      <c r="G4" s="191">
        <v>1</v>
      </c>
      <c r="H4" s="193" t="s">
        <v>9</v>
      </c>
      <c r="I4" s="195">
        <v>46085</v>
      </c>
      <c r="J4" s="19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3" t="s">
        <v>7</v>
      </c>
      <c r="B5" s="15" t="s">
        <v>11</v>
      </c>
      <c r="C5" s="9" t="s">
        <v>12</v>
      </c>
      <c r="D5" s="25" t="s">
        <v>13</v>
      </c>
      <c r="F5" s="190"/>
      <c r="G5" s="192"/>
      <c r="H5" s="194"/>
      <c r="I5" s="197"/>
      <c r="J5" s="19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4"/>
      <c r="B6" s="16" t="s">
        <v>15</v>
      </c>
      <c r="C6" s="10">
        <v>359</v>
      </c>
      <c r="D6" s="13">
        <f t="shared" ref="D6:D28" si="1">C6*L6</f>
        <v>273199</v>
      </c>
      <c r="F6" s="199" t="s">
        <v>16</v>
      </c>
      <c r="G6" s="201" t="s">
        <v>111</v>
      </c>
      <c r="H6" s="202"/>
      <c r="I6" s="202"/>
      <c r="J6" s="203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4"/>
      <c r="B7" s="16" t="s">
        <v>18</v>
      </c>
      <c r="C7" s="10">
        <v>6</v>
      </c>
      <c r="D7" s="13">
        <f t="shared" si="1"/>
        <v>4686</v>
      </c>
      <c r="F7" s="200"/>
      <c r="G7" s="204"/>
      <c r="H7" s="205"/>
      <c r="I7" s="205"/>
      <c r="J7" s="206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4"/>
      <c r="B8" s="16" t="s">
        <v>20</v>
      </c>
      <c r="C8" s="10"/>
      <c r="D8" s="13">
        <f t="shared" si="1"/>
        <v>0</v>
      </c>
      <c r="F8" s="207" t="s">
        <v>21</v>
      </c>
      <c r="G8" s="208" t="s">
        <v>144</v>
      </c>
      <c r="H8" s="209"/>
      <c r="I8" s="209"/>
      <c r="J8" s="210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4"/>
      <c r="B9" s="16" t="s">
        <v>23</v>
      </c>
      <c r="C9" s="10">
        <v>117</v>
      </c>
      <c r="D9" s="13">
        <f t="shared" si="1"/>
        <v>85761</v>
      </c>
      <c r="F9" s="200"/>
      <c r="G9" s="211"/>
      <c r="H9" s="212"/>
      <c r="I9" s="212"/>
      <c r="J9" s="213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4"/>
      <c r="B10" t="s">
        <v>25</v>
      </c>
      <c r="C10" s="10">
        <v>10</v>
      </c>
      <c r="D10" s="13">
        <f t="shared" si="1"/>
        <v>10320</v>
      </c>
      <c r="F10" s="199" t="s">
        <v>26</v>
      </c>
      <c r="G10" s="214" t="s">
        <v>139</v>
      </c>
      <c r="H10" s="215"/>
      <c r="I10" s="215"/>
      <c r="J10" s="216"/>
      <c r="K10" s="8"/>
      <c r="L10" s="6">
        <f>R36</f>
        <v>1032</v>
      </c>
      <c r="P10" s="4"/>
      <c r="Q10" s="4"/>
      <c r="R10" s="5"/>
    </row>
    <row r="11" spans="1:18" ht="15.75" x14ac:dyDescent="0.25">
      <c r="A11" s="134"/>
      <c r="B11" s="17" t="s">
        <v>28</v>
      </c>
      <c r="C11" s="10">
        <v>2</v>
      </c>
      <c r="D11" s="13">
        <f t="shared" si="1"/>
        <v>2340</v>
      </c>
      <c r="F11" s="200"/>
      <c r="G11" s="211"/>
      <c r="H11" s="212"/>
      <c r="I11" s="212"/>
      <c r="J11" s="213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4"/>
      <c r="B12" s="17" t="s">
        <v>30</v>
      </c>
      <c r="C12" s="10">
        <v>3</v>
      </c>
      <c r="D12" s="48">
        <f t="shared" si="1"/>
        <v>2976</v>
      </c>
      <c r="F12" s="217" t="s">
        <v>33</v>
      </c>
      <c r="G12" s="218"/>
      <c r="H12" s="218"/>
      <c r="I12" s="218"/>
      <c r="J12" s="219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4"/>
      <c r="B13" s="17" t="s">
        <v>32</v>
      </c>
      <c r="C13" s="10">
        <v>18</v>
      </c>
      <c r="D13" s="48">
        <f t="shared" si="1"/>
        <v>5526</v>
      </c>
      <c r="F13" s="220" t="s">
        <v>36</v>
      </c>
      <c r="G13" s="184"/>
      <c r="H13" s="175">
        <f>D29</f>
        <v>387395</v>
      </c>
      <c r="I13" s="176"/>
      <c r="J13" s="17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4"/>
      <c r="B14" s="14" t="s">
        <v>35</v>
      </c>
      <c r="C14" s="10">
        <v>14</v>
      </c>
      <c r="D14" s="31">
        <f t="shared" si="1"/>
        <v>154</v>
      </c>
      <c r="F14" s="178" t="s">
        <v>39</v>
      </c>
      <c r="G14" s="179"/>
      <c r="H14" s="180">
        <f>D54</f>
        <v>43563.75</v>
      </c>
      <c r="I14" s="181"/>
      <c r="J14" s="18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4"/>
      <c r="B15" s="14" t="s">
        <v>38</v>
      </c>
      <c r="C15" s="10"/>
      <c r="D15" s="31">
        <f t="shared" si="1"/>
        <v>0</v>
      </c>
      <c r="F15" s="183" t="s">
        <v>40</v>
      </c>
      <c r="G15" s="184"/>
      <c r="H15" s="185">
        <f>H13-H14</f>
        <v>343831.25</v>
      </c>
      <c r="I15" s="186"/>
      <c r="J15" s="187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4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45">
        <f>334*6</f>
        <v>2004</v>
      </c>
      <c r="I16" s="145"/>
      <c r="J16" s="145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4"/>
      <c r="B17" t="s">
        <v>133</v>
      </c>
      <c r="C17" s="10"/>
      <c r="D17" s="48">
        <f t="shared" si="1"/>
        <v>0</v>
      </c>
      <c r="F17" s="56"/>
      <c r="G17" s="66" t="s">
        <v>45</v>
      </c>
      <c r="H17" s="156"/>
      <c r="I17" s="156"/>
      <c r="J17" s="156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4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56"/>
      <c r="I18" s="156"/>
      <c r="J18" s="156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4"/>
      <c r="B19" s="14" t="s">
        <v>129</v>
      </c>
      <c r="C19" s="10"/>
      <c r="D19" s="48">
        <f t="shared" si="1"/>
        <v>0</v>
      </c>
      <c r="F19" s="56"/>
      <c r="G19" s="68" t="s">
        <v>50</v>
      </c>
      <c r="H19" s="156"/>
      <c r="I19" s="156"/>
      <c r="J19" s="156"/>
      <c r="L19" s="6">
        <v>1102</v>
      </c>
      <c r="Q19" s="4"/>
      <c r="R19" s="5">
        <f t="shared" si="0"/>
        <v>0</v>
      </c>
    </row>
    <row r="20" spans="1:18" ht="15.75" x14ac:dyDescent="0.25">
      <c r="A20" s="134"/>
      <c r="B20" s="83" t="s">
        <v>122</v>
      </c>
      <c r="C20" s="10"/>
      <c r="D20" s="13">
        <f t="shared" si="1"/>
        <v>0</v>
      </c>
      <c r="F20" s="57"/>
      <c r="G20" s="70" t="s">
        <v>117</v>
      </c>
      <c r="H20" s="145"/>
      <c r="I20" s="145"/>
      <c r="J20" s="145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4"/>
      <c r="B21" s="14" t="s">
        <v>131</v>
      </c>
      <c r="C21" s="10"/>
      <c r="D21" s="48">
        <f t="shared" si="1"/>
        <v>0</v>
      </c>
      <c r="F21" s="69" t="s">
        <v>99</v>
      </c>
      <c r="G21" s="82" t="s">
        <v>98</v>
      </c>
      <c r="H21" s="158" t="s">
        <v>13</v>
      </c>
      <c r="I21" s="159"/>
      <c r="J21" s="160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4"/>
      <c r="B22" s="46" t="s">
        <v>124</v>
      </c>
      <c r="C22" s="10"/>
      <c r="D22" s="48">
        <f t="shared" si="1"/>
        <v>0</v>
      </c>
      <c r="F22" s="77" t="s">
        <v>164</v>
      </c>
      <c r="G22" s="73">
        <v>8425</v>
      </c>
      <c r="H22" s="161">
        <v>100339</v>
      </c>
      <c r="I22" s="161"/>
      <c r="J22" s="161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4"/>
      <c r="B23" s="14" t="s">
        <v>101</v>
      </c>
      <c r="C23" s="10"/>
      <c r="D23" s="48">
        <f t="shared" si="1"/>
        <v>0</v>
      </c>
      <c r="F23" s="77"/>
      <c r="G23" s="79"/>
      <c r="H23" s="227"/>
      <c r="I23" s="228"/>
      <c r="J23" s="228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4"/>
      <c r="B24" s="14" t="s">
        <v>118</v>
      </c>
      <c r="C24" s="10"/>
      <c r="D24" s="48">
        <f t="shared" si="1"/>
        <v>0</v>
      </c>
      <c r="F24" s="77"/>
      <c r="G24" s="79"/>
      <c r="H24" s="227"/>
      <c r="I24" s="228"/>
      <c r="J24" s="228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4"/>
      <c r="B25" s="14" t="s">
        <v>134</v>
      </c>
      <c r="C25" s="10"/>
      <c r="D25" s="48">
        <f t="shared" si="1"/>
        <v>0</v>
      </c>
      <c r="F25" s="60" t="s">
        <v>100</v>
      </c>
      <c r="G25" s="55" t="s">
        <v>98</v>
      </c>
      <c r="H25" s="163" t="s">
        <v>13</v>
      </c>
      <c r="I25" s="164"/>
      <c r="J25" s="165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4"/>
      <c r="B26" s="14" t="s">
        <v>132</v>
      </c>
      <c r="C26" s="10"/>
      <c r="D26" s="48">
        <f t="shared" si="1"/>
        <v>0</v>
      </c>
      <c r="F26" s="75" t="s">
        <v>164</v>
      </c>
      <c r="G26" s="65">
        <v>9125</v>
      </c>
      <c r="H26" s="131">
        <v>98532</v>
      </c>
      <c r="I26" s="131"/>
      <c r="J26" s="131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4"/>
      <c r="B27" s="14" t="s">
        <v>110</v>
      </c>
      <c r="C27" s="10"/>
      <c r="D27" s="44">
        <f t="shared" si="1"/>
        <v>0</v>
      </c>
      <c r="F27" s="71"/>
      <c r="G27" s="89"/>
      <c r="H27" s="229"/>
      <c r="I27" s="230"/>
      <c r="J27" s="230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5"/>
      <c r="B28" s="46" t="s">
        <v>97</v>
      </c>
      <c r="C28" s="10">
        <v>3</v>
      </c>
      <c r="D28" s="48">
        <f t="shared" si="1"/>
        <v>2433</v>
      </c>
      <c r="F28" s="86"/>
      <c r="G28" s="61"/>
      <c r="H28" s="172"/>
      <c r="I28" s="173"/>
      <c r="J28" s="174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46" t="s">
        <v>36</v>
      </c>
      <c r="B29" s="147"/>
      <c r="C29" s="148"/>
      <c r="D29" s="152">
        <f>SUM(D6:D28)</f>
        <v>387395</v>
      </c>
      <c r="F29" s="92" t="s">
        <v>55</v>
      </c>
      <c r="G29" s="154"/>
      <c r="H29" s="114">
        <f>H15-H16-H17-H18-H19-H20-H22-H23-H24+H26+H27+H28</f>
        <v>340020.25</v>
      </c>
      <c r="I29" s="115"/>
      <c r="J29" s="116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49"/>
      <c r="B30" s="150"/>
      <c r="C30" s="151"/>
      <c r="D30" s="153"/>
      <c r="F30" s="95"/>
      <c r="G30" s="155"/>
      <c r="H30" s="117"/>
      <c r="I30" s="118"/>
      <c r="J30" s="119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39" t="s">
        <v>58</v>
      </c>
      <c r="B32" s="140"/>
      <c r="C32" s="140"/>
      <c r="D32" s="141"/>
      <c r="F32" s="142" t="s">
        <v>59</v>
      </c>
      <c r="G32" s="143"/>
      <c r="H32" s="143"/>
      <c r="I32" s="143"/>
      <c r="J32" s="144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142" t="s">
        <v>13</v>
      </c>
      <c r="I33" s="143"/>
      <c r="J33" s="144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3" t="s">
        <v>65</v>
      </c>
      <c r="B34" s="26" t="s">
        <v>66</v>
      </c>
      <c r="C34" s="51">
        <v>3</v>
      </c>
      <c r="D34" s="30">
        <f>C34*120</f>
        <v>360</v>
      </c>
      <c r="F34" s="12">
        <v>1000</v>
      </c>
      <c r="G34" s="40">
        <v>10</v>
      </c>
      <c r="H34" s="136">
        <f t="shared" ref="H34:H39" si="2">F34*G34</f>
        <v>10000</v>
      </c>
      <c r="I34" s="137"/>
      <c r="J34" s="138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4"/>
      <c r="B35" s="27" t="s">
        <v>68</v>
      </c>
      <c r="C35" s="52">
        <v>1</v>
      </c>
      <c r="D35" s="30">
        <f>C35*84</f>
        <v>84</v>
      </c>
      <c r="F35" s="58">
        <v>500</v>
      </c>
      <c r="G35" s="41"/>
      <c r="H35" s="136">
        <f t="shared" si="2"/>
        <v>0</v>
      </c>
      <c r="I35" s="137"/>
      <c r="J35" s="138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5"/>
      <c r="B36" s="26" t="s">
        <v>70</v>
      </c>
      <c r="C36" s="10">
        <v>20</v>
      </c>
      <c r="D36" s="12">
        <f>C36*1.5</f>
        <v>30</v>
      </c>
      <c r="F36" s="12">
        <v>200</v>
      </c>
      <c r="G36" s="37"/>
      <c r="H36" s="136">
        <f t="shared" si="2"/>
        <v>0</v>
      </c>
      <c r="I36" s="137"/>
      <c r="J36" s="138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3" t="s">
        <v>72</v>
      </c>
      <c r="B37" s="28" t="s">
        <v>66</v>
      </c>
      <c r="C37" s="53">
        <v>360</v>
      </c>
      <c r="D37" s="12">
        <f>C37*111</f>
        <v>39960</v>
      </c>
      <c r="F37" s="12">
        <v>100</v>
      </c>
      <c r="G37" s="39">
        <v>1</v>
      </c>
      <c r="H37" s="136">
        <f t="shared" si="2"/>
        <v>100</v>
      </c>
      <c r="I37" s="137"/>
      <c r="J37" s="138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4"/>
      <c r="B38" s="29" t="s">
        <v>68</v>
      </c>
      <c r="C38" s="54">
        <v>14</v>
      </c>
      <c r="D38" s="12">
        <f>C38*84</f>
        <v>1176</v>
      </c>
      <c r="F38" s="30">
        <v>50</v>
      </c>
      <c r="G38" s="39">
        <v>2</v>
      </c>
      <c r="H38" s="136">
        <f t="shared" si="2"/>
        <v>100</v>
      </c>
      <c r="I38" s="137"/>
      <c r="J38" s="138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5"/>
      <c r="B39" s="29" t="s">
        <v>70</v>
      </c>
      <c r="C39" s="52">
        <v>3</v>
      </c>
      <c r="D39" s="31">
        <f>C39*4.5</f>
        <v>13.5</v>
      </c>
      <c r="F39" s="12">
        <v>20</v>
      </c>
      <c r="G39" s="37"/>
      <c r="H39" s="136">
        <f t="shared" si="2"/>
        <v>0</v>
      </c>
      <c r="I39" s="137"/>
      <c r="J39" s="138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3" t="s">
        <v>76</v>
      </c>
      <c r="B40" s="27" t="s">
        <v>66</v>
      </c>
      <c r="C40" s="63">
        <v>8</v>
      </c>
      <c r="D40" s="12">
        <f>C40*111</f>
        <v>888</v>
      </c>
      <c r="F40" s="12">
        <v>10</v>
      </c>
      <c r="G40" s="42"/>
      <c r="H40" s="136"/>
      <c r="I40" s="137"/>
      <c r="J40" s="138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4"/>
      <c r="B41" s="27" t="s">
        <v>68</v>
      </c>
      <c r="C41" s="10"/>
      <c r="D41" s="12">
        <f>C41*84</f>
        <v>0</v>
      </c>
      <c r="F41" s="12">
        <v>5</v>
      </c>
      <c r="G41" s="42"/>
      <c r="H41" s="136"/>
      <c r="I41" s="137"/>
      <c r="J41" s="138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5"/>
      <c r="B42" s="27" t="s">
        <v>70</v>
      </c>
      <c r="C42" s="11">
        <v>7</v>
      </c>
      <c r="D42" s="12">
        <f>C42*2.25</f>
        <v>15.75</v>
      </c>
      <c r="F42" s="39" t="s">
        <v>79</v>
      </c>
      <c r="G42" s="136">
        <v>10</v>
      </c>
      <c r="H42" s="137"/>
      <c r="I42" s="137"/>
      <c r="J42" s="138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06" t="s">
        <v>81</v>
      </c>
      <c r="C43" s="11"/>
      <c r="D43" s="12"/>
      <c r="F43" s="59" t="s">
        <v>82</v>
      </c>
      <c r="G43" s="89" t="s">
        <v>83</v>
      </c>
      <c r="H43" s="128" t="s">
        <v>13</v>
      </c>
      <c r="I43" s="129"/>
      <c r="J43" s="130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07"/>
      <c r="B44" s="27" t="s">
        <v>66</v>
      </c>
      <c r="C44" s="10">
        <v>4</v>
      </c>
      <c r="D44" s="12">
        <f>C44*120</f>
        <v>480</v>
      </c>
      <c r="F44" s="37" t="s">
        <v>145</v>
      </c>
      <c r="G44" s="62" t="s">
        <v>165</v>
      </c>
      <c r="H44" s="131">
        <v>230441.5</v>
      </c>
      <c r="I44" s="131"/>
      <c r="J44" s="131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07"/>
      <c r="B45" s="27" t="s">
        <v>68</v>
      </c>
      <c r="C45" s="33"/>
      <c r="D45" s="12">
        <f>C45*84</f>
        <v>0</v>
      </c>
      <c r="F45" s="37" t="s">
        <v>164</v>
      </c>
      <c r="G45" s="62" t="s">
        <v>166</v>
      </c>
      <c r="H45" s="131">
        <v>98532</v>
      </c>
      <c r="I45" s="131"/>
      <c r="J45" s="131"/>
      <c r="K45" s="21"/>
      <c r="P45" s="4"/>
      <c r="Q45" s="4"/>
      <c r="R45" s="5"/>
    </row>
    <row r="46" spans="1:18" ht="15.75" x14ac:dyDescent="0.25">
      <c r="A46" s="107"/>
      <c r="B46" s="49" t="s">
        <v>70</v>
      </c>
      <c r="C46" s="81">
        <v>2</v>
      </c>
      <c r="D46" s="12">
        <f>C46*1.5</f>
        <v>3</v>
      </c>
      <c r="F46" s="37"/>
      <c r="G46" s="62"/>
      <c r="H46" s="131"/>
      <c r="I46" s="131"/>
      <c r="J46" s="131"/>
      <c r="K46" s="21"/>
      <c r="P46" s="4"/>
      <c r="Q46" s="4"/>
      <c r="R46" s="5"/>
    </row>
    <row r="47" spans="1:18" ht="15.75" x14ac:dyDescent="0.25">
      <c r="A47" s="108"/>
      <c r="B47" s="27"/>
      <c r="C47" s="11"/>
      <c r="D47" s="12"/>
      <c r="F47" s="59"/>
      <c r="G47" s="59"/>
      <c r="H47" s="109"/>
      <c r="I47" s="110"/>
      <c r="J47" s="111"/>
      <c r="K47" s="21"/>
      <c r="P47" s="4"/>
      <c r="Q47" s="4"/>
      <c r="R47" s="5"/>
    </row>
    <row r="48" spans="1:18" ht="15" customHeight="1" x14ac:dyDescent="0.25">
      <c r="A48" s="106" t="s">
        <v>32</v>
      </c>
      <c r="B48" s="27" t="s">
        <v>66</v>
      </c>
      <c r="C48" s="10">
        <v>3</v>
      </c>
      <c r="D48" s="12">
        <f>C48*78</f>
        <v>234</v>
      </c>
      <c r="F48" s="59"/>
      <c r="G48" s="59"/>
      <c r="H48" s="109"/>
      <c r="I48" s="110"/>
      <c r="J48" s="111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07"/>
      <c r="B49" s="29" t="s">
        <v>68</v>
      </c>
      <c r="C49" s="33">
        <v>7</v>
      </c>
      <c r="D49" s="12">
        <f>C49*42</f>
        <v>294</v>
      </c>
      <c r="F49" s="112" t="s">
        <v>86</v>
      </c>
      <c r="G49" s="114">
        <f>H34+H35+H36+H37+H38+H39+H40+H41+G42+H44+H45+H46</f>
        <v>339183.5</v>
      </c>
      <c r="H49" s="115"/>
      <c r="I49" s="115"/>
      <c r="J49" s="116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07"/>
      <c r="B50" s="32" t="s">
        <v>70</v>
      </c>
      <c r="C50" s="11">
        <v>17</v>
      </c>
      <c r="D50" s="12">
        <f>C50*1.5</f>
        <v>25.5</v>
      </c>
      <c r="F50" s="113"/>
      <c r="G50" s="117"/>
      <c r="H50" s="118"/>
      <c r="I50" s="118"/>
      <c r="J50" s="119"/>
      <c r="O50" t="s">
        <v>137</v>
      </c>
      <c r="P50" s="4">
        <v>1204</v>
      </c>
      <c r="Q50" s="4"/>
      <c r="R50" s="5"/>
    </row>
    <row r="51" spans="1:18" ht="15" customHeight="1" x14ac:dyDescent="0.25">
      <c r="A51" s="107"/>
      <c r="B51" s="27"/>
      <c r="C51" s="10"/>
      <c r="D51" s="31"/>
      <c r="F51" s="120" t="s">
        <v>128</v>
      </c>
      <c r="G51" s="221">
        <f>G49-H29</f>
        <v>-836.75</v>
      </c>
      <c r="H51" s="222"/>
      <c r="I51" s="222"/>
      <c r="J51" s="223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07"/>
      <c r="B52" s="29"/>
      <c r="C52" s="33"/>
      <c r="D52" s="45"/>
      <c r="F52" s="121"/>
      <c r="G52" s="224"/>
      <c r="H52" s="225"/>
      <c r="I52" s="225"/>
      <c r="J52" s="226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08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92" t="s">
        <v>90</v>
      </c>
      <c r="B54" s="93"/>
      <c r="C54" s="94"/>
      <c r="D54" s="98">
        <f>SUM(D34:D53)</f>
        <v>43563.75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95"/>
      <c r="B55" s="96"/>
      <c r="C55" s="97"/>
      <c r="D55" s="9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140</v>
      </c>
      <c r="D57" s="34"/>
      <c r="F57" s="36"/>
      <c r="G57" s="50"/>
      <c r="H57" s="50"/>
      <c r="I57" s="50"/>
      <c r="J57" s="43"/>
    </row>
    <row r="58" spans="1:18" x14ac:dyDescent="0.25">
      <c r="A58" s="100" t="s">
        <v>91</v>
      </c>
      <c r="B58" s="101"/>
      <c r="C58" s="101"/>
      <c r="D58" s="102"/>
      <c r="F58" s="100" t="s">
        <v>92</v>
      </c>
      <c r="G58" s="101"/>
      <c r="H58" s="101"/>
      <c r="I58" s="101"/>
      <c r="J58" s="102"/>
    </row>
    <row r="59" spans="1:18" x14ac:dyDescent="0.25">
      <c r="A59" s="103"/>
      <c r="B59" s="104"/>
      <c r="C59" s="104"/>
      <c r="D59" s="105"/>
      <c r="F59" s="103"/>
      <c r="G59" s="104"/>
      <c r="H59" s="104"/>
      <c r="I59" s="104"/>
      <c r="J59" s="105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C5C2E2-B957-4DF6-BC9F-21540716AD37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88" t="s">
        <v>1</v>
      </c>
      <c r="O1" s="188"/>
      <c r="P1" s="85" t="s">
        <v>2</v>
      </c>
      <c r="Q1" s="8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9" t="s">
        <v>7</v>
      </c>
      <c r="B4" s="140"/>
      <c r="C4" s="140"/>
      <c r="D4" s="141"/>
      <c r="F4" s="189" t="s">
        <v>8</v>
      </c>
      <c r="G4" s="191">
        <v>2</v>
      </c>
      <c r="H4" s="193" t="s">
        <v>9</v>
      </c>
      <c r="I4" s="195">
        <v>46085</v>
      </c>
      <c r="J4" s="19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3" t="s">
        <v>7</v>
      </c>
      <c r="B5" s="15" t="s">
        <v>11</v>
      </c>
      <c r="C5" s="9" t="s">
        <v>12</v>
      </c>
      <c r="D5" s="25" t="s">
        <v>13</v>
      </c>
      <c r="F5" s="190"/>
      <c r="G5" s="192"/>
      <c r="H5" s="194"/>
      <c r="I5" s="197"/>
      <c r="J5" s="19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4"/>
      <c r="B6" s="16" t="s">
        <v>15</v>
      </c>
      <c r="C6" s="10">
        <v>326</v>
      </c>
      <c r="D6" s="13">
        <f t="shared" ref="D6:D28" si="1">C6*L6</f>
        <v>248086</v>
      </c>
      <c r="F6" s="199" t="s">
        <v>16</v>
      </c>
      <c r="G6" s="201" t="s">
        <v>126</v>
      </c>
      <c r="H6" s="202"/>
      <c r="I6" s="202"/>
      <c r="J6" s="203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4"/>
      <c r="B7" s="16" t="s">
        <v>18</v>
      </c>
      <c r="C7" s="10"/>
      <c r="D7" s="13">
        <f t="shared" si="1"/>
        <v>0</v>
      </c>
      <c r="F7" s="200"/>
      <c r="G7" s="204"/>
      <c r="H7" s="205"/>
      <c r="I7" s="205"/>
      <c r="J7" s="206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4"/>
      <c r="B8" s="16" t="s">
        <v>20</v>
      </c>
      <c r="C8" s="10"/>
      <c r="D8" s="13">
        <f t="shared" si="1"/>
        <v>0</v>
      </c>
      <c r="F8" s="207" t="s">
        <v>21</v>
      </c>
      <c r="G8" s="208" t="s">
        <v>113</v>
      </c>
      <c r="H8" s="209"/>
      <c r="I8" s="209"/>
      <c r="J8" s="210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4"/>
      <c r="B9" s="16" t="s">
        <v>23</v>
      </c>
      <c r="C9" s="10"/>
      <c r="D9" s="13">
        <f t="shared" si="1"/>
        <v>0</v>
      </c>
      <c r="F9" s="200"/>
      <c r="G9" s="211"/>
      <c r="H9" s="212"/>
      <c r="I9" s="212"/>
      <c r="J9" s="213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4"/>
      <c r="B10" t="s">
        <v>25</v>
      </c>
      <c r="C10" s="10"/>
      <c r="D10" s="13">
        <f t="shared" si="1"/>
        <v>0</v>
      </c>
      <c r="F10" s="199" t="s">
        <v>26</v>
      </c>
      <c r="G10" s="214" t="s">
        <v>114</v>
      </c>
      <c r="H10" s="215"/>
      <c r="I10" s="215"/>
      <c r="J10" s="216"/>
      <c r="K10" s="8"/>
      <c r="L10" s="6">
        <f>R36</f>
        <v>1032</v>
      </c>
      <c r="P10" s="4"/>
      <c r="Q10" s="4"/>
      <c r="R10" s="5"/>
    </row>
    <row r="11" spans="1:18" ht="15.75" x14ac:dyDescent="0.25">
      <c r="A11" s="134"/>
      <c r="B11" s="17" t="s">
        <v>28</v>
      </c>
      <c r="C11" s="10"/>
      <c r="D11" s="13">
        <f t="shared" si="1"/>
        <v>0</v>
      </c>
      <c r="F11" s="200"/>
      <c r="G11" s="211"/>
      <c r="H11" s="212"/>
      <c r="I11" s="212"/>
      <c r="J11" s="213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4"/>
      <c r="B12" s="17" t="s">
        <v>30</v>
      </c>
      <c r="C12" s="10"/>
      <c r="D12" s="48">
        <f t="shared" si="1"/>
        <v>0</v>
      </c>
      <c r="F12" s="217" t="s">
        <v>33</v>
      </c>
      <c r="G12" s="218"/>
      <c r="H12" s="218"/>
      <c r="I12" s="218"/>
      <c r="J12" s="219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4"/>
      <c r="B13" s="17" t="s">
        <v>32</v>
      </c>
      <c r="C13" s="10">
        <v>14</v>
      </c>
      <c r="D13" s="48">
        <f t="shared" si="1"/>
        <v>4298</v>
      </c>
      <c r="F13" s="220" t="s">
        <v>36</v>
      </c>
      <c r="G13" s="184"/>
      <c r="H13" s="175">
        <f>D29</f>
        <v>253739</v>
      </c>
      <c r="I13" s="176"/>
      <c r="J13" s="17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4"/>
      <c r="B14" s="14" t="s">
        <v>35</v>
      </c>
      <c r="C14" s="10">
        <v>5</v>
      </c>
      <c r="D14" s="31">
        <f t="shared" si="1"/>
        <v>55</v>
      </c>
      <c r="F14" s="178" t="s">
        <v>39</v>
      </c>
      <c r="G14" s="179"/>
      <c r="H14" s="180">
        <f>D54</f>
        <v>36819</v>
      </c>
      <c r="I14" s="181"/>
      <c r="J14" s="18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4"/>
      <c r="B15" s="14" t="s">
        <v>38</v>
      </c>
      <c r="C15" s="10"/>
      <c r="D15" s="31">
        <f t="shared" si="1"/>
        <v>0</v>
      </c>
      <c r="F15" s="183" t="s">
        <v>40</v>
      </c>
      <c r="G15" s="184"/>
      <c r="H15" s="185">
        <f>H13-H14</f>
        <v>216920</v>
      </c>
      <c r="I15" s="186"/>
      <c r="J15" s="187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4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45">
        <f>324*6</f>
        <v>1944</v>
      </c>
      <c r="I16" s="145"/>
      <c r="J16" s="145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4"/>
      <c r="B17" t="s">
        <v>93</v>
      </c>
      <c r="C17" s="10"/>
      <c r="D17" s="48">
        <f t="shared" si="1"/>
        <v>0</v>
      </c>
      <c r="F17" s="56"/>
      <c r="G17" s="66" t="s">
        <v>45</v>
      </c>
      <c r="H17" s="156"/>
      <c r="I17" s="156"/>
      <c r="J17" s="156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4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56"/>
      <c r="I18" s="156"/>
      <c r="J18" s="156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4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145">
        <v>50</v>
      </c>
      <c r="I19" s="145"/>
      <c r="J19" s="145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4"/>
      <c r="B20" s="46" t="s">
        <v>119</v>
      </c>
      <c r="C20" s="10"/>
      <c r="D20" s="13">
        <f t="shared" si="1"/>
        <v>0</v>
      </c>
      <c r="F20" s="57"/>
      <c r="G20" s="70" t="s">
        <v>117</v>
      </c>
      <c r="H20" s="156"/>
      <c r="I20" s="156"/>
      <c r="J20" s="156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4"/>
      <c r="B21" s="14" t="s">
        <v>131</v>
      </c>
      <c r="C21" s="10">
        <v>2</v>
      </c>
      <c r="D21" s="48">
        <f t="shared" si="1"/>
        <v>1300</v>
      </c>
      <c r="F21" s="69" t="s">
        <v>99</v>
      </c>
      <c r="G21" s="82" t="s">
        <v>98</v>
      </c>
      <c r="H21" s="158" t="s">
        <v>13</v>
      </c>
      <c r="I21" s="159"/>
      <c r="J21" s="160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4"/>
      <c r="B22" s="46" t="s">
        <v>104</v>
      </c>
      <c r="C22" s="10"/>
      <c r="D22" s="48">
        <f t="shared" si="1"/>
        <v>0</v>
      </c>
      <c r="F22" s="72"/>
      <c r="G22" s="73"/>
      <c r="H22" s="161"/>
      <c r="I22" s="161"/>
      <c r="J22" s="161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4"/>
      <c r="B23" s="14" t="s">
        <v>107</v>
      </c>
      <c r="C23" s="10"/>
      <c r="D23" s="48">
        <f t="shared" si="1"/>
        <v>0</v>
      </c>
      <c r="F23" s="25"/>
      <c r="G23" s="37"/>
      <c r="H23" s="162"/>
      <c r="I23" s="131"/>
      <c r="J23" s="131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4"/>
      <c r="B24" s="14" t="s">
        <v>120</v>
      </c>
      <c r="C24" s="10"/>
      <c r="D24" s="48">
        <f t="shared" si="1"/>
        <v>0</v>
      </c>
      <c r="F24" s="38"/>
      <c r="G24" s="37"/>
      <c r="H24" s="162"/>
      <c r="I24" s="131"/>
      <c r="J24" s="131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4"/>
      <c r="B25" s="14" t="s">
        <v>121</v>
      </c>
      <c r="C25" s="10"/>
      <c r="D25" s="48">
        <f t="shared" si="1"/>
        <v>0</v>
      </c>
      <c r="F25" s="60" t="s">
        <v>100</v>
      </c>
      <c r="G25" s="55" t="s">
        <v>98</v>
      </c>
      <c r="H25" s="163" t="s">
        <v>13</v>
      </c>
      <c r="I25" s="164"/>
      <c r="J25" s="165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4"/>
      <c r="B26" s="14" t="s">
        <v>105</v>
      </c>
      <c r="C26" s="10"/>
      <c r="D26" s="48">
        <f t="shared" si="1"/>
        <v>0</v>
      </c>
      <c r="F26" s="64"/>
      <c r="G26" s="10"/>
      <c r="H26" s="166"/>
      <c r="I26" s="167"/>
      <c r="J26" s="168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4"/>
      <c r="B27" s="14" t="s">
        <v>109</v>
      </c>
      <c r="C27" s="10"/>
      <c r="D27" s="44">
        <f t="shared" si="1"/>
        <v>0</v>
      </c>
      <c r="F27" s="14"/>
      <c r="G27" s="14"/>
      <c r="H27" s="169"/>
      <c r="I27" s="170"/>
      <c r="J27" s="171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5"/>
      <c r="B28" s="46" t="s">
        <v>97</v>
      </c>
      <c r="C28" s="10"/>
      <c r="D28" s="48">
        <f t="shared" si="1"/>
        <v>0</v>
      </c>
      <c r="F28" s="86"/>
      <c r="G28" s="61"/>
      <c r="H28" s="172"/>
      <c r="I28" s="173"/>
      <c r="J28" s="174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46" t="s">
        <v>36</v>
      </c>
      <c r="B29" s="147"/>
      <c r="C29" s="148"/>
      <c r="D29" s="152">
        <f>SUM(D6:D28)</f>
        <v>253739</v>
      </c>
      <c r="F29" s="92" t="s">
        <v>55</v>
      </c>
      <c r="G29" s="154"/>
      <c r="H29" s="114">
        <f>H15-H16-H17-H18-H19-H20-H22-H23-H24+H26+H27</f>
        <v>214926</v>
      </c>
      <c r="I29" s="115"/>
      <c r="J29" s="116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49"/>
      <c r="B30" s="150"/>
      <c r="C30" s="151"/>
      <c r="D30" s="153"/>
      <c r="F30" s="95"/>
      <c r="G30" s="155"/>
      <c r="H30" s="117"/>
      <c r="I30" s="118"/>
      <c r="J30" s="119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39" t="s">
        <v>58</v>
      </c>
      <c r="B32" s="140"/>
      <c r="C32" s="140"/>
      <c r="D32" s="141"/>
      <c r="F32" s="142" t="s">
        <v>59</v>
      </c>
      <c r="G32" s="143"/>
      <c r="H32" s="143"/>
      <c r="I32" s="143"/>
      <c r="J32" s="144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142" t="s">
        <v>13</v>
      </c>
      <c r="I33" s="143"/>
      <c r="J33" s="144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3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214</v>
      </c>
      <c r="H34" s="136">
        <f>F34*G34</f>
        <v>214000</v>
      </c>
      <c r="I34" s="137"/>
      <c r="J34" s="138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4"/>
      <c r="B35" s="27" t="s">
        <v>68</v>
      </c>
      <c r="C35" s="52"/>
      <c r="D35" s="30">
        <f>C35*84</f>
        <v>0</v>
      </c>
      <c r="F35" s="58">
        <v>500</v>
      </c>
      <c r="G35" s="41">
        <v>1</v>
      </c>
      <c r="H35" s="136">
        <f t="shared" ref="H35:H39" si="2">F35*G35</f>
        <v>500</v>
      </c>
      <c r="I35" s="137"/>
      <c r="J35" s="138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5"/>
      <c r="B36" s="26" t="s">
        <v>70</v>
      </c>
      <c r="C36" s="10"/>
      <c r="D36" s="12">
        <f>C36*1.5</f>
        <v>0</v>
      </c>
      <c r="F36" s="12">
        <v>200</v>
      </c>
      <c r="G36" s="37"/>
      <c r="H36" s="136">
        <f>F36*G36</f>
        <v>0</v>
      </c>
      <c r="I36" s="137"/>
      <c r="J36" s="138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3" t="s">
        <v>72</v>
      </c>
      <c r="B37" s="28" t="s">
        <v>66</v>
      </c>
      <c r="C37" s="53">
        <v>325</v>
      </c>
      <c r="D37" s="12">
        <f>C37*111</f>
        <v>36075</v>
      </c>
      <c r="F37" s="12">
        <v>100</v>
      </c>
      <c r="G37" s="39">
        <v>3</v>
      </c>
      <c r="H37" s="136">
        <f t="shared" si="2"/>
        <v>300</v>
      </c>
      <c r="I37" s="137"/>
      <c r="J37" s="138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4"/>
      <c r="B38" s="29" t="s">
        <v>68</v>
      </c>
      <c r="C38" s="54">
        <v>1</v>
      </c>
      <c r="D38" s="12">
        <f>C38*84</f>
        <v>84</v>
      </c>
      <c r="F38" s="30">
        <v>50</v>
      </c>
      <c r="G38" s="39">
        <v>1</v>
      </c>
      <c r="H38" s="136">
        <f t="shared" si="2"/>
        <v>50</v>
      </c>
      <c r="I38" s="137"/>
      <c r="J38" s="138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5"/>
      <c r="B39" s="29" t="s">
        <v>70</v>
      </c>
      <c r="C39" s="52">
        <v>1</v>
      </c>
      <c r="D39" s="31">
        <f>C39*4.5</f>
        <v>4.5</v>
      </c>
      <c r="F39" s="12">
        <v>20</v>
      </c>
      <c r="G39" s="37"/>
      <c r="H39" s="136">
        <f t="shared" si="2"/>
        <v>0</v>
      </c>
      <c r="I39" s="137"/>
      <c r="J39" s="138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3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36"/>
      <c r="I40" s="137"/>
      <c r="J40" s="138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4"/>
      <c r="B41" s="27" t="s">
        <v>68</v>
      </c>
      <c r="C41" s="10"/>
      <c r="D41" s="12">
        <f>C41*84</f>
        <v>0</v>
      </c>
      <c r="F41" s="12">
        <v>5</v>
      </c>
      <c r="G41" s="42"/>
      <c r="H41" s="136"/>
      <c r="I41" s="137"/>
      <c r="J41" s="138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5"/>
      <c r="B42" s="27" t="s">
        <v>70</v>
      </c>
      <c r="C42" s="11"/>
      <c r="D42" s="12">
        <f>C42*2.25</f>
        <v>0</v>
      </c>
      <c r="F42" s="39" t="s">
        <v>79</v>
      </c>
      <c r="G42" s="136">
        <v>32</v>
      </c>
      <c r="H42" s="137"/>
      <c r="I42" s="137"/>
      <c r="J42" s="138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06" t="s">
        <v>81</v>
      </c>
      <c r="C43" s="11"/>
      <c r="D43" s="12"/>
      <c r="F43" s="59" t="s">
        <v>82</v>
      </c>
      <c r="G43" s="89" t="s">
        <v>83</v>
      </c>
      <c r="H43" s="128" t="s">
        <v>13</v>
      </c>
      <c r="I43" s="129"/>
      <c r="J43" s="130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07"/>
      <c r="B44" s="27" t="s">
        <v>66</v>
      </c>
      <c r="C44" s="10"/>
      <c r="D44" s="12">
        <f>C44*120</f>
        <v>0</v>
      </c>
      <c r="F44" s="37"/>
      <c r="G44" s="62"/>
      <c r="H44" s="131"/>
      <c r="I44" s="131"/>
      <c r="J44" s="131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07"/>
      <c r="B45" s="27" t="s">
        <v>68</v>
      </c>
      <c r="C45" s="33"/>
      <c r="D45" s="12">
        <f>C45*84</f>
        <v>0</v>
      </c>
      <c r="F45" s="37"/>
      <c r="G45" s="62"/>
      <c r="H45" s="131"/>
      <c r="I45" s="131"/>
      <c r="J45" s="131"/>
      <c r="K45" s="21"/>
      <c r="P45" s="4"/>
      <c r="Q45" s="4"/>
      <c r="R45" s="5"/>
    </row>
    <row r="46" spans="1:18" ht="15.75" x14ac:dyDescent="0.25">
      <c r="A46" s="107"/>
      <c r="B46" s="49" t="s">
        <v>70</v>
      </c>
      <c r="C46" s="81"/>
      <c r="D46" s="12">
        <f>C46*1.5</f>
        <v>0</v>
      </c>
      <c r="F46" s="37"/>
      <c r="G46" s="88"/>
      <c r="H46" s="132"/>
      <c r="I46" s="132"/>
      <c r="J46" s="132"/>
      <c r="K46" s="21"/>
      <c r="P46" s="4"/>
      <c r="Q46" s="4"/>
      <c r="R46" s="5"/>
    </row>
    <row r="47" spans="1:18" ht="15.75" x14ac:dyDescent="0.25">
      <c r="A47" s="108"/>
      <c r="B47" s="27"/>
      <c r="C47" s="11"/>
      <c r="D47" s="12"/>
      <c r="F47" s="59"/>
      <c r="G47" s="59"/>
      <c r="H47" s="109"/>
      <c r="I47" s="110"/>
      <c r="J47" s="111"/>
      <c r="K47" s="21"/>
      <c r="P47" s="4"/>
      <c r="Q47" s="4"/>
      <c r="R47" s="5"/>
    </row>
    <row r="48" spans="1:18" ht="15" customHeight="1" x14ac:dyDescent="0.25">
      <c r="A48" s="106" t="s">
        <v>32</v>
      </c>
      <c r="B48" s="27" t="s">
        <v>66</v>
      </c>
      <c r="C48" s="10">
        <v>3</v>
      </c>
      <c r="D48" s="12">
        <f>C48*78</f>
        <v>234</v>
      </c>
      <c r="F48" s="59"/>
      <c r="G48" s="59"/>
      <c r="H48" s="109"/>
      <c r="I48" s="110"/>
      <c r="J48" s="111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07"/>
      <c r="B49" s="29" t="s">
        <v>68</v>
      </c>
      <c r="C49" s="33">
        <v>10</v>
      </c>
      <c r="D49" s="12">
        <f>C49*42</f>
        <v>420</v>
      </c>
      <c r="F49" s="112" t="s">
        <v>86</v>
      </c>
      <c r="G49" s="114">
        <f>H34+H35+H36+H37+H38+H39+H40+H41+G42+H44+H45+H46</f>
        <v>214882</v>
      </c>
      <c r="H49" s="115"/>
      <c r="I49" s="115"/>
      <c r="J49" s="116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07"/>
      <c r="B50" s="32" t="s">
        <v>70</v>
      </c>
      <c r="C50" s="11">
        <v>1</v>
      </c>
      <c r="D50" s="12">
        <f>C50*1.5</f>
        <v>1.5</v>
      </c>
      <c r="F50" s="113"/>
      <c r="G50" s="117"/>
      <c r="H50" s="118"/>
      <c r="I50" s="118"/>
      <c r="J50" s="119"/>
      <c r="O50" t="s">
        <v>137</v>
      </c>
      <c r="P50" s="4">
        <v>1204</v>
      </c>
      <c r="Q50" s="4"/>
      <c r="R50" s="5"/>
    </row>
    <row r="51" spans="1:18" ht="15" customHeight="1" x14ac:dyDescent="0.25">
      <c r="A51" s="107"/>
      <c r="B51" s="27"/>
      <c r="C51" s="10"/>
      <c r="D51" s="31"/>
      <c r="F51" s="120" t="s">
        <v>162</v>
      </c>
      <c r="G51" s="221">
        <f>G49-H29</f>
        <v>-44</v>
      </c>
      <c r="H51" s="222"/>
      <c r="I51" s="222"/>
      <c r="J51" s="223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07"/>
      <c r="B52" s="29"/>
      <c r="C52" s="33"/>
      <c r="D52" s="45"/>
      <c r="F52" s="121"/>
      <c r="G52" s="224"/>
      <c r="H52" s="225"/>
      <c r="I52" s="225"/>
      <c r="J52" s="226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08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92" t="s">
        <v>90</v>
      </c>
      <c r="B54" s="93"/>
      <c r="C54" s="94"/>
      <c r="D54" s="98">
        <f>SUM(D34:D53)</f>
        <v>36819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95"/>
      <c r="B55" s="96"/>
      <c r="C55" s="97"/>
      <c r="D55" s="9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100" t="s">
        <v>91</v>
      </c>
      <c r="B58" s="101"/>
      <c r="C58" s="101"/>
      <c r="D58" s="102"/>
      <c r="F58" s="100" t="s">
        <v>92</v>
      </c>
      <c r="G58" s="101"/>
      <c r="H58" s="101"/>
      <c r="I58" s="101"/>
      <c r="J58" s="102"/>
    </row>
    <row r="59" spans="1:18" x14ac:dyDescent="0.25">
      <c r="A59" s="103"/>
      <c r="B59" s="104"/>
      <c r="C59" s="104"/>
      <c r="D59" s="105"/>
      <c r="F59" s="103"/>
      <c r="G59" s="104"/>
      <c r="H59" s="104"/>
      <c r="I59" s="104"/>
      <c r="J59" s="105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ED8F58-0D98-4069-B016-F3395E73D255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88" t="s">
        <v>1</v>
      </c>
      <c r="O1" s="188"/>
      <c r="P1" s="85" t="s">
        <v>2</v>
      </c>
      <c r="Q1" s="8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9" t="s">
        <v>7</v>
      </c>
      <c r="B4" s="140"/>
      <c r="C4" s="140"/>
      <c r="D4" s="141"/>
      <c r="F4" s="189" t="s">
        <v>8</v>
      </c>
      <c r="G4" s="191">
        <v>3</v>
      </c>
      <c r="H4" s="193" t="s">
        <v>9</v>
      </c>
      <c r="I4" s="195">
        <v>46085</v>
      </c>
      <c r="J4" s="19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3" t="s">
        <v>7</v>
      </c>
      <c r="B5" s="15" t="s">
        <v>11</v>
      </c>
      <c r="C5" s="9" t="s">
        <v>12</v>
      </c>
      <c r="D5" s="25" t="s">
        <v>13</v>
      </c>
      <c r="F5" s="190"/>
      <c r="G5" s="192"/>
      <c r="H5" s="194"/>
      <c r="I5" s="197"/>
      <c r="J5" s="19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4"/>
      <c r="B6" s="16" t="s">
        <v>15</v>
      </c>
      <c r="C6" s="10">
        <v>270</v>
      </c>
      <c r="D6" s="13">
        <f t="shared" ref="D6:D28" si="1">C6*L6</f>
        <v>205470</v>
      </c>
      <c r="F6" s="199" t="s">
        <v>16</v>
      </c>
      <c r="G6" s="201" t="s">
        <v>141</v>
      </c>
      <c r="H6" s="202"/>
      <c r="I6" s="202"/>
      <c r="J6" s="203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4"/>
      <c r="B7" s="16" t="s">
        <v>18</v>
      </c>
      <c r="C7" s="10"/>
      <c r="D7" s="13">
        <f t="shared" si="1"/>
        <v>0</v>
      </c>
      <c r="F7" s="200"/>
      <c r="G7" s="204"/>
      <c r="H7" s="205"/>
      <c r="I7" s="205"/>
      <c r="J7" s="206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4"/>
      <c r="B8" s="16" t="s">
        <v>20</v>
      </c>
      <c r="C8" s="10"/>
      <c r="D8" s="13">
        <f t="shared" si="1"/>
        <v>0</v>
      </c>
      <c r="F8" s="207" t="s">
        <v>21</v>
      </c>
      <c r="G8" s="208" t="s">
        <v>130</v>
      </c>
      <c r="H8" s="209"/>
      <c r="I8" s="209"/>
      <c r="J8" s="210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4"/>
      <c r="B9" s="16" t="s">
        <v>23</v>
      </c>
      <c r="C9" s="10">
        <v>29</v>
      </c>
      <c r="D9" s="13">
        <f t="shared" si="1"/>
        <v>21257</v>
      </c>
      <c r="F9" s="200"/>
      <c r="G9" s="211"/>
      <c r="H9" s="212"/>
      <c r="I9" s="212"/>
      <c r="J9" s="213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4"/>
      <c r="B10" t="s">
        <v>25</v>
      </c>
      <c r="C10" s="10"/>
      <c r="D10" s="13">
        <f t="shared" si="1"/>
        <v>0</v>
      </c>
      <c r="F10" s="199" t="s">
        <v>26</v>
      </c>
      <c r="G10" s="214" t="s">
        <v>127</v>
      </c>
      <c r="H10" s="215"/>
      <c r="I10" s="215"/>
      <c r="J10" s="216"/>
      <c r="K10" s="8"/>
      <c r="L10" s="6">
        <f>R36</f>
        <v>1032</v>
      </c>
      <c r="P10" s="4"/>
      <c r="Q10" s="4"/>
      <c r="R10" s="5"/>
    </row>
    <row r="11" spans="1:18" ht="15.75" x14ac:dyDescent="0.25">
      <c r="A11" s="134"/>
      <c r="B11" s="17" t="s">
        <v>28</v>
      </c>
      <c r="C11" s="10"/>
      <c r="D11" s="13">
        <f t="shared" si="1"/>
        <v>0</v>
      </c>
      <c r="F11" s="200"/>
      <c r="G11" s="211"/>
      <c r="H11" s="212"/>
      <c r="I11" s="212"/>
      <c r="J11" s="213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4"/>
      <c r="B12" s="17" t="s">
        <v>30</v>
      </c>
      <c r="C12" s="10"/>
      <c r="D12" s="48">
        <f t="shared" si="1"/>
        <v>0</v>
      </c>
      <c r="F12" s="217" t="s">
        <v>33</v>
      </c>
      <c r="G12" s="218"/>
      <c r="H12" s="218"/>
      <c r="I12" s="218"/>
      <c r="J12" s="219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4"/>
      <c r="B13" s="17" t="s">
        <v>32</v>
      </c>
      <c r="C13" s="10">
        <v>8</v>
      </c>
      <c r="D13" s="48">
        <f t="shared" si="1"/>
        <v>2456</v>
      </c>
      <c r="F13" s="220" t="s">
        <v>36</v>
      </c>
      <c r="G13" s="184"/>
      <c r="H13" s="175">
        <f>D29</f>
        <v>236285</v>
      </c>
      <c r="I13" s="176"/>
      <c r="J13" s="17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4"/>
      <c r="B14" s="14" t="s">
        <v>35</v>
      </c>
      <c r="C14" s="10">
        <v>7</v>
      </c>
      <c r="D14" s="31">
        <f t="shared" si="1"/>
        <v>77</v>
      </c>
      <c r="F14" s="178" t="s">
        <v>39</v>
      </c>
      <c r="G14" s="179"/>
      <c r="H14" s="180">
        <f>D54</f>
        <v>33749.25</v>
      </c>
      <c r="I14" s="181"/>
      <c r="J14" s="18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4"/>
      <c r="B15" s="14" t="s">
        <v>38</v>
      </c>
      <c r="C15" s="10"/>
      <c r="D15" s="31">
        <f t="shared" si="1"/>
        <v>0</v>
      </c>
      <c r="F15" s="183" t="s">
        <v>40</v>
      </c>
      <c r="G15" s="184"/>
      <c r="H15" s="185">
        <f>H13-H14</f>
        <v>202535.75</v>
      </c>
      <c r="I15" s="186"/>
      <c r="J15" s="187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4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45">
        <f>50*6+80*6+63*6</f>
        <v>1158</v>
      </c>
      <c r="I16" s="145"/>
      <c r="J16" s="145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4"/>
      <c r="B17" t="s">
        <v>112</v>
      </c>
      <c r="C17" s="10"/>
      <c r="D17" s="48">
        <f t="shared" si="1"/>
        <v>0</v>
      </c>
      <c r="F17" s="56"/>
      <c r="G17" s="66" t="s">
        <v>45</v>
      </c>
      <c r="H17" s="156"/>
      <c r="I17" s="156"/>
      <c r="J17" s="156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4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56"/>
      <c r="I18" s="156"/>
      <c r="J18" s="156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4"/>
      <c r="B19" s="14" t="s">
        <v>116</v>
      </c>
      <c r="C19" s="10"/>
      <c r="D19" s="48">
        <f t="shared" si="1"/>
        <v>0</v>
      </c>
      <c r="F19" s="56"/>
      <c r="G19" s="68" t="s">
        <v>50</v>
      </c>
      <c r="H19" s="145">
        <v>50</v>
      </c>
      <c r="I19" s="145"/>
      <c r="J19" s="145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4"/>
      <c r="B20" s="46" t="s">
        <v>108</v>
      </c>
      <c r="C20" s="10"/>
      <c r="D20" s="13">
        <f t="shared" si="1"/>
        <v>0</v>
      </c>
      <c r="F20" s="57"/>
      <c r="G20" s="70" t="s">
        <v>117</v>
      </c>
      <c r="H20" s="145"/>
      <c r="I20" s="145"/>
      <c r="J20" s="145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4"/>
      <c r="B21" s="14" t="s">
        <v>123</v>
      </c>
      <c r="C21" s="10">
        <v>9</v>
      </c>
      <c r="D21" s="48">
        <f t="shared" si="1"/>
        <v>5850</v>
      </c>
      <c r="F21" s="69" t="s">
        <v>99</v>
      </c>
      <c r="G21" s="82" t="s">
        <v>98</v>
      </c>
      <c r="H21" s="158" t="s">
        <v>13</v>
      </c>
      <c r="I21" s="159"/>
      <c r="J21" s="160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4"/>
      <c r="B22" s="46" t="s">
        <v>104</v>
      </c>
      <c r="C22" s="10"/>
      <c r="D22" s="48">
        <f t="shared" si="1"/>
        <v>0</v>
      </c>
      <c r="F22" s="77"/>
      <c r="G22" s="73"/>
      <c r="H22" s="161"/>
      <c r="I22" s="161"/>
      <c r="J22" s="161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4"/>
      <c r="B23" s="14" t="s">
        <v>107</v>
      </c>
      <c r="C23" s="10">
        <v>1</v>
      </c>
      <c r="D23" s="48">
        <f t="shared" si="1"/>
        <v>1175</v>
      </c>
      <c r="F23" s="78"/>
      <c r="G23" s="79"/>
      <c r="H23" s="162"/>
      <c r="I23" s="131"/>
      <c r="J23" s="131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4"/>
      <c r="B24" s="14" t="s">
        <v>101</v>
      </c>
      <c r="C24" s="10"/>
      <c r="D24" s="48">
        <f t="shared" si="1"/>
        <v>0</v>
      </c>
      <c r="F24" s="38"/>
      <c r="G24" s="37"/>
      <c r="H24" s="162"/>
      <c r="I24" s="131"/>
      <c r="J24" s="131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4"/>
      <c r="B25" s="14" t="s">
        <v>115</v>
      </c>
      <c r="C25" s="10"/>
      <c r="D25" s="48">
        <f t="shared" si="1"/>
        <v>0</v>
      </c>
      <c r="F25" s="60" t="s">
        <v>100</v>
      </c>
      <c r="G25" s="55" t="s">
        <v>98</v>
      </c>
      <c r="H25" s="163" t="s">
        <v>13</v>
      </c>
      <c r="I25" s="164"/>
      <c r="J25" s="165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4"/>
      <c r="B26" s="14" t="s">
        <v>105</v>
      </c>
      <c r="C26" s="10"/>
      <c r="D26" s="48">
        <f t="shared" si="1"/>
        <v>0</v>
      </c>
      <c r="F26" s="64"/>
      <c r="G26" s="59"/>
      <c r="H26" s="166"/>
      <c r="I26" s="167"/>
      <c r="J26" s="168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4"/>
      <c r="B27" s="14" t="s">
        <v>109</v>
      </c>
      <c r="C27" s="10"/>
      <c r="D27" s="44">
        <f t="shared" si="1"/>
        <v>0</v>
      </c>
      <c r="F27" s="25"/>
      <c r="G27" s="80"/>
      <c r="H27" s="169"/>
      <c r="I27" s="170"/>
      <c r="J27" s="171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5"/>
      <c r="B28" s="46" t="s">
        <v>97</v>
      </c>
      <c r="C28" s="10"/>
      <c r="D28" s="48">
        <f t="shared" si="1"/>
        <v>0</v>
      </c>
      <c r="F28" s="86"/>
      <c r="G28" s="61"/>
      <c r="H28" s="172"/>
      <c r="I28" s="173"/>
      <c r="J28" s="174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46" t="s">
        <v>36</v>
      </c>
      <c r="B29" s="147"/>
      <c r="C29" s="148"/>
      <c r="D29" s="152">
        <f>SUM(D6:D28)</f>
        <v>236285</v>
      </c>
      <c r="F29" s="92" t="s">
        <v>55</v>
      </c>
      <c r="G29" s="154"/>
      <c r="H29" s="114">
        <f>H15-H16-H17-H18-H19-H20-H22-H23-H24+H26+H27</f>
        <v>201327.75</v>
      </c>
      <c r="I29" s="115"/>
      <c r="J29" s="116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49"/>
      <c r="B30" s="150"/>
      <c r="C30" s="151"/>
      <c r="D30" s="153"/>
      <c r="F30" s="95"/>
      <c r="G30" s="155"/>
      <c r="H30" s="117"/>
      <c r="I30" s="118"/>
      <c r="J30" s="119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39" t="s">
        <v>58</v>
      </c>
      <c r="B32" s="140"/>
      <c r="C32" s="140"/>
      <c r="D32" s="141"/>
      <c r="F32" s="142" t="s">
        <v>59</v>
      </c>
      <c r="G32" s="143"/>
      <c r="H32" s="143"/>
      <c r="I32" s="143"/>
      <c r="J32" s="144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142" t="s">
        <v>13</v>
      </c>
      <c r="I33" s="143"/>
      <c r="J33" s="144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3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94</v>
      </c>
      <c r="H34" s="136">
        <f>F34*G34</f>
        <v>94000</v>
      </c>
      <c r="I34" s="137"/>
      <c r="J34" s="138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4"/>
      <c r="B35" s="27" t="s">
        <v>68</v>
      </c>
      <c r="C35" s="52"/>
      <c r="D35" s="30">
        <f>C35*84</f>
        <v>0</v>
      </c>
      <c r="F35" s="58">
        <v>500</v>
      </c>
      <c r="G35" s="41">
        <v>108</v>
      </c>
      <c r="H35" s="136">
        <f>F35*G35</f>
        <v>54000</v>
      </c>
      <c r="I35" s="137"/>
      <c r="J35" s="138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5"/>
      <c r="B36" s="26" t="s">
        <v>70</v>
      </c>
      <c r="C36" s="10"/>
      <c r="D36" s="12">
        <f>C36*1.5</f>
        <v>0</v>
      </c>
      <c r="F36" s="12">
        <v>200</v>
      </c>
      <c r="G36" s="37"/>
      <c r="H36" s="136">
        <f t="shared" ref="H36:H39" si="2">F36*G36</f>
        <v>0</v>
      </c>
      <c r="I36" s="137"/>
      <c r="J36" s="138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3" t="s">
        <v>72</v>
      </c>
      <c r="B37" s="28" t="s">
        <v>66</v>
      </c>
      <c r="C37" s="53">
        <v>297</v>
      </c>
      <c r="D37" s="12">
        <f>C37*111</f>
        <v>32967</v>
      </c>
      <c r="F37" s="12">
        <v>100</v>
      </c>
      <c r="G37" s="39">
        <v>124</v>
      </c>
      <c r="H37" s="136">
        <f t="shared" si="2"/>
        <v>12400</v>
      </c>
      <c r="I37" s="137"/>
      <c r="J37" s="138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4"/>
      <c r="B38" s="29" t="s">
        <v>68</v>
      </c>
      <c r="C38" s="54">
        <v>2</v>
      </c>
      <c r="D38" s="12">
        <f>C38*84</f>
        <v>168</v>
      </c>
      <c r="F38" s="30">
        <v>50</v>
      </c>
      <c r="G38" s="39">
        <v>2</v>
      </c>
      <c r="H38" s="136">
        <f t="shared" si="2"/>
        <v>100</v>
      </c>
      <c r="I38" s="137"/>
      <c r="J38" s="138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5"/>
      <c r="B39" s="29" t="s">
        <v>70</v>
      </c>
      <c r="C39" s="52">
        <v>2</v>
      </c>
      <c r="D39" s="31">
        <f>C39*4.5</f>
        <v>9</v>
      </c>
      <c r="F39" s="12">
        <v>20</v>
      </c>
      <c r="G39" s="37"/>
      <c r="H39" s="136">
        <f t="shared" si="2"/>
        <v>0</v>
      </c>
      <c r="I39" s="137"/>
      <c r="J39" s="138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3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36"/>
      <c r="I40" s="137"/>
      <c r="J40" s="138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4"/>
      <c r="B41" s="27" t="s">
        <v>68</v>
      </c>
      <c r="C41" s="10"/>
      <c r="D41" s="12">
        <f>C41*84</f>
        <v>0</v>
      </c>
      <c r="F41" s="12">
        <v>5</v>
      </c>
      <c r="G41" s="42"/>
      <c r="H41" s="136"/>
      <c r="I41" s="137"/>
      <c r="J41" s="138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5"/>
      <c r="B42" s="27" t="s">
        <v>70</v>
      </c>
      <c r="C42" s="11">
        <v>17</v>
      </c>
      <c r="D42" s="12">
        <f>C42*2.25</f>
        <v>38.25</v>
      </c>
      <c r="F42" s="39" t="s">
        <v>79</v>
      </c>
      <c r="G42" s="136">
        <v>94</v>
      </c>
      <c r="H42" s="137"/>
      <c r="I42" s="137"/>
      <c r="J42" s="138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06" t="s">
        <v>81</v>
      </c>
      <c r="C43" s="11"/>
      <c r="D43" s="12"/>
      <c r="F43" s="59" t="s">
        <v>82</v>
      </c>
      <c r="G43" s="89" t="s">
        <v>83</v>
      </c>
      <c r="H43" s="128" t="s">
        <v>13</v>
      </c>
      <c r="I43" s="129"/>
      <c r="J43" s="130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07"/>
      <c r="B44" s="27" t="s">
        <v>66</v>
      </c>
      <c r="C44" s="10"/>
      <c r="D44" s="12">
        <f>C44*120</f>
        <v>0</v>
      </c>
      <c r="F44" s="37" t="s">
        <v>145</v>
      </c>
      <c r="G44" s="62" t="s">
        <v>163</v>
      </c>
      <c r="H44" s="131">
        <v>40666</v>
      </c>
      <c r="I44" s="131"/>
      <c r="J44" s="131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07"/>
      <c r="B45" s="27" t="s">
        <v>68</v>
      </c>
      <c r="C45" s="33"/>
      <c r="D45" s="12">
        <f>C45*84</f>
        <v>0</v>
      </c>
      <c r="F45" s="37"/>
      <c r="G45" s="76"/>
      <c r="H45" s="131"/>
      <c r="I45" s="131"/>
      <c r="J45" s="131"/>
      <c r="K45" s="21"/>
      <c r="P45" s="4"/>
      <c r="Q45" s="4"/>
      <c r="R45" s="5"/>
    </row>
    <row r="46" spans="1:18" ht="15.75" x14ac:dyDescent="0.25">
      <c r="A46" s="107"/>
      <c r="B46" s="49" t="s">
        <v>70</v>
      </c>
      <c r="C46" s="81"/>
      <c r="D46" s="12">
        <f>C46*1.5</f>
        <v>0</v>
      </c>
      <c r="F46" s="37"/>
      <c r="G46" s="62"/>
      <c r="H46" s="132"/>
      <c r="I46" s="132"/>
      <c r="J46" s="132"/>
      <c r="K46" s="21"/>
      <c r="P46" s="4"/>
      <c r="Q46" s="4"/>
      <c r="R46" s="5"/>
    </row>
    <row r="47" spans="1:18" ht="15.75" x14ac:dyDescent="0.25">
      <c r="A47" s="108"/>
      <c r="B47" s="27"/>
      <c r="C47" s="11"/>
      <c r="D47" s="12"/>
      <c r="F47" s="59"/>
      <c r="G47" s="59"/>
      <c r="H47" s="109"/>
      <c r="I47" s="110"/>
      <c r="J47" s="111"/>
      <c r="K47" s="21"/>
      <c r="P47" s="4"/>
      <c r="Q47" s="4"/>
      <c r="R47" s="5"/>
    </row>
    <row r="48" spans="1:18" ht="15" customHeight="1" x14ac:dyDescent="0.25">
      <c r="A48" s="106" t="s">
        <v>32</v>
      </c>
      <c r="B48" s="27" t="s">
        <v>66</v>
      </c>
      <c r="C48" s="10">
        <v>5</v>
      </c>
      <c r="D48" s="12">
        <f>C48*78</f>
        <v>390</v>
      </c>
      <c r="F48" s="59"/>
      <c r="G48" s="59"/>
      <c r="H48" s="109"/>
      <c r="I48" s="110"/>
      <c r="J48" s="111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07"/>
      <c r="B49" s="29" t="s">
        <v>68</v>
      </c>
      <c r="C49" s="33">
        <v>4</v>
      </c>
      <c r="D49" s="12">
        <f>C49*42</f>
        <v>168</v>
      </c>
      <c r="F49" s="112" t="s">
        <v>86</v>
      </c>
      <c r="G49" s="114">
        <f>H34+H35+H36+H37+H38+H39+H40+H41+G42+H44+H45+H46</f>
        <v>201260</v>
      </c>
      <c r="H49" s="115"/>
      <c r="I49" s="115"/>
      <c r="J49" s="116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07"/>
      <c r="B50" s="32" t="s">
        <v>70</v>
      </c>
      <c r="C50" s="11">
        <v>6</v>
      </c>
      <c r="D50" s="12">
        <f>C50*1.5</f>
        <v>9</v>
      </c>
      <c r="F50" s="113"/>
      <c r="G50" s="117"/>
      <c r="H50" s="118"/>
      <c r="I50" s="118"/>
      <c r="J50" s="119"/>
      <c r="O50" t="s">
        <v>137</v>
      </c>
      <c r="P50" s="4">
        <v>1204</v>
      </c>
      <c r="Q50" s="4"/>
      <c r="R50" s="5"/>
    </row>
    <row r="51" spans="1:18" ht="15" customHeight="1" x14ac:dyDescent="0.25">
      <c r="A51" s="107"/>
      <c r="B51" s="27"/>
      <c r="C51" s="10"/>
      <c r="D51" s="31"/>
      <c r="F51" s="120" t="s">
        <v>128</v>
      </c>
      <c r="G51" s="221">
        <f>G49-H29</f>
        <v>-67.75</v>
      </c>
      <c r="H51" s="222"/>
      <c r="I51" s="222"/>
      <c r="J51" s="223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07"/>
      <c r="B52" s="29"/>
      <c r="C52" s="33"/>
      <c r="D52" s="45"/>
      <c r="F52" s="121"/>
      <c r="G52" s="224"/>
      <c r="H52" s="225"/>
      <c r="I52" s="225"/>
      <c r="J52" s="226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08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92" t="s">
        <v>90</v>
      </c>
      <c r="B54" s="93"/>
      <c r="C54" s="94"/>
      <c r="D54" s="98">
        <f>SUM(D34:D53)</f>
        <v>33749.25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95"/>
      <c r="B55" s="96"/>
      <c r="C55" s="97"/>
      <c r="D55" s="9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100" t="s">
        <v>91</v>
      </c>
      <c r="B58" s="101"/>
      <c r="C58" s="101"/>
      <c r="D58" s="102"/>
      <c r="F58" s="100" t="s">
        <v>92</v>
      </c>
      <c r="G58" s="101"/>
      <c r="H58" s="101"/>
      <c r="I58" s="101"/>
      <c r="J58" s="102"/>
    </row>
    <row r="59" spans="1:18" x14ac:dyDescent="0.25">
      <c r="A59" s="103"/>
      <c r="B59" s="104"/>
      <c r="C59" s="104"/>
      <c r="D59" s="105"/>
      <c r="F59" s="103"/>
      <c r="G59" s="104"/>
      <c r="H59" s="104"/>
      <c r="I59" s="104"/>
      <c r="J59" s="105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149811-2FD6-469A-9A99-39989D720771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88" t="s">
        <v>1</v>
      </c>
      <c r="O1" s="188"/>
      <c r="P1" s="85" t="s">
        <v>2</v>
      </c>
      <c r="Q1" s="85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39" t="s">
        <v>7</v>
      </c>
      <c r="B4" s="140"/>
      <c r="C4" s="140"/>
      <c r="D4" s="141"/>
      <c r="F4" s="189" t="s">
        <v>8</v>
      </c>
      <c r="G4" s="191"/>
      <c r="H4" s="193" t="s">
        <v>9</v>
      </c>
      <c r="I4" s="195"/>
      <c r="J4" s="19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33" t="s">
        <v>7</v>
      </c>
      <c r="B5" s="15" t="s">
        <v>11</v>
      </c>
      <c r="C5" s="9" t="s">
        <v>12</v>
      </c>
      <c r="D5" s="25" t="s">
        <v>13</v>
      </c>
      <c r="F5" s="190"/>
      <c r="G5" s="192"/>
      <c r="H5" s="194"/>
      <c r="I5" s="197"/>
      <c r="J5" s="19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34"/>
      <c r="B6" s="16"/>
      <c r="C6" s="10"/>
      <c r="D6" s="13">
        <f t="shared" ref="D6:D28" si="1">C6*L6</f>
        <v>0</v>
      </c>
      <c r="F6" s="199" t="s">
        <v>16</v>
      </c>
      <c r="G6" s="201"/>
      <c r="H6" s="202"/>
      <c r="I6" s="202"/>
      <c r="J6" s="203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34"/>
      <c r="B7" s="16"/>
      <c r="C7" s="10"/>
      <c r="D7" s="13">
        <f t="shared" si="1"/>
        <v>0</v>
      </c>
      <c r="F7" s="200"/>
      <c r="G7" s="204"/>
      <c r="H7" s="205"/>
      <c r="I7" s="205"/>
      <c r="J7" s="206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34"/>
      <c r="B8" s="16"/>
      <c r="C8" s="10"/>
      <c r="D8" s="13">
        <f t="shared" si="1"/>
        <v>0</v>
      </c>
      <c r="F8" s="207" t="s">
        <v>21</v>
      </c>
      <c r="G8" s="208"/>
      <c r="H8" s="209"/>
      <c r="I8" s="209"/>
      <c r="J8" s="210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34"/>
      <c r="B9" s="16"/>
      <c r="C9" s="10"/>
      <c r="D9" s="13">
        <f t="shared" si="1"/>
        <v>0</v>
      </c>
      <c r="F9" s="200"/>
      <c r="G9" s="211"/>
      <c r="H9" s="212"/>
      <c r="I9" s="212"/>
      <c r="J9" s="213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34"/>
      <c r="C10" s="10"/>
      <c r="D10" s="13">
        <f t="shared" si="1"/>
        <v>0</v>
      </c>
      <c r="F10" s="199" t="s">
        <v>26</v>
      </c>
      <c r="G10" s="214"/>
      <c r="H10" s="215"/>
      <c r="I10" s="215"/>
      <c r="J10" s="216"/>
      <c r="K10" s="8"/>
      <c r="L10" s="6">
        <f>R36</f>
        <v>972</v>
      </c>
      <c r="P10" s="4"/>
      <c r="Q10" s="4"/>
      <c r="R10" s="5"/>
    </row>
    <row r="11" spans="1:19" ht="15.75" x14ac:dyDescent="0.25">
      <c r="A11" s="134"/>
      <c r="B11" s="17"/>
      <c r="C11" s="10"/>
      <c r="D11" s="13">
        <f t="shared" si="1"/>
        <v>0</v>
      </c>
      <c r="F11" s="200"/>
      <c r="G11" s="211"/>
      <c r="H11" s="212"/>
      <c r="I11" s="212"/>
      <c r="J11" s="213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34"/>
      <c r="B12" s="17"/>
      <c r="C12" s="10"/>
      <c r="D12" s="48">
        <f t="shared" si="1"/>
        <v>0</v>
      </c>
      <c r="F12" s="217" t="s">
        <v>33</v>
      </c>
      <c r="G12" s="218"/>
      <c r="H12" s="218"/>
      <c r="I12" s="218"/>
      <c r="J12" s="219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34"/>
      <c r="B13" s="17"/>
      <c r="C13" s="10"/>
      <c r="D13" s="48">
        <f t="shared" si="1"/>
        <v>0</v>
      </c>
      <c r="F13" s="220" t="s">
        <v>36</v>
      </c>
      <c r="G13" s="184"/>
      <c r="H13" s="175">
        <f>D29</f>
        <v>0</v>
      </c>
      <c r="I13" s="176"/>
      <c r="J13" s="17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34"/>
      <c r="B14" s="14"/>
      <c r="C14" s="10"/>
      <c r="D14" s="31">
        <f t="shared" si="1"/>
        <v>0</v>
      </c>
      <c r="F14" s="178" t="s">
        <v>39</v>
      </c>
      <c r="G14" s="179"/>
      <c r="H14" s="180">
        <f>D54</f>
        <v>0</v>
      </c>
      <c r="I14" s="181"/>
      <c r="J14" s="18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34"/>
      <c r="B15" s="14"/>
      <c r="C15" s="10"/>
      <c r="D15" s="31">
        <f t="shared" si="1"/>
        <v>0</v>
      </c>
      <c r="F15" s="183" t="s">
        <v>40</v>
      </c>
      <c r="G15" s="184"/>
      <c r="H15" s="185">
        <f>H13-H14</f>
        <v>0</v>
      </c>
      <c r="I15" s="186"/>
      <c r="J15" s="187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34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45"/>
      <c r="I16" s="145"/>
      <c r="J16" s="145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4"/>
      <c r="C17" s="10"/>
      <c r="D17" s="48">
        <f t="shared" si="1"/>
        <v>0</v>
      </c>
      <c r="F17" s="56"/>
      <c r="G17" s="66" t="s">
        <v>45</v>
      </c>
      <c r="H17" s="156"/>
      <c r="I17" s="156"/>
      <c r="J17" s="156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4"/>
      <c r="B18" s="19"/>
      <c r="C18" s="10"/>
      <c r="D18" s="48">
        <f t="shared" si="1"/>
        <v>0</v>
      </c>
      <c r="F18" s="56"/>
      <c r="G18" s="66" t="s">
        <v>47</v>
      </c>
      <c r="H18" s="156"/>
      <c r="I18" s="156"/>
      <c r="J18" s="156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4"/>
      <c r="B19" s="14"/>
      <c r="C19" s="10"/>
      <c r="D19" s="48">
        <f t="shared" si="1"/>
        <v>0</v>
      </c>
      <c r="F19" s="56"/>
      <c r="G19" s="68" t="s">
        <v>50</v>
      </c>
      <c r="H19" s="157"/>
      <c r="I19" s="157"/>
      <c r="J19" s="157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4"/>
      <c r="B20" s="46"/>
      <c r="C20" s="10"/>
      <c r="D20" s="13">
        <f t="shared" si="1"/>
        <v>0</v>
      </c>
      <c r="F20" s="57"/>
      <c r="G20" s="70" t="s">
        <v>117</v>
      </c>
      <c r="H20" s="145"/>
      <c r="I20" s="145"/>
      <c r="J20" s="145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4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58" t="s">
        <v>13</v>
      </c>
      <c r="I21" s="159"/>
      <c r="J21" s="160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4"/>
      <c r="B22" s="46"/>
      <c r="C22" s="10"/>
      <c r="D22" s="48">
        <f t="shared" si="1"/>
        <v>0</v>
      </c>
      <c r="F22" s="77"/>
      <c r="G22" s="73"/>
      <c r="H22" s="161"/>
      <c r="I22" s="161"/>
      <c r="J22" s="161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4"/>
      <c r="B23" s="14"/>
      <c r="C23" s="10"/>
      <c r="D23" s="48">
        <f t="shared" si="1"/>
        <v>0</v>
      </c>
      <c r="F23" s="78"/>
      <c r="G23" s="79"/>
      <c r="H23" s="162"/>
      <c r="I23" s="131"/>
      <c r="J23" s="131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4"/>
      <c r="B24" s="14"/>
      <c r="C24" s="10"/>
      <c r="D24" s="48">
        <f t="shared" si="1"/>
        <v>0</v>
      </c>
      <c r="F24" s="38"/>
      <c r="G24" s="37"/>
      <c r="H24" s="162"/>
      <c r="I24" s="131"/>
      <c r="J24" s="131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4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63" t="s">
        <v>13</v>
      </c>
      <c r="I25" s="164"/>
      <c r="J25" s="165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4"/>
      <c r="B26" s="14"/>
      <c r="C26" s="10"/>
      <c r="D26" s="48">
        <f t="shared" si="1"/>
        <v>0</v>
      </c>
      <c r="F26" s="64"/>
      <c r="G26" s="59"/>
      <c r="H26" s="166"/>
      <c r="I26" s="167"/>
      <c r="J26" s="168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4"/>
      <c r="B27" s="14"/>
      <c r="C27" s="10"/>
      <c r="D27" s="44">
        <f t="shared" si="1"/>
        <v>0</v>
      </c>
      <c r="F27" s="25"/>
      <c r="G27" s="80"/>
      <c r="H27" s="169"/>
      <c r="I27" s="170"/>
      <c r="J27" s="171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5"/>
      <c r="B28" s="46"/>
      <c r="C28" s="10"/>
      <c r="D28" s="48">
        <f t="shared" si="1"/>
        <v>0</v>
      </c>
      <c r="F28" s="86"/>
      <c r="G28" s="61"/>
      <c r="H28" s="172"/>
      <c r="I28" s="173"/>
      <c r="J28" s="174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46" t="s">
        <v>36</v>
      </c>
      <c r="B29" s="147"/>
      <c r="C29" s="148"/>
      <c r="D29" s="152">
        <f>SUM(D6:D28)</f>
        <v>0</v>
      </c>
      <c r="F29" s="92" t="s">
        <v>55</v>
      </c>
      <c r="G29" s="154"/>
      <c r="H29" s="114">
        <f>H15-H16-H17-H18-H19-H20-H22-H23-H24+H26+H27</f>
        <v>0</v>
      </c>
      <c r="I29" s="115"/>
      <c r="J29" s="116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49"/>
      <c r="B30" s="150"/>
      <c r="C30" s="151"/>
      <c r="D30" s="153"/>
      <c r="F30" s="95"/>
      <c r="G30" s="155"/>
      <c r="H30" s="117"/>
      <c r="I30" s="118"/>
      <c r="J30" s="119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39" t="s">
        <v>58</v>
      </c>
      <c r="B32" s="140"/>
      <c r="C32" s="140"/>
      <c r="D32" s="141"/>
      <c r="F32" s="142" t="s">
        <v>59</v>
      </c>
      <c r="G32" s="143"/>
      <c r="H32" s="143"/>
      <c r="I32" s="143"/>
      <c r="J32" s="144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142" t="s">
        <v>13</v>
      </c>
      <c r="I33" s="143"/>
      <c r="J33" s="144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3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36"/>
      <c r="I34" s="137"/>
      <c r="J34" s="138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4"/>
      <c r="B35" s="27" t="s">
        <v>68</v>
      </c>
      <c r="C35" s="52"/>
      <c r="D35" s="30">
        <f>C35*84</f>
        <v>0</v>
      </c>
      <c r="F35" s="58">
        <v>500</v>
      </c>
      <c r="G35" s="41"/>
      <c r="H35" s="136"/>
      <c r="I35" s="137"/>
      <c r="J35" s="138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5"/>
      <c r="B36" s="26" t="s">
        <v>70</v>
      </c>
      <c r="C36" s="10"/>
      <c r="D36" s="12">
        <f>C36*1.5</f>
        <v>0</v>
      </c>
      <c r="F36" s="12">
        <v>200</v>
      </c>
      <c r="G36" s="37"/>
      <c r="H36" s="136"/>
      <c r="I36" s="137"/>
      <c r="J36" s="138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3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36"/>
      <c r="I37" s="137"/>
      <c r="J37" s="138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4"/>
      <c r="B38" s="29" t="s">
        <v>68</v>
      </c>
      <c r="C38" s="54"/>
      <c r="D38" s="12">
        <f>C38*84</f>
        <v>0</v>
      </c>
      <c r="F38" s="30">
        <v>50</v>
      </c>
      <c r="G38" s="39"/>
      <c r="H38" s="136"/>
      <c r="I38" s="137"/>
      <c r="J38" s="138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5"/>
      <c r="B39" s="29" t="s">
        <v>70</v>
      </c>
      <c r="C39" s="52"/>
      <c r="D39" s="31">
        <f>C39*4.5</f>
        <v>0</v>
      </c>
      <c r="F39" s="12">
        <v>20</v>
      </c>
      <c r="G39" s="37"/>
      <c r="H39" s="136"/>
      <c r="I39" s="137"/>
      <c r="J39" s="138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3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36"/>
      <c r="I40" s="137"/>
      <c r="J40" s="138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4"/>
      <c r="B41" s="27" t="s">
        <v>68</v>
      </c>
      <c r="C41" s="10"/>
      <c r="D41" s="12">
        <f>C41*84</f>
        <v>0</v>
      </c>
      <c r="F41" s="12">
        <v>5</v>
      </c>
      <c r="G41" s="42"/>
      <c r="H41" s="136"/>
      <c r="I41" s="137"/>
      <c r="J41" s="138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5"/>
      <c r="B42" s="27" t="s">
        <v>70</v>
      </c>
      <c r="C42" s="11"/>
      <c r="D42" s="12">
        <f>C42*2.25</f>
        <v>0</v>
      </c>
      <c r="F42" s="39" t="s">
        <v>79</v>
      </c>
      <c r="G42" s="136"/>
      <c r="H42" s="137"/>
      <c r="I42" s="137"/>
      <c r="J42" s="138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06" t="s">
        <v>81</v>
      </c>
      <c r="C43" s="11"/>
      <c r="D43" s="12"/>
      <c r="F43" s="59" t="s">
        <v>82</v>
      </c>
      <c r="G43" s="89" t="s">
        <v>83</v>
      </c>
      <c r="H43" s="128" t="s">
        <v>13</v>
      </c>
      <c r="I43" s="129"/>
      <c r="J43" s="130"/>
      <c r="K43" s="21"/>
      <c r="P43" s="4"/>
      <c r="Q43" s="4"/>
      <c r="R43" s="5"/>
    </row>
    <row r="44" spans="1:18" ht="15.75" x14ac:dyDescent="0.25">
      <c r="A44" s="107"/>
      <c r="B44" s="27" t="s">
        <v>66</v>
      </c>
      <c r="C44" s="10"/>
      <c r="D44" s="12">
        <f>C44*120</f>
        <v>0</v>
      </c>
      <c r="F44" s="37"/>
      <c r="G44" s="76"/>
      <c r="H44" s="131"/>
      <c r="I44" s="131"/>
      <c r="J44" s="131"/>
      <c r="K44" s="21"/>
      <c r="P44" s="4"/>
      <c r="Q44" s="4"/>
      <c r="R44" s="5"/>
    </row>
    <row r="45" spans="1:18" ht="15.75" x14ac:dyDescent="0.25">
      <c r="A45" s="107"/>
      <c r="B45" s="27" t="s">
        <v>68</v>
      </c>
      <c r="C45" s="33"/>
      <c r="D45" s="12">
        <f>C45*84</f>
        <v>0</v>
      </c>
      <c r="F45" s="37"/>
      <c r="G45" s="76"/>
      <c r="H45" s="131"/>
      <c r="I45" s="131"/>
      <c r="J45" s="131"/>
      <c r="K45" s="21"/>
      <c r="P45" s="4"/>
      <c r="Q45" s="4"/>
      <c r="R45" s="5"/>
    </row>
    <row r="46" spans="1:18" ht="15.75" x14ac:dyDescent="0.25">
      <c r="A46" s="107"/>
      <c r="B46" s="49" t="s">
        <v>70</v>
      </c>
      <c r="C46" s="81"/>
      <c r="D46" s="12">
        <f>C46*1.5</f>
        <v>0</v>
      </c>
      <c r="F46" s="37"/>
      <c r="G46" s="62"/>
      <c r="H46" s="132"/>
      <c r="I46" s="132"/>
      <c r="J46" s="132"/>
      <c r="K46" s="21"/>
      <c r="P46" s="4"/>
      <c r="Q46" s="4"/>
      <c r="R46" s="5"/>
    </row>
    <row r="47" spans="1:18" ht="15.75" x14ac:dyDescent="0.25">
      <c r="A47" s="108"/>
      <c r="B47" s="27"/>
      <c r="C47" s="11"/>
      <c r="D47" s="12"/>
      <c r="F47" s="59"/>
      <c r="G47" s="59"/>
      <c r="H47" s="109"/>
      <c r="I47" s="110"/>
      <c r="J47" s="111"/>
      <c r="K47" s="21"/>
      <c r="P47" s="4"/>
      <c r="Q47" s="4"/>
      <c r="R47" s="5"/>
    </row>
    <row r="48" spans="1:18" ht="15" customHeight="1" x14ac:dyDescent="0.25">
      <c r="A48" s="106" t="s">
        <v>32</v>
      </c>
      <c r="B48" s="27" t="s">
        <v>66</v>
      </c>
      <c r="C48" s="10"/>
      <c r="D48" s="12">
        <f>C48*78</f>
        <v>0</v>
      </c>
      <c r="F48" s="59"/>
      <c r="G48" s="59"/>
      <c r="H48" s="109"/>
      <c r="I48" s="110"/>
      <c r="J48" s="111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07"/>
      <c r="B49" s="29" t="s">
        <v>68</v>
      </c>
      <c r="C49" s="33"/>
      <c r="D49" s="12">
        <f>C49*42</f>
        <v>0</v>
      </c>
      <c r="F49" s="112" t="s">
        <v>86</v>
      </c>
      <c r="G49" s="114">
        <f>H34+H35+H36+H37+H38+H39+H40+H41+G42+H44+H45+H46</f>
        <v>0</v>
      </c>
      <c r="H49" s="115"/>
      <c r="I49" s="115"/>
      <c r="J49" s="116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07"/>
      <c r="B50" s="32" t="s">
        <v>70</v>
      </c>
      <c r="C50" s="11"/>
      <c r="D50" s="12">
        <f>C50*1.5</f>
        <v>0</v>
      </c>
      <c r="F50" s="113"/>
      <c r="G50" s="117"/>
      <c r="H50" s="118"/>
      <c r="I50" s="118"/>
      <c r="J50" s="119"/>
      <c r="P50" s="4"/>
      <c r="Q50" s="4"/>
      <c r="R50" s="5"/>
    </row>
    <row r="51" spans="1:18" ht="15" customHeight="1" x14ac:dyDescent="0.25">
      <c r="A51" s="107"/>
      <c r="B51" s="27"/>
      <c r="C51" s="10"/>
      <c r="D51" s="31"/>
      <c r="F51" s="120" t="s">
        <v>125</v>
      </c>
      <c r="G51" s="122">
        <f>G49-H29</f>
        <v>0</v>
      </c>
      <c r="H51" s="123"/>
      <c r="I51" s="123"/>
      <c r="J51" s="124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07"/>
      <c r="B52" s="29"/>
      <c r="C52" s="33"/>
      <c r="D52" s="45"/>
      <c r="F52" s="121"/>
      <c r="G52" s="125"/>
      <c r="H52" s="126"/>
      <c r="I52" s="126"/>
      <c r="J52" s="127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08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92" t="s">
        <v>90</v>
      </c>
      <c r="B54" s="93"/>
      <c r="C54" s="94"/>
      <c r="D54" s="98">
        <f>SUM(D34:D53)</f>
        <v>0</v>
      </c>
      <c r="F54" s="21"/>
      <c r="J54" s="34"/>
    </row>
    <row r="55" spans="1:18" x14ac:dyDescent="0.25">
      <c r="A55" s="95"/>
      <c r="B55" s="96"/>
      <c r="C55" s="97"/>
      <c r="D55" s="9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00" t="s">
        <v>91</v>
      </c>
      <c r="B58" s="101"/>
      <c r="C58" s="101"/>
      <c r="D58" s="102"/>
      <c r="F58" s="100" t="s">
        <v>92</v>
      </c>
      <c r="G58" s="101"/>
      <c r="H58" s="101"/>
      <c r="I58" s="101"/>
      <c r="J58" s="102"/>
    </row>
    <row r="59" spans="1:18" x14ac:dyDescent="0.25">
      <c r="A59" s="103"/>
      <c r="B59" s="104"/>
      <c r="C59" s="104"/>
      <c r="D59" s="105"/>
      <c r="F59" s="103"/>
      <c r="G59" s="104"/>
      <c r="H59" s="104"/>
      <c r="I59" s="104"/>
      <c r="J59" s="105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7D7A32-E119-4F2E-A4C2-447BC983724F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88" t="s">
        <v>1</v>
      </c>
      <c r="O1" s="188"/>
      <c r="P1" s="85" t="s">
        <v>2</v>
      </c>
      <c r="Q1" s="8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9" t="s">
        <v>7</v>
      </c>
      <c r="B4" s="140"/>
      <c r="C4" s="140"/>
      <c r="D4" s="141"/>
      <c r="F4" s="189" t="s">
        <v>8</v>
      </c>
      <c r="G4" s="191">
        <v>1</v>
      </c>
      <c r="H4" s="193" t="s">
        <v>9</v>
      </c>
      <c r="I4" s="195">
        <v>46086</v>
      </c>
      <c r="J4" s="19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3" t="s">
        <v>7</v>
      </c>
      <c r="B5" s="15" t="s">
        <v>11</v>
      </c>
      <c r="C5" s="9" t="s">
        <v>12</v>
      </c>
      <c r="D5" s="25" t="s">
        <v>13</v>
      </c>
      <c r="F5" s="190"/>
      <c r="G5" s="192"/>
      <c r="H5" s="194"/>
      <c r="I5" s="197"/>
      <c r="J5" s="19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4"/>
      <c r="B6" s="16" t="s">
        <v>15</v>
      </c>
      <c r="C6" s="10">
        <v>377</v>
      </c>
      <c r="D6" s="13">
        <f t="shared" ref="D6:D28" si="1">C6*L6</f>
        <v>286897</v>
      </c>
      <c r="F6" s="199" t="s">
        <v>16</v>
      </c>
      <c r="G6" s="201" t="s">
        <v>111</v>
      </c>
      <c r="H6" s="202"/>
      <c r="I6" s="202"/>
      <c r="J6" s="203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4"/>
      <c r="B7" s="16" t="s">
        <v>18</v>
      </c>
      <c r="C7" s="10"/>
      <c r="D7" s="13">
        <f t="shared" si="1"/>
        <v>0</v>
      </c>
      <c r="F7" s="200"/>
      <c r="G7" s="204"/>
      <c r="H7" s="205"/>
      <c r="I7" s="205"/>
      <c r="J7" s="206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4"/>
      <c r="B8" s="16" t="s">
        <v>20</v>
      </c>
      <c r="C8" s="10"/>
      <c r="D8" s="13">
        <f t="shared" si="1"/>
        <v>0</v>
      </c>
      <c r="F8" s="207" t="s">
        <v>21</v>
      </c>
      <c r="G8" s="208" t="s">
        <v>144</v>
      </c>
      <c r="H8" s="209"/>
      <c r="I8" s="209"/>
      <c r="J8" s="210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4"/>
      <c r="B9" s="16" t="s">
        <v>23</v>
      </c>
      <c r="C9" s="10">
        <v>10</v>
      </c>
      <c r="D9" s="13">
        <f t="shared" si="1"/>
        <v>7330</v>
      </c>
      <c r="F9" s="200"/>
      <c r="G9" s="211"/>
      <c r="H9" s="212"/>
      <c r="I9" s="212"/>
      <c r="J9" s="213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4"/>
      <c r="B10" t="s">
        <v>25</v>
      </c>
      <c r="C10" s="10"/>
      <c r="D10" s="13">
        <f t="shared" si="1"/>
        <v>0</v>
      </c>
      <c r="F10" s="199" t="s">
        <v>26</v>
      </c>
      <c r="G10" s="214" t="s">
        <v>139</v>
      </c>
      <c r="H10" s="215"/>
      <c r="I10" s="215"/>
      <c r="J10" s="216"/>
      <c r="K10" s="8"/>
      <c r="L10" s="6">
        <f>R36</f>
        <v>1032</v>
      </c>
      <c r="P10" s="4"/>
      <c r="Q10" s="4"/>
      <c r="R10" s="5"/>
    </row>
    <row r="11" spans="1:18" ht="15.75" x14ac:dyDescent="0.25">
      <c r="A11" s="134"/>
      <c r="B11" s="17" t="s">
        <v>28</v>
      </c>
      <c r="C11" s="10">
        <v>1</v>
      </c>
      <c r="D11" s="13">
        <f t="shared" si="1"/>
        <v>1170</v>
      </c>
      <c r="F11" s="200"/>
      <c r="G11" s="211"/>
      <c r="H11" s="212"/>
      <c r="I11" s="212"/>
      <c r="J11" s="213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4"/>
      <c r="B12" s="17" t="s">
        <v>30</v>
      </c>
      <c r="C12" s="10"/>
      <c r="D12" s="48">
        <f t="shared" si="1"/>
        <v>0</v>
      </c>
      <c r="F12" s="217" t="s">
        <v>33</v>
      </c>
      <c r="G12" s="218"/>
      <c r="H12" s="218"/>
      <c r="I12" s="218"/>
      <c r="J12" s="219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4"/>
      <c r="B13" s="17" t="s">
        <v>32</v>
      </c>
      <c r="C13" s="10">
        <v>10</v>
      </c>
      <c r="D13" s="48">
        <f t="shared" si="1"/>
        <v>3070</v>
      </c>
      <c r="F13" s="220" t="s">
        <v>36</v>
      </c>
      <c r="G13" s="184"/>
      <c r="H13" s="175">
        <f>D29</f>
        <v>301631</v>
      </c>
      <c r="I13" s="176"/>
      <c r="J13" s="17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4"/>
      <c r="B14" s="14" t="s">
        <v>35</v>
      </c>
      <c r="C14" s="10"/>
      <c r="D14" s="31">
        <f t="shared" si="1"/>
        <v>0</v>
      </c>
      <c r="F14" s="178" t="s">
        <v>39</v>
      </c>
      <c r="G14" s="179"/>
      <c r="H14" s="180">
        <f>D54</f>
        <v>55843.5</v>
      </c>
      <c r="I14" s="181"/>
      <c r="J14" s="18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4"/>
      <c r="B15" s="14" t="s">
        <v>38</v>
      </c>
      <c r="C15" s="10"/>
      <c r="D15" s="31">
        <f t="shared" si="1"/>
        <v>0</v>
      </c>
      <c r="F15" s="183" t="s">
        <v>40</v>
      </c>
      <c r="G15" s="184"/>
      <c r="H15" s="185">
        <f>H13-H14</f>
        <v>245787.5</v>
      </c>
      <c r="I15" s="186"/>
      <c r="J15" s="187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4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45">
        <f>325*6</f>
        <v>1950</v>
      </c>
      <c r="I16" s="145"/>
      <c r="J16" s="145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4"/>
      <c r="B17" t="s">
        <v>133</v>
      </c>
      <c r="C17" s="10"/>
      <c r="D17" s="48">
        <f t="shared" si="1"/>
        <v>0</v>
      </c>
      <c r="F17" s="56"/>
      <c r="G17" s="66" t="s">
        <v>45</v>
      </c>
      <c r="H17" s="156"/>
      <c r="I17" s="156"/>
      <c r="J17" s="156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4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56"/>
      <c r="I18" s="156"/>
      <c r="J18" s="156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4"/>
      <c r="B19" s="14" t="s">
        <v>129</v>
      </c>
      <c r="C19" s="10"/>
      <c r="D19" s="48">
        <f t="shared" si="1"/>
        <v>0</v>
      </c>
      <c r="F19" s="56"/>
      <c r="G19" s="68" t="s">
        <v>50</v>
      </c>
      <c r="H19" s="156"/>
      <c r="I19" s="156"/>
      <c r="J19" s="156"/>
      <c r="L19" s="6">
        <v>1102</v>
      </c>
      <c r="Q19" s="4"/>
      <c r="R19" s="5">
        <f t="shared" si="0"/>
        <v>0</v>
      </c>
    </row>
    <row r="20" spans="1:18" ht="15.75" x14ac:dyDescent="0.25">
      <c r="A20" s="134"/>
      <c r="B20" s="83" t="s">
        <v>122</v>
      </c>
      <c r="C20" s="10"/>
      <c r="D20" s="13">
        <f t="shared" si="1"/>
        <v>0</v>
      </c>
      <c r="F20" s="57"/>
      <c r="G20" s="70" t="s">
        <v>117</v>
      </c>
      <c r="H20" s="145"/>
      <c r="I20" s="145"/>
      <c r="J20" s="145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4"/>
      <c r="B21" s="14" t="s">
        <v>131</v>
      </c>
      <c r="C21" s="10"/>
      <c r="D21" s="48">
        <f t="shared" si="1"/>
        <v>0</v>
      </c>
      <c r="F21" s="69" t="s">
        <v>99</v>
      </c>
      <c r="G21" s="82" t="s">
        <v>98</v>
      </c>
      <c r="H21" s="158" t="s">
        <v>13</v>
      </c>
      <c r="I21" s="159"/>
      <c r="J21" s="160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4"/>
      <c r="B22" s="90" t="s">
        <v>167</v>
      </c>
      <c r="C22" s="10">
        <v>2</v>
      </c>
      <c r="D22" s="48">
        <f t="shared" si="1"/>
        <v>3164</v>
      </c>
      <c r="F22" s="77"/>
      <c r="G22" s="73"/>
      <c r="H22" s="161"/>
      <c r="I22" s="161"/>
      <c r="J22" s="161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4"/>
      <c r="B23" s="14" t="s">
        <v>101</v>
      </c>
      <c r="C23" s="10"/>
      <c r="D23" s="48">
        <f t="shared" si="1"/>
        <v>0</v>
      </c>
      <c r="F23" s="77"/>
      <c r="G23" s="79"/>
      <c r="H23" s="227"/>
      <c r="I23" s="228"/>
      <c r="J23" s="228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4"/>
      <c r="B24" s="14" t="s">
        <v>118</v>
      </c>
      <c r="C24" s="10"/>
      <c r="D24" s="48">
        <f t="shared" si="1"/>
        <v>0</v>
      </c>
      <c r="F24" s="77"/>
      <c r="G24" s="79"/>
      <c r="H24" s="227"/>
      <c r="I24" s="228"/>
      <c r="J24" s="228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4"/>
      <c r="B25" s="14" t="s">
        <v>134</v>
      </c>
      <c r="C25" s="10"/>
      <c r="D25" s="48">
        <f t="shared" si="1"/>
        <v>0</v>
      </c>
      <c r="F25" s="60" t="s">
        <v>100</v>
      </c>
      <c r="G25" s="55" t="s">
        <v>98</v>
      </c>
      <c r="H25" s="163" t="s">
        <v>13</v>
      </c>
      <c r="I25" s="164"/>
      <c r="J25" s="165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4"/>
      <c r="B26" s="14" t="s">
        <v>132</v>
      </c>
      <c r="C26" s="10"/>
      <c r="D26" s="48">
        <f t="shared" si="1"/>
        <v>0</v>
      </c>
      <c r="F26" s="75"/>
      <c r="G26" s="65"/>
      <c r="H26" s="131"/>
      <c r="I26" s="131"/>
      <c r="J26" s="131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4"/>
      <c r="B27" s="14" t="s">
        <v>110</v>
      </c>
      <c r="C27" s="10"/>
      <c r="D27" s="44">
        <f t="shared" si="1"/>
        <v>0</v>
      </c>
      <c r="F27" s="71"/>
      <c r="G27" s="89"/>
      <c r="H27" s="229"/>
      <c r="I27" s="230"/>
      <c r="J27" s="230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5"/>
      <c r="B28" s="46" t="s">
        <v>97</v>
      </c>
      <c r="C28" s="10"/>
      <c r="D28" s="48">
        <f t="shared" si="1"/>
        <v>0</v>
      </c>
      <c r="F28" s="86"/>
      <c r="G28" s="61"/>
      <c r="H28" s="172"/>
      <c r="I28" s="173"/>
      <c r="J28" s="174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46" t="s">
        <v>36</v>
      </c>
      <c r="B29" s="147"/>
      <c r="C29" s="148"/>
      <c r="D29" s="152">
        <f>SUM(D6:D28)</f>
        <v>301631</v>
      </c>
      <c r="F29" s="92" t="s">
        <v>55</v>
      </c>
      <c r="G29" s="154"/>
      <c r="H29" s="114">
        <f>H15-H16-H17-H18-H19-H20-H22-H23-H24+H26+H27+H28</f>
        <v>243837.5</v>
      </c>
      <c r="I29" s="115"/>
      <c r="J29" s="116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49"/>
      <c r="B30" s="150"/>
      <c r="C30" s="151"/>
      <c r="D30" s="153"/>
      <c r="F30" s="95"/>
      <c r="G30" s="155"/>
      <c r="H30" s="117"/>
      <c r="I30" s="118"/>
      <c r="J30" s="119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39" t="s">
        <v>58</v>
      </c>
      <c r="B32" s="140"/>
      <c r="C32" s="140"/>
      <c r="D32" s="141"/>
      <c r="F32" s="142" t="s">
        <v>59</v>
      </c>
      <c r="G32" s="143"/>
      <c r="H32" s="143"/>
      <c r="I32" s="143"/>
      <c r="J32" s="144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142" t="s">
        <v>13</v>
      </c>
      <c r="I33" s="143"/>
      <c r="J33" s="144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3" t="s">
        <v>65</v>
      </c>
      <c r="B34" s="26" t="s">
        <v>66</v>
      </c>
      <c r="C34" s="51"/>
      <c r="D34" s="30">
        <f>C34*120</f>
        <v>0</v>
      </c>
      <c r="F34" s="12">
        <v>1000</v>
      </c>
      <c r="G34" s="40">
        <v>34</v>
      </c>
      <c r="H34" s="136">
        <f t="shared" ref="H34:H39" si="2">F34*G34</f>
        <v>34000</v>
      </c>
      <c r="I34" s="137"/>
      <c r="J34" s="138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4"/>
      <c r="B35" s="27" t="s">
        <v>68</v>
      </c>
      <c r="C35" s="52"/>
      <c r="D35" s="30">
        <f>C35*84</f>
        <v>0</v>
      </c>
      <c r="F35" s="58">
        <v>500</v>
      </c>
      <c r="G35" s="41">
        <v>419</v>
      </c>
      <c r="H35" s="136">
        <f t="shared" si="2"/>
        <v>209500</v>
      </c>
      <c r="I35" s="137"/>
      <c r="J35" s="138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5"/>
      <c r="B36" s="26" t="s">
        <v>70</v>
      </c>
      <c r="C36" s="10"/>
      <c r="D36" s="12">
        <f>C36*1.5</f>
        <v>0</v>
      </c>
      <c r="F36" s="12">
        <v>200</v>
      </c>
      <c r="G36" s="37"/>
      <c r="H36" s="136">
        <f t="shared" si="2"/>
        <v>0</v>
      </c>
      <c r="I36" s="137"/>
      <c r="J36" s="138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3" t="s">
        <v>72</v>
      </c>
      <c r="B37" s="28" t="s">
        <v>66</v>
      </c>
      <c r="C37" s="53">
        <v>493</v>
      </c>
      <c r="D37" s="12">
        <f>C37*111</f>
        <v>54723</v>
      </c>
      <c r="F37" s="12">
        <v>100</v>
      </c>
      <c r="G37" s="39">
        <v>2</v>
      </c>
      <c r="H37" s="136">
        <f t="shared" si="2"/>
        <v>200</v>
      </c>
      <c r="I37" s="137"/>
      <c r="J37" s="138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4"/>
      <c r="B38" s="29" t="s">
        <v>68</v>
      </c>
      <c r="C38" s="54">
        <v>2</v>
      </c>
      <c r="D38" s="12">
        <f>C38*84</f>
        <v>168</v>
      </c>
      <c r="F38" s="30">
        <v>50</v>
      </c>
      <c r="G38" s="39"/>
      <c r="H38" s="136">
        <f t="shared" si="2"/>
        <v>0</v>
      </c>
      <c r="I38" s="137"/>
      <c r="J38" s="138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5"/>
      <c r="B39" s="29" t="s">
        <v>70</v>
      </c>
      <c r="C39" s="52">
        <v>5</v>
      </c>
      <c r="D39" s="31">
        <f>C39*4.5</f>
        <v>22.5</v>
      </c>
      <c r="F39" s="12">
        <v>20</v>
      </c>
      <c r="G39" s="37">
        <v>1</v>
      </c>
      <c r="H39" s="136">
        <f t="shared" si="2"/>
        <v>20</v>
      </c>
      <c r="I39" s="137"/>
      <c r="J39" s="138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3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36"/>
      <c r="I40" s="137"/>
      <c r="J40" s="138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4"/>
      <c r="B41" s="27" t="s">
        <v>68</v>
      </c>
      <c r="C41" s="10"/>
      <c r="D41" s="12">
        <f>C41*84</f>
        <v>0</v>
      </c>
      <c r="F41" s="12">
        <v>5</v>
      </c>
      <c r="G41" s="42"/>
      <c r="H41" s="136"/>
      <c r="I41" s="137"/>
      <c r="J41" s="138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5"/>
      <c r="B42" s="27" t="s">
        <v>70</v>
      </c>
      <c r="C42" s="11"/>
      <c r="D42" s="12">
        <f>C42*2.25</f>
        <v>0</v>
      </c>
      <c r="F42" s="39" t="s">
        <v>79</v>
      </c>
      <c r="G42" s="136">
        <v>26</v>
      </c>
      <c r="H42" s="137"/>
      <c r="I42" s="137"/>
      <c r="J42" s="138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06" t="s">
        <v>81</v>
      </c>
      <c r="C43" s="11"/>
      <c r="D43" s="12"/>
      <c r="F43" s="59" t="s">
        <v>82</v>
      </c>
      <c r="G43" s="89" t="s">
        <v>83</v>
      </c>
      <c r="H43" s="128" t="s">
        <v>13</v>
      </c>
      <c r="I43" s="129"/>
      <c r="J43" s="130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07"/>
      <c r="B44" s="27" t="s">
        <v>66</v>
      </c>
      <c r="C44" s="10"/>
      <c r="D44" s="12">
        <f>C44*120</f>
        <v>0</v>
      </c>
      <c r="F44" s="37"/>
      <c r="G44" s="84"/>
      <c r="H44" s="131"/>
      <c r="I44" s="131"/>
      <c r="J44" s="131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07"/>
      <c r="B45" s="27" t="s">
        <v>68</v>
      </c>
      <c r="C45" s="33">
        <v>1</v>
      </c>
      <c r="D45" s="12">
        <f>C45*84</f>
        <v>84</v>
      </c>
      <c r="F45" s="37"/>
      <c r="G45" s="62"/>
      <c r="H45" s="131"/>
      <c r="I45" s="131"/>
      <c r="J45" s="131"/>
      <c r="K45" s="21"/>
      <c r="P45" s="4"/>
      <c r="Q45" s="4"/>
      <c r="R45" s="5"/>
    </row>
    <row r="46" spans="1:18" ht="15.75" x14ac:dyDescent="0.25">
      <c r="A46" s="107"/>
      <c r="B46" s="49" t="s">
        <v>70</v>
      </c>
      <c r="C46" s="81">
        <v>6</v>
      </c>
      <c r="D46" s="12">
        <f>C46*1.5</f>
        <v>9</v>
      </c>
      <c r="F46" s="37"/>
      <c r="G46" s="62"/>
      <c r="H46" s="131"/>
      <c r="I46" s="131"/>
      <c r="J46" s="131"/>
      <c r="K46" s="21"/>
      <c r="P46" s="4"/>
      <c r="Q46" s="4"/>
      <c r="R46" s="5"/>
    </row>
    <row r="47" spans="1:18" ht="15.75" x14ac:dyDescent="0.25">
      <c r="A47" s="108"/>
      <c r="B47" s="27"/>
      <c r="C47" s="11"/>
      <c r="D47" s="12"/>
      <c r="F47" s="59"/>
      <c r="G47" s="59"/>
      <c r="H47" s="109"/>
      <c r="I47" s="110"/>
      <c r="J47" s="111"/>
      <c r="K47" s="21"/>
      <c r="P47" s="4"/>
      <c r="Q47" s="4"/>
      <c r="R47" s="5"/>
    </row>
    <row r="48" spans="1:18" ht="15" customHeight="1" x14ac:dyDescent="0.25">
      <c r="A48" s="106" t="s">
        <v>32</v>
      </c>
      <c r="B48" s="27" t="s">
        <v>66</v>
      </c>
      <c r="C48" s="10">
        <v>5</v>
      </c>
      <c r="D48" s="12">
        <f>C48*78</f>
        <v>390</v>
      </c>
      <c r="F48" s="59"/>
      <c r="G48" s="59"/>
      <c r="H48" s="109"/>
      <c r="I48" s="110"/>
      <c r="J48" s="111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07"/>
      <c r="B49" s="29" t="s">
        <v>68</v>
      </c>
      <c r="C49" s="33">
        <v>10</v>
      </c>
      <c r="D49" s="12">
        <f>C49*42</f>
        <v>420</v>
      </c>
      <c r="F49" s="112" t="s">
        <v>86</v>
      </c>
      <c r="G49" s="114">
        <f>H34+H35+H36+H37+H38+H39+H40+H41+G42+H44+H45+H46</f>
        <v>243746</v>
      </c>
      <c r="H49" s="115"/>
      <c r="I49" s="115"/>
      <c r="J49" s="116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07"/>
      <c r="B50" s="32" t="s">
        <v>70</v>
      </c>
      <c r="C50" s="11">
        <v>18</v>
      </c>
      <c r="D50" s="12">
        <f>C50*1.5</f>
        <v>27</v>
      </c>
      <c r="F50" s="113"/>
      <c r="G50" s="117"/>
      <c r="H50" s="118"/>
      <c r="I50" s="118"/>
      <c r="J50" s="119"/>
      <c r="O50" t="s">
        <v>137</v>
      </c>
      <c r="P50" s="4">
        <v>1204</v>
      </c>
      <c r="Q50" s="4"/>
      <c r="R50" s="5"/>
    </row>
    <row r="51" spans="1:18" ht="15" customHeight="1" x14ac:dyDescent="0.25">
      <c r="A51" s="107"/>
      <c r="B51" s="27"/>
      <c r="C51" s="10"/>
      <c r="D51" s="31"/>
      <c r="F51" s="120" t="s">
        <v>128</v>
      </c>
      <c r="G51" s="221">
        <f>G49-H29</f>
        <v>-91.5</v>
      </c>
      <c r="H51" s="222"/>
      <c r="I51" s="222"/>
      <c r="J51" s="223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07"/>
      <c r="B52" s="29"/>
      <c r="C52" s="33"/>
      <c r="D52" s="45"/>
      <c r="F52" s="121"/>
      <c r="G52" s="224"/>
      <c r="H52" s="225"/>
      <c r="I52" s="225"/>
      <c r="J52" s="226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08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92" t="s">
        <v>90</v>
      </c>
      <c r="B54" s="93"/>
      <c r="C54" s="94"/>
      <c r="D54" s="98">
        <f>SUM(D34:D53)</f>
        <v>55843.5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95"/>
      <c r="B55" s="96"/>
      <c r="C55" s="97"/>
      <c r="D55" s="9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140</v>
      </c>
      <c r="D57" s="34"/>
      <c r="F57" s="36"/>
      <c r="G57" s="50"/>
      <c r="H57" s="50"/>
      <c r="I57" s="50"/>
      <c r="J57" s="43"/>
    </row>
    <row r="58" spans="1:18" x14ac:dyDescent="0.25">
      <c r="A58" s="100" t="s">
        <v>91</v>
      </c>
      <c r="B58" s="101"/>
      <c r="C58" s="101"/>
      <c r="D58" s="102"/>
      <c r="F58" s="100" t="s">
        <v>92</v>
      </c>
      <c r="G58" s="101"/>
      <c r="H58" s="101"/>
      <c r="I58" s="101"/>
      <c r="J58" s="102"/>
    </row>
    <row r="59" spans="1:18" x14ac:dyDescent="0.25">
      <c r="A59" s="103"/>
      <c r="B59" s="104"/>
      <c r="C59" s="104"/>
      <c r="D59" s="105"/>
      <c r="F59" s="103"/>
      <c r="G59" s="104"/>
      <c r="H59" s="104"/>
      <c r="I59" s="104"/>
      <c r="J59" s="105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B74954-D18D-4CB8-8326-DF53B23C7214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88" t="s">
        <v>1</v>
      </c>
      <c r="O1" s="188"/>
      <c r="P1" s="85" t="s">
        <v>2</v>
      </c>
      <c r="Q1" s="8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9" t="s">
        <v>7</v>
      </c>
      <c r="B4" s="140"/>
      <c r="C4" s="140"/>
      <c r="D4" s="141"/>
      <c r="F4" s="189" t="s">
        <v>8</v>
      </c>
      <c r="G4" s="191">
        <v>2</v>
      </c>
      <c r="H4" s="193" t="s">
        <v>9</v>
      </c>
      <c r="I4" s="195">
        <v>46086</v>
      </c>
      <c r="J4" s="19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3" t="s">
        <v>7</v>
      </c>
      <c r="B5" s="15" t="s">
        <v>11</v>
      </c>
      <c r="C5" s="9" t="s">
        <v>12</v>
      </c>
      <c r="D5" s="25" t="s">
        <v>13</v>
      </c>
      <c r="F5" s="190"/>
      <c r="G5" s="192"/>
      <c r="H5" s="194"/>
      <c r="I5" s="197"/>
      <c r="J5" s="19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4"/>
      <c r="B6" s="16" t="s">
        <v>15</v>
      </c>
      <c r="C6" s="10">
        <v>246</v>
      </c>
      <c r="D6" s="13">
        <f t="shared" ref="D6:D28" si="1">C6*L6</f>
        <v>187206</v>
      </c>
      <c r="F6" s="199" t="s">
        <v>16</v>
      </c>
      <c r="G6" s="201" t="s">
        <v>126</v>
      </c>
      <c r="H6" s="202"/>
      <c r="I6" s="202"/>
      <c r="J6" s="203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4"/>
      <c r="B7" s="16" t="s">
        <v>18</v>
      </c>
      <c r="C7" s="10">
        <v>1</v>
      </c>
      <c r="D7" s="13">
        <f t="shared" si="1"/>
        <v>781</v>
      </c>
      <c r="F7" s="200"/>
      <c r="G7" s="204"/>
      <c r="H7" s="205"/>
      <c r="I7" s="205"/>
      <c r="J7" s="206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4"/>
      <c r="B8" s="16" t="s">
        <v>20</v>
      </c>
      <c r="C8" s="10"/>
      <c r="D8" s="13">
        <f t="shared" si="1"/>
        <v>0</v>
      </c>
      <c r="F8" s="207" t="s">
        <v>21</v>
      </c>
      <c r="G8" s="208" t="s">
        <v>113</v>
      </c>
      <c r="H8" s="209"/>
      <c r="I8" s="209"/>
      <c r="J8" s="210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4"/>
      <c r="B9" s="16" t="s">
        <v>23</v>
      </c>
      <c r="C9" s="10">
        <v>24</v>
      </c>
      <c r="D9" s="13">
        <f t="shared" si="1"/>
        <v>17592</v>
      </c>
      <c r="F9" s="200"/>
      <c r="G9" s="211"/>
      <c r="H9" s="212"/>
      <c r="I9" s="212"/>
      <c r="J9" s="213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4"/>
      <c r="B10" t="s">
        <v>25</v>
      </c>
      <c r="C10" s="10"/>
      <c r="D10" s="13">
        <f t="shared" si="1"/>
        <v>0</v>
      </c>
      <c r="F10" s="199" t="s">
        <v>26</v>
      </c>
      <c r="G10" s="214" t="s">
        <v>114</v>
      </c>
      <c r="H10" s="215"/>
      <c r="I10" s="215"/>
      <c r="J10" s="216"/>
      <c r="K10" s="8"/>
      <c r="L10" s="6">
        <f>R36</f>
        <v>1032</v>
      </c>
      <c r="P10" s="4"/>
      <c r="Q10" s="4"/>
      <c r="R10" s="5"/>
    </row>
    <row r="11" spans="1:18" ht="15.75" x14ac:dyDescent="0.25">
      <c r="A11" s="134"/>
      <c r="B11" s="17" t="s">
        <v>28</v>
      </c>
      <c r="C11" s="10"/>
      <c r="D11" s="13">
        <f t="shared" si="1"/>
        <v>0</v>
      </c>
      <c r="F11" s="200"/>
      <c r="G11" s="211"/>
      <c r="H11" s="212"/>
      <c r="I11" s="212"/>
      <c r="J11" s="213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4"/>
      <c r="B12" s="17" t="s">
        <v>30</v>
      </c>
      <c r="C12" s="10">
        <v>2</v>
      </c>
      <c r="D12" s="48">
        <f t="shared" si="1"/>
        <v>1984</v>
      </c>
      <c r="F12" s="217" t="s">
        <v>33</v>
      </c>
      <c r="G12" s="218"/>
      <c r="H12" s="218"/>
      <c r="I12" s="218"/>
      <c r="J12" s="219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4"/>
      <c r="B13" s="17" t="s">
        <v>32</v>
      </c>
      <c r="C13" s="10">
        <v>7</v>
      </c>
      <c r="D13" s="48">
        <f t="shared" si="1"/>
        <v>2149</v>
      </c>
      <c r="F13" s="220" t="s">
        <v>36</v>
      </c>
      <c r="G13" s="184"/>
      <c r="H13" s="175">
        <f>D29</f>
        <v>264640</v>
      </c>
      <c r="I13" s="176"/>
      <c r="J13" s="17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4"/>
      <c r="B14" s="14" t="s">
        <v>35</v>
      </c>
      <c r="C14" s="10"/>
      <c r="D14" s="31">
        <f t="shared" si="1"/>
        <v>0</v>
      </c>
      <c r="F14" s="178" t="s">
        <v>39</v>
      </c>
      <c r="G14" s="179"/>
      <c r="H14" s="180">
        <f>D54</f>
        <v>34920</v>
      </c>
      <c r="I14" s="181"/>
      <c r="J14" s="18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4"/>
      <c r="B15" s="14" t="s">
        <v>38</v>
      </c>
      <c r="C15" s="10"/>
      <c r="D15" s="31">
        <f t="shared" si="1"/>
        <v>0</v>
      </c>
      <c r="F15" s="183" t="s">
        <v>40</v>
      </c>
      <c r="G15" s="184"/>
      <c r="H15" s="185">
        <f>H13-H14</f>
        <v>229720</v>
      </c>
      <c r="I15" s="186"/>
      <c r="J15" s="187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4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45">
        <f>197*6</f>
        <v>1182</v>
      </c>
      <c r="I16" s="145"/>
      <c r="J16" s="145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4"/>
      <c r="B17" t="s">
        <v>93</v>
      </c>
      <c r="C17" s="10"/>
      <c r="D17" s="48">
        <f t="shared" si="1"/>
        <v>0</v>
      </c>
      <c r="F17" s="56"/>
      <c r="G17" s="66" t="s">
        <v>45</v>
      </c>
      <c r="H17" s="156"/>
      <c r="I17" s="156"/>
      <c r="J17" s="156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4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56"/>
      <c r="I18" s="156"/>
      <c r="J18" s="156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4"/>
      <c r="B19" s="14" t="s">
        <v>149</v>
      </c>
      <c r="C19" s="10">
        <f>11+3</f>
        <v>14</v>
      </c>
      <c r="D19" s="48">
        <f t="shared" si="1"/>
        <v>15428</v>
      </c>
      <c r="F19" s="56"/>
      <c r="G19" s="68" t="s">
        <v>50</v>
      </c>
      <c r="H19" s="231"/>
      <c r="I19" s="231"/>
      <c r="J19" s="231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4"/>
      <c r="B20" s="90" t="s">
        <v>169</v>
      </c>
      <c r="C20" s="10">
        <f>4+6</f>
        <v>10</v>
      </c>
      <c r="D20" s="13">
        <f t="shared" si="1"/>
        <v>11750</v>
      </c>
      <c r="F20" s="57"/>
      <c r="G20" s="70" t="s">
        <v>117</v>
      </c>
      <c r="H20" s="156"/>
      <c r="I20" s="156"/>
      <c r="J20" s="156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4"/>
      <c r="B21" s="14" t="s">
        <v>131</v>
      </c>
      <c r="C21" s="10">
        <f>17+13</f>
        <v>30</v>
      </c>
      <c r="D21" s="48">
        <f t="shared" si="1"/>
        <v>19500</v>
      </c>
      <c r="F21" s="69" t="s">
        <v>99</v>
      </c>
      <c r="G21" s="82" t="s">
        <v>98</v>
      </c>
      <c r="H21" s="158" t="s">
        <v>13</v>
      </c>
      <c r="I21" s="159"/>
      <c r="J21" s="160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4"/>
      <c r="B22" s="46" t="s">
        <v>104</v>
      </c>
      <c r="C22" s="10"/>
      <c r="D22" s="48">
        <f t="shared" si="1"/>
        <v>0</v>
      </c>
      <c r="F22" s="72"/>
      <c r="G22" s="73"/>
      <c r="H22" s="161"/>
      <c r="I22" s="161"/>
      <c r="J22" s="161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4"/>
      <c r="B23" s="14" t="s">
        <v>101</v>
      </c>
      <c r="C23" s="10">
        <v>4</v>
      </c>
      <c r="D23" s="48">
        <f t="shared" si="1"/>
        <v>6668</v>
      </c>
      <c r="F23" s="25"/>
      <c r="G23" s="37"/>
      <c r="H23" s="162"/>
      <c r="I23" s="131"/>
      <c r="J23" s="131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4"/>
      <c r="B24" s="14" t="s">
        <v>120</v>
      </c>
      <c r="C24" s="10"/>
      <c r="D24" s="48">
        <f t="shared" si="1"/>
        <v>0</v>
      </c>
      <c r="F24" s="38"/>
      <c r="G24" s="37"/>
      <c r="H24" s="162"/>
      <c r="I24" s="131"/>
      <c r="J24" s="131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4"/>
      <c r="B25" s="14" t="s">
        <v>121</v>
      </c>
      <c r="C25" s="10"/>
      <c r="D25" s="48">
        <f t="shared" si="1"/>
        <v>0</v>
      </c>
      <c r="F25" s="60" t="s">
        <v>100</v>
      </c>
      <c r="G25" s="55" t="s">
        <v>98</v>
      </c>
      <c r="H25" s="163" t="s">
        <v>13</v>
      </c>
      <c r="I25" s="164"/>
      <c r="J25" s="165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4"/>
      <c r="B26" s="14" t="s">
        <v>105</v>
      </c>
      <c r="C26" s="10"/>
      <c r="D26" s="48">
        <f t="shared" si="1"/>
        <v>0</v>
      </c>
      <c r="F26" s="64"/>
      <c r="G26" s="10"/>
      <c r="H26" s="166"/>
      <c r="I26" s="167"/>
      <c r="J26" s="168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4"/>
      <c r="B27" s="14" t="s">
        <v>168</v>
      </c>
      <c r="C27" s="10">
        <v>1</v>
      </c>
      <c r="D27" s="44">
        <f t="shared" si="1"/>
        <v>1582</v>
      </c>
      <c r="F27" s="14"/>
      <c r="G27" s="14"/>
      <c r="H27" s="169"/>
      <c r="I27" s="170"/>
      <c r="J27" s="171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5"/>
      <c r="B28" s="46" t="s">
        <v>97</v>
      </c>
      <c r="C28" s="10"/>
      <c r="D28" s="48">
        <f t="shared" si="1"/>
        <v>0</v>
      </c>
      <c r="F28" s="86"/>
      <c r="G28" s="61"/>
      <c r="H28" s="172"/>
      <c r="I28" s="173"/>
      <c r="J28" s="174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46" t="s">
        <v>36</v>
      </c>
      <c r="B29" s="147"/>
      <c r="C29" s="148"/>
      <c r="D29" s="152">
        <f>SUM(D6:D28)</f>
        <v>264640</v>
      </c>
      <c r="F29" s="92" t="s">
        <v>55</v>
      </c>
      <c r="G29" s="154"/>
      <c r="H29" s="114">
        <f>H15-H16-H17-H18-H19-H20-H22-H23-H24+H26+H27</f>
        <v>228538</v>
      </c>
      <c r="I29" s="115"/>
      <c r="J29" s="116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49"/>
      <c r="B30" s="150"/>
      <c r="C30" s="151"/>
      <c r="D30" s="153"/>
      <c r="F30" s="95"/>
      <c r="G30" s="155"/>
      <c r="H30" s="117"/>
      <c r="I30" s="118"/>
      <c r="J30" s="119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39" t="s">
        <v>58</v>
      </c>
      <c r="B32" s="140"/>
      <c r="C32" s="140"/>
      <c r="D32" s="141"/>
      <c r="F32" s="142" t="s">
        <v>59</v>
      </c>
      <c r="G32" s="143"/>
      <c r="H32" s="143"/>
      <c r="I32" s="143"/>
      <c r="J32" s="144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142" t="s">
        <v>13</v>
      </c>
      <c r="I33" s="143"/>
      <c r="J33" s="144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3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44</v>
      </c>
      <c r="H34" s="136">
        <f>F34*G34</f>
        <v>44000</v>
      </c>
      <c r="I34" s="137"/>
      <c r="J34" s="138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4"/>
      <c r="B35" s="27" t="s">
        <v>68</v>
      </c>
      <c r="C35" s="52"/>
      <c r="D35" s="30">
        <f>C35*84</f>
        <v>0</v>
      </c>
      <c r="F35" s="58">
        <v>500</v>
      </c>
      <c r="G35" s="41">
        <v>1</v>
      </c>
      <c r="H35" s="136">
        <f t="shared" ref="H35:H39" si="2">F35*G35</f>
        <v>500</v>
      </c>
      <c r="I35" s="137"/>
      <c r="J35" s="138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5"/>
      <c r="B36" s="26" t="s">
        <v>70</v>
      </c>
      <c r="C36" s="10"/>
      <c r="D36" s="12">
        <f>C36*1.5</f>
        <v>0</v>
      </c>
      <c r="F36" s="12">
        <v>200</v>
      </c>
      <c r="G36" s="37"/>
      <c r="H36" s="136">
        <f>F36*G36</f>
        <v>0</v>
      </c>
      <c r="I36" s="137"/>
      <c r="J36" s="138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3" t="s">
        <v>72</v>
      </c>
      <c r="B37" s="28" t="s">
        <v>66</v>
      </c>
      <c r="C37" s="53">
        <v>304</v>
      </c>
      <c r="D37" s="12">
        <f>C37*111</f>
        <v>33744</v>
      </c>
      <c r="F37" s="12">
        <v>100</v>
      </c>
      <c r="G37" s="39">
        <v>4</v>
      </c>
      <c r="H37" s="136">
        <f t="shared" si="2"/>
        <v>400</v>
      </c>
      <c r="I37" s="137"/>
      <c r="J37" s="138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4"/>
      <c r="B38" s="29" t="s">
        <v>68</v>
      </c>
      <c r="C38" s="54">
        <v>1</v>
      </c>
      <c r="D38" s="12">
        <f>C38*84</f>
        <v>84</v>
      </c>
      <c r="F38" s="30">
        <v>50</v>
      </c>
      <c r="G38" s="39">
        <v>3</v>
      </c>
      <c r="H38" s="136">
        <f t="shared" si="2"/>
        <v>150</v>
      </c>
      <c r="I38" s="137"/>
      <c r="J38" s="138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5"/>
      <c r="B39" s="29" t="s">
        <v>70</v>
      </c>
      <c r="C39" s="52">
        <v>5</v>
      </c>
      <c r="D39" s="31">
        <f>C39*4.5</f>
        <v>22.5</v>
      </c>
      <c r="F39" s="12">
        <v>20</v>
      </c>
      <c r="G39" s="37">
        <v>2</v>
      </c>
      <c r="H39" s="136">
        <f t="shared" si="2"/>
        <v>40</v>
      </c>
      <c r="I39" s="137"/>
      <c r="J39" s="138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3" t="s">
        <v>76</v>
      </c>
      <c r="B40" s="27" t="s">
        <v>66</v>
      </c>
      <c r="C40" s="63">
        <v>3</v>
      </c>
      <c r="D40" s="12">
        <f>C40*111</f>
        <v>333</v>
      </c>
      <c r="F40" s="12">
        <v>10</v>
      </c>
      <c r="G40" s="42"/>
      <c r="H40" s="136"/>
      <c r="I40" s="137"/>
      <c r="J40" s="138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4"/>
      <c r="B41" s="27" t="s">
        <v>68</v>
      </c>
      <c r="C41" s="10"/>
      <c r="D41" s="12">
        <f>C41*84</f>
        <v>0</v>
      </c>
      <c r="F41" s="12">
        <v>5</v>
      </c>
      <c r="G41" s="42"/>
      <c r="H41" s="136"/>
      <c r="I41" s="137"/>
      <c r="J41" s="138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5"/>
      <c r="B42" s="27" t="s">
        <v>70</v>
      </c>
      <c r="C42" s="11">
        <v>2</v>
      </c>
      <c r="D42" s="12">
        <f>C42*2.25</f>
        <v>4.5</v>
      </c>
      <c r="F42" s="39" t="s">
        <v>79</v>
      </c>
      <c r="G42" s="136">
        <v>69</v>
      </c>
      <c r="H42" s="137"/>
      <c r="I42" s="137"/>
      <c r="J42" s="138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06" t="s">
        <v>81</v>
      </c>
      <c r="C43" s="11"/>
      <c r="D43" s="12"/>
      <c r="F43" s="59" t="s">
        <v>82</v>
      </c>
      <c r="G43" s="89" t="s">
        <v>83</v>
      </c>
      <c r="H43" s="128" t="s">
        <v>13</v>
      </c>
      <c r="I43" s="129"/>
      <c r="J43" s="130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07"/>
      <c r="B44" s="27" t="s">
        <v>66</v>
      </c>
      <c r="C44" s="10"/>
      <c r="D44" s="12">
        <f>C44*120</f>
        <v>0</v>
      </c>
      <c r="F44" s="37" t="s">
        <v>145</v>
      </c>
      <c r="G44" s="62" t="s">
        <v>170</v>
      </c>
      <c r="H44" s="131">
        <v>179826</v>
      </c>
      <c r="I44" s="131"/>
      <c r="J44" s="131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07"/>
      <c r="B45" s="27" t="s">
        <v>68</v>
      </c>
      <c r="C45" s="33"/>
      <c r="D45" s="12">
        <f>C45*84</f>
        <v>0</v>
      </c>
      <c r="F45" s="37"/>
      <c r="G45" s="62"/>
      <c r="H45" s="131"/>
      <c r="I45" s="131"/>
      <c r="J45" s="131"/>
      <c r="K45" s="21"/>
      <c r="P45" s="4"/>
      <c r="Q45" s="4"/>
      <c r="R45" s="5"/>
    </row>
    <row r="46" spans="1:18" ht="15.75" x14ac:dyDescent="0.25">
      <c r="A46" s="107"/>
      <c r="B46" s="49" t="s">
        <v>70</v>
      </c>
      <c r="C46" s="81"/>
      <c r="D46" s="12">
        <f>C46*1.5</f>
        <v>0</v>
      </c>
      <c r="F46" s="37"/>
      <c r="G46" s="88"/>
      <c r="H46" s="132"/>
      <c r="I46" s="132"/>
      <c r="J46" s="132"/>
      <c r="K46" s="21"/>
      <c r="P46" s="4"/>
      <c r="Q46" s="4"/>
      <c r="R46" s="5"/>
    </row>
    <row r="47" spans="1:18" ht="15.75" x14ac:dyDescent="0.25">
      <c r="A47" s="108"/>
      <c r="B47" s="27"/>
      <c r="C47" s="11"/>
      <c r="D47" s="12"/>
      <c r="F47" s="59"/>
      <c r="G47" s="59"/>
      <c r="H47" s="109"/>
      <c r="I47" s="110"/>
      <c r="J47" s="111"/>
      <c r="K47" s="21"/>
      <c r="P47" s="4"/>
      <c r="Q47" s="4"/>
      <c r="R47" s="5"/>
    </row>
    <row r="48" spans="1:18" ht="15" customHeight="1" x14ac:dyDescent="0.25">
      <c r="A48" s="106" t="s">
        <v>32</v>
      </c>
      <c r="B48" s="27" t="s">
        <v>66</v>
      </c>
      <c r="C48" s="10">
        <v>4</v>
      </c>
      <c r="D48" s="12">
        <f>C48*78</f>
        <v>312</v>
      </c>
      <c r="F48" s="59"/>
      <c r="G48" s="59"/>
      <c r="H48" s="109"/>
      <c r="I48" s="110"/>
      <c r="J48" s="111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07"/>
      <c r="B49" s="29" t="s">
        <v>68</v>
      </c>
      <c r="C49" s="33">
        <v>10</v>
      </c>
      <c r="D49" s="12">
        <f>C49*42</f>
        <v>420</v>
      </c>
      <c r="F49" s="112" t="s">
        <v>86</v>
      </c>
      <c r="G49" s="114">
        <f>H34+H35+H36+H37+H38+H39+H40+H41+G42+H44+H45+H46</f>
        <v>224985</v>
      </c>
      <c r="H49" s="115"/>
      <c r="I49" s="115"/>
      <c r="J49" s="116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07"/>
      <c r="B50" s="32" t="s">
        <v>70</v>
      </c>
      <c r="C50" s="11"/>
      <c r="D50" s="12">
        <f>C50*1.5</f>
        <v>0</v>
      </c>
      <c r="F50" s="113"/>
      <c r="G50" s="117"/>
      <c r="H50" s="118"/>
      <c r="I50" s="118"/>
      <c r="J50" s="119"/>
      <c r="O50" t="s">
        <v>137</v>
      </c>
      <c r="P50" s="4">
        <v>1204</v>
      </c>
      <c r="Q50" s="4"/>
      <c r="R50" s="5"/>
    </row>
    <row r="51" spans="1:18" ht="15" customHeight="1" x14ac:dyDescent="0.25">
      <c r="A51" s="107"/>
      <c r="B51" s="27"/>
      <c r="C51" s="10"/>
      <c r="D51" s="31"/>
      <c r="F51" s="120" t="s">
        <v>162</v>
      </c>
      <c r="G51" s="221">
        <f>G49-H29</f>
        <v>-3553</v>
      </c>
      <c r="H51" s="222"/>
      <c r="I51" s="222"/>
      <c r="J51" s="223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07"/>
      <c r="B52" s="29"/>
      <c r="C52" s="33"/>
      <c r="D52" s="45"/>
      <c r="F52" s="121"/>
      <c r="G52" s="224"/>
      <c r="H52" s="225"/>
      <c r="I52" s="225"/>
      <c r="J52" s="226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08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92" t="s">
        <v>90</v>
      </c>
      <c r="B54" s="93"/>
      <c r="C54" s="94"/>
      <c r="D54" s="98">
        <f>SUM(D34:D53)</f>
        <v>34920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95"/>
      <c r="B55" s="96"/>
      <c r="C55" s="97"/>
      <c r="D55" s="9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100" t="s">
        <v>91</v>
      </c>
      <c r="B58" s="101"/>
      <c r="C58" s="101"/>
      <c r="D58" s="102"/>
      <c r="F58" s="100" t="s">
        <v>92</v>
      </c>
      <c r="G58" s="101"/>
      <c r="H58" s="101"/>
      <c r="I58" s="101"/>
      <c r="J58" s="102"/>
    </row>
    <row r="59" spans="1:18" x14ac:dyDescent="0.25">
      <c r="A59" s="103"/>
      <c r="B59" s="104"/>
      <c r="C59" s="104"/>
      <c r="D59" s="105"/>
      <c r="F59" s="103"/>
      <c r="G59" s="104"/>
      <c r="H59" s="104"/>
      <c r="I59" s="104"/>
      <c r="J59" s="105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4C2FA4-E5B7-42C5-9788-A6F4A0C8B1FD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88" t="s">
        <v>1</v>
      </c>
      <c r="O1" s="188"/>
      <c r="P1" s="85" t="s">
        <v>2</v>
      </c>
      <c r="Q1" s="8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9" t="s">
        <v>7</v>
      </c>
      <c r="B4" s="140"/>
      <c r="C4" s="140"/>
      <c r="D4" s="141"/>
      <c r="F4" s="189" t="s">
        <v>8</v>
      </c>
      <c r="G4" s="191">
        <v>3</v>
      </c>
      <c r="H4" s="193" t="s">
        <v>9</v>
      </c>
      <c r="I4" s="195">
        <v>46086</v>
      </c>
      <c r="J4" s="19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3" t="s">
        <v>7</v>
      </c>
      <c r="B5" s="15" t="s">
        <v>11</v>
      </c>
      <c r="C5" s="9" t="s">
        <v>12</v>
      </c>
      <c r="D5" s="25" t="s">
        <v>13</v>
      </c>
      <c r="F5" s="190"/>
      <c r="G5" s="192"/>
      <c r="H5" s="194"/>
      <c r="I5" s="197"/>
      <c r="J5" s="19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4"/>
      <c r="B6" s="16" t="s">
        <v>15</v>
      </c>
      <c r="C6" s="10"/>
      <c r="D6" s="13">
        <f t="shared" ref="D6:D28" si="1">C6*L6</f>
        <v>0</v>
      </c>
      <c r="F6" s="199" t="s">
        <v>16</v>
      </c>
      <c r="G6" s="201" t="s">
        <v>141</v>
      </c>
      <c r="H6" s="202"/>
      <c r="I6" s="202"/>
      <c r="J6" s="203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4"/>
      <c r="B7" s="16" t="s">
        <v>18</v>
      </c>
      <c r="C7" s="10"/>
      <c r="D7" s="13">
        <f t="shared" si="1"/>
        <v>0</v>
      </c>
      <c r="F7" s="200"/>
      <c r="G7" s="204"/>
      <c r="H7" s="205"/>
      <c r="I7" s="205"/>
      <c r="J7" s="206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4"/>
      <c r="B8" s="16" t="s">
        <v>20</v>
      </c>
      <c r="C8" s="10"/>
      <c r="D8" s="13">
        <f t="shared" si="1"/>
        <v>0</v>
      </c>
      <c r="F8" s="207" t="s">
        <v>21</v>
      </c>
      <c r="G8" s="208" t="s">
        <v>130</v>
      </c>
      <c r="H8" s="209"/>
      <c r="I8" s="209"/>
      <c r="J8" s="210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4"/>
      <c r="B9" s="16" t="s">
        <v>23</v>
      </c>
      <c r="C9" s="10"/>
      <c r="D9" s="13">
        <f t="shared" si="1"/>
        <v>0</v>
      </c>
      <c r="F9" s="200"/>
      <c r="G9" s="211"/>
      <c r="H9" s="212"/>
      <c r="I9" s="212"/>
      <c r="J9" s="213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4"/>
      <c r="B10" t="s">
        <v>25</v>
      </c>
      <c r="C10" s="10"/>
      <c r="D10" s="13">
        <f t="shared" si="1"/>
        <v>0</v>
      </c>
      <c r="F10" s="199" t="s">
        <v>26</v>
      </c>
      <c r="G10" s="214" t="s">
        <v>127</v>
      </c>
      <c r="H10" s="215"/>
      <c r="I10" s="215"/>
      <c r="J10" s="216"/>
      <c r="K10" s="8"/>
      <c r="L10" s="6">
        <f>R36</f>
        <v>1032</v>
      </c>
      <c r="P10" s="4"/>
      <c r="Q10" s="4"/>
      <c r="R10" s="5"/>
    </row>
    <row r="11" spans="1:18" ht="15.75" x14ac:dyDescent="0.25">
      <c r="A11" s="134"/>
      <c r="B11" s="17" t="s">
        <v>28</v>
      </c>
      <c r="C11" s="10"/>
      <c r="D11" s="13">
        <f t="shared" si="1"/>
        <v>0</v>
      </c>
      <c r="F11" s="200"/>
      <c r="G11" s="211"/>
      <c r="H11" s="212"/>
      <c r="I11" s="212"/>
      <c r="J11" s="213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4"/>
      <c r="B12" s="17" t="s">
        <v>30</v>
      </c>
      <c r="C12" s="10"/>
      <c r="D12" s="48">
        <f t="shared" si="1"/>
        <v>0</v>
      </c>
      <c r="F12" s="217" t="s">
        <v>33</v>
      </c>
      <c r="G12" s="218"/>
      <c r="H12" s="218"/>
      <c r="I12" s="218"/>
      <c r="J12" s="219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4"/>
      <c r="B13" s="17" t="s">
        <v>32</v>
      </c>
      <c r="C13" s="10"/>
      <c r="D13" s="48">
        <f t="shared" si="1"/>
        <v>0</v>
      </c>
      <c r="F13" s="220" t="s">
        <v>36</v>
      </c>
      <c r="G13" s="184"/>
      <c r="H13" s="175">
        <f>D29</f>
        <v>0</v>
      </c>
      <c r="I13" s="176"/>
      <c r="J13" s="17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4"/>
      <c r="B14" s="14" t="s">
        <v>35</v>
      </c>
      <c r="C14" s="10"/>
      <c r="D14" s="31">
        <f t="shared" si="1"/>
        <v>0</v>
      </c>
      <c r="F14" s="178" t="s">
        <v>39</v>
      </c>
      <c r="G14" s="179"/>
      <c r="H14" s="180">
        <f>D54</f>
        <v>0</v>
      </c>
      <c r="I14" s="181"/>
      <c r="J14" s="18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4"/>
      <c r="B15" s="14" t="s">
        <v>38</v>
      </c>
      <c r="C15" s="10"/>
      <c r="D15" s="31">
        <f t="shared" si="1"/>
        <v>0</v>
      </c>
      <c r="F15" s="183" t="s">
        <v>40</v>
      </c>
      <c r="G15" s="184"/>
      <c r="H15" s="185">
        <f>H13-H14</f>
        <v>0</v>
      </c>
      <c r="I15" s="186"/>
      <c r="J15" s="187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4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45"/>
      <c r="I16" s="145"/>
      <c r="J16" s="145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4"/>
      <c r="B17" t="s">
        <v>112</v>
      </c>
      <c r="C17" s="10"/>
      <c r="D17" s="48">
        <f t="shared" si="1"/>
        <v>0</v>
      </c>
      <c r="F17" s="56"/>
      <c r="G17" s="66" t="s">
        <v>45</v>
      </c>
      <c r="H17" s="156"/>
      <c r="I17" s="156"/>
      <c r="J17" s="156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4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56"/>
      <c r="I18" s="156"/>
      <c r="J18" s="156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4"/>
      <c r="B19" s="14" t="s">
        <v>116</v>
      </c>
      <c r="C19" s="10"/>
      <c r="D19" s="48">
        <f t="shared" si="1"/>
        <v>0</v>
      </c>
      <c r="F19" s="56"/>
      <c r="G19" s="68" t="s">
        <v>50</v>
      </c>
      <c r="H19" s="232"/>
      <c r="I19" s="232"/>
      <c r="J19" s="232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4"/>
      <c r="B20" s="46" t="s">
        <v>108</v>
      </c>
      <c r="C20" s="10"/>
      <c r="D20" s="13">
        <f t="shared" si="1"/>
        <v>0</v>
      </c>
      <c r="F20" s="57"/>
      <c r="G20" s="70" t="s">
        <v>117</v>
      </c>
      <c r="H20" s="145"/>
      <c r="I20" s="145"/>
      <c r="J20" s="145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4"/>
      <c r="B21" s="14" t="s">
        <v>123</v>
      </c>
      <c r="C21" s="10"/>
      <c r="D21" s="48">
        <f t="shared" si="1"/>
        <v>0</v>
      </c>
      <c r="F21" s="69" t="s">
        <v>99</v>
      </c>
      <c r="G21" s="82" t="s">
        <v>98</v>
      </c>
      <c r="H21" s="158" t="s">
        <v>13</v>
      </c>
      <c r="I21" s="159"/>
      <c r="J21" s="160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4"/>
      <c r="B22" s="46" t="s">
        <v>104</v>
      </c>
      <c r="C22" s="10"/>
      <c r="D22" s="48">
        <f t="shared" si="1"/>
        <v>0</v>
      </c>
      <c r="F22" s="77"/>
      <c r="G22" s="73"/>
      <c r="H22" s="161"/>
      <c r="I22" s="161"/>
      <c r="J22" s="161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4"/>
      <c r="B23" s="14" t="s">
        <v>107</v>
      </c>
      <c r="C23" s="10"/>
      <c r="D23" s="48">
        <f t="shared" si="1"/>
        <v>0</v>
      </c>
      <c r="F23" s="78"/>
      <c r="G23" s="79"/>
      <c r="H23" s="162"/>
      <c r="I23" s="131"/>
      <c r="J23" s="131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4"/>
      <c r="B24" s="14" t="s">
        <v>101</v>
      </c>
      <c r="C24" s="10"/>
      <c r="D24" s="48">
        <f t="shared" si="1"/>
        <v>0</v>
      </c>
      <c r="F24" s="38"/>
      <c r="G24" s="37"/>
      <c r="H24" s="162"/>
      <c r="I24" s="131"/>
      <c r="J24" s="131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4"/>
      <c r="B25" s="14" t="s">
        <v>115</v>
      </c>
      <c r="C25" s="10"/>
      <c r="D25" s="48">
        <f t="shared" si="1"/>
        <v>0</v>
      </c>
      <c r="F25" s="60" t="s">
        <v>100</v>
      </c>
      <c r="G25" s="55" t="s">
        <v>98</v>
      </c>
      <c r="H25" s="163" t="s">
        <v>13</v>
      </c>
      <c r="I25" s="164"/>
      <c r="J25" s="165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4"/>
      <c r="B26" s="14" t="s">
        <v>105</v>
      </c>
      <c r="C26" s="10"/>
      <c r="D26" s="48">
        <f t="shared" si="1"/>
        <v>0</v>
      </c>
      <c r="F26" s="64"/>
      <c r="G26" s="59"/>
      <c r="H26" s="166"/>
      <c r="I26" s="167"/>
      <c r="J26" s="168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4"/>
      <c r="B27" s="14" t="s">
        <v>109</v>
      </c>
      <c r="C27" s="10"/>
      <c r="D27" s="44">
        <f t="shared" si="1"/>
        <v>0</v>
      </c>
      <c r="F27" s="25"/>
      <c r="G27" s="80"/>
      <c r="H27" s="169"/>
      <c r="I27" s="170"/>
      <c r="J27" s="171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5"/>
      <c r="B28" s="46" t="s">
        <v>97</v>
      </c>
      <c r="C28" s="10"/>
      <c r="D28" s="48">
        <f t="shared" si="1"/>
        <v>0</v>
      </c>
      <c r="F28" s="86"/>
      <c r="G28" s="61"/>
      <c r="H28" s="172"/>
      <c r="I28" s="173"/>
      <c r="J28" s="174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46" t="s">
        <v>36</v>
      </c>
      <c r="B29" s="147"/>
      <c r="C29" s="148"/>
      <c r="D29" s="152">
        <f>SUM(D6:D28)</f>
        <v>0</v>
      </c>
      <c r="F29" s="92" t="s">
        <v>55</v>
      </c>
      <c r="G29" s="154"/>
      <c r="H29" s="114">
        <f>H15-H16-H17-H18-H19-H20-H22-H23-H24+H26+H27</f>
        <v>0</v>
      </c>
      <c r="I29" s="115"/>
      <c r="J29" s="116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49"/>
      <c r="B30" s="150"/>
      <c r="C30" s="151"/>
      <c r="D30" s="153"/>
      <c r="F30" s="95"/>
      <c r="G30" s="155"/>
      <c r="H30" s="117"/>
      <c r="I30" s="118"/>
      <c r="J30" s="119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39" t="s">
        <v>58</v>
      </c>
      <c r="B32" s="140"/>
      <c r="C32" s="140"/>
      <c r="D32" s="141"/>
      <c r="F32" s="142" t="s">
        <v>59</v>
      </c>
      <c r="G32" s="143"/>
      <c r="H32" s="143"/>
      <c r="I32" s="143"/>
      <c r="J32" s="144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142" t="s">
        <v>13</v>
      </c>
      <c r="I33" s="143"/>
      <c r="J33" s="144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3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36">
        <f>F34*G34</f>
        <v>0</v>
      </c>
      <c r="I34" s="137"/>
      <c r="J34" s="138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4"/>
      <c r="B35" s="27" t="s">
        <v>68</v>
      </c>
      <c r="C35" s="52"/>
      <c r="D35" s="30">
        <f>C35*84</f>
        <v>0</v>
      </c>
      <c r="F35" s="58">
        <v>500</v>
      </c>
      <c r="G35" s="41"/>
      <c r="H35" s="136">
        <f>F35*G35</f>
        <v>0</v>
      </c>
      <c r="I35" s="137"/>
      <c r="J35" s="138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5"/>
      <c r="B36" s="26" t="s">
        <v>70</v>
      </c>
      <c r="C36" s="10"/>
      <c r="D36" s="12">
        <f>C36*1.5</f>
        <v>0</v>
      </c>
      <c r="F36" s="12">
        <v>200</v>
      </c>
      <c r="G36" s="37"/>
      <c r="H36" s="136">
        <f t="shared" ref="H36:H39" si="2">F36*G36</f>
        <v>0</v>
      </c>
      <c r="I36" s="137"/>
      <c r="J36" s="138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3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36">
        <f t="shared" si="2"/>
        <v>0</v>
      </c>
      <c r="I37" s="137"/>
      <c r="J37" s="138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4"/>
      <c r="B38" s="29" t="s">
        <v>68</v>
      </c>
      <c r="C38" s="54"/>
      <c r="D38" s="12">
        <f>C38*84</f>
        <v>0</v>
      </c>
      <c r="F38" s="30">
        <v>50</v>
      </c>
      <c r="G38" s="39"/>
      <c r="H38" s="136">
        <f t="shared" si="2"/>
        <v>0</v>
      </c>
      <c r="I38" s="137"/>
      <c r="J38" s="138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5"/>
      <c r="B39" s="29" t="s">
        <v>70</v>
      </c>
      <c r="C39" s="52"/>
      <c r="D39" s="31">
        <f>C39*4.5</f>
        <v>0</v>
      </c>
      <c r="F39" s="12">
        <v>20</v>
      </c>
      <c r="G39" s="37"/>
      <c r="H39" s="136">
        <f t="shared" si="2"/>
        <v>0</v>
      </c>
      <c r="I39" s="137"/>
      <c r="J39" s="138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3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36"/>
      <c r="I40" s="137"/>
      <c r="J40" s="138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4"/>
      <c r="B41" s="27" t="s">
        <v>68</v>
      </c>
      <c r="C41" s="10"/>
      <c r="D41" s="12">
        <f>C41*84</f>
        <v>0</v>
      </c>
      <c r="F41" s="12">
        <v>5</v>
      </c>
      <c r="G41" s="42"/>
      <c r="H41" s="136"/>
      <c r="I41" s="137"/>
      <c r="J41" s="138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5"/>
      <c r="B42" s="27" t="s">
        <v>70</v>
      </c>
      <c r="C42" s="11"/>
      <c r="D42" s="12">
        <f>C42*2.25</f>
        <v>0</v>
      </c>
      <c r="F42" s="39" t="s">
        <v>79</v>
      </c>
      <c r="G42" s="136"/>
      <c r="H42" s="137"/>
      <c r="I42" s="137"/>
      <c r="J42" s="138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06" t="s">
        <v>81</v>
      </c>
      <c r="C43" s="11"/>
      <c r="D43" s="12"/>
      <c r="F43" s="59" t="s">
        <v>82</v>
      </c>
      <c r="G43" s="89" t="s">
        <v>83</v>
      </c>
      <c r="H43" s="128" t="s">
        <v>13</v>
      </c>
      <c r="I43" s="129"/>
      <c r="J43" s="130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07"/>
      <c r="B44" s="27" t="s">
        <v>66</v>
      </c>
      <c r="C44" s="10"/>
      <c r="D44" s="12">
        <f>C44*120</f>
        <v>0</v>
      </c>
      <c r="F44" s="37"/>
      <c r="G44" s="76"/>
      <c r="H44" s="131"/>
      <c r="I44" s="131"/>
      <c r="J44" s="131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07"/>
      <c r="B45" s="27" t="s">
        <v>68</v>
      </c>
      <c r="C45" s="33"/>
      <c r="D45" s="12">
        <f>C45*84</f>
        <v>0</v>
      </c>
      <c r="F45" s="37"/>
      <c r="G45" s="76"/>
      <c r="H45" s="131"/>
      <c r="I45" s="131"/>
      <c r="J45" s="131"/>
      <c r="K45" s="21"/>
      <c r="P45" s="4"/>
      <c r="Q45" s="4"/>
      <c r="R45" s="5"/>
    </row>
    <row r="46" spans="1:18" ht="15.75" x14ac:dyDescent="0.25">
      <c r="A46" s="107"/>
      <c r="B46" s="49" t="s">
        <v>70</v>
      </c>
      <c r="C46" s="81"/>
      <c r="D46" s="12">
        <f>C46*1.5</f>
        <v>0</v>
      </c>
      <c r="F46" s="37"/>
      <c r="G46" s="62"/>
      <c r="H46" s="132"/>
      <c r="I46" s="132"/>
      <c r="J46" s="132"/>
      <c r="K46" s="21"/>
      <c r="P46" s="4"/>
      <c r="Q46" s="4"/>
      <c r="R46" s="5"/>
    </row>
    <row r="47" spans="1:18" ht="15.75" x14ac:dyDescent="0.25">
      <c r="A47" s="108"/>
      <c r="B47" s="27"/>
      <c r="C47" s="11"/>
      <c r="D47" s="12"/>
      <c r="F47" s="59"/>
      <c r="G47" s="59"/>
      <c r="H47" s="109"/>
      <c r="I47" s="110"/>
      <c r="J47" s="111"/>
      <c r="K47" s="21"/>
      <c r="P47" s="4"/>
      <c r="Q47" s="4"/>
      <c r="R47" s="5"/>
    </row>
    <row r="48" spans="1:18" ht="15" customHeight="1" x14ac:dyDescent="0.25">
      <c r="A48" s="106" t="s">
        <v>32</v>
      </c>
      <c r="B48" s="27" t="s">
        <v>66</v>
      </c>
      <c r="C48" s="10"/>
      <c r="D48" s="12">
        <f>C48*78</f>
        <v>0</v>
      </c>
      <c r="F48" s="59"/>
      <c r="G48" s="59"/>
      <c r="H48" s="109"/>
      <c r="I48" s="110"/>
      <c r="J48" s="111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07"/>
      <c r="B49" s="29" t="s">
        <v>68</v>
      </c>
      <c r="C49" s="33"/>
      <c r="D49" s="12">
        <f>C49*42</f>
        <v>0</v>
      </c>
      <c r="F49" s="112" t="s">
        <v>86</v>
      </c>
      <c r="G49" s="114">
        <f>H34+H35+H36+H37+H38+H39+H40+H41+G42+H44+H45+H46</f>
        <v>0</v>
      </c>
      <c r="H49" s="115"/>
      <c r="I49" s="115"/>
      <c r="J49" s="116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07"/>
      <c r="B50" s="32" t="s">
        <v>70</v>
      </c>
      <c r="C50" s="11"/>
      <c r="D50" s="12">
        <f>C50*1.5</f>
        <v>0</v>
      </c>
      <c r="F50" s="113"/>
      <c r="G50" s="117"/>
      <c r="H50" s="118"/>
      <c r="I50" s="118"/>
      <c r="J50" s="119"/>
      <c r="O50" t="s">
        <v>137</v>
      </c>
      <c r="P50" s="4">
        <v>1204</v>
      </c>
      <c r="Q50" s="4"/>
      <c r="R50" s="5"/>
    </row>
    <row r="51" spans="1:18" ht="15" customHeight="1" x14ac:dyDescent="0.25">
      <c r="A51" s="107"/>
      <c r="B51" s="27"/>
      <c r="C51" s="10"/>
      <c r="D51" s="31"/>
      <c r="F51" s="120" t="s">
        <v>138</v>
      </c>
      <c r="G51" s="122">
        <f>G49-H29</f>
        <v>0</v>
      </c>
      <c r="H51" s="123"/>
      <c r="I51" s="123"/>
      <c r="J51" s="124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07"/>
      <c r="B52" s="29"/>
      <c r="C52" s="33"/>
      <c r="D52" s="45"/>
      <c r="F52" s="121"/>
      <c r="G52" s="125"/>
      <c r="H52" s="126"/>
      <c r="I52" s="126"/>
      <c r="J52" s="127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08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92" t="s">
        <v>90</v>
      </c>
      <c r="B54" s="93"/>
      <c r="C54" s="94"/>
      <c r="D54" s="98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95"/>
      <c r="B55" s="96"/>
      <c r="C55" s="97"/>
      <c r="D55" s="9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100" t="s">
        <v>91</v>
      </c>
      <c r="B58" s="101"/>
      <c r="C58" s="101"/>
      <c r="D58" s="102"/>
      <c r="F58" s="100" t="s">
        <v>92</v>
      </c>
      <c r="G58" s="101"/>
      <c r="H58" s="101"/>
      <c r="I58" s="101"/>
      <c r="J58" s="102"/>
    </row>
    <row r="59" spans="1:18" x14ac:dyDescent="0.25">
      <c r="A59" s="103"/>
      <c r="B59" s="104"/>
      <c r="C59" s="104"/>
      <c r="D59" s="105"/>
      <c r="F59" s="103"/>
      <c r="G59" s="104"/>
      <c r="H59" s="104"/>
      <c r="I59" s="104"/>
      <c r="J59" s="105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C18666-145B-4D0E-865A-E203F4D81C63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88" t="s">
        <v>1</v>
      </c>
      <c r="O1" s="188"/>
      <c r="P1" s="85" t="s">
        <v>2</v>
      </c>
      <c r="Q1" s="85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39" t="s">
        <v>7</v>
      </c>
      <c r="B4" s="140"/>
      <c r="C4" s="140"/>
      <c r="D4" s="141"/>
      <c r="F4" s="189" t="s">
        <v>8</v>
      </c>
      <c r="G4" s="191"/>
      <c r="H4" s="193" t="s">
        <v>9</v>
      </c>
      <c r="I4" s="195"/>
      <c r="J4" s="19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33" t="s">
        <v>7</v>
      </c>
      <c r="B5" s="15" t="s">
        <v>11</v>
      </c>
      <c r="C5" s="9" t="s">
        <v>12</v>
      </c>
      <c r="D5" s="25" t="s">
        <v>13</v>
      </c>
      <c r="F5" s="190"/>
      <c r="G5" s="192"/>
      <c r="H5" s="194"/>
      <c r="I5" s="197"/>
      <c r="J5" s="19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34"/>
      <c r="B6" s="16"/>
      <c r="C6" s="10"/>
      <c r="D6" s="13">
        <f t="shared" ref="D6:D28" si="1">C6*L6</f>
        <v>0</v>
      </c>
      <c r="F6" s="199" t="s">
        <v>16</v>
      </c>
      <c r="G6" s="201"/>
      <c r="H6" s="202"/>
      <c r="I6" s="202"/>
      <c r="J6" s="203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34"/>
      <c r="B7" s="16"/>
      <c r="C7" s="10"/>
      <c r="D7" s="13">
        <f t="shared" si="1"/>
        <v>0</v>
      </c>
      <c r="F7" s="200"/>
      <c r="G7" s="204"/>
      <c r="H7" s="205"/>
      <c r="I7" s="205"/>
      <c r="J7" s="206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34"/>
      <c r="B8" s="16"/>
      <c r="C8" s="10"/>
      <c r="D8" s="13">
        <f t="shared" si="1"/>
        <v>0</v>
      </c>
      <c r="F8" s="207" t="s">
        <v>21</v>
      </c>
      <c r="G8" s="208"/>
      <c r="H8" s="209"/>
      <c r="I8" s="209"/>
      <c r="J8" s="210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34"/>
      <c r="B9" s="16"/>
      <c r="C9" s="10"/>
      <c r="D9" s="13">
        <f t="shared" si="1"/>
        <v>0</v>
      </c>
      <c r="F9" s="200"/>
      <c r="G9" s="211"/>
      <c r="H9" s="212"/>
      <c r="I9" s="212"/>
      <c r="J9" s="213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34"/>
      <c r="C10" s="10"/>
      <c r="D10" s="13">
        <f t="shared" si="1"/>
        <v>0</v>
      </c>
      <c r="F10" s="199" t="s">
        <v>26</v>
      </c>
      <c r="G10" s="214"/>
      <c r="H10" s="215"/>
      <c r="I10" s="215"/>
      <c r="J10" s="216"/>
      <c r="K10" s="8"/>
      <c r="L10" s="6">
        <f>R36</f>
        <v>972</v>
      </c>
      <c r="P10" s="4"/>
      <c r="Q10" s="4"/>
      <c r="R10" s="5"/>
    </row>
    <row r="11" spans="1:19" ht="15.75" x14ac:dyDescent="0.25">
      <c r="A11" s="134"/>
      <c r="B11" s="17"/>
      <c r="C11" s="10"/>
      <c r="D11" s="13">
        <f t="shared" si="1"/>
        <v>0</v>
      </c>
      <c r="F11" s="200"/>
      <c r="G11" s="211"/>
      <c r="H11" s="212"/>
      <c r="I11" s="212"/>
      <c r="J11" s="213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34"/>
      <c r="B12" s="17"/>
      <c r="C12" s="10"/>
      <c r="D12" s="48">
        <f t="shared" si="1"/>
        <v>0</v>
      </c>
      <c r="F12" s="217" t="s">
        <v>33</v>
      </c>
      <c r="G12" s="218"/>
      <c r="H12" s="218"/>
      <c r="I12" s="218"/>
      <c r="J12" s="219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34"/>
      <c r="B13" s="17"/>
      <c r="C13" s="10"/>
      <c r="D13" s="48">
        <f t="shared" si="1"/>
        <v>0</v>
      </c>
      <c r="F13" s="220" t="s">
        <v>36</v>
      </c>
      <c r="G13" s="184"/>
      <c r="H13" s="175">
        <f>D29</f>
        <v>0</v>
      </c>
      <c r="I13" s="176"/>
      <c r="J13" s="17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34"/>
      <c r="B14" s="14"/>
      <c r="C14" s="10"/>
      <c r="D14" s="31">
        <f t="shared" si="1"/>
        <v>0</v>
      </c>
      <c r="F14" s="178" t="s">
        <v>39</v>
      </c>
      <c r="G14" s="179"/>
      <c r="H14" s="180">
        <f>D54</f>
        <v>0</v>
      </c>
      <c r="I14" s="181"/>
      <c r="J14" s="18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34"/>
      <c r="B15" s="14"/>
      <c r="C15" s="10"/>
      <c r="D15" s="31">
        <f t="shared" si="1"/>
        <v>0</v>
      </c>
      <c r="F15" s="183" t="s">
        <v>40</v>
      </c>
      <c r="G15" s="184"/>
      <c r="H15" s="185">
        <f>H13-H14</f>
        <v>0</v>
      </c>
      <c r="I15" s="186"/>
      <c r="J15" s="187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34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45"/>
      <c r="I16" s="145"/>
      <c r="J16" s="145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4"/>
      <c r="C17" s="10"/>
      <c r="D17" s="48">
        <f t="shared" si="1"/>
        <v>0</v>
      </c>
      <c r="F17" s="56"/>
      <c r="G17" s="66" t="s">
        <v>45</v>
      </c>
      <c r="H17" s="156"/>
      <c r="I17" s="156"/>
      <c r="J17" s="156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4"/>
      <c r="B18" s="19"/>
      <c r="C18" s="10"/>
      <c r="D18" s="48">
        <f t="shared" si="1"/>
        <v>0</v>
      </c>
      <c r="F18" s="56"/>
      <c r="G18" s="66" t="s">
        <v>47</v>
      </c>
      <c r="H18" s="156"/>
      <c r="I18" s="156"/>
      <c r="J18" s="156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4"/>
      <c r="B19" s="14"/>
      <c r="C19" s="10"/>
      <c r="D19" s="48">
        <f t="shared" si="1"/>
        <v>0</v>
      </c>
      <c r="F19" s="56"/>
      <c r="G19" s="68" t="s">
        <v>50</v>
      </c>
      <c r="H19" s="157"/>
      <c r="I19" s="157"/>
      <c r="J19" s="157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4"/>
      <c r="B20" s="46"/>
      <c r="C20" s="10"/>
      <c r="D20" s="13">
        <f t="shared" si="1"/>
        <v>0</v>
      </c>
      <c r="F20" s="57"/>
      <c r="G20" s="70" t="s">
        <v>117</v>
      </c>
      <c r="H20" s="145"/>
      <c r="I20" s="145"/>
      <c r="J20" s="145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4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58" t="s">
        <v>13</v>
      </c>
      <c r="I21" s="159"/>
      <c r="J21" s="160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4"/>
      <c r="B22" s="46"/>
      <c r="C22" s="10"/>
      <c r="D22" s="48">
        <f t="shared" si="1"/>
        <v>0</v>
      </c>
      <c r="F22" s="77"/>
      <c r="G22" s="73"/>
      <c r="H22" s="161"/>
      <c r="I22" s="161"/>
      <c r="J22" s="161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4"/>
      <c r="B23" s="14"/>
      <c r="C23" s="10"/>
      <c r="D23" s="48">
        <f t="shared" si="1"/>
        <v>0</v>
      </c>
      <c r="F23" s="78"/>
      <c r="G23" s="79"/>
      <c r="H23" s="162"/>
      <c r="I23" s="131"/>
      <c r="J23" s="131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4"/>
      <c r="B24" s="14"/>
      <c r="C24" s="10"/>
      <c r="D24" s="48">
        <f t="shared" si="1"/>
        <v>0</v>
      </c>
      <c r="F24" s="38"/>
      <c r="G24" s="37"/>
      <c r="H24" s="162"/>
      <c r="I24" s="131"/>
      <c r="J24" s="131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4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63" t="s">
        <v>13</v>
      </c>
      <c r="I25" s="164"/>
      <c r="J25" s="165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4"/>
      <c r="B26" s="14"/>
      <c r="C26" s="10"/>
      <c r="D26" s="48">
        <f t="shared" si="1"/>
        <v>0</v>
      </c>
      <c r="F26" s="64"/>
      <c r="G26" s="59"/>
      <c r="H26" s="166"/>
      <c r="I26" s="167"/>
      <c r="J26" s="168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4"/>
      <c r="B27" s="14"/>
      <c r="C27" s="10"/>
      <c r="D27" s="44">
        <f t="shared" si="1"/>
        <v>0</v>
      </c>
      <c r="F27" s="25"/>
      <c r="G27" s="80"/>
      <c r="H27" s="169"/>
      <c r="I27" s="170"/>
      <c r="J27" s="171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5"/>
      <c r="B28" s="46"/>
      <c r="C28" s="10"/>
      <c r="D28" s="48">
        <f t="shared" si="1"/>
        <v>0</v>
      </c>
      <c r="F28" s="86"/>
      <c r="G28" s="61"/>
      <c r="H28" s="172"/>
      <c r="I28" s="173"/>
      <c r="J28" s="174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46" t="s">
        <v>36</v>
      </c>
      <c r="B29" s="147"/>
      <c r="C29" s="148"/>
      <c r="D29" s="152">
        <f>SUM(D6:D28)</f>
        <v>0</v>
      </c>
      <c r="F29" s="92" t="s">
        <v>55</v>
      </c>
      <c r="G29" s="154"/>
      <c r="H29" s="114">
        <f>H15-H16-H17-H18-H19-H20-H22-H23-H24+H26+H27</f>
        <v>0</v>
      </c>
      <c r="I29" s="115"/>
      <c r="J29" s="116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49"/>
      <c r="B30" s="150"/>
      <c r="C30" s="151"/>
      <c r="D30" s="153"/>
      <c r="F30" s="95"/>
      <c r="G30" s="155"/>
      <c r="H30" s="117"/>
      <c r="I30" s="118"/>
      <c r="J30" s="119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39" t="s">
        <v>58</v>
      </c>
      <c r="B32" s="140"/>
      <c r="C32" s="140"/>
      <c r="D32" s="141"/>
      <c r="F32" s="142" t="s">
        <v>59</v>
      </c>
      <c r="G32" s="143"/>
      <c r="H32" s="143"/>
      <c r="I32" s="143"/>
      <c r="J32" s="144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142" t="s">
        <v>13</v>
      </c>
      <c r="I33" s="143"/>
      <c r="J33" s="144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3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36"/>
      <c r="I34" s="137"/>
      <c r="J34" s="138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4"/>
      <c r="B35" s="27" t="s">
        <v>68</v>
      </c>
      <c r="C35" s="52"/>
      <c r="D35" s="30">
        <f>C35*84</f>
        <v>0</v>
      </c>
      <c r="F35" s="58">
        <v>500</v>
      </c>
      <c r="G35" s="41"/>
      <c r="H35" s="136"/>
      <c r="I35" s="137"/>
      <c r="J35" s="138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5"/>
      <c r="B36" s="26" t="s">
        <v>70</v>
      </c>
      <c r="C36" s="10"/>
      <c r="D36" s="12">
        <f>C36*1.5</f>
        <v>0</v>
      </c>
      <c r="F36" s="12">
        <v>200</v>
      </c>
      <c r="G36" s="37"/>
      <c r="H36" s="136"/>
      <c r="I36" s="137"/>
      <c r="J36" s="138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3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36"/>
      <c r="I37" s="137"/>
      <c r="J37" s="138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4"/>
      <c r="B38" s="29" t="s">
        <v>68</v>
      </c>
      <c r="C38" s="54"/>
      <c r="D38" s="12">
        <f>C38*84</f>
        <v>0</v>
      </c>
      <c r="F38" s="30">
        <v>50</v>
      </c>
      <c r="G38" s="39"/>
      <c r="H38" s="136"/>
      <c r="I38" s="137"/>
      <c r="J38" s="138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5"/>
      <c r="B39" s="29" t="s">
        <v>70</v>
      </c>
      <c r="C39" s="52"/>
      <c r="D39" s="31">
        <f>C39*4.5</f>
        <v>0</v>
      </c>
      <c r="F39" s="12">
        <v>20</v>
      </c>
      <c r="G39" s="37"/>
      <c r="H39" s="136"/>
      <c r="I39" s="137"/>
      <c r="J39" s="138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3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36"/>
      <c r="I40" s="137"/>
      <c r="J40" s="138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4"/>
      <c r="B41" s="27" t="s">
        <v>68</v>
      </c>
      <c r="C41" s="10"/>
      <c r="D41" s="12">
        <f>C41*84</f>
        <v>0</v>
      </c>
      <c r="F41" s="12">
        <v>5</v>
      </c>
      <c r="G41" s="42"/>
      <c r="H41" s="136"/>
      <c r="I41" s="137"/>
      <c r="J41" s="138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5"/>
      <c r="B42" s="27" t="s">
        <v>70</v>
      </c>
      <c r="C42" s="11"/>
      <c r="D42" s="12">
        <f>C42*2.25</f>
        <v>0</v>
      </c>
      <c r="F42" s="39" t="s">
        <v>79</v>
      </c>
      <c r="G42" s="136"/>
      <c r="H42" s="137"/>
      <c r="I42" s="137"/>
      <c r="J42" s="138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06" t="s">
        <v>81</v>
      </c>
      <c r="C43" s="11"/>
      <c r="D43" s="12"/>
      <c r="F43" s="59" t="s">
        <v>82</v>
      </c>
      <c r="G43" s="89" t="s">
        <v>83</v>
      </c>
      <c r="H43" s="128" t="s">
        <v>13</v>
      </c>
      <c r="I43" s="129"/>
      <c r="J43" s="130"/>
      <c r="K43" s="21"/>
      <c r="P43" s="4"/>
      <c r="Q43" s="4"/>
      <c r="R43" s="5"/>
    </row>
    <row r="44" spans="1:18" ht="15.75" x14ac:dyDescent="0.25">
      <c r="A44" s="107"/>
      <c r="B44" s="27" t="s">
        <v>66</v>
      </c>
      <c r="C44" s="10"/>
      <c r="D44" s="12">
        <f>C44*120</f>
        <v>0</v>
      </c>
      <c r="F44" s="37"/>
      <c r="G44" s="76"/>
      <c r="H44" s="131"/>
      <c r="I44" s="131"/>
      <c r="J44" s="131"/>
      <c r="K44" s="21"/>
      <c r="P44" s="4"/>
      <c r="Q44" s="4"/>
      <c r="R44" s="5"/>
    </row>
    <row r="45" spans="1:18" ht="15.75" x14ac:dyDescent="0.25">
      <c r="A45" s="107"/>
      <c r="B45" s="27" t="s">
        <v>68</v>
      </c>
      <c r="C45" s="33"/>
      <c r="D45" s="12">
        <f>C45*84</f>
        <v>0</v>
      </c>
      <c r="F45" s="37"/>
      <c r="G45" s="76"/>
      <c r="H45" s="131"/>
      <c r="I45" s="131"/>
      <c r="J45" s="131"/>
      <c r="K45" s="21"/>
      <c r="P45" s="4"/>
      <c r="Q45" s="4"/>
      <c r="R45" s="5"/>
    </row>
    <row r="46" spans="1:18" ht="15.75" x14ac:dyDescent="0.25">
      <c r="A46" s="107"/>
      <c r="B46" s="49" t="s">
        <v>70</v>
      </c>
      <c r="C46" s="81"/>
      <c r="D46" s="12">
        <f>C46*1.5</f>
        <v>0</v>
      </c>
      <c r="F46" s="37"/>
      <c r="G46" s="62"/>
      <c r="H46" s="132"/>
      <c r="I46" s="132"/>
      <c r="J46" s="132"/>
      <c r="K46" s="21"/>
      <c r="P46" s="4"/>
      <c r="Q46" s="4"/>
      <c r="R46" s="5"/>
    </row>
    <row r="47" spans="1:18" ht="15.75" x14ac:dyDescent="0.25">
      <c r="A47" s="108"/>
      <c r="B47" s="27"/>
      <c r="C47" s="11"/>
      <c r="D47" s="12"/>
      <c r="F47" s="59"/>
      <c r="G47" s="59"/>
      <c r="H47" s="109"/>
      <c r="I47" s="110"/>
      <c r="J47" s="111"/>
      <c r="K47" s="21"/>
      <c r="P47" s="4"/>
      <c r="Q47" s="4"/>
      <c r="R47" s="5"/>
    </row>
    <row r="48" spans="1:18" ht="15" customHeight="1" x14ac:dyDescent="0.25">
      <c r="A48" s="106" t="s">
        <v>32</v>
      </c>
      <c r="B48" s="27" t="s">
        <v>66</v>
      </c>
      <c r="C48" s="10"/>
      <c r="D48" s="12">
        <f>C48*78</f>
        <v>0</v>
      </c>
      <c r="F48" s="59"/>
      <c r="G48" s="59"/>
      <c r="H48" s="109"/>
      <c r="I48" s="110"/>
      <c r="J48" s="111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07"/>
      <c r="B49" s="29" t="s">
        <v>68</v>
      </c>
      <c r="C49" s="33"/>
      <c r="D49" s="12">
        <f>C49*42</f>
        <v>0</v>
      </c>
      <c r="F49" s="112" t="s">
        <v>86</v>
      </c>
      <c r="G49" s="114">
        <f>H34+H35+H36+H37+H38+H39+H40+H41+G42+H44+H45+H46</f>
        <v>0</v>
      </c>
      <c r="H49" s="115"/>
      <c r="I49" s="115"/>
      <c r="J49" s="116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07"/>
      <c r="B50" s="32" t="s">
        <v>70</v>
      </c>
      <c r="C50" s="11"/>
      <c r="D50" s="12">
        <f>C50*1.5</f>
        <v>0</v>
      </c>
      <c r="F50" s="113"/>
      <c r="G50" s="117"/>
      <c r="H50" s="118"/>
      <c r="I50" s="118"/>
      <c r="J50" s="119"/>
      <c r="P50" s="4"/>
      <c r="Q50" s="4"/>
      <c r="R50" s="5"/>
    </row>
    <row r="51" spans="1:18" ht="15" customHeight="1" x14ac:dyDescent="0.25">
      <c r="A51" s="107"/>
      <c r="B51" s="27"/>
      <c r="C51" s="10"/>
      <c r="D51" s="31"/>
      <c r="F51" s="120" t="s">
        <v>125</v>
      </c>
      <c r="G51" s="122">
        <f>G49-H29</f>
        <v>0</v>
      </c>
      <c r="H51" s="123"/>
      <c r="I51" s="123"/>
      <c r="J51" s="124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07"/>
      <c r="B52" s="29"/>
      <c r="C52" s="33"/>
      <c r="D52" s="45"/>
      <c r="F52" s="121"/>
      <c r="G52" s="125"/>
      <c r="H52" s="126"/>
      <c r="I52" s="126"/>
      <c r="J52" s="127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08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92" t="s">
        <v>90</v>
      </c>
      <c r="B54" s="93"/>
      <c r="C54" s="94"/>
      <c r="D54" s="98">
        <f>SUM(D34:D53)</f>
        <v>0</v>
      </c>
      <c r="F54" s="21"/>
      <c r="J54" s="34"/>
    </row>
    <row r="55" spans="1:18" x14ac:dyDescent="0.25">
      <c r="A55" s="95"/>
      <c r="B55" s="96"/>
      <c r="C55" s="97"/>
      <c r="D55" s="9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00" t="s">
        <v>91</v>
      </c>
      <c r="B58" s="101"/>
      <c r="C58" s="101"/>
      <c r="D58" s="102"/>
      <c r="F58" s="100" t="s">
        <v>92</v>
      </c>
      <c r="G58" s="101"/>
      <c r="H58" s="101"/>
      <c r="I58" s="101"/>
      <c r="J58" s="102"/>
    </row>
    <row r="59" spans="1:18" x14ac:dyDescent="0.25">
      <c r="A59" s="103"/>
      <c r="B59" s="104"/>
      <c r="C59" s="104"/>
      <c r="D59" s="105"/>
      <c r="F59" s="103"/>
      <c r="G59" s="104"/>
      <c r="H59" s="104"/>
      <c r="I59" s="104"/>
      <c r="J59" s="105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29DF68-D9DD-4D50-959A-8862A15B35C4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88" t="s">
        <v>1</v>
      </c>
      <c r="O1" s="188"/>
      <c r="P1" s="85" t="s">
        <v>2</v>
      </c>
      <c r="Q1" s="8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9" t="s">
        <v>7</v>
      </c>
      <c r="B4" s="140"/>
      <c r="C4" s="140"/>
      <c r="D4" s="141"/>
      <c r="F4" s="189" t="s">
        <v>8</v>
      </c>
      <c r="G4" s="191">
        <v>1</v>
      </c>
      <c r="H4" s="193" t="s">
        <v>9</v>
      </c>
      <c r="I4" s="195">
        <v>46087</v>
      </c>
      <c r="J4" s="19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3" t="s">
        <v>7</v>
      </c>
      <c r="B5" s="15" t="s">
        <v>11</v>
      </c>
      <c r="C5" s="9" t="s">
        <v>12</v>
      </c>
      <c r="D5" s="25" t="s">
        <v>13</v>
      </c>
      <c r="F5" s="190"/>
      <c r="G5" s="192"/>
      <c r="H5" s="194"/>
      <c r="I5" s="197"/>
      <c r="J5" s="19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4"/>
      <c r="B6" s="16" t="s">
        <v>15</v>
      </c>
      <c r="C6" s="10"/>
      <c r="D6" s="13">
        <f t="shared" ref="D6:D28" si="1">C6*L6</f>
        <v>0</v>
      </c>
      <c r="F6" s="199" t="s">
        <v>16</v>
      </c>
      <c r="G6" s="201" t="s">
        <v>111</v>
      </c>
      <c r="H6" s="202"/>
      <c r="I6" s="202"/>
      <c r="J6" s="203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4"/>
      <c r="B7" s="16" t="s">
        <v>18</v>
      </c>
      <c r="C7" s="10"/>
      <c r="D7" s="13">
        <f t="shared" si="1"/>
        <v>0</v>
      </c>
      <c r="F7" s="200"/>
      <c r="G7" s="204"/>
      <c r="H7" s="205"/>
      <c r="I7" s="205"/>
      <c r="J7" s="206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4"/>
      <c r="B8" s="16" t="s">
        <v>20</v>
      </c>
      <c r="C8" s="10"/>
      <c r="D8" s="13">
        <f t="shared" si="1"/>
        <v>0</v>
      </c>
      <c r="F8" s="207" t="s">
        <v>21</v>
      </c>
      <c r="G8" s="208" t="s">
        <v>144</v>
      </c>
      <c r="H8" s="209"/>
      <c r="I8" s="209"/>
      <c r="J8" s="210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4"/>
      <c r="B9" s="16" t="s">
        <v>23</v>
      </c>
      <c r="C9" s="10"/>
      <c r="D9" s="13">
        <f t="shared" si="1"/>
        <v>0</v>
      </c>
      <c r="F9" s="200"/>
      <c r="G9" s="211"/>
      <c r="H9" s="212"/>
      <c r="I9" s="212"/>
      <c r="J9" s="213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4"/>
      <c r="B10" t="s">
        <v>25</v>
      </c>
      <c r="C10" s="10"/>
      <c r="D10" s="13">
        <f t="shared" si="1"/>
        <v>0</v>
      </c>
      <c r="F10" s="199" t="s">
        <v>26</v>
      </c>
      <c r="G10" s="214" t="s">
        <v>139</v>
      </c>
      <c r="H10" s="215"/>
      <c r="I10" s="215"/>
      <c r="J10" s="216"/>
      <c r="K10" s="8"/>
      <c r="L10" s="6">
        <f>R36</f>
        <v>1032</v>
      </c>
      <c r="P10" s="4"/>
      <c r="Q10" s="4"/>
      <c r="R10" s="5"/>
    </row>
    <row r="11" spans="1:18" ht="15.75" x14ac:dyDescent="0.25">
      <c r="A11" s="134"/>
      <c r="B11" s="17" t="s">
        <v>28</v>
      </c>
      <c r="C11" s="10"/>
      <c r="D11" s="13">
        <f t="shared" si="1"/>
        <v>0</v>
      </c>
      <c r="F11" s="200"/>
      <c r="G11" s="211"/>
      <c r="H11" s="212"/>
      <c r="I11" s="212"/>
      <c r="J11" s="213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4"/>
      <c r="B12" s="17" t="s">
        <v>30</v>
      </c>
      <c r="C12" s="10"/>
      <c r="D12" s="48">
        <f t="shared" si="1"/>
        <v>0</v>
      </c>
      <c r="F12" s="217" t="s">
        <v>33</v>
      </c>
      <c r="G12" s="218"/>
      <c r="H12" s="218"/>
      <c r="I12" s="218"/>
      <c r="J12" s="219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4"/>
      <c r="B13" s="17" t="s">
        <v>32</v>
      </c>
      <c r="C13" s="10"/>
      <c r="D13" s="48">
        <f t="shared" si="1"/>
        <v>0</v>
      </c>
      <c r="F13" s="220" t="s">
        <v>36</v>
      </c>
      <c r="G13" s="184"/>
      <c r="H13" s="175">
        <f>D29</f>
        <v>0</v>
      </c>
      <c r="I13" s="176"/>
      <c r="J13" s="17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4"/>
      <c r="B14" s="14" t="s">
        <v>35</v>
      </c>
      <c r="C14" s="10"/>
      <c r="D14" s="31">
        <f t="shared" si="1"/>
        <v>0</v>
      </c>
      <c r="F14" s="178" t="s">
        <v>39</v>
      </c>
      <c r="G14" s="179"/>
      <c r="H14" s="180">
        <f>D54</f>
        <v>0</v>
      </c>
      <c r="I14" s="181"/>
      <c r="J14" s="18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4"/>
      <c r="B15" s="14" t="s">
        <v>38</v>
      </c>
      <c r="C15" s="10"/>
      <c r="D15" s="31">
        <f t="shared" si="1"/>
        <v>0</v>
      </c>
      <c r="F15" s="183" t="s">
        <v>40</v>
      </c>
      <c r="G15" s="184"/>
      <c r="H15" s="185">
        <f>H13-H14</f>
        <v>0</v>
      </c>
      <c r="I15" s="186"/>
      <c r="J15" s="187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4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45"/>
      <c r="I16" s="145"/>
      <c r="J16" s="145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4"/>
      <c r="B17" t="s">
        <v>133</v>
      </c>
      <c r="C17" s="10"/>
      <c r="D17" s="48">
        <f t="shared" si="1"/>
        <v>0</v>
      </c>
      <c r="F17" s="56"/>
      <c r="G17" s="66" t="s">
        <v>45</v>
      </c>
      <c r="H17" s="156"/>
      <c r="I17" s="156"/>
      <c r="J17" s="156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4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56"/>
      <c r="I18" s="156"/>
      <c r="J18" s="156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4"/>
      <c r="B19" s="14" t="s">
        <v>129</v>
      </c>
      <c r="C19" s="10"/>
      <c r="D19" s="48">
        <f t="shared" si="1"/>
        <v>0</v>
      </c>
      <c r="F19" s="56"/>
      <c r="G19" s="68" t="s">
        <v>50</v>
      </c>
      <c r="H19" s="145"/>
      <c r="I19" s="145"/>
      <c r="J19" s="145"/>
      <c r="L19" s="6">
        <v>1102</v>
      </c>
      <c r="Q19" s="4"/>
      <c r="R19" s="5">
        <f t="shared" si="0"/>
        <v>0</v>
      </c>
    </row>
    <row r="20" spans="1:18" ht="15.75" x14ac:dyDescent="0.25">
      <c r="A20" s="134"/>
      <c r="B20" s="83" t="s">
        <v>122</v>
      </c>
      <c r="C20" s="10"/>
      <c r="D20" s="13">
        <f t="shared" si="1"/>
        <v>0</v>
      </c>
      <c r="F20" s="57"/>
      <c r="G20" s="70" t="s">
        <v>117</v>
      </c>
      <c r="H20" s="145"/>
      <c r="I20" s="145"/>
      <c r="J20" s="145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4"/>
      <c r="B21" s="14" t="s">
        <v>131</v>
      </c>
      <c r="C21" s="10"/>
      <c r="D21" s="48">
        <f t="shared" si="1"/>
        <v>0</v>
      </c>
      <c r="F21" s="69" t="s">
        <v>99</v>
      </c>
      <c r="G21" s="82" t="s">
        <v>98</v>
      </c>
      <c r="H21" s="158" t="s">
        <v>13</v>
      </c>
      <c r="I21" s="159"/>
      <c r="J21" s="160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4"/>
      <c r="B22" s="46" t="s">
        <v>124</v>
      </c>
      <c r="C22" s="10"/>
      <c r="D22" s="48">
        <f t="shared" si="1"/>
        <v>0</v>
      </c>
      <c r="F22" s="77"/>
      <c r="G22" s="73"/>
      <c r="H22" s="161"/>
      <c r="I22" s="161"/>
      <c r="J22" s="161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4"/>
      <c r="B23" s="14" t="s">
        <v>101</v>
      </c>
      <c r="C23" s="10"/>
      <c r="D23" s="48">
        <f t="shared" si="1"/>
        <v>0</v>
      </c>
      <c r="F23" s="77"/>
      <c r="G23" s="79"/>
      <c r="H23" s="227"/>
      <c r="I23" s="228"/>
      <c r="J23" s="228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4"/>
      <c r="B24" s="14" t="s">
        <v>118</v>
      </c>
      <c r="C24" s="10"/>
      <c r="D24" s="48">
        <f t="shared" si="1"/>
        <v>0</v>
      </c>
      <c r="F24" s="77"/>
      <c r="G24" s="79"/>
      <c r="H24" s="227"/>
      <c r="I24" s="228"/>
      <c r="J24" s="228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4"/>
      <c r="B25" s="14" t="s">
        <v>134</v>
      </c>
      <c r="C25" s="10"/>
      <c r="D25" s="48">
        <f t="shared" si="1"/>
        <v>0</v>
      </c>
      <c r="F25" s="60" t="s">
        <v>100</v>
      </c>
      <c r="G25" s="55" t="s">
        <v>98</v>
      </c>
      <c r="H25" s="163" t="s">
        <v>13</v>
      </c>
      <c r="I25" s="164"/>
      <c r="J25" s="165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4"/>
      <c r="B26" s="14" t="s">
        <v>132</v>
      </c>
      <c r="C26" s="10"/>
      <c r="D26" s="48">
        <f t="shared" si="1"/>
        <v>0</v>
      </c>
      <c r="F26" s="75"/>
      <c r="G26" s="65"/>
      <c r="H26" s="131"/>
      <c r="I26" s="131"/>
      <c r="J26" s="131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4"/>
      <c r="B27" s="14" t="s">
        <v>110</v>
      </c>
      <c r="C27" s="10"/>
      <c r="D27" s="44">
        <f t="shared" si="1"/>
        <v>0</v>
      </c>
      <c r="F27" s="71"/>
      <c r="G27" s="89"/>
      <c r="H27" s="229"/>
      <c r="I27" s="230"/>
      <c r="J27" s="230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5"/>
      <c r="B28" s="46" t="s">
        <v>97</v>
      </c>
      <c r="C28" s="10"/>
      <c r="D28" s="48">
        <f t="shared" si="1"/>
        <v>0</v>
      </c>
      <c r="F28" s="86"/>
      <c r="G28" s="61"/>
      <c r="H28" s="172"/>
      <c r="I28" s="173"/>
      <c r="J28" s="174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46" t="s">
        <v>36</v>
      </c>
      <c r="B29" s="147"/>
      <c r="C29" s="148"/>
      <c r="D29" s="152">
        <f>SUM(D6:D28)</f>
        <v>0</v>
      </c>
      <c r="F29" s="92" t="s">
        <v>55</v>
      </c>
      <c r="G29" s="154"/>
      <c r="H29" s="114">
        <f>H15-H16-H17-H18-H19-H20-H22-H23-H24+H26+H27+H28</f>
        <v>0</v>
      </c>
      <c r="I29" s="115"/>
      <c r="J29" s="116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49"/>
      <c r="B30" s="150"/>
      <c r="C30" s="151"/>
      <c r="D30" s="153"/>
      <c r="F30" s="95"/>
      <c r="G30" s="155"/>
      <c r="H30" s="117"/>
      <c r="I30" s="118"/>
      <c r="J30" s="119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39" t="s">
        <v>58</v>
      </c>
      <c r="B32" s="140"/>
      <c r="C32" s="140"/>
      <c r="D32" s="141"/>
      <c r="F32" s="142" t="s">
        <v>59</v>
      </c>
      <c r="G32" s="143"/>
      <c r="H32" s="143"/>
      <c r="I32" s="143"/>
      <c r="J32" s="144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142" t="s">
        <v>13</v>
      </c>
      <c r="I33" s="143"/>
      <c r="J33" s="144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3" t="s">
        <v>65</v>
      </c>
      <c r="B34" s="26" t="s">
        <v>66</v>
      </c>
      <c r="C34" s="51"/>
      <c r="D34" s="30">
        <f>C34*120</f>
        <v>0</v>
      </c>
      <c r="F34" s="12">
        <v>1000</v>
      </c>
      <c r="G34" s="40"/>
      <c r="H34" s="136">
        <f t="shared" ref="H34:H39" si="2">F34*G34</f>
        <v>0</v>
      </c>
      <c r="I34" s="137"/>
      <c r="J34" s="138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4"/>
      <c r="B35" s="27" t="s">
        <v>68</v>
      </c>
      <c r="C35" s="52"/>
      <c r="D35" s="30">
        <f>C35*84</f>
        <v>0</v>
      </c>
      <c r="F35" s="58">
        <v>500</v>
      </c>
      <c r="G35" s="41"/>
      <c r="H35" s="136">
        <f t="shared" si="2"/>
        <v>0</v>
      </c>
      <c r="I35" s="137"/>
      <c r="J35" s="138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5"/>
      <c r="B36" s="26" t="s">
        <v>70</v>
      </c>
      <c r="C36" s="10"/>
      <c r="D36" s="12">
        <f>C36*1.5</f>
        <v>0</v>
      </c>
      <c r="F36" s="12">
        <v>200</v>
      </c>
      <c r="G36" s="37"/>
      <c r="H36" s="136">
        <f t="shared" si="2"/>
        <v>0</v>
      </c>
      <c r="I36" s="137"/>
      <c r="J36" s="138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3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36">
        <f t="shared" si="2"/>
        <v>0</v>
      </c>
      <c r="I37" s="137"/>
      <c r="J37" s="138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4"/>
      <c r="B38" s="29" t="s">
        <v>68</v>
      </c>
      <c r="C38" s="54"/>
      <c r="D38" s="12">
        <f>C38*84</f>
        <v>0</v>
      </c>
      <c r="F38" s="30">
        <v>50</v>
      </c>
      <c r="G38" s="39"/>
      <c r="H38" s="136">
        <f t="shared" si="2"/>
        <v>0</v>
      </c>
      <c r="I38" s="137"/>
      <c r="J38" s="138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5"/>
      <c r="B39" s="29" t="s">
        <v>70</v>
      </c>
      <c r="C39" s="52"/>
      <c r="D39" s="31">
        <f>C39*4.5</f>
        <v>0</v>
      </c>
      <c r="F39" s="12">
        <v>20</v>
      </c>
      <c r="G39" s="37"/>
      <c r="H39" s="136">
        <f t="shared" si="2"/>
        <v>0</v>
      </c>
      <c r="I39" s="137"/>
      <c r="J39" s="138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3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36"/>
      <c r="I40" s="137"/>
      <c r="J40" s="138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4"/>
      <c r="B41" s="27" t="s">
        <v>68</v>
      </c>
      <c r="C41" s="10"/>
      <c r="D41" s="12">
        <f>C41*84</f>
        <v>0</v>
      </c>
      <c r="F41" s="12">
        <v>5</v>
      </c>
      <c r="G41" s="42"/>
      <c r="H41" s="136"/>
      <c r="I41" s="137"/>
      <c r="J41" s="138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5"/>
      <c r="B42" s="27" t="s">
        <v>70</v>
      </c>
      <c r="C42" s="11"/>
      <c r="D42" s="12">
        <f>C42*2.25</f>
        <v>0</v>
      </c>
      <c r="F42" s="39" t="s">
        <v>79</v>
      </c>
      <c r="G42" s="136"/>
      <c r="H42" s="137"/>
      <c r="I42" s="137"/>
      <c r="J42" s="138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06" t="s">
        <v>81</v>
      </c>
      <c r="C43" s="11"/>
      <c r="D43" s="12"/>
      <c r="F43" s="59" t="s">
        <v>82</v>
      </c>
      <c r="G43" s="89" t="s">
        <v>83</v>
      </c>
      <c r="H43" s="128" t="s">
        <v>13</v>
      </c>
      <c r="I43" s="129"/>
      <c r="J43" s="130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07"/>
      <c r="B44" s="27" t="s">
        <v>66</v>
      </c>
      <c r="C44" s="10"/>
      <c r="D44" s="12">
        <f>C44*120</f>
        <v>0</v>
      </c>
      <c r="F44" s="37"/>
      <c r="G44" s="84"/>
      <c r="H44" s="131"/>
      <c r="I44" s="131"/>
      <c r="J44" s="131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07"/>
      <c r="B45" s="27" t="s">
        <v>68</v>
      </c>
      <c r="C45" s="33"/>
      <c r="D45" s="12">
        <f>C45*84</f>
        <v>0</v>
      </c>
      <c r="F45" s="37"/>
      <c r="G45" s="62"/>
      <c r="H45" s="131"/>
      <c r="I45" s="131"/>
      <c r="J45" s="131"/>
      <c r="K45" s="21"/>
      <c r="P45" s="4"/>
      <c r="Q45" s="4"/>
      <c r="R45" s="5"/>
    </row>
    <row r="46" spans="1:18" ht="15.75" x14ac:dyDescent="0.25">
      <c r="A46" s="107"/>
      <c r="B46" s="49" t="s">
        <v>70</v>
      </c>
      <c r="C46" s="81"/>
      <c r="D46" s="12">
        <f>C46*1.5</f>
        <v>0</v>
      </c>
      <c r="F46" s="37"/>
      <c r="G46" s="62"/>
      <c r="H46" s="131"/>
      <c r="I46" s="131"/>
      <c r="J46" s="131"/>
      <c r="K46" s="21"/>
      <c r="P46" s="4"/>
      <c r="Q46" s="4"/>
      <c r="R46" s="5"/>
    </row>
    <row r="47" spans="1:18" ht="15.75" x14ac:dyDescent="0.25">
      <c r="A47" s="108"/>
      <c r="B47" s="27"/>
      <c r="C47" s="11"/>
      <c r="D47" s="12"/>
      <c r="F47" s="59"/>
      <c r="G47" s="59"/>
      <c r="H47" s="109"/>
      <c r="I47" s="110"/>
      <c r="J47" s="111"/>
      <c r="K47" s="21"/>
      <c r="P47" s="4"/>
      <c r="Q47" s="4"/>
      <c r="R47" s="5"/>
    </row>
    <row r="48" spans="1:18" ht="15" customHeight="1" x14ac:dyDescent="0.25">
      <c r="A48" s="106" t="s">
        <v>32</v>
      </c>
      <c r="B48" s="27" t="s">
        <v>66</v>
      </c>
      <c r="C48" s="10"/>
      <c r="D48" s="12">
        <f>C48*78</f>
        <v>0</v>
      </c>
      <c r="F48" s="59"/>
      <c r="G48" s="59"/>
      <c r="H48" s="109"/>
      <c r="I48" s="110"/>
      <c r="J48" s="111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07"/>
      <c r="B49" s="29" t="s">
        <v>68</v>
      </c>
      <c r="C49" s="33"/>
      <c r="D49" s="12">
        <f>C49*42</f>
        <v>0</v>
      </c>
      <c r="F49" s="112" t="s">
        <v>86</v>
      </c>
      <c r="G49" s="114">
        <f>H34+H35+H36+H37+H38+H39+H40+H41+G42+H44+H45+H46</f>
        <v>0</v>
      </c>
      <c r="H49" s="115"/>
      <c r="I49" s="115"/>
      <c r="J49" s="116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07"/>
      <c r="B50" s="32" t="s">
        <v>70</v>
      </c>
      <c r="C50" s="11"/>
      <c r="D50" s="12">
        <f>C50*1.5</f>
        <v>0</v>
      </c>
      <c r="F50" s="113"/>
      <c r="G50" s="117"/>
      <c r="H50" s="118"/>
      <c r="I50" s="118"/>
      <c r="J50" s="119"/>
      <c r="O50" t="s">
        <v>137</v>
      </c>
      <c r="P50" s="4">
        <v>1204</v>
      </c>
      <c r="Q50" s="4"/>
      <c r="R50" s="5"/>
    </row>
    <row r="51" spans="1:18" ht="15" customHeight="1" x14ac:dyDescent="0.25">
      <c r="A51" s="107"/>
      <c r="B51" s="27"/>
      <c r="C51" s="10"/>
      <c r="D51" s="31"/>
      <c r="F51" s="120" t="s">
        <v>138</v>
      </c>
      <c r="G51" s="122">
        <f>G49-H29</f>
        <v>0</v>
      </c>
      <c r="H51" s="123"/>
      <c r="I51" s="123"/>
      <c r="J51" s="124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07"/>
      <c r="B52" s="29"/>
      <c r="C52" s="33"/>
      <c r="D52" s="45"/>
      <c r="F52" s="121"/>
      <c r="G52" s="125"/>
      <c r="H52" s="126"/>
      <c r="I52" s="126"/>
      <c r="J52" s="127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08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92" t="s">
        <v>90</v>
      </c>
      <c r="B54" s="93"/>
      <c r="C54" s="94"/>
      <c r="D54" s="98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95"/>
      <c r="B55" s="96"/>
      <c r="C55" s="97"/>
      <c r="D55" s="9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140</v>
      </c>
      <c r="D57" s="34"/>
      <c r="F57" s="36"/>
      <c r="G57" s="50"/>
      <c r="H57" s="50"/>
      <c r="I57" s="50"/>
      <c r="J57" s="43"/>
    </row>
    <row r="58" spans="1:18" x14ac:dyDescent="0.25">
      <c r="A58" s="100" t="s">
        <v>91</v>
      </c>
      <c r="B58" s="101"/>
      <c r="C58" s="101"/>
      <c r="D58" s="102"/>
      <c r="F58" s="100" t="s">
        <v>92</v>
      </c>
      <c r="G58" s="101"/>
      <c r="H58" s="101"/>
      <c r="I58" s="101"/>
      <c r="J58" s="102"/>
    </row>
    <row r="59" spans="1:18" x14ac:dyDescent="0.25">
      <c r="A59" s="103"/>
      <c r="B59" s="104"/>
      <c r="C59" s="104"/>
      <c r="D59" s="105"/>
      <c r="F59" s="103"/>
      <c r="G59" s="104"/>
      <c r="H59" s="104"/>
      <c r="I59" s="104"/>
      <c r="J59" s="105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CB1397-3E9E-4383-91FA-825D621525C4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88" t="s">
        <v>1</v>
      </c>
      <c r="O1" s="188"/>
      <c r="P1" s="85" t="s">
        <v>2</v>
      </c>
      <c r="Q1" s="8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9" t="s">
        <v>7</v>
      </c>
      <c r="B4" s="140"/>
      <c r="C4" s="140"/>
      <c r="D4" s="141"/>
      <c r="F4" s="189" t="s">
        <v>8</v>
      </c>
      <c r="G4" s="191">
        <v>2</v>
      </c>
      <c r="H4" s="193" t="s">
        <v>9</v>
      </c>
      <c r="I4" s="195">
        <v>46087</v>
      </c>
      <c r="J4" s="19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3" t="s">
        <v>7</v>
      </c>
      <c r="B5" s="15" t="s">
        <v>11</v>
      </c>
      <c r="C5" s="9" t="s">
        <v>12</v>
      </c>
      <c r="D5" s="25" t="s">
        <v>13</v>
      </c>
      <c r="F5" s="190"/>
      <c r="G5" s="192"/>
      <c r="H5" s="194"/>
      <c r="I5" s="197"/>
      <c r="J5" s="19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4"/>
      <c r="B6" s="16" t="s">
        <v>15</v>
      </c>
      <c r="C6" s="10"/>
      <c r="D6" s="13">
        <f t="shared" ref="D6:D28" si="1">C6*L6</f>
        <v>0</v>
      </c>
      <c r="F6" s="199" t="s">
        <v>16</v>
      </c>
      <c r="G6" s="201" t="s">
        <v>126</v>
      </c>
      <c r="H6" s="202"/>
      <c r="I6" s="202"/>
      <c r="J6" s="203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4"/>
      <c r="B7" s="16" t="s">
        <v>18</v>
      </c>
      <c r="C7" s="10"/>
      <c r="D7" s="13">
        <f t="shared" si="1"/>
        <v>0</v>
      </c>
      <c r="F7" s="200"/>
      <c r="G7" s="204"/>
      <c r="H7" s="205"/>
      <c r="I7" s="205"/>
      <c r="J7" s="206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4"/>
      <c r="B8" s="16" t="s">
        <v>20</v>
      </c>
      <c r="C8" s="10"/>
      <c r="D8" s="13">
        <f t="shared" si="1"/>
        <v>0</v>
      </c>
      <c r="F8" s="207" t="s">
        <v>21</v>
      </c>
      <c r="G8" s="208" t="s">
        <v>113</v>
      </c>
      <c r="H8" s="209"/>
      <c r="I8" s="209"/>
      <c r="J8" s="210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4"/>
      <c r="B9" s="16" t="s">
        <v>23</v>
      </c>
      <c r="C9" s="10"/>
      <c r="D9" s="13">
        <f t="shared" si="1"/>
        <v>0</v>
      </c>
      <c r="F9" s="200"/>
      <c r="G9" s="211"/>
      <c r="H9" s="212"/>
      <c r="I9" s="212"/>
      <c r="J9" s="213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4"/>
      <c r="B10" t="s">
        <v>25</v>
      </c>
      <c r="C10" s="10"/>
      <c r="D10" s="13">
        <f t="shared" si="1"/>
        <v>0</v>
      </c>
      <c r="F10" s="199" t="s">
        <v>26</v>
      </c>
      <c r="G10" s="214" t="s">
        <v>114</v>
      </c>
      <c r="H10" s="215"/>
      <c r="I10" s="215"/>
      <c r="J10" s="216"/>
      <c r="K10" s="8"/>
      <c r="L10" s="6">
        <f>R36</f>
        <v>1032</v>
      </c>
      <c r="P10" s="4"/>
      <c r="Q10" s="4"/>
      <c r="R10" s="5"/>
    </row>
    <row r="11" spans="1:18" ht="15.75" x14ac:dyDescent="0.25">
      <c r="A11" s="134"/>
      <c r="B11" s="17" t="s">
        <v>28</v>
      </c>
      <c r="C11" s="10"/>
      <c r="D11" s="13">
        <f t="shared" si="1"/>
        <v>0</v>
      </c>
      <c r="F11" s="200"/>
      <c r="G11" s="211"/>
      <c r="H11" s="212"/>
      <c r="I11" s="212"/>
      <c r="J11" s="213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4"/>
      <c r="B12" s="17" t="s">
        <v>30</v>
      </c>
      <c r="C12" s="10"/>
      <c r="D12" s="48">
        <f t="shared" si="1"/>
        <v>0</v>
      </c>
      <c r="F12" s="217" t="s">
        <v>33</v>
      </c>
      <c r="G12" s="218"/>
      <c r="H12" s="218"/>
      <c r="I12" s="218"/>
      <c r="J12" s="219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4"/>
      <c r="B13" s="17" t="s">
        <v>32</v>
      </c>
      <c r="C13" s="10"/>
      <c r="D13" s="48">
        <f t="shared" si="1"/>
        <v>0</v>
      </c>
      <c r="F13" s="220" t="s">
        <v>36</v>
      </c>
      <c r="G13" s="184"/>
      <c r="H13" s="175">
        <f>D29</f>
        <v>0</v>
      </c>
      <c r="I13" s="176"/>
      <c r="J13" s="17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4"/>
      <c r="B14" s="14" t="s">
        <v>35</v>
      </c>
      <c r="C14" s="10"/>
      <c r="D14" s="31">
        <f t="shared" si="1"/>
        <v>0</v>
      </c>
      <c r="F14" s="178" t="s">
        <v>39</v>
      </c>
      <c r="G14" s="179"/>
      <c r="H14" s="180">
        <f>D54</f>
        <v>0</v>
      </c>
      <c r="I14" s="181"/>
      <c r="J14" s="18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4"/>
      <c r="B15" s="14" t="s">
        <v>38</v>
      </c>
      <c r="C15" s="10"/>
      <c r="D15" s="31">
        <f t="shared" si="1"/>
        <v>0</v>
      </c>
      <c r="F15" s="183" t="s">
        <v>40</v>
      </c>
      <c r="G15" s="184"/>
      <c r="H15" s="185">
        <f>H13-H14</f>
        <v>0</v>
      </c>
      <c r="I15" s="186"/>
      <c r="J15" s="187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4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45"/>
      <c r="I16" s="145"/>
      <c r="J16" s="145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4"/>
      <c r="B17" t="s">
        <v>93</v>
      </c>
      <c r="C17" s="10"/>
      <c r="D17" s="48">
        <f t="shared" si="1"/>
        <v>0</v>
      </c>
      <c r="F17" s="56"/>
      <c r="G17" s="66" t="s">
        <v>45</v>
      </c>
      <c r="H17" s="156"/>
      <c r="I17" s="156"/>
      <c r="J17" s="156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4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56"/>
      <c r="I18" s="156"/>
      <c r="J18" s="156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4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31"/>
      <c r="I19" s="231"/>
      <c r="J19" s="231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4"/>
      <c r="B20" s="46" t="s">
        <v>119</v>
      </c>
      <c r="C20" s="10"/>
      <c r="D20" s="13">
        <f t="shared" si="1"/>
        <v>0</v>
      </c>
      <c r="F20" s="57"/>
      <c r="G20" s="70" t="s">
        <v>117</v>
      </c>
      <c r="H20" s="156"/>
      <c r="I20" s="156"/>
      <c r="J20" s="156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4"/>
      <c r="B21" s="14" t="s">
        <v>131</v>
      </c>
      <c r="C21" s="10"/>
      <c r="D21" s="48">
        <f t="shared" si="1"/>
        <v>0</v>
      </c>
      <c r="F21" s="69" t="s">
        <v>99</v>
      </c>
      <c r="G21" s="82" t="s">
        <v>98</v>
      </c>
      <c r="H21" s="158" t="s">
        <v>13</v>
      </c>
      <c r="I21" s="159"/>
      <c r="J21" s="160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4"/>
      <c r="B22" s="46" t="s">
        <v>104</v>
      </c>
      <c r="C22" s="10"/>
      <c r="D22" s="48">
        <f t="shared" si="1"/>
        <v>0</v>
      </c>
      <c r="F22" s="72"/>
      <c r="G22" s="73"/>
      <c r="H22" s="161"/>
      <c r="I22" s="161"/>
      <c r="J22" s="161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4"/>
      <c r="B23" s="14" t="s">
        <v>107</v>
      </c>
      <c r="C23" s="10"/>
      <c r="D23" s="48">
        <f t="shared" si="1"/>
        <v>0</v>
      </c>
      <c r="F23" s="25"/>
      <c r="G23" s="37"/>
      <c r="H23" s="162"/>
      <c r="I23" s="131"/>
      <c r="J23" s="131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4"/>
      <c r="B24" s="14" t="s">
        <v>120</v>
      </c>
      <c r="C24" s="10"/>
      <c r="D24" s="48">
        <f t="shared" si="1"/>
        <v>0</v>
      </c>
      <c r="F24" s="38"/>
      <c r="G24" s="37"/>
      <c r="H24" s="162"/>
      <c r="I24" s="131"/>
      <c r="J24" s="131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4"/>
      <c r="B25" s="14" t="s">
        <v>121</v>
      </c>
      <c r="C25" s="10"/>
      <c r="D25" s="48">
        <f t="shared" si="1"/>
        <v>0</v>
      </c>
      <c r="F25" s="60" t="s">
        <v>100</v>
      </c>
      <c r="G25" s="55" t="s">
        <v>98</v>
      </c>
      <c r="H25" s="163" t="s">
        <v>13</v>
      </c>
      <c r="I25" s="164"/>
      <c r="J25" s="165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4"/>
      <c r="B26" s="14" t="s">
        <v>105</v>
      </c>
      <c r="C26" s="10"/>
      <c r="D26" s="48">
        <f t="shared" si="1"/>
        <v>0</v>
      </c>
      <c r="F26" s="64"/>
      <c r="G26" s="10"/>
      <c r="H26" s="166"/>
      <c r="I26" s="167"/>
      <c r="J26" s="168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4"/>
      <c r="B27" s="14" t="s">
        <v>109</v>
      </c>
      <c r="C27" s="10"/>
      <c r="D27" s="44">
        <f t="shared" si="1"/>
        <v>0</v>
      </c>
      <c r="F27" s="14"/>
      <c r="G27" s="14"/>
      <c r="H27" s="169"/>
      <c r="I27" s="170"/>
      <c r="J27" s="171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5"/>
      <c r="B28" s="46" t="s">
        <v>97</v>
      </c>
      <c r="C28" s="10"/>
      <c r="D28" s="48">
        <f t="shared" si="1"/>
        <v>0</v>
      </c>
      <c r="F28" s="86"/>
      <c r="G28" s="61"/>
      <c r="H28" s="172"/>
      <c r="I28" s="173"/>
      <c r="J28" s="174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46" t="s">
        <v>36</v>
      </c>
      <c r="B29" s="147"/>
      <c r="C29" s="148"/>
      <c r="D29" s="152">
        <f>SUM(D6:D28)</f>
        <v>0</v>
      </c>
      <c r="F29" s="92" t="s">
        <v>55</v>
      </c>
      <c r="G29" s="154"/>
      <c r="H29" s="114">
        <f>H15-H16-H17-H18-H19-H20-H22-H23-H24+H26+H27</f>
        <v>0</v>
      </c>
      <c r="I29" s="115"/>
      <c r="J29" s="116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49"/>
      <c r="B30" s="150"/>
      <c r="C30" s="151"/>
      <c r="D30" s="153"/>
      <c r="F30" s="95"/>
      <c r="G30" s="155"/>
      <c r="H30" s="117"/>
      <c r="I30" s="118"/>
      <c r="J30" s="119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39" t="s">
        <v>58</v>
      </c>
      <c r="B32" s="140"/>
      <c r="C32" s="140"/>
      <c r="D32" s="141"/>
      <c r="F32" s="142" t="s">
        <v>59</v>
      </c>
      <c r="G32" s="143"/>
      <c r="H32" s="143"/>
      <c r="I32" s="143"/>
      <c r="J32" s="144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142" t="s">
        <v>13</v>
      </c>
      <c r="I33" s="143"/>
      <c r="J33" s="144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3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36">
        <f>F34*G34</f>
        <v>0</v>
      </c>
      <c r="I34" s="137"/>
      <c r="J34" s="138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4"/>
      <c r="B35" s="27" t="s">
        <v>68</v>
      </c>
      <c r="C35" s="52"/>
      <c r="D35" s="30">
        <f>C35*84</f>
        <v>0</v>
      </c>
      <c r="F35" s="58">
        <v>500</v>
      </c>
      <c r="G35" s="41"/>
      <c r="H35" s="136">
        <f t="shared" ref="H35:H39" si="2">F35*G35</f>
        <v>0</v>
      </c>
      <c r="I35" s="137"/>
      <c r="J35" s="138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5"/>
      <c r="B36" s="26" t="s">
        <v>70</v>
      </c>
      <c r="C36" s="10"/>
      <c r="D36" s="12">
        <f>C36*1.5</f>
        <v>0</v>
      </c>
      <c r="F36" s="12">
        <v>200</v>
      </c>
      <c r="G36" s="37"/>
      <c r="H36" s="136">
        <f>F36*G36</f>
        <v>0</v>
      </c>
      <c r="I36" s="137"/>
      <c r="J36" s="138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3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36">
        <f t="shared" si="2"/>
        <v>0</v>
      </c>
      <c r="I37" s="137"/>
      <c r="J37" s="138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4"/>
      <c r="B38" s="29" t="s">
        <v>68</v>
      </c>
      <c r="C38" s="54"/>
      <c r="D38" s="12">
        <f>C38*84</f>
        <v>0</v>
      </c>
      <c r="F38" s="30">
        <v>50</v>
      </c>
      <c r="G38" s="39"/>
      <c r="H38" s="136">
        <f t="shared" si="2"/>
        <v>0</v>
      </c>
      <c r="I38" s="137"/>
      <c r="J38" s="138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5"/>
      <c r="B39" s="29" t="s">
        <v>70</v>
      </c>
      <c r="C39" s="52"/>
      <c r="D39" s="31">
        <f>C39*4.5</f>
        <v>0</v>
      </c>
      <c r="F39" s="12">
        <v>20</v>
      </c>
      <c r="G39" s="37"/>
      <c r="H39" s="136">
        <f t="shared" si="2"/>
        <v>0</v>
      </c>
      <c r="I39" s="137"/>
      <c r="J39" s="138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3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36"/>
      <c r="I40" s="137"/>
      <c r="J40" s="138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4"/>
      <c r="B41" s="27" t="s">
        <v>68</v>
      </c>
      <c r="C41" s="10"/>
      <c r="D41" s="12">
        <f>C41*84</f>
        <v>0</v>
      </c>
      <c r="F41" s="12">
        <v>5</v>
      </c>
      <c r="G41" s="42"/>
      <c r="H41" s="136"/>
      <c r="I41" s="137"/>
      <c r="J41" s="138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5"/>
      <c r="B42" s="27" t="s">
        <v>70</v>
      </c>
      <c r="C42" s="11"/>
      <c r="D42" s="12">
        <f>C42*2.25</f>
        <v>0</v>
      </c>
      <c r="F42" s="39" t="s">
        <v>79</v>
      </c>
      <c r="G42" s="136"/>
      <c r="H42" s="137"/>
      <c r="I42" s="137"/>
      <c r="J42" s="138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06" t="s">
        <v>81</v>
      </c>
      <c r="C43" s="11"/>
      <c r="D43" s="12"/>
      <c r="F43" s="59" t="s">
        <v>82</v>
      </c>
      <c r="G43" s="89" t="s">
        <v>83</v>
      </c>
      <c r="H43" s="128" t="s">
        <v>13</v>
      </c>
      <c r="I43" s="129"/>
      <c r="J43" s="130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07"/>
      <c r="B44" s="27" t="s">
        <v>66</v>
      </c>
      <c r="C44" s="10"/>
      <c r="D44" s="12">
        <f>C44*120</f>
        <v>0</v>
      </c>
      <c r="F44" s="37"/>
      <c r="G44" s="62"/>
      <c r="H44" s="131"/>
      <c r="I44" s="131"/>
      <c r="J44" s="131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07"/>
      <c r="B45" s="27" t="s">
        <v>68</v>
      </c>
      <c r="C45" s="33"/>
      <c r="D45" s="12">
        <f>C45*84</f>
        <v>0</v>
      </c>
      <c r="F45" s="37"/>
      <c r="G45" s="62"/>
      <c r="H45" s="131"/>
      <c r="I45" s="131"/>
      <c r="J45" s="131"/>
      <c r="K45" s="21"/>
      <c r="P45" s="4"/>
      <c r="Q45" s="4"/>
      <c r="R45" s="5"/>
    </row>
    <row r="46" spans="1:18" ht="15.75" x14ac:dyDescent="0.25">
      <c r="A46" s="107"/>
      <c r="B46" s="49" t="s">
        <v>70</v>
      </c>
      <c r="C46" s="81"/>
      <c r="D46" s="12">
        <f>C46*1.5</f>
        <v>0</v>
      </c>
      <c r="F46" s="37"/>
      <c r="G46" s="88"/>
      <c r="H46" s="132"/>
      <c r="I46" s="132"/>
      <c r="J46" s="132"/>
      <c r="K46" s="21"/>
      <c r="P46" s="4"/>
      <c r="Q46" s="4"/>
      <c r="R46" s="5"/>
    </row>
    <row r="47" spans="1:18" ht="15.75" x14ac:dyDescent="0.25">
      <c r="A47" s="108"/>
      <c r="B47" s="27"/>
      <c r="C47" s="11"/>
      <c r="D47" s="12"/>
      <c r="F47" s="59"/>
      <c r="G47" s="59"/>
      <c r="H47" s="109"/>
      <c r="I47" s="110"/>
      <c r="J47" s="111"/>
      <c r="K47" s="21"/>
      <c r="P47" s="4"/>
      <c r="Q47" s="4"/>
      <c r="R47" s="5"/>
    </row>
    <row r="48" spans="1:18" ht="15" customHeight="1" x14ac:dyDescent="0.25">
      <c r="A48" s="106" t="s">
        <v>32</v>
      </c>
      <c r="B48" s="27" t="s">
        <v>66</v>
      </c>
      <c r="C48" s="10"/>
      <c r="D48" s="12">
        <f>C48*78</f>
        <v>0</v>
      </c>
      <c r="F48" s="59"/>
      <c r="G48" s="59"/>
      <c r="H48" s="109"/>
      <c r="I48" s="110"/>
      <c r="J48" s="111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07"/>
      <c r="B49" s="29" t="s">
        <v>68</v>
      </c>
      <c r="C49" s="33"/>
      <c r="D49" s="12">
        <f>C49*42</f>
        <v>0</v>
      </c>
      <c r="F49" s="112" t="s">
        <v>86</v>
      </c>
      <c r="G49" s="114">
        <f>H34+H35+H36+H37+H38+H39+H40+H41+G42+H44+H45+H46</f>
        <v>0</v>
      </c>
      <c r="H49" s="115"/>
      <c r="I49" s="115"/>
      <c r="J49" s="116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07"/>
      <c r="B50" s="32" t="s">
        <v>70</v>
      </c>
      <c r="C50" s="11"/>
      <c r="D50" s="12">
        <f>C50*1.5</f>
        <v>0</v>
      </c>
      <c r="F50" s="113"/>
      <c r="G50" s="117"/>
      <c r="H50" s="118"/>
      <c r="I50" s="118"/>
      <c r="J50" s="119"/>
      <c r="O50" t="s">
        <v>137</v>
      </c>
      <c r="P50" s="4">
        <v>1204</v>
      </c>
      <c r="Q50" s="4"/>
      <c r="R50" s="5"/>
    </row>
    <row r="51" spans="1:18" ht="15" customHeight="1" x14ac:dyDescent="0.25">
      <c r="A51" s="107"/>
      <c r="B51" s="27"/>
      <c r="C51" s="10"/>
      <c r="D51" s="31"/>
      <c r="F51" s="120" t="s">
        <v>135</v>
      </c>
      <c r="G51" s="122">
        <f>G49-H29</f>
        <v>0</v>
      </c>
      <c r="H51" s="123"/>
      <c r="I51" s="123"/>
      <c r="J51" s="124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07"/>
      <c r="B52" s="29"/>
      <c r="C52" s="33"/>
      <c r="D52" s="45"/>
      <c r="F52" s="121"/>
      <c r="G52" s="125"/>
      <c r="H52" s="126"/>
      <c r="I52" s="126"/>
      <c r="J52" s="127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08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92" t="s">
        <v>90</v>
      </c>
      <c r="B54" s="93"/>
      <c r="C54" s="94"/>
      <c r="D54" s="98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95"/>
      <c r="B55" s="96"/>
      <c r="C55" s="97"/>
      <c r="D55" s="9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100" t="s">
        <v>91</v>
      </c>
      <c r="B58" s="101"/>
      <c r="C58" s="101"/>
      <c r="D58" s="102"/>
      <c r="F58" s="100" t="s">
        <v>92</v>
      </c>
      <c r="G58" s="101"/>
      <c r="H58" s="101"/>
      <c r="I58" s="101"/>
      <c r="J58" s="102"/>
    </row>
    <row r="59" spans="1:18" x14ac:dyDescent="0.25">
      <c r="A59" s="103"/>
      <c r="B59" s="104"/>
      <c r="C59" s="104"/>
      <c r="D59" s="105"/>
      <c r="F59" s="103"/>
      <c r="G59" s="104"/>
      <c r="H59" s="104"/>
      <c r="I59" s="104"/>
      <c r="J59" s="105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660AB0-88AB-4465-8B44-602BC78E3FF7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88" t="s">
        <v>1</v>
      </c>
      <c r="O1" s="188"/>
      <c r="P1" s="85" t="s">
        <v>2</v>
      </c>
      <c r="Q1" s="8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9" t="s">
        <v>7</v>
      </c>
      <c r="B4" s="140"/>
      <c r="C4" s="140"/>
      <c r="D4" s="141"/>
      <c r="F4" s="189" t="s">
        <v>8</v>
      </c>
      <c r="G4" s="191">
        <v>3</v>
      </c>
      <c r="H4" s="193" t="s">
        <v>9</v>
      </c>
      <c r="I4" s="195">
        <v>46087</v>
      </c>
      <c r="J4" s="19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3" t="s">
        <v>7</v>
      </c>
      <c r="B5" s="15" t="s">
        <v>11</v>
      </c>
      <c r="C5" s="9" t="s">
        <v>12</v>
      </c>
      <c r="D5" s="25" t="s">
        <v>13</v>
      </c>
      <c r="F5" s="190"/>
      <c r="G5" s="192"/>
      <c r="H5" s="194"/>
      <c r="I5" s="197"/>
      <c r="J5" s="19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4"/>
      <c r="B6" s="16" t="s">
        <v>15</v>
      </c>
      <c r="C6" s="10">
        <v>355</v>
      </c>
      <c r="D6" s="13">
        <f t="shared" ref="D6:D28" si="1">C6*L6</f>
        <v>270155</v>
      </c>
      <c r="F6" s="199" t="s">
        <v>16</v>
      </c>
      <c r="G6" s="201" t="s">
        <v>141</v>
      </c>
      <c r="H6" s="202"/>
      <c r="I6" s="202"/>
      <c r="J6" s="203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4"/>
      <c r="B7" s="16" t="s">
        <v>18</v>
      </c>
      <c r="C7" s="10">
        <v>10</v>
      </c>
      <c r="D7" s="13">
        <f t="shared" si="1"/>
        <v>7810</v>
      </c>
      <c r="F7" s="200"/>
      <c r="G7" s="204"/>
      <c r="H7" s="205"/>
      <c r="I7" s="205"/>
      <c r="J7" s="206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4"/>
      <c r="B8" s="16" t="s">
        <v>20</v>
      </c>
      <c r="C8" s="10"/>
      <c r="D8" s="13">
        <f t="shared" si="1"/>
        <v>0</v>
      </c>
      <c r="F8" s="207" t="s">
        <v>21</v>
      </c>
      <c r="G8" s="208" t="s">
        <v>130</v>
      </c>
      <c r="H8" s="209"/>
      <c r="I8" s="209"/>
      <c r="J8" s="210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4"/>
      <c r="B9" s="16" t="s">
        <v>23</v>
      </c>
      <c r="C9" s="10">
        <v>111</v>
      </c>
      <c r="D9" s="13">
        <f t="shared" si="1"/>
        <v>81363</v>
      </c>
      <c r="F9" s="200"/>
      <c r="G9" s="211"/>
      <c r="H9" s="212"/>
      <c r="I9" s="212"/>
      <c r="J9" s="213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4"/>
      <c r="B10" t="s">
        <v>25</v>
      </c>
      <c r="C10" s="10"/>
      <c r="D10" s="13">
        <f t="shared" si="1"/>
        <v>0</v>
      </c>
      <c r="F10" s="199" t="s">
        <v>26</v>
      </c>
      <c r="G10" s="214" t="s">
        <v>127</v>
      </c>
      <c r="H10" s="215"/>
      <c r="I10" s="215"/>
      <c r="J10" s="216"/>
      <c r="K10" s="8"/>
      <c r="L10" s="6">
        <f>R36</f>
        <v>1032</v>
      </c>
      <c r="P10" s="4"/>
      <c r="Q10" s="4"/>
      <c r="R10" s="5"/>
    </row>
    <row r="11" spans="1:18" ht="15.75" x14ac:dyDescent="0.25">
      <c r="A11" s="134"/>
      <c r="B11" s="17" t="s">
        <v>28</v>
      </c>
      <c r="C11" s="10"/>
      <c r="D11" s="13">
        <f t="shared" si="1"/>
        <v>0</v>
      </c>
      <c r="F11" s="200"/>
      <c r="G11" s="211"/>
      <c r="H11" s="212"/>
      <c r="I11" s="212"/>
      <c r="J11" s="213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4"/>
      <c r="B12" s="17" t="s">
        <v>30</v>
      </c>
      <c r="C12" s="10"/>
      <c r="D12" s="48">
        <f t="shared" si="1"/>
        <v>0</v>
      </c>
      <c r="F12" s="217" t="s">
        <v>33</v>
      </c>
      <c r="G12" s="218"/>
      <c r="H12" s="218"/>
      <c r="I12" s="218"/>
      <c r="J12" s="219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4"/>
      <c r="B13" s="17" t="s">
        <v>32</v>
      </c>
      <c r="C13" s="10">
        <v>13</v>
      </c>
      <c r="D13" s="48">
        <f t="shared" si="1"/>
        <v>3991</v>
      </c>
      <c r="F13" s="220" t="s">
        <v>36</v>
      </c>
      <c r="G13" s="184"/>
      <c r="H13" s="175">
        <f>D29</f>
        <v>363462</v>
      </c>
      <c r="I13" s="176"/>
      <c r="J13" s="17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4"/>
      <c r="B14" s="14" t="s">
        <v>35</v>
      </c>
      <c r="C14" s="10">
        <v>13</v>
      </c>
      <c r="D14" s="31">
        <f t="shared" si="1"/>
        <v>143</v>
      </c>
      <c r="F14" s="178" t="s">
        <v>39</v>
      </c>
      <c r="G14" s="179"/>
      <c r="H14" s="180">
        <f>D54</f>
        <v>54750</v>
      </c>
      <c r="I14" s="181"/>
      <c r="J14" s="18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4"/>
      <c r="B15" s="14" t="s">
        <v>38</v>
      </c>
      <c r="C15" s="10"/>
      <c r="D15" s="31">
        <f t="shared" si="1"/>
        <v>0</v>
      </c>
      <c r="F15" s="183" t="s">
        <v>40</v>
      </c>
      <c r="G15" s="184"/>
      <c r="H15" s="185">
        <f>H13-H14</f>
        <v>308712</v>
      </c>
      <c r="I15" s="186"/>
      <c r="J15" s="187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4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45">
        <v>2472</v>
      </c>
      <c r="I16" s="145"/>
      <c r="J16" s="145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4"/>
      <c r="B17" t="s">
        <v>112</v>
      </c>
      <c r="C17" s="10"/>
      <c r="D17" s="48">
        <f t="shared" si="1"/>
        <v>0</v>
      </c>
      <c r="F17" s="56"/>
      <c r="G17" s="66" t="s">
        <v>45</v>
      </c>
      <c r="H17" s="156"/>
      <c r="I17" s="156"/>
      <c r="J17" s="156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4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56"/>
      <c r="I18" s="156"/>
      <c r="J18" s="156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4"/>
      <c r="B19" s="14" t="s">
        <v>116</v>
      </c>
      <c r="C19" s="10"/>
      <c r="D19" s="48">
        <f t="shared" si="1"/>
        <v>0</v>
      </c>
      <c r="F19" s="56"/>
      <c r="G19" s="68" t="s">
        <v>50</v>
      </c>
      <c r="H19" s="232">
        <v>50</v>
      </c>
      <c r="I19" s="232"/>
      <c r="J19" s="232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4"/>
      <c r="B20" s="46" t="s">
        <v>108</v>
      </c>
      <c r="C20" s="10"/>
      <c r="D20" s="13">
        <f t="shared" si="1"/>
        <v>0</v>
      </c>
      <c r="F20" s="57"/>
      <c r="G20" s="70" t="s">
        <v>117</v>
      </c>
      <c r="H20" s="145"/>
      <c r="I20" s="145"/>
      <c r="J20" s="145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4"/>
      <c r="B21" s="14" t="s">
        <v>123</v>
      </c>
      <c r="C21" s="10"/>
      <c r="D21" s="48">
        <f t="shared" si="1"/>
        <v>0</v>
      </c>
      <c r="F21" s="69" t="s">
        <v>99</v>
      </c>
      <c r="G21" s="82" t="s">
        <v>98</v>
      </c>
      <c r="H21" s="158" t="s">
        <v>13</v>
      </c>
      <c r="I21" s="159"/>
      <c r="J21" s="160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4"/>
      <c r="B22" s="46" t="s">
        <v>104</v>
      </c>
      <c r="C22" s="10"/>
      <c r="D22" s="48">
        <f t="shared" si="1"/>
        <v>0</v>
      </c>
      <c r="F22" s="77"/>
      <c r="G22" s="73"/>
      <c r="H22" s="161"/>
      <c r="I22" s="161"/>
      <c r="J22" s="161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4"/>
      <c r="B23" s="14" t="s">
        <v>107</v>
      </c>
      <c r="C23" s="10"/>
      <c r="D23" s="48">
        <f t="shared" si="1"/>
        <v>0</v>
      </c>
      <c r="F23" s="78"/>
      <c r="G23" s="79"/>
      <c r="H23" s="162"/>
      <c r="I23" s="131"/>
      <c r="J23" s="131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4"/>
      <c r="B24" s="14" t="s">
        <v>101</v>
      </c>
      <c r="C24" s="10"/>
      <c r="D24" s="48">
        <f t="shared" si="1"/>
        <v>0</v>
      </c>
      <c r="F24" s="38"/>
      <c r="G24" s="37"/>
      <c r="H24" s="162"/>
      <c r="I24" s="131"/>
      <c r="J24" s="131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4"/>
      <c r="B25" s="14" t="s">
        <v>115</v>
      </c>
      <c r="C25" s="10"/>
      <c r="D25" s="48">
        <f t="shared" si="1"/>
        <v>0</v>
      </c>
      <c r="F25" s="60" t="s">
        <v>100</v>
      </c>
      <c r="G25" s="55" t="s">
        <v>98</v>
      </c>
      <c r="H25" s="163" t="s">
        <v>13</v>
      </c>
      <c r="I25" s="164"/>
      <c r="J25" s="165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4"/>
      <c r="B26" s="14" t="s">
        <v>105</v>
      </c>
      <c r="C26" s="10"/>
      <c r="D26" s="48">
        <f t="shared" si="1"/>
        <v>0</v>
      </c>
      <c r="F26" s="64"/>
      <c r="G26" s="59"/>
      <c r="H26" s="166"/>
      <c r="I26" s="167"/>
      <c r="J26" s="168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4"/>
      <c r="B27" s="14" t="s">
        <v>109</v>
      </c>
      <c r="C27" s="10"/>
      <c r="D27" s="44">
        <f t="shared" si="1"/>
        <v>0</v>
      </c>
      <c r="F27" s="25"/>
      <c r="G27" s="80"/>
      <c r="H27" s="169"/>
      <c r="I27" s="170"/>
      <c r="J27" s="171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5"/>
      <c r="B28" s="46" t="s">
        <v>97</v>
      </c>
      <c r="C28" s="10"/>
      <c r="D28" s="48">
        <f t="shared" si="1"/>
        <v>0</v>
      </c>
      <c r="F28" s="86"/>
      <c r="G28" s="61"/>
      <c r="H28" s="172"/>
      <c r="I28" s="173"/>
      <c r="J28" s="174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46" t="s">
        <v>36</v>
      </c>
      <c r="B29" s="147"/>
      <c r="C29" s="148"/>
      <c r="D29" s="152">
        <f>SUM(D6:D28)</f>
        <v>363462</v>
      </c>
      <c r="F29" s="92" t="s">
        <v>55</v>
      </c>
      <c r="G29" s="154"/>
      <c r="H29" s="114">
        <f>H15-H16-H17-H18-H19-H20-H22-H23-H24+H26+H27</f>
        <v>306190</v>
      </c>
      <c r="I29" s="115"/>
      <c r="J29" s="116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49"/>
      <c r="B30" s="150"/>
      <c r="C30" s="151"/>
      <c r="D30" s="153"/>
      <c r="F30" s="95"/>
      <c r="G30" s="155"/>
      <c r="H30" s="117"/>
      <c r="I30" s="118"/>
      <c r="J30" s="119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39" t="s">
        <v>58</v>
      </c>
      <c r="B32" s="140"/>
      <c r="C32" s="140"/>
      <c r="D32" s="141"/>
      <c r="F32" s="142" t="s">
        <v>59</v>
      </c>
      <c r="G32" s="143"/>
      <c r="H32" s="143"/>
      <c r="I32" s="143"/>
      <c r="J32" s="144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142" t="s">
        <v>13</v>
      </c>
      <c r="I33" s="143"/>
      <c r="J33" s="144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3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63</v>
      </c>
      <c r="H34" s="136">
        <f>F34*G34</f>
        <v>63000</v>
      </c>
      <c r="I34" s="137"/>
      <c r="J34" s="138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4"/>
      <c r="B35" s="27" t="s">
        <v>68</v>
      </c>
      <c r="C35" s="52"/>
      <c r="D35" s="30">
        <f>C35*84</f>
        <v>0</v>
      </c>
      <c r="F35" s="58">
        <v>500</v>
      </c>
      <c r="G35" s="41">
        <v>31</v>
      </c>
      <c r="H35" s="136">
        <f>F35*G35</f>
        <v>15500</v>
      </c>
      <c r="I35" s="137"/>
      <c r="J35" s="138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5"/>
      <c r="B36" s="26" t="s">
        <v>70</v>
      </c>
      <c r="C36" s="10"/>
      <c r="D36" s="12">
        <f>C36*1.5</f>
        <v>0</v>
      </c>
      <c r="F36" s="12">
        <v>200</v>
      </c>
      <c r="G36" s="37"/>
      <c r="H36" s="136">
        <f t="shared" ref="H36:H39" si="2">F36*G36</f>
        <v>0</v>
      </c>
      <c r="I36" s="137"/>
      <c r="J36" s="138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3" t="s">
        <v>72</v>
      </c>
      <c r="B37" s="28" t="s">
        <v>66</v>
      </c>
      <c r="C37" s="53">
        <v>481</v>
      </c>
      <c r="D37" s="12">
        <f>C37*111</f>
        <v>53391</v>
      </c>
      <c r="F37" s="12">
        <v>100</v>
      </c>
      <c r="G37" s="39"/>
      <c r="H37" s="136">
        <f t="shared" si="2"/>
        <v>0</v>
      </c>
      <c r="I37" s="137"/>
      <c r="J37" s="138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4"/>
      <c r="B38" s="29" t="s">
        <v>68</v>
      </c>
      <c r="C38" s="54">
        <v>1</v>
      </c>
      <c r="D38" s="12">
        <f>C38*84</f>
        <v>84</v>
      </c>
      <c r="F38" s="30">
        <v>50</v>
      </c>
      <c r="G38" s="39">
        <v>1</v>
      </c>
      <c r="H38" s="136">
        <f t="shared" si="2"/>
        <v>50</v>
      </c>
      <c r="I38" s="137"/>
      <c r="J38" s="138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5"/>
      <c r="B39" s="29" t="s">
        <v>70</v>
      </c>
      <c r="C39" s="52"/>
      <c r="D39" s="31">
        <f>C39*4.5</f>
        <v>0</v>
      </c>
      <c r="F39" s="12">
        <v>20</v>
      </c>
      <c r="G39" s="37">
        <v>15</v>
      </c>
      <c r="H39" s="136">
        <f t="shared" si="2"/>
        <v>300</v>
      </c>
      <c r="I39" s="137"/>
      <c r="J39" s="138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3" t="s">
        <v>76</v>
      </c>
      <c r="B40" s="27" t="s">
        <v>66</v>
      </c>
      <c r="C40" s="63">
        <v>7</v>
      </c>
      <c r="D40" s="12">
        <f>C40*111</f>
        <v>777</v>
      </c>
      <c r="F40" s="12">
        <v>10</v>
      </c>
      <c r="G40" s="42"/>
      <c r="H40" s="136"/>
      <c r="I40" s="137"/>
      <c r="J40" s="138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4"/>
      <c r="B41" s="27" t="s">
        <v>68</v>
      </c>
      <c r="C41" s="10"/>
      <c r="D41" s="12">
        <f>C41*84</f>
        <v>0</v>
      </c>
      <c r="F41" s="12">
        <v>5</v>
      </c>
      <c r="G41" s="42"/>
      <c r="H41" s="136"/>
      <c r="I41" s="137"/>
      <c r="J41" s="138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5"/>
      <c r="B42" s="27" t="s">
        <v>70</v>
      </c>
      <c r="C42" s="11">
        <v>2</v>
      </c>
      <c r="D42" s="12">
        <f>C42*2.25</f>
        <v>4.5</v>
      </c>
      <c r="F42" s="39" t="s">
        <v>79</v>
      </c>
      <c r="G42" s="136">
        <v>3162</v>
      </c>
      <c r="H42" s="137"/>
      <c r="I42" s="137"/>
      <c r="J42" s="138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06" t="s">
        <v>81</v>
      </c>
      <c r="C43" s="11"/>
      <c r="D43" s="12"/>
      <c r="F43" s="59" t="s">
        <v>82</v>
      </c>
      <c r="G43" s="89" t="s">
        <v>83</v>
      </c>
      <c r="H43" s="128" t="s">
        <v>13</v>
      </c>
      <c r="I43" s="129"/>
      <c r="J43" s="130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07"/>
      <c r="B44" s="27" t="s">
        <v>66</v>
      </c>
      <c r="C44" s="10"/>
      <c r="D44" s="12">
        <f>C44*120</f>
        <v>0</v>
      </c>
      <c r="F44" s="37" t="s">
        <v>145</v>
      </c>
      <c r="G44" s="62" t="s">
        <v>171</v>
      </c>
      <c r="H44" s="131">
        <v>225117</v>
      </c>
      <c r="I44" s="131"/>
      <c r="J44" s="131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07"/>
      <c r="B45" s="27" t="s">
        <v>68</v>
      </c>
      <c r="C45" s="33"/>
      <c r="D45" s="12">
        <f>C45*84</f>
        <v>0</v>
      </c>
      <c r="F45" s="37"/>
      <c r="G45" s="76"/>
      <c r="H45" s="131"/>
      <c r="I45" s="131"/>
      <c r="J45" s="131"/>
      <c r="K45" s="21"/>
      <c r="P45" s="4"/>
      <c r="Q45" s="4"/>
      <c r="R45" s="5"/>
    </row>
    <row r="46" spans="1:18" ht="15.75" x14ac:dyDescent="0.25">
      <c r="A46" s="107"/>
      <c r="B46" s="49" t="s">
        <v>70</v>
      </c>
      <c r="C46" s="81"/>
      <c r="D46" s="12">
        <f>C46*1.5</f>
        <v>0</v>
      </c>
      <c r="F46" s="37"/>
      <c r="G46" s="62"/>
      <c r="H46" s="132"/>
      <c r="I46" s="132"/>
      <c r="J46" s="132"/>
      <c r="K46" s="21"/>
      <c r="P46" s="4"/>
      <c r="Q46" s="4"/>
      <c r="R46" s="5"/>
    </row>
    <row r="47" spans="1:18" ht="15.75" x14ac:dyDescent="0.25">
      <c r="A47" s="108"/>
      <c r="B47" s="27"/>
      <c r="C47" s="11"/>
      <c r="D47" s="12"/>
      <c r="F47" s="59"/>
      <c r="G47" s="59"/>
      <c r="H47" s="109"/>
      <c r="I47" s="110"/>
      <c r="J47" s="111"/>
      <c r="K47" s="21"/>
      <c r="P47" s="4"/>
      <c r="Q47" s="4"/>
      <c r="R47" s="5"/>
    </row>
    <row r="48" spans="1:18" ht="15" customHeight="1" x14ac:dyDescent="0.25">
      <c r="A48" s="106" t="s">
        <v>32</v>
      </c>
      <c r="B48" s="27" t="s">
        <v>66</v>
      </c>
      <c r="C48" s="10">
        <v>4</v>
      </c>
      <c r="D48" s="12">
        <f>C48*78</f>
        <v>312</v>
      </c>
      <c r="F48" s="59"/>
      <c r="G48" s="59"/>
      <c r="H48" s="109"/>
      <c r="I48" s="110"/>
      <c r="J48" s="111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07"/>
      <c r="B49" s="29" t="s">
        <v>68</v>
      </c>
      <c r="C49" s="33">
        <v>4</v>
      </c>
      <c r="D49" s="12">
        <f>C49*42</f>
        <v>168</v>
      </c>
      <c r="F49" s="112" t="s">
        <v>86</v>
      </c>
      <c r="G49" s="114">
        <f>H34+H35+H36+H37+H38+H39+H40+H41+G42+H44+H45+H46</f>
        <v>307129</v>
      </c>
      <c r="H49" s="115"/>
      <c r="I49" s="115"/>
      <c r="J49" s="116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07"/>
      <c r="B50" s="32" t="s">
        <v>70</v>
      </c>
      <c r="C50" s="11">
        <v>9</v>
      </c>
      <c r="D50" s="12">
        <f>C50*1.5</f>
        <v>13.5</v>
      </c>
      <c r="F50" s="113"/>
      <c r="G50" s="117"/>
      <c r="H50" s="118"/>
      <c r="I50" s="118"/>
      <c r="J50" s="119"/>
      <c r="O50" t="s">
        <v>137</v>
      </c>
      <c r="P50" s="4">
        <v>1204</v>
      </c>
      <c r="Q50" s="4"/>
      <c r="R50" s="5"/>
    </row>
    <row r="51" spans="1:18" ht="15" customHeight="1" x14ac:dyDescent="0.25">
      <c r="A51" s="107"/>
      <c r="B51" s="27"/>
      <c r="C51" s="10"/>
      <c r="D51" s="31"/>
      <c r="F51" s="120" t="s">
        <v>138</v>
      </c>
      <c r="G51" s="122">
        <f>G49-H29</f>
        <v>939</v>
      </c>
      <c r="H51" s="123"/>
      <c r="I51" s="123"/>
      <c r="J51" s="124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07"/>
      <c r="B52" s="29"/>
      <c r="C52" s="33"/>
      <c r="D52" s="45"/>
      <c r="F52" s="121"/>
      <c r="G52" s="125"/>
      <c r="H52" s="126"/>
      <c r="I52" s="126"/>
      <c r="J52" s="127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08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92" t="s">
        <v>90</v>
      </c>
      <c r="B54" s="93"/>
      <c r="C54" s="94"/>
      <c r="D54" s="98">
        <f>SUM(D34:D53)</f>
        <v>54750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95"/>
      <c r="B55" s="96"/>
      <c r="C55" s="97"/>
      <c r="D55" s="9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100" t="s">
        <v>91</v>
      </c>
      <c r="B58" s="101"/>
      <c r="C58" s="101"/>
      <c r="D58" s="102"/>
      <c r="F58" s="100" t="s">
        <v>92</v>
      </c>
      <c r="G58" s="101"/>
      <c r="H58" s="101"/>
      <c r="I58" s="101"/>
      <c r="J58" s="102"/>
    </row>
    <row r="59" spans="1:18" x14ac:dyDescent="0.25">
      <c r="A59" s="103"/>
      <c r="B59" s="104"/>
      <c r="C59" s="104"/>
      <c r="D59" s="105"/>
      <c r="F59" s="103"/>
      <c r="G59" s="104"/>
      <c r="H59" s="104"/>
      <c r="I59" s="104"/>
      <c r="J59" s="105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BD7FD6-2FEC-4912-8FFE-CE9541AD5AA0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88" t="s">
        <v>1</v>
      </c>
      <c r="O1" s="188"/>
      <c r="P1" s="85" t="s">
        <v>2</v>
      </c>
      <c r="Q1" s="85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39" t="s">
        <v>7</v>
      </c>
      <c r="B4" s="140"/>
      <c r="C4" s="140"/>
      <c r="D4" s="141"/>
      <c r="F4" s="189" t="s">
        <v>8</v>
      </c>
      <c r="G4" s="191"/>
      <c r="H4" s="193" t="s">
        <v>9</v>
      </c>
      <c r="I4" s="195"/>
      <c r="J4" s="19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33" t="s">
        <v>7</v>
      </c>
      <c r="B5" s="15" t="s">
        <v>11</v>
      </c>
      <c r="C5" s="9" t="s">
        <v>12</v>
      </c>
      <c r="D5" s="25" t="s">
        <v>13</v>
      </c>
      <c r="F5" s="190"/>
      <c r="G5" s="192"/>
      <c r="H5" s="194"/>
      <c r="I5" s="197"/>
      <c r="J5" s="19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34"/>
      <c r="B6" s="16"/>
      <c r="C6" s="10"/>
      <c r="D6" s="13">
        <f t="shared" ref="D6:D28" si="1">C6*L6</f>
        <v>0</v>
      </c>
      <c r="F6" s="199" t="s">
        <v>16</v>
      </c>
      <c r="G6" s="201"/>
      <c r="H6" s="202"/>
      <c r="I6" s="202"/>
      <c r="J6" s="203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34"/>
      <c r="B7" s="16"/>
      <c r="C7" s="10"/>
      <c r="D7" s="13">
        <f t="shared" si="1"/>
        <v>0</v>
      </c>
      <c r="F7" s="200"/>
      <c r="G7" s="204"/>
      <c r="H7" s="205"/>
      <c r="I7" s="205"/>
      <c r="J7" s="206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34"/>
      <c r="B8" s="16"/>
      <c r="C8" s="10"/>
      <c r="D8" s="13">
        <f t="shared" si="1"/>
        <v>0</v>
      </c>
      <c r="F8" s="207" t="s">
        <v>21</v>
      </c>
      <c r="G8" s="208"/>
      <c r="H8" s="209"/>
      <c r="I8" s="209"/>
      <c r="J8" s="210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34"/>
      <c r="B9" s="16"/>
      <c r="C9" s="10"/>
      <c r="D9" s="13">
        <f t="shared" si="1"/>
        <v>0</v>
      </c>
      <c r="F9" s="200"/>
      <c r="G9" s="211"/>
      <c r="H9" s="212"/>
      <c r="I9" s="212"/>
      <c r="J9" s="213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34"/>
      <c r="C10" s="10"/>
      <c r="D10" s="13">
        <f t="shared" si="1"/>
        <v>0</v>
      </c>
      <c r="F10" s="199" t="s">
        <v>26</v>
      </c>
      <c r="G10" s="214"/>
      <c r="H10" s="215"/>
      <c r="I10" s="215"/>
      <c r="J10" s="216"/>
      <c r="K10" s="8"/>
      <c r="L10" s="6">
        <f>R36</f>
        <v>972</v>
      </c>
      <c r="P10" s="4"/>
      <c r="Q10" s="4"/>
      <c r="R10" s="5"/>
    </row>
    <row r="11" spans="1:19" ht="15.75" x14ac:dyDescent="0.25">
      <c r="A11" s="134"/>
      <c r="B11" s="17"/>
      <c r="C11" s="10"/>
      <c r="D11" s="13">
        <f t="shared" si="1"/>
        <v>0</v>
      </c>
      <c r="F11" s="200"/>
      <c r="G11" s="211"/>
      <c r="H11" s="212"/>
      <c r="I11" s="212"/>
      <c r="J11" s="213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34"/>
      <c r="B12" s="17"/>
      <c r="C12" s="10"/>
      <c r="D12" s="48">
        <f t="shared" si="1"/>
        <v>0</v>
      </c>
      <c r="F12" s="217" t="s">
        <v>33</v>
      </c>
      <c r="G12" s="218"/>
      <c r="H12" s="218"/>
      <c r="I12" s="218"/>
      <c r="J12" s="219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34"/>
      <c r="B13" s="17"/>
      <c r="C13" s="10"/>
      <c r="D13" s="48">
        <f t="shared" si="1"/>
        <v>0</v>
      </c>
      <c r="F13" s="220" t="s">
        <v>36</v>
      </c>
      <c r="G13" s="184"/>
      <c r="H13" s="175">
        <f>D29</f>
        <v>0</v>
      </c>
      <c r="I13" s="176"/>
      <c r="J13" s="17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34"/>
      <c r="B14" s="14"/>
      <c r="C14" s="10"/>
      <c r="D14" s="31">
        <f t="shared" si="1"/>
        <v>0</v>
      </c>
      <c r="F14" s="178" t="s">
        <v>39</v>
      </c>
      <c r="G14" s="179"/>
      <c r="H14" s="180">
        <f>D54</f>
        <v>0</v>
      </c>
      <c r="I14" s="181"/>
      <c r="J14" s="18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34"/>
      <c r="B15" s="14"/>
      <c r="C15" s="10"/>
      <c r="D15" s="31">
        <f t="shared" si="1"/>
        <v>0</v>
      </c>
      <c r="F15" s="183" t="s">
        <v>40</v>
      </c>
      <c r="G15" s="184"/>
      <c r="H15" s="185">
        <f>H13-H14</f>
        <v>0</v>
      </c>
      <c r="I15" s="186"/>
      <c r="J15" s="187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34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45"/>
      <c r="I16" s="145"/>
      <c r="J16" s="145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4"/>
      <c r="C17" s="10"/>
      <c r="D17" s="48">
        <f t="shared" si="1"/>
        <v>0</v>
      </c>
      <c r="F17" s="56"/>
      <c r="G17" s="66" t="s">
        <v>45</v>
      </c>
      <c r="H17" s="156"/>
      <c r="I17" s="156"/>
      <c r="J17" s="156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4"/>
      <c r="B18" s="19"/>
      <c r="C18" s="10"/>
      <c r="D18" s="48">
        <f t="shared" si="1"/>
        <v>0</v>
      </c>
      <c r="F18" s="56"/>
      <c r="G18" s="66" t="s">
        <v>47</v>
      </c>
      <c r="H18" s="156"/>
      <c r="I18" s="156"/>
      <c r="J18" s="156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4"/>
      <c r="B19" s="14"/>
      <c r="C19" s="10"/>
      <c r="D19" s="48">
        <f t="shared" si="1"/>
        <v>0</v>
      </c>
      <c r="F19" s="56"/>
      <c r="G19" s="68" t="s">
        <v>50</v>
      </c>
      <c r="H19" s="157"/>
      <c r="I19" s="157"/>
      <c r="J19" s="157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4"/>
      <c r="B20" s="46"/>
      <c r="C20" s="10"/>
      <c r="D20" s="13">
        <f t="shared" si="1"/>
        <v>0</v>
      </c>
      <c r="F20" s="57"/>
      <c r="G20" s="70" t="s">
        <v>117</v>
      </c>
      <c r="H20" s="145"/>
      <c r="I20" s="145"/>
      <c r="J20" s="145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4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58" t="s">
        <v>13</v>
      </c>
      <c r="I21" s="159"/>
      <c r="J21" s="160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4"/>
      <c r="B22" s="46"/>
      <c r="C22" s="10"/>
      <c r="D22" s="48">
        <f t="shared" si="1"/>
        <v>0</v>
      </c>
      <c r="F22" s="77"/>
      <c r="G22" s="73"/>
      <c r="H22" s="161"/>
      <c r="I22" s="161"/>
      <c r="J22" s="161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4"/>
      <c r="B23" s="14"/>
      <c r="C23" s="10"/>
      <c r="D23" s="48">
        <f t="shared" si="1"/>
        <v>0</v>
      </c>
      <c r="F23" s="78"/>
      <c r="G23" s="79"/>
      <c r="H23" s="162"/>
      <c r="I23" s="131"/>
      <c r="J23" s="131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4"/>
      <c r="B24" s="14"/>
      <c r="C24" s="10"/>
      <c r="D24" s="48">
        <f t="shared" si="1"/>
        <v>0</v>
      </c>
      <c r="F24" s="38"/>
      <c r="G24" s="37"/>
      <c r="H24" s="162"/>
      <c r="I24" s="131"/>
      <c r="J24" s="131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4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63" t="s">
        <v>13</v>
      </c>
      <c r="I25" s="164"/>
      <c r="J25" s="165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4"/>
      <c r="B26" s="14"/>
      <c r="C26" s="10"/>
      <c r="D26" s="48">
        <f t="shared" si="1"/>
        <v>0</v>
      </c>
      <c r="F26" s="64"/>
      <c r="G26" s="59"/>
      <c r="H26" s="166"/>
      <c r="I26" s="167"/>
      <c r="J26" s="168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4"/>
      <c r="B27" s="14"/>
      <c r="C27" s="10"/>
      <c r="D27" s="44">
        <f t="shared" si="1"/>
        <v>0</v>
      </c>
      <c r="F27" s="25"/>
      <c r="G27" s="80"/>
      <c r="H27" s="169"/>
      <c r="I27" s="170"/>
      <c r="J27" s="171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5"/>
      <c r="B28" s="46"/>
      <c r="C28" s="10"/>
      <c r="D28" s="48">
        <f t="shared" si="1"/>
        <v>0</v>
      </c>
      <c r="F28" s="86"/>
      <c r="G28" s="61"/>
      <c r="H28" s="172"/>
      <c r="I28" s="173"/>
      <c r="J28" s="174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46" t="s">
        <v>36</v>
      </c>
      <c r="B29" s="147"/>
      <c r="C29" s="148"/>
      <c r="D29" s="152">
        <f>SUM(D6:D28)</f>
        <v>0</v>
      </c>
      <c r="F29" s="92" t="s">
        <v>55</v>
      </c>
      <c r="G29" s="154"/>
      <c r="H29" s="114">
        <f>H15-H16-H17-H18-H19-H20-H22-H23-H24+H26+H27</f>
        <v>0</v>
      </c>
      <c r="I29" s="115"/>
      <c r="J29" s="116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49"/>
      <c r="B30" s="150"/>
      <c r="C30" s="151"/>
      <c r="D30" s="153"/>
      <c r="F30" s="95"/>
      <c r="G30" s="155"/>
      <c r="H30" s="117"/>
      <c r="I30" s="118"/>
      <c r="J30" s="119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39" t="s">
        <v>58</v>
      </c>
      <c r="B32" s="140"/>
      <c r="C32" s="140"/>
      <c r="D32" s="141"/>
      <c r="F32" s="142" t="s">
        <v>59</v>
      </c>
      <c r="G32" s="143"/>
      <c r="H32" s="143"/>
      <c r="I32" s="143"/>
      <c r="J32" s="144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142" t="s">
        <v>13</v>
      </c>
      <c r="I33" s="143"/>
      <c r="J33" s="144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3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36"/>
      <c r="I34" s="137"/>
      <c r="J34" s="138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4"/>
      <c r="B35" s="27" t="s">
        <v>68</v>
      </c>
      <c r="C35" s="52"/>
      <c r="D35" s="30">
        <f>C35*84</f>
        <v>0</v>
      </c>
      <c r="F35" s="58">
        <v>500</v>
      </c>
      <c r="G35" s="41"/>
      <c r="H35" s="136"/>
      <c r="I35" s="137"/>
      <c r="J35" s="138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5"/>
      <c r="B36" s="26" t="s">
        <v>70</v>
      </c>
      <c r="C36" s="10"/>
      <c r="D36" s="12">
        <f>C36*1.5</f>
        <v>0</v>
      </c>
      <c r="F36" s="12">
        <v>200</v>
      </c>
      <c r="G36" s="37"/>
      <c r="H36" s="136"/>
      <c r="I36" s="137"/>
      <c r="J36" s="138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3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36"/>
      <c r="I37" s="137"/>
      <c r="J37" s="138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4"/>
      <c r="B38" s="29" t="s">
        <v>68</v>
      </c>
      <c r="C38" s="54"/>
      <c r="D38" s="12">
        <f>C38*84</f>
        <v>0</v>
      </c>
      <c r="F38" s="30">
        <v>50</v>
      </c>
      <c r="G38" s="39"/>
      <c r="H38" s="136"/>
      <c r="I38" s="137"/>
      <c r="J38" s="138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5"/>
      <c r="B39" s="29" t="s">
        <v>70</v>
      </c>
      <c r="C39" s="52"/>
      <c r="D39" s="31">
        <f>C39*4.5</f>
        <v>0</v>
      </c>
      <c r="F39" s="12">
        <v>20</v>
      </c>
      <c r="G39" s="37"/>
      <c r="H39" s="136"/>
      <c r="I39" s="137"/>
      <c r="J39" s="138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3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36"/>
      <c r="I40" s="137"/>
      <c r="J40" s="138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4"/>
      <c r="B41" s="27" t="s">
        <v>68</v>
      </c>
      <c r="C41" s="10"/>
      <c r="D41" s="12">
        <f>C41*84</f>
        <v>0</v>
      </c>
      <c r="F41" s="12">
        <v>5</v>
      </c>
      <c r="G41" s="42"/>
      <c r="H41" s="136"/>
      <c r="I41" s="137"/>
      <c r="J41" s="138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5"/>
      <c r="B42" s="27" t="s">
        <v>70</v>
      </c>
      <c r="C42" s="11"/>
      <c r="D42" s="12">
        <f>C42*2.25</f>
        <v>0</v>
      </c>
      <c r="F42" s="39" t="s">
        <v>79</v>
      </c>
      <c r="G42" s="136"/>
      <c r="H42" s="137"/>
      <c r="I42" s="137"/>
      <c r="J42" s="138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06" t="s">
        <v>81</v>
      </c>
      <c r="C43" s="11"/>
      <c r="D43" s="12"/>
      <c r="F43" s="59" t="s">
        <v>82</v>
      </c>
      <c r="G43" s="89" t="s">
        <v>83</v>
      </c>
      <c r="H43" s="128" t="s">
        <v>13</v>
      </c>
      <c r="I43" s="129"/>
      <c r="J43" s="130"/>
      <c r="K43" s="21"/>
      <c r="P43" s="4"/>
      <c r="Q43" s="4"/>
      <c r="R43" s="5"/>
    </row>
    <row r="44" spans="1:18" ht="15.75" x14ac:dyDescent="0.25">
      <c r="A44" s="107"/>
      <c r="B44" s="27" t="s">
        <v>66</v>
      </c>
      <c r="C44" s="10"/>
      <c r="D44" s="12">
        <f>C44*120</f>
        <v>0</v>
      </c>
      <c r="F44" s="37"/>
      <c r="G44" s="76"/>
      <c r="H44" s="131"/>
      <c r="I44" s="131"/>
      <c r="J44" s="131"/>
      <c r="K44" s="21"/>
      <c r="P44" s="4"/>
      <c r="Q44" s="4"/>
      <c r="R44" s="5"/>
    </row>
    <row r="45" spans="1:18" ht="15.75" x14ac:dyDescent="0.25">
      <c r="A45" s="107"/>
      <c r="B45" s="27" t="s">
        <v>68</v>
      </c>
      <c r="C45" s="33"/>
      <c r="D45" s="12">
        <f>C45*84</f>
        <v>0</v>
      </c>
      <c r="F45" s="37"/>
      <c r="G45" s="76"/>
      <c r="H45" s="131"/>
      <c r="I45" s="131"/>
      <c r="J45" s="131"/>
      <c r="K45" s="21"/>
      <c r="P45" s="4"/>
      <c r="Q45" s="4"/>
      <c r="R45" s="5"/>
    </row>
    <row r="46" spans="1:18" ht="15.75" x14ac:dyDescent="0.25">
      <c r="A46" s="107"/>
      <c r="B46" s="49" t="s">
        <v>70</v>
      </c>
      <c r="C46" s="81"/>
      <c r="D46" s="12">
        <f>C46*1.5</f>
        <v>0</v>
      </c>
      <c r="F46" s="37"/>
      <c r="G46" s="62"/>
      <c r="H46" s="132"/>
      <c r="I46" s="132"/>
      <c r="J46" s="132"/>
      <c r="K46" s="21"/>
      <c r="P46" s="4"/>
      <c r="Q46" s="4"/>
      <c r="R46" s="5"/>
    </row>
    <row r="47" spans="1:18" ht="15.75" x14ac:dyDescent="0.25">
      <c r="A47" s="108"/>
      <c r="B47" s="27"/>
      <c r="C47" s="11"/>
      <c r="D47" s="12"/>
      <c r="F47" s="59"/>
      <c r="G47" s="59"/>
      <c r="H47" s="109"/>
      <c r="I47" s="110"/>
      <c r="J47" s="111"/>
      <c r="K47" s="21"/>
      <c r="P47" s="4"/>
      <c r="Q47" s="4"/>
      <c r="R47" s="5"/>
    </row>
    <row r="48" spans="1:18" ht="15" customHeight="1" x14ac:dyDescent="0.25">
      <c r="A48" s="106" t="s">
        <v>32</v>
      </c>
      <c r="B48" s="27" t="s">
        <v>66</v>
      </c>
      <c r="C48" s="10"/>
      <c r="D48" s="12">
        <f>C48*78</f>
        <v>0</v>
      </c>
      <c r="F48" s="59"/>
      <c r="G48" s="59"/>
      <c r="H48" s="109"/>
      <c r="I48" s="110"/>
      <c r="J48" s="111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07"/>
      <c r="B49" s="29" t="s">
        <v>68</v>
      </c>
      <c r="C49" s="33"/>
      <c r="D49" s="12">
        <f>C49*42</f>
        <v>0</v>
      </c>
      <c r="F49" s="112" t="s">
        <v>86</v>
      </c>
      <c r="G49" s="114">
        <f>H34+H35+H36+H37+H38+H39+H40+H41+G42+H44+H45+H46</f>
        <v>0</v>
      </c>
      <c r="H49" s="115"/>
      <c r="I49" s="115"/>
      <c r="J49" s="116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07"/>
      <c r="B50" s="32" t="s">
        <v>70</v>
      </c>
      <c r="C50" s="11"/>
      <c r="D50" s="12">
        <f>C50*1.5</f>
        <v>0</v>
      </c>
      <c r="F50" s="113"/>
      <c r="G50" s="117"/>
      <c r="H50" s="118"/>
      <c r="I50" s="118"/>
      <c r="J50" s="119"/>
      <c r="P50" s="4"/>
      <c r="Q50" s="4"/>
      <c r="R50" s="5"/>
    </row>
    <row r="51" spans="1:18" ht="15" customHeight="1" x14ac:dyDescent="0.25">
      <c r="A51" s="107"/>
      <c r="B51" s="27"/>
      <c r="C51" s="10"/>
      <c r="D51" s="31"/>
      <c r="F51" s="120" t="s">
        <v>125</v>
      </c>
      <c r="G51" s="122">
        <f>G49-H29</f>
        <v>0</v>
      </c>
      <c r="H51" s="123"/>
      <c r="I51" s="123"/>
      <c r="J51" s="124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07"/>
      <c r="B52" s="29"/>
      <c r="C52" s="33"/>
      <c r="D52" s="45"/>
      <c r="F52" s="121"/>
      <c r="G52" s="125"/>
      <c r="H52" s="126"/>
      <c r="I52" s="126"/>
      <c r="J52" s="127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08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92" t="s">
        <v>90</v>
      </c>
      <c r="B54" s="93"/>
      <c r="C54" s="94"/>
      <c r="D54" s="98">
        <f>SUM(D34:D53)</f>
        <v>0</v>
      </c>
      <c r="F54" s="21"/>
      <c r="J54" s="34"/>
    </row>
    <row r="55" spans="1:18" x14ac:dyDescent="0.25">
      <c r="A55" s="95"/>
      <c r="B55" s="96"/>
      <c r="C55" s="97"/>
      <c r="D55" s="9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00" t="s">
        <v>91</v>
      </c>
      <c r="B58" s="101"/>
      <c r="C58" s="101"/>
      <c r="D58" s="102"/>
      <c r="F58" s="100" t="s">
        <v>92</v>
      </c>
      <c r="G58" s="101"/>
      <c r="H58" s="101"/>
      <c r="I58" s="101"/>
      <c r="J58" s="102"/>
    </row>
    <row r="59" spans="1:18" x14ac:dyDescent="0.25">
      <c r="A59" s="103"/>
      <c r="B59" s="104"/>
      <c r="C59" s="104"/>
      <c r="D59" s="105"/>
      <c r="F59" s="103"/>
      <c r="G59" s="104"/>
      <c r="H59" s="104"/>
      <c r="I59" s="104"/>
      <c r="J59" s="105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9CE38C-FA70-4BD0-8B23-05EA09AACEBC}">
  <dimension ref="A1:R59"/>
  <sheetViews>
    <sheetView topLeftCell="A18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88" t="s">
        <v>1</v>
      </c>
      <c r="O1" s="188"/>
      <c r="P1" s="85" t="s">
        <v>2</v>
      </c>
      <c r="Q1" s="8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9" t="s">
        <v>7</v>
      </c>
      <c r="B4" s="140"/>
      <c r="C4" s="140"/>
      <c r="D4" s="141"/>
      <c r="F4" s="189" t="s">
        <v>8</v>
      </c>
      <c r="G4" s="191">
        <v>1</v>
      </c>
      <c r="H4" s="193" t="s">
        <v>9</v>
      </c>
      <c r="I4" s="195">
        <v>46088</v>
      </c>
      <c r="J4" s="19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3" t="s">
        <v>7</v>
      </c>
      <c r="B5" s="15" t="s">
        <v>11</v>
      </c>
      <c r="C5" s="9" t="s">
        <v>12</v>
      </c>
      <c r="D5" s="25" t="s">
        <v>13</v>
      </c>
      <c r="F5" s="190"/>
      <c r="G5" s="192"/>
      <c r="H5" s="194"/>
      <c r="I5" s="197"/>
      <c r="J5" s="19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4"/>
      <c r="B6" s="16" t="s">
        <v>15</v>
      </c>
      <c r="C6" s="10">
        <v>319</v>
      </c>
      <c r="D6" s="13">
        <f t="shared" ref="D6:D28" si="1">C6*L6</f>
        <v>242759</v>
      </c>
      <c r="F6" s="199" t="s">
        <v>16</v>
      </c>
      <c r="G6" s="201" t="s">
        <v>111</v>
      </c>
      <c r="H6" s="202"/>
      <c r="I6" s="202"/>
      <c r="J6" s="203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4"/>
      <c r="B7" s="16" t="s">
        <v>18</v>
      </c>
      <c r="C7" s="10"/>
      <c r="D7" s="13">
        <f t="shared" si="1"/>
        <v>0</v>
      </c>
      <c r="F7" s="200"/>
      <c r="G7" s="204"/>
      <c r="H7" s="205"/>
      <c r="I7" s="205"/>
      <c r="J7" s="206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4"/>
      <c r="B8" s="16" t="s">
        <v>20</v>
      </c>
      <c r="C8" s="10">
        <v>50</v>
      </c>
      <c r="D8" s="13">
        <f t="shared" si="1"/>
        <v>54650</v>
      </c>
      <c r="F8" s="207" t="s">
        <v>21</v>
      </c>
      <c r="G8" s="208" t="s">
        <v>144</v>
      </c>
      <c r="H8" s="209"/>
      <c r="I8" s="209"/>
      <c r="J8" s="210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4"/>
      <c r="B9" s="16" t="s">
        <v>23</v>
      </c>
      <c r="C9" s="10">
        <v>17</v>
      </c>
      <c r="D9" s="13">
        <f t="shared" si="1"/>
        <v>12461</v>
      </c>
      <c r="F9" s="200"/>
      <c r="G9" s="211"/>
      <c r="H9" s="212"/>
      <c r="I9" s="212"/>
      <c r="J9" s="213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4"/>
      <c r="B10" t="s">
        <v>25</v>
      </c>
      <c r="C10" s="10"/>
      <c r="D10" s="13">
        <f t="shared" si="1"/>
        <v>0</v>
      </c>
      <c r="F10" s="199" t="s">
        <v>26</v>
      </c>
      <c r="G10" s="214" t="s">
        <v>139</v>
      </c>
      <c r="H10" s="215"/>
      <c r="I10" s="215"/>
      <c r="J10" s="216"/>
      <c r="K10" s="8"/>
      <c r="L10" s="6">
        <f>R36</f>
        <v>1032</v>
      </c>
      <c r="P10" s="4"/>
      <c r="Q10" s="4"/>
      <c r="R10" s="5"/>
    </row>
    <row r="11" spans="1:18" ht="15.75" x14ac:dyDescent="0.25">
      <c r="A11" s="134"/>
      <c r="B11" s="17" t="s">
        <v>28</v>
      </c>
      <c r="C11" s="10">
        <v>2</v>
      </c>
      <c r="D11" s="13">
        <f t="shared" si="1"/>
        <v>2340</v>
      </c>
      <c r="F11" s="200"/>
      <c r="G11" s="211"/>
      <c r="H11" s="212"/>
      <c r="I11" s="212"/>
      <c r="J11" s="213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4"/>
      <c r="B12" s="17" t="s">
        <v>30</v>
      </c>
      <c r="C12" s="10">
        <v>1</v>
      </c>
      <c r="D12" s="48">
        <f t="shared" si="1"/>
        <v>992</v>
      </c>
      <c r="F12" s="217" t="s">
        <v>33</v>
      </c>
      <c r="G12" s="218"/>
      <c r="H12" s="218"/>
      <c r="I12" s="218"/>
      <c r="J12" s="219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4"/>
      <c r="B13" s="17" t="s">
        <v>32</v>
      </c>
      <c r="C13" s="10">
        <v>1</v>
      </c>
      <c r="D13" s="48">
        <f t="shared" si="1"/>
        <v>307</v>
      </c>
      <c r="F13" s="220" t="s">
        <v>36</v>
      </c>
      <c r="G13" s="184"/>
      <c r="H13" s="175">
        <f>D29</f>
        <v>319434</v>
      </c>
      <c r="I13" s="176"/>
      <c r="J13" s="17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4"/>
      <c r="B14" s="14" t="s">
        <v>35</v>
      </c>
      <c r="C14" s="10"/>
      <c r="D14" s="31">
        <f t="shared" si="1"/>
        <v>0</v>
      </c>
      <c r="F14" s="178" t="s">
        <v>39</v>
      </c>
      <c r="G14" s="179"/>
      <c r="H14" s="180">
        <f>D54</f>
        <v>42474.75</v>
      </c>
      <c r="I14" s="181"/>
      <c r="J14" s="18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4"/>
      <c r="B15" s="14" t="s">
        <v>38</v>
      </c>
      <c r="C15" s="10"/>
      <c r="D15" s="31">
        <f t="shared" si="1"/>
        <v>0</v>
      </c>
      <c r="F15" s="183" t="s">
        <v>40</v>
      </c>
      <c r="G15" s="184"/>
      <c r="H15" s="185">
        <f>H13-H14</f>
        <v>276959.25</v>
      </c>
      <c r="I15" s="186"/>
      <c r="J15" s="187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4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45"/>
      <c r="I16" s="145"/>
      <c r="J16" s="145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4"/>
      <c r="B17" t="s">
        <v>133</v>
      </c>
      <c r="C17" s="10">
        <v>2</v>
      </c>
      <c r="D17" s="48">
        <f t="shared" si="1"/>
        <v>3164</v>
      </c>
      <c r="F17" s="56"/>
      <c r="G17" s="66" t="s">
        <v>45</v>
      </c>
      <c r="H17" s="156"/>
      <c r="I17" s="156"/>
      <c r="J17" s="156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4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56"/>
      <c r="I18" s="156"/>
      <c r="J18" s="156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4"/>
      <c r="B19" s="14" t="s">
        <v>129</v>
      </c>
      <c r="C19" s="10"/>
      <c r="D19" s="48">
        <f t="shared" si="1"/>
        <v>0</v>
      </c>
      <c r="F19" s="56"/>
      <c r="G19" s="68" t="s">
        <v>50</v>
      </c>
      <c r="H19" s="156"/>
      <c r="I19" s="156"/>
      <c r="J19" s="156"/>
      <c r="L19" s="6">
        <v>1102</v>
      </c>
      <c r="Q19" s="4"/>
      <c r="R19" s="5">
        <f t="shared" si="0"/>
        <v>0</v>
      </c>
    </row>
    <row r="20" spans="1:18" ht="15.75" x14ac:dyDescent="0.25">
      <c r="A20" s="134"/>
      <c r="B20" s="83" t="s">
        <v>122</v>
      </c>
      <c r="C20" s="10"/>
      <c r="D20" s="13">
        <f t="shared" si="1"/>
        <v>0</v>
      </c>
      <c r="F20" s="57"/>
      <c r="G20" s="70" t="s">
        <v>117</v>
      </c>
      <c r="H20" s="145"/>
      <c r="I20" s="145"/>
      <c r="J20" s="145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4"/>
      <c r="B21" s="14" t="s">
        <v>131</v>
      </c>
      <c r="C21" s="10">
        <f>2+1</f>
        <v>3</v>
      </c>
      <c r="D21" s="48">
        <f t="shared" si="1"/>
        <v>1950</v>
      </c>
      <c r="F21" s="69" t="s">
        <v>99</v>
      </c>
      <c r="G21" s="82" t="s">
        <v>98</v>
      </c>
      <c r="H21" s="158" t="s">
        <v>13</v>
      </c>
      <c r="I21" s="159"/>
      <c r="J21" s="160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4"/>
      <c r="B22" s="46" t="s">
        <v>124</v>
      </c>
      <c r="C22" s="10"/>
      <c r="D22" s="48">
        <f t="shared" si="1"/>
        <v>0</v>
      </c>
      <c r="F22" s="77" t="s">
        <v>174</v>
      </c>
      <c r="G22" s="73">
        <v>9435</v>
      </c>
      <c r="H22" s="161">
        <v>51622</v>
      </c>
      <c r="I22" s="161"/>
      <c r="J22" s="161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4"/>
      <c r="B23" s="14" t="s">
        <v>101</v>
      </c>
      <c r="C23" s="10"/>
      <c r="D23" s="48">
        <f t="shared" si="1"/>
        <v>0</v>
      </c>
      <c r="F23" s="77"/>
      <c r="G23" s="79"/>
      <c r="H23" s="227"/>
      <c r="I23" s="228"/>
      <c r="J23" s="228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4"/>
      <c r="B24" s="14" t="s">
        <v>118</v>
      </c>
      <c r="C24" s="10"/>
      <c r="D24" s="48">
        <f t="shared" si="1"/>
        <v>0</v>
      </c>
      <c r="F24" s="77"/>
      <c r="G24" s="79"/>
      <c r="H24" s="227"/>
      <c r="I24" s="228"/>
      <c r="J24" s="228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4"/>
      <c r="B25" s="14" t="s">
        <v>134</v>
      </c>
      <c r="C25" s="10"/>
      <c r="D25" s="48">
        <f t="shared" si="1"/>
        <v>0</v>
      </c>
      <c r="F25" s="60" t="s">
        <v>100</v>
      </c>
      <c r="G25" s="55" t="s">
        <v>98</v>
      </c>
      <c r="H25" s="163" t="s">
        <v>13</v>
      </c>
      <c r="I25" s="164"/>
      <c r="J25" s="165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4"/>
      <c r="B26" s="14" t="s">
        <v>132</v>
      </c>
      <c r="C26" s="10"/>
      <c r="D26" s="48">
        <f t="shared" si="1"/>
        <v>0</v>
      </c>
      <c r="F26" s="75"/>
      <c r="G26" s="65"/>
      <c r="H26" s="131"/>
      <c r="I26" s="131"/>
      <c r="J26" s="131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4"/>
      <c r="B27" s="14" t="s">
        <v>110</v>
      </c>
      <c r="C27" s="10"/>
      <c r="D27" s="44">
        <f t="shared" si="1"/>
        <v>0</v>
      </c>
      <c r="F27" s="71"/>
      <c r="G27" s="89"/>
      <c r="H27" s="229"/>
      <c r="I27" s="230"/>
      <c r="J27" s="230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5"/>
      <c r="B28" s="46" t="s">
        <v>97</v>
      </c>
      <c r="C28" s="10">
        <v>1</v>
      </c>
      <c r="D28" s="48">
        <f t="shared" si="1"/>
        <v>811</v>
      </c>
      <c r="F28" s="86"/>
      <c r="G28" s="61"/>
      <c r="H28" s="172"/>
      <c r="I28" s="173"/>
      <c r="J28" s="174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46" t="s">
        <v>36</v>
      </c>
      <c r="B29" s="147"/>
      <c r="C29" s="148"/>
      <c r="D29" s="152">
        <f>SUM(D6:D28)</f>
        <v>319434</v>
      </c>
      <c r="F29" s="92" t="s">
        <v>55</v>
      </c>
      <c r="G29" s="154"/>
      <c r="H29" s="114">
        <f>H15-H16-H17-H18-H19-H20-H22-H23-H24+H26+H27+H28</f>
        <v>225337.25</v>
      </c>
      <c r="I29" s="115"/>
      <c r="J29" s="116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49"/>
      <c r="B30" s="150"/>
      <c r="C30" s="151"/>
      <c r="D30" s="153"/>
      <c r="F30" s="95"/>
      <c r="G30" s="155"/>
      <c r="H30" s="117"/>
      <c r="I30" s="118"/>
      <c r="J30" s="119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39" t="s">
        <v>58</v>
      </c>
      <c r="B32" s="140"/>
      <c r="C32" s="140"/>
      <c r="D32" s="141"/>
      <c r="F32" s="142" t="s">
        <v>59</v>
      </c>
      <c r="G32" s="143"/>
      <c r="H32" s="143"/>
      <c r="I32" s="143"/>
      <c r="J32" s="144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142" t="s">
        <v>13</v>
      </c>
      <c r="I33" s="143"/>
      <c r="J33" s="144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3" t="s">
        <v>65</v>
      </c>
      <c r="B34" s="26" t="s">
        <v>66</v>
      </c>
      <c r="C34" s="51">
        <v>1</v>
      </c>
      <c r="D34" s="30">
        <f>C34*120</f>
        <v>120</v>
      </c>
      <c r="F34" s="12">
        <v>1000</v>
      </c>
      <c r="G34" s="40">
        <v>82</v>
      </c>
      <c r="H34" s="136">
        <f t="shared" ref="H34:H39" si="2">F34*G34</f>
        <v>82000</v>
      </c>
      <c r="I34" s="137"/>
      <c r="J34" s="138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4"/>
      <c r="B35" s="27" t="s">
        <v>68</v>
      </c>
      <c r="C35" s="52"/>
      <c r="D35" s="30">
        <f>C35*84</f>
        <v>0</v>
      </c>
      <c r="F35" s="58">
        <v>500</v>
      </c>
      <c r="G35" s="41"/>
      <c r="H35" s="136">
        <f t="shared" si="2"/>
        <v>0</v>
      </c>
      <c r="I35" s="137"/>
      <c r="J35" s="138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5"/>
      <c r="B36" s="26" t="s">
        <v>70</v>
      </c>
      <c r="C36" s="10">
        <v>2</v>
      </c>
      <c r="D36" s="12">
        <f>C36*1.5</f>
        <v>3</v>
      </c>
      <c r="F36" s="12">
        <v>200</v>
      </c>
      <c r="G36" s="37"/>
      <c r="H36" s="136">
        <f t="shared" si="2"/>
        <v>0</v>
      </c>
      <c r="I36" s="137"/>
      <c r="J36" s="138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3" t="s">
        <v>72</v>
      </c>
      <c r="B37" s="28" t="s">
        <v>66</v>
      </c>
      <c r="C37" s="53">
        <v>317</v>
      </c>
      <c r="D37" s="12">
        <f>C37*111</f>
        <v>35187</v>
      </c>
      <c r="F37" s="12">
        <v>100</v>
      </c>
      <c r="G37" s="39">
        <v>2</v>
      </c>
      <c r="H37" s="136">
        <f t="shared" si="2"/>
        <v>200</v>
      </c>
      <c r="I37" s="137"/>
      <c r="J37" s="138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4"/>
      <c r="B38" s="29" t="s">
        <v>68</v>
      </c>
      <c r="C38" s="54">
        <v>1</v>
      </c>
      <c r="D38" s="12">
        <f>C38*84</f>
        <v>84</v>
      </c>
      <c r="F38" s="30">
        <v>50</v>
      </c>
      <c r="G38" s="39">
        <v>1</v>
      </c>
      <c r="H38" s="136">
        <f t="shared" si="2"/>
        <v>50</v>
      </c>
      <c r="I38" s="137"/>
      <c r="J38" s="138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5"/>
      <c r="B39" s="29" t="s">
        <v>70</v>
      </c>
      <c r="C39" s="52"/>
      <c r="D39" s="31">
        <f>C39*4.5</f>
        <v>0</v>
      </c>
      <c r="F39" s="12">
        <v>20</v>
      </c>
      <c r="G39" s="37"/>
      <c r="H39" s="136">
        <f t="shared" si="2"/>
        <v>0</v>
      </c>
      <c r="I39" s="137"/>
      <c r="J39" s="138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3" t="s">
        <v>76</v>
      </c>
      <c r="B40" s="27" t="s">
        <v>66</v>
      </c>
      <c r="C40" s="63">
        <v>62</v>
      </c>
      <c r="D40" s="12">
        <f>C40*111</f>
        <v>6882</v>
      </c>
      <c r="F40" s="12">
        <v>10</v>
      </c>
      <c r="G40" s="42"/>
      <c r="H40" s="136"/>
      <c r="I40" s="137"/>
      <c r="J40" s="138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4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136"/>
      <c r="I41" s="137"/>
      <c r="J41" s="138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5"/>
      <c r="B42" s="27" t="s">
        <v>70</v>
      </c>
      <c r="C42" s="11">
        <v>9</v>
      </c>
      <c r="D42" s="12">
        <f>C42*2.25</f>
        <v>20.25</v>
      </c>
      <c r="F42" s="39" t="s">
        <v>79</v>
      </c>
      <c r="G42" s="136">
        <v>106</v>
      </c>
      <c r="H42" s="137"/>
      <c r="I42" s="137"/>
      <c r="J42" s="138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06" t="s">
        <v>81</v>
      </c>
      <c r="C43" s="11"/>
      <c r="D43" s="12"/>
      <c r="F43" s="59" t="s">
        <v>82</v>
      </c>
      <c r="G43" s="89" t="s">
        <v>83</v>
      </c>
      <c r="H43" s="128" t="s">
        <v>13</v>
      </c>
      <c r="I43" s="129"/>
      <c r="J43" s="130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07"/>
      <c r="B44" s="27" t="s">
        <v>66</v>
      </c>
      <c r="C44" s="10"/>
      <c r="D44" s="12">
        <f>C44*120</f>
        <v>0</v>
      </c>
      <c r="F44" s="37" t="s">
        <v>172</v>
      </c>
      <c r="G44" s="76" t="s">
        <v>173</v>
      </c>
      <c r="H44" s="131">
        <v>141334</v>
      </c>
      <c r="I44" s="131"/>
      <c r="J44" s="131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07"/>
      <c r="B45" s="27" t="s">
        <v>68</v>
      </c>
      <c r="C45" s="33"/>
      <c r="D45" s="12">
        <f>C45*84</f>
        <v>0</v>
      </c>
      <c r="F45" s="37"/>
      <c r="G45" s="62"/>
      <c r="H45" s="131"/>
      <c r="I45" s="131"/>
      <c r="J45" s="131"/>
      <c r="K45" s="21"/>
      <c r="P45" s="4"/>
      <c r="Q45" s="4"/>
      <c r="R45" s="5"/>
    </row>
    <row r="46" spans="1:18" ht="15.75" x14ac:dyDescent="0.25">
      <c r="A46" s="107"/>
      <c r="B46" s="49" t="s">
        <v>70</v>
      </c>
      <c r="C46" s="81">
        <v>3</v>
      </c>
      <c r="D46" s="12">
        <f>C46*1.5</f>
        <v>4.5</v>
      </c>
      <c r="F46" s="37"/>
      <c r="G46" s="62"/>
      <c r="H46" s="131"/>
      <c r="I46" s="131"/>
      <c r="J46" s="131"/>
      <c r="K46" s="21"/>
      <c r="P46" s="4"/>
      <c r="Q46" s="4"/>
      <c r="R46" s="5"/>
    </row>
    <row r="47" spans="1:18" ht="15.75" x14ac:dyDescent="0.25">
      <c r="A47" s="108"/>
      <c r="B47" s="27"/>
      <c r="C47" s="11"/>
      <c r="D47" s="12"/>
      <c r="F47" s="59"/>
      <c r="G47" s="59"/>
      <c r="H47" s="109"/>
      <c r="I47" s="110"/>
      <c r="J47" s="111"/>
      <c r="K47" s="21"/>
      <c r="P47" s="4"/>
      <c r="Q47" s="4"/>
      <c r="R47" s="5"/>
    </row>
    <row r="48" spans="1:18" ht="15" customHeight="1" x14ac:dyDescent="0.25">
      <c r="A48" s="106" t="s">
        <v>32</v>
      </c>
      <c r="B48" s="27" t="s">
        <v>66</v>
      </c>
      <c r="C48" s="10">
        <v>1</v>
      </c>
      <c r="D48" s="12">
        <f>C48*78</f>
        <v>78</v>
      </c>
      <c r="F48" s="59"/>
      <c r="G48" s="59"/>
      <c r="H48" s="109"/>
      <c r="I48" s="110"/>
      <c r="J48" s="111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07"/>
      <c r="B49" s="29" t="s">
        <v>68</v>
      </c>
      <c r="C49" s="33"/>
      <c r="D49" s="12">
        <f>C49*42</f>
        <v>0</v>
      </c>
      <c r="F49" s="112" t="s">
        <v>86</v>
      </c>
      <c r="G49" s="114">
        <f>H34+H35+H36+H37+H38+H39+H40+H41+G42+H44+H45+H46</f>
        <v>223690</v>
      </c>
      <c r="H49" s="115"/>
      <c r="I49" s="115"/>
      <c r="J49" s="116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07"/>
      <c r="B50" s="32" t="s">
        <v>70</v>
      </c>
      <c r="C50" s="11">
        <v>8</v>
      </c>
      <c r="D50" s="12">
        <f>C50*1.5</f>
        <v>12</v>
      </c>
      <c r="F50" s="113"/>
      <c r="G50" s="117"/>
      <c r="H50" s="118"/>
      <c r="I50" s="118"/>
      <c r="J50" s="119"/>
      <c r="O50" t="s">
        <v>137</v>
      </c>
      <c r="P50" s="4">
        <v>1204</v>
      </c>
      <c r="Q50" s="4"/>
      <c r="R50" s="5"/>
    </row>
    <row r="51" spans="1:18" ht="15" customHeight="1" x14ac:dyDescent="0.25">
      <c r="A51" s="107"/>
      <c r="B51" s="27"/>
      <c r="C51" s="10"/>
      <c r="D51" s="31"/>
      <c r="F51" s="120" t="s">
        <v>128</v>
      </c>
      <c r="G51" s="221">
        <f>G49-H29</f>
        <v>-1647.25</v>
      </c>
      <c r="H51" s="222"/>
      <c r="I51" s="222"/>
      <c r="J51" s="223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07"/>
      <c r="B52" s="29"/>
      <c r="C52" s="33"/>
      <c r="D52" s="45"/>
      <c r="F52" s="121"/>
      <c r="G52" s="224"/>
      <c r="H52" s="225"/>
      <c r="I52" s="225"/>
      <c r="J52" s="226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08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92" t="s">
        <v>90</v>
      </c>
      <c r="B54" s="93"/>
      <c r="C54" s="94"/>
      <c r="D54" s="98">
        <f>SUM(D34:D53)</f>
        <v>42474.75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95"/>
      <c r="B55" s="96"/>
      <c r="C55" s="97"/>
      <c r="D55" s="9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140</v>
      </c>
      <c r="D57" s="34"/>
      <c r="F57" s="36"/>
      <c r="G57" s="50"/>
      <c r="H57" s="50"/>
      <c r="I57" s="50"/>
      <c r="J57" s="43"/>
    </row>
    <row r="58" spans="1:18" x14ac:dyDescent="0.25">
      <c r="A58" s="100" t="s">
        <v>91</v>
      </c>
      <c r="B58" s="101"/>
      <c r="C58" s="101"/>
      <c r="D58" s="102"/>
      <c r="F58" s="100" t="s">
        <v>92</v>
      </c>
      <c r="G58" s="101"/>
      <c r="H58" s="101"/>
      <c r="I58" s="101"/>
      <c r="J58" s="102"/>
    </row>
    <row r="59" spans="1:18" x14ac:dyDescent="0.25">
      <c r="A59" s="103"/>
      <c r="B59" s="104"/>
      <c r="C59" s="104"/>
      <c r="D59" s="105"/>
      <c r="F59" s="103"/>
      <c r="G59" s="104"/>
      <c r="H59" s="104"/>
      <c r="I59" s="104"/>
      <c r="J59" s="105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5A70E3-8619-4DBD-BBA3-C2B185509231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88" t="s">
        <v>1</v>
      </c>
      <c r="O1" s="188"/>
      <c r="P1" s="85" t="s">
        <v>2</v>
      </c>
      <c r="Q1" s="8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9" t="s">
        <v>7</v>
      </c>
      <c r="B4" s="140"/>
      <c r="C4" s="140"/>
      <c r="D4" s="141"/>
      <c r="F4" s="189" t="s">
        <v>8</v>
      </c>
      <c r="G4" s="191">
        <v>2</v>
      </c>
      <c r="H4" s="193" t="s">
        <v>9</v>
      </c>
      <c r="I4" s="195">
        <v>46088</v>
      </c>
      <c r="J4" s="19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3" t="s">
        <v>7</v>
      </c>
      <c r="B5" s="15" t="s">
        <v>11</v>
      </c>
      <c r="C5" s="9" t="s">
        <v>12</v>
      </c>
      <c r="D5" s="25" t="s">
        <v>13</v>
      </c>
      <c r="F5" s="190"/>
      <c r="G5" s="192"/>
      <c r="H5" s="194"/>
      <c r="I5" s="197"/>
      <c r="J5" s="19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4"/>
      <c r="B6" s="16" t="s">
        <v>15</v>
      </c>
      <c r="C6" s="10">
        <v>385</v>
      </c>
      <c r="D6" s="13">
        <f t="shared" ref="D6:D28" si="1">C6*L6</f>
        <v>292985</v>
      </c>
      <c r="F6" s="199" t="s">
        <v>16</v>
      </c>
      <c r="G6" s="201" t="s">
        <v>126</v>
      </c>
      <c r="H6" s="202"/>
      <c r="I6" s="202"/>
      <c r="J6" s="203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4"/>
      <c r="B7" s="16" t="s">
        <v>18</v>
      </c>
      <c r="C7" s="10">
        <v>4</v>
      </c>
      <c r="D7" s="13">
        <f t="shared" si="1"/>
        <v>3124</v>
      </c>
      <c r="F7" s="200"/>
      <c r="G7" s="204"/>
      <c r="H7" s="205"/>
      <c r="I7" s="205"/>
      <c r="J7" s="206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4"/>
      <c r="B8" s="16" t="s">
        <v>20</v>
      </c>
      <c r="C8" s="10"/>
      <c r="D8" s="13">
        <f t="shared" si="1"/>
        <v>0</v>
      </c>
      <c r="F8" s="207" t="s">
        <v>21</v>
      </c>
      <c r="G8" s="208" t="s">
        <v>113</v>
      </c>
      <c r="H8" s="209"/>
      <c r="I8" s="209"/>
      <c r="J8" s="210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4"/>
      <c r="B9" s="16" t="s">
        <v>23</v>
      </c>
      <c r="C9" s="10">
        <v>68</v>
      </c>
      <c r="D9" s="13">
        <f t="shared" si="1"/>
        <v>49844</v>
      </c>
      <c r="F9" s="200"/>
      <c r="G9" s="211"/>
      <c r="H9" s="212"/>
      <c r="I9" s="212"/>
      <c r="J9" s="213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4"/>
      <c r="B10" t="s">
        <v>25</v>
      </c>
      <c r="C10" s="10"/>
      <c r="D10" s="13">
        <f t="shared" si="1"/>
        <v>0</v>
      </c>
      <c r="F10" s="199" t="s">
        <v>26</v>
      </c>
      <c r="G10" s="214" t="s">
        <v>114</v>
      </c>
      <c r="H10" s="215"/>
      <c r="I10" s="215"/>
      <c r="J10" s="216"/>
      <c r="K10" s="8"/>
      <c r="L10" s="6">
        <f>R36</f>
        <v>1032</v>
      </c>
      <c r="P10" s="4"/>
      <c r="Q10" s="4"/>
      <c r="R10" s="5"/>
    </row>
    <row r="11" spans="1:18" ht="15.75" x14ac:dyDescent="0.25">
      <c r="A11" s="134"/>
      <c r="B11" s="17" t="s">
        <v>28</v>
      </c>
      <c r="C11" s="10"/>
      <c r="D11" s="13">
        <f t="shared" si="1"/>
        <v>0</v>
      </c>
      <c r="F11" s="200"/>
      <c r="G11" s="211"/>
      <c r="H11" s="212"/>
      <c r="I11" s="212"/>
      <c r="J11" s="213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4"/>
      <c r="B12" s="17" t="s">
        <v>30</v>
      </c>
      <c r="C12" s="10">
        <v>2</v>
      </c>
      <c r="D12" s="48">
        <f t="shared" si="1"/>
        <v>1984</v>
      </c>
      <c r="F12" s="217" t="s">
        <v>33</v>
      </c>
      <c r="G12" s="218"/>
      <c r="H12" s="218"/>
      <c r="I12" s="218"/>
      <c r="J12" s="219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4"/>
      <c r="B13" s="17" t="s">
        <v>32</v>
      </c>
      <c r="C13" s="10">
        <v>10</v>
      </c>
      <c r="D13" s="48">
        <f t="shared" si="1"/>
        <v>3070</v>
      </c>
      <c r="F13" s="220" t="s">
        <v>36</v>
      </c>
      <c r="G13" s="184"/>
      <c r="H13" s="175">
        <f>D29</f>
        <v>351657</v>
      </c>
      <c r="I13" s="176"/>
      <c r="J13" s="17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4"/>
      <c r="B14" s="14" t="s">
        <v>35</v>
      </c>
      <c r="C14" s="10"/>
      <c r="D14" s="31">
        <f t="shared" si="1"/>
        <v>0</v>
      </c>
      <c r="F14" s="178" t="s">
        <v>39</v>
      </c>
      <c r="G14" s="179"/>
      <c r="H14" s="180">
        <f>D54</f>
        <v>33426</v>
      </c>
      <c r="I14" s="181"/>
      <c r="J14" s="18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4"/>
      <c r="B15" s="14" t="s">
        <v>38</v>
      </c>
      <c r="C15" s="10"/>
      <c r="D15" s="31">
        <f t="shared" si="1"/>
        <v>0</v>
      </c>
      <c r="F15" s="183" t="s">
        <v>40</v>
      </c>
      <c r="G15" s="184"/>
      <c r="H15" s="185">
        <f>H13-H14</f>
        <v>318231</v>
      </c>
      <c r="I15" s="186"/>
      <c r="J15" s="187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4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45">
        <v>1200</v>
      </c>
      <c r="I16" s="145"/>
      <c r="J16" s="145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4"/>
      <c r="B17" t="s">
        <v>93</v>
      </c>
      <c r="C17" s="10"/>
      <c r="D17" s="48">
        <f t="shared" si="1"/>
        <v>0</v>
      </c>
      <c r="F17" s="56"/>
      <c r="G17" s="66" t="s">
        <v>45</v>
      </c>
      <c r="H17" s="156"/>
      <c r="I17" s="156"/>
      <c r="J17" s="156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4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56"/>
      <c r="I18" s="156"/>
      <c r="J18" s="156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4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31"/>
      <c r="I19" s="231"/>
      <c r="J19" s="231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4"/>
      <c r="B20" s="46" t="s">
        <v>119</v>
      </c>
      <c r="C20" s="10"/>
      <c r="D20" s="13">
        <f t="shared" si="1"/>
        <v>0</v>
      </c>
      <c r="F20" s="57"/>
      <c r="G20" s="70" t="s">
        <v>117</v>
      </c>
      <c r="H20" s="156"/>
      <c r="I20" s="156"/>
      <c r="J20" s="156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4"/>
      <c r="B21" s="14" t="s">
        <v>131</v>
      </c>
      <c r="C21" s="10">
        <v>1</v>
      </c>
      <c r="D21" s="48">
        <f t="shared" si="1"/>
        <v>650</v>
      </c>
      <c r="F21" s="69" t="s">
        <v>99</v>
      </c>
      <c r="G21" s="82" t="s">
        <v>98</v>
      </c>
      <c r="H21" s="158" t="s">
        <v>13</v>
      </c>
      <c r="I21" s="159"/>
      <c r="J21" s="160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4"/>
      <c r="B22" s="46" t="s">
        <v>104</v>
      </c>
      <c r="C22" s="10"/>
      <c r="D22" s="48">
        <f t="shared" si="1"/>
        <v>0</v>
      </c>
      <c r="F22" s="72"/>
      <c r="G22" s="73"/>
      <c r="H22" s="161"/>
      <c r="I22" s="161"/>
      <c r="J22" s="161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4"/>
      <c r="B23" s="14" t="s">
        <v>107</v>
      </c>
      <c r="C23" s="10"/>
      <c r="D23" s="48">
        <f t="shared" si="1"/>
        <v>0</v>
      </c>
      <c r="F23" s="25"/>
      <c r="G23" s="37"/>
      <c r="H23" s="162"/>
      <c r="I23" s="131"/>
      <c r="J23" s="131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4"/>
      <c r="B24" s="14" t="s">
        <v>120</v>
      </c>
      <c r="C24" s="10"/>
      <c r="D24" s="48">
        <f t="shared" si="1"/>
        <v>0</v>
      </c>
      <c r="F24" s="38"/>
      <c r="G24" s="37"/>
      <c r="H24" s="162"/>
      <c r="I24" s="131"/>
      <c r="J24" s="131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4"/>
      <c r="B25" s="14" t="s">
        <v>121</v>
      </c>
      <c r="C25" s="10"/>
      <c r="D25" s="48">
        <f t="shared" si="1"/>
        <v>0</v>
      </c>
      <c r="F25" s="60" t="s">
        <v>100</v>
      </c>
      <c r="G25" s="55" t="s">
        <v>98</v>
      </c>
      <c r="H25" s="163" t="s">
        <v>13</v>
      </c>
      <c r="I25" s="164"/>
      <c r="J25" s="165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4"/>
      <c r="B26" s="14" t="s">
        <v>105</v>
      </c>
      <c r="C26" s="10"/>
      <c r="D26" s="48">
        <f t="shared" si="1"/>
        <v>0</v>
      </c>
      <c r="F26" s="64"/>
      <c r="G26" s="10"/>
      <c r="H26" s="166"/>
      <c r="I26" s="167"/>
      <c r="J26" s="168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4"/>
      <c r="B27" s="14" t="s">
        <v>109</v>
      </c>
      <c r="C27" s="10"/>
      <c r="D27" s="44">
        <f t="shared" si="1"/>
        <v>0</v>
      </c>
      <c r="F27" s="14"/>
      <c r="G27" s="14"/>
      <c r="H27" s="169"/>
      <c r="I27" s="170"/>
      <c r="J27" s="171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5"/>
      <c r="B28" s="46" t="s">
        <v>97</v>
      </c>
      <c r="C28" s="10"/>
      <c r="D28" s="48">
        <f t="shared" si="1"/>
        <v>0</v>
      </c>
      <c r="F28" s="86"/>
      <c r="G28" s="61"/>
      <c r="H28" s="172"/>
      <c r="I28" s="173"/>
      <c r="J28" s="174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46" t="s">
        <v>36</v>
      </c>
      <c r="B29" s="147"/>
      <c r="C29" s="148"/>
      <c r="D29" s="152">
        <f>SUM(D6:D28)</f>
        <v>351657</v>
      </c>
      <c r="F29" s="92" t="s">
        <v>55</v>
      </c>
      <c r="G29" s="154"/>
      <c r="H29" s="114">
        <f>H15-H16-H17-H18-H19-H20-H22-H23-H24+H26+H27</f>
        <v>317031</v>
      </c>
      <c r="I29" s="115"/>
      <c r="J29" s="116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49"/>
      <c r="B30" s="150"/>
      <c r="C30" s="151"/>
      <c r="D30" s="153"/>
      <c r="F30" s="95"/>
      <c r="G30" s="155"/>
      <c r="H30" s="117"/>
      <c r="I30" s="118"/>
      <c r="J30" s="119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39" t="s">
        <v>58</v>
      </c>
      <c r="B32" s="140"/>
      <c r="C32" s="140"/>
      <c r="D32" s="141"/>
      <c r="F32" s="142" t="s">
        <v>59</v>
      </c>
      <c r="G32" s="143"/>
      <c r="H32" s="143"/>
      <c r="I32" s="143"/>
      <c r="J32" s="144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142" t="s">
        <v>13</v>
      </c>
      <c r="I33" s="143"/>
      <c r="J33" s="144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3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131</v>
      </c>
      <c r="H34" s="136">
        <f>F34*G34</f>
        <v>131000</v>
      </c>
      <c r="I34" s="137"/>
      <c r="J34" s="138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4"/>
      <c r="B35" s="27" t="s">
        <v>68</v>
      </c>
      <c r="C35" s="52"/>
      <c r="D35" s="30">
        <f>C35*84</f>
        <v>0</v>
      </c>
      <c r="F35" s="58">
        <v>500</v>
      </c>
      <c r="G35" s="41">
        <v>80</v>
      </c>
      <c r="H35" s="136">
        <f t="shared" ref="H35:H39" si="2">F35*G35</f>
        <v>40000</v>
      </c>
      <c r="I35" s="137"/>
      <c r="J35" s="138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5"/>
      <c r="B36" s="26" t="s">
        <v>70</v>
      </c>
      <c r="C36" s="10"/>
      <c r="D36" s="12">
        <f>C36*1.5</f>
        <v>0</v>
      </c>
      <c r="F36" s="12">
        <v>200</v>
      </c>
      <c r="G36" s="37"/>
      <c r="H36" s="136">
        <f>F36*G36</f>
        <v>0</v>
      </c>
      <c r="I36" s="137"/>
      <c r="J36" s="138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3" t="s">
        <v>72</v>
      </c>
      <c r="B37" s="28" t="s">
        <v>66</v>
      </c>
      <c r="C37" s="53">
        <v>278</v>
      </c>
      <c r="D37" s="12">
        <f>C37*111</f>
        <v>30858</v>
      </c>
      <c r="F37" s="12">
        <v>100</v>
      </c>
      <c r="G37" s="39">
        <v>4</v>
      </c>
      <c r="H37" s="136">
        <f t="shared" si="2"/>
        <v>400</v>
      </c>
      <c r="I37" s="137"/>
      <c r="J37" s="138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4"/>
      <c r="B38" s="29" t="s">
        <v>68</v>
      </c>
      <c r="C38" s="54">
        <v>18</v>
      </c>
      <c r="D38" s="12">
        <f>C38*84</f>
        <v>1512</v>
      </c>
      <c r="F38" s="30">
        <v>50</v>
      </c>
      <c r="G38" s="39">
        <v>1</v>
      </c>
      <c r="H38" s="136">
        <f t="shared" si="2"/>
        <v>50</v>
      </c>
      <c r="I38" s="137"/>
      <c r="J38" s="138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5"/>
      <c r="B39" s="29" t="s">
        <v>70</v>
      </c>
      <c r="C39" s="52">
        <v>7</v>
      </c>
      <c r="D39" s="31">
        <f>C39*4.5</f>
        <v>31.5</v>
      </c>
      <c r="F39" s="12">
        <v>20</v>
      </c>
      <c r="G39" s="37">
        <v>1</v>
      </c>
      <c r="H39" s="136">
        <f t="shared" si="2"/>
        <v>20</v>
      </c>
      <c r="I39" s="137"/>
      <c r="J39" s="138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3" t="s">
        <v>76</v>
      </c>
      <c r="B40" s="27" t="s">
        <v>66</v>
      </c>
      <c r="C40" s="63">
        <v>4</v>
      </c>
      <c r="D40" s="12">
        <f>C40*111</f>
        <v>444</v>
      </c>
      <c r="F40" s="12">
        <v>10</v>
      </c>
      <c r="G40" s="42"/>
      <c r="H40" s="136"/>
      <c r="I40" s="137"/>
      <c r="J40" s="138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4"/>
      <c r="B41" s="27" t="s">
        <v>68</v>
      </c>
      <c r="C41" s="10"/>
      <c r="D41" s="12">
        <f>C41*84</f>
        <v>0</v>
      </c>
      <c r="F41" s="12">
        <v>5</v>
      </c>
      <c r="G41" s="42"/>
      <c r="H41" s="136"/>
      <c r="I41" s="137"/>
      <c r="J41" s="138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5"/>
      <c r="B42" s="27" t="s">
        <v>70</v>
      </c>
      <c r="C42" s="11">
        <v>12</v>
      </c>
      <c r="D42" s="12">
        <f>C42*2.25</f>
        <v>27</v>
      </c>
      <c r="F42" s="39" t="s">
        <v>79</v>
      </c>
      <c r="G42" s="136">
        <v>18</v>
      </c>
      <c r="H42" s="137"/>
      <c r="I42" s="137"/>
      <c r="J42" s="138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06" t="s">
        <v>81</v>
      </c>
      <c r="C43" s="11"/>
      <c r="D43" s="12"/>
      <c r="F43" s="59" t="s">
        <v>82</v>
      </c>
      <c r="G43" s="89" t="s">
        <v>83</v>
      </c>
      <c r="H43" s="128" t="s">
        <v>13</v>
      </c>
      <c r="I43" s="129"/>
      <c r="J43" s="130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07"/>
      <c r="B44" s="27" t="s">
        <v>66</v>
      </c>
      <c r="C44" s="10"/>
      <c r="D44" s="12">
        <f>C44*120</f>
        <v>0</v>
      </c>
      <c r="F44" s="37" t="s">
        <v>145</v>
      </c>
      <c r="G44" s="62" t="s">
        <v>175</v>
      </c>
      <c r="H44" s="131">
        <v>145531</v>
      </c>
      <c r="I44" s="131"/>
      <c r="J44" s="131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07"/>
      <c r="B45" s="27" t="s">
        <v>68</v>
      </c>
      <c r="C45" s="33">
        <v>2</v>
      </c>
      <c r="D45" s="12">
        <f>C45*84</f>
        <v>168</v>
      </c>
      <c r="F45" s="37"/>
      <c r="G45" s="62"/>
      <c r="H45" s="131"/>
      <c r="I45" s="131"/>
      <c r="J45" s="131"/>
      <c r="K45" s="21"/>
      <c r="P45" s="4"/>
      <c r="Q45" s="4"/>
      <c r="R45" s="5"/>
    </row>
    <row r="46" spans="1:18" ht="15.75" x14ac:dyDescent="0.25">
      <c r="A46" s="107"/>
      <c r="B46" s="49" t="s">
        <v>70</v>
      </c>
      <c r="C46" s="81"/>
      <c r="D46" s="12">
        <f>C46*1.5</f>
        <v>0</v>
      </c>
      <c r="F46" s="37"/>
      <c r="G46" s="88"/>
      <c r="H46" s="132"/>
      <c r="I46" s="132"/>
      <c r="J46" s="132"/>
      <c r="K46" s="21"/>
      <c r="P46" s="4"/>
      <c r="Q46" s="4"/>
      <c r="R46" s="5"/>
    </row>
    <row r="47" spans="1:18" ht="15.75" x14ac:dyDescent="0.25">
      <c r="A47" s="108"/>
      <c r="B47" s="27"/>
      <c r="C47" s="11"/>
      <c r="D47" s="12"/>
      <c r="F47" s="59"/>
      <c r="G47" s="59"/>
      <c r="H47" s="109"/>
      <c r="I47" s="110"/>
      <c r="J47" s="111"/>
      <c r="K47" s="21"/>
      <c r="P47" s="4"/>
      <c r="Q47" s="4"/>
      <c r="R47" s="5"/>
    </row>
    <row r="48" spans="1:18" ht="15" customHeight="1" x14ac:dyDescent="0.25">
      <c r="A48" s="106" t="s">
        <v>32</v>
      </c>
      <c r="B48" s="27" t="s">
        <v>66</v>
      </c>
      <c r="C48" s="10">
        <v>3</v>
      </c>
      <c r="D48" s="12">
        <f>C48*78</f>
        <v>234</v>
      </c>
      <c r="F48" s="59"/>
      <c r="G48" s="59"/>
      <c r="H48" s="109"/>
      <c r="I48" s="110"/>
      <c r="J48" s="111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07"/>
      <c r="B49" s="29" t="s">
        <v>68</v>
      </c>
      <c r="C49" s="33">
        <v>1</v>
      </c>
      <c r="D49" s="12">
        <f>C49*42</f>
        <v>42</v>
      </c>
      <c r="F49" s="112" t="s">
        <v>86</v>
      </c>
      <c r="G49" s="114">
        <f>H34+H35+H36+H37+H38+H39+H40+H41+G42+H44+H45+H46</f>
        <v>317019</v>
      </c>
      <c r="H49" s="115"/>
      <c r="I49" s="115"/>
      <c r="J49" s="116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07"/>
      <c r="B50" s="32" t="s">
        <v>70</v>
      </c>
      <c r="C50" s="11">
        <v>73</v>
      </c>
      <c r="D50" s="12">
        <f>C50*1.5</f>
        <v>109.5</v>
      </c>
      <c r="F50" s="113"/>
      <c r="G50" s="117"/>
      <c r="H50" s="118"/>
      <c r="I50" s="118"/>
      <c r="J50" s="119"/>
      <c r="O50" t="s">
        <v>137</v>
      </c>
      <c r="P50" s="4">
        <v>1204</v>
      </c>
      <c r="Q50" s="4"/>
      <c r="R50" s="5"/>
    </row>
    <row r="51" spans="1:18" ht="15" customHeight="1" x14ac:dyDescent="0.25">
      <c r="A51" s="107"/>
      <c r="B51" s="27"/>
      <c r="C51" s="10"/>
      <c r="D51" s="31"/>
      <c r="F51" s="120" t="s">
        <v>162</v>
      </c>
      <c r="G51" s="221">
        <f>G49-H29</f>
        <v>-12</v>
      </c>
      <c r="H51" s="222"/>
      <c r="I51" s="222"/>
      <c r="J51" s="223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07"/>
      <c r="B52" s="29"/>
      <c r="C52" s="33"/>
      <c r="D52" s="45"/>
      <c r="F52" s="121"/>
      <c r="G52" s="224"/>
      <c r="H52" s="225"/>
      <c r="I52" s="225"/>
      <c r="J52" s="226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08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92" t="s">
        <v>90</v>
      </c>
      <c r="B54" s="93"/>
      <c r="C54" s="94"/>
      <c r="D54" s="98">
        <f>SUM(D34:D53)</f>
        <v>33426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95"/>
      <c r="B55" s="96"/>
      <c r="C55" s="97"/>
      <c r="D55" s="9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100" t="s">
        <v>91</v>
      </c>
      <c r="B58" s="101"/>
      <c r="C58" s="101"/>
      <c r="D58" s="102"/>
      <c r="F58" s="100" t="s">
        <v>92</v>
      </c>
      <c r="G58" s="101"/>
      <c r="H58" s="101"/>
      <c r="I58" s="101"/>
      <c r="J58" s="102"/>
    </row>
    <row r="59" spans="1:18" x14ac:dyDescent="0.25">
      <c r="A59" s="103"/>
      <c r="B59" s="104"/>
      <c r="C59" s="104"/>
      <c r="D59" s="105"/>
      <c r="F59" s="103"/>
      <c r="G59" s="104"/>
      <c r="H59" s="104"/>
      <c r="I59" s="104"/>
      <c r="J59" s="105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D3EE61-1CE5-4146-A5CD-DF51DD3E68D5}">
  <dimension ref="A1:R59"/>
  <sheetViews>
    <sheetView topLeftCell="A30" zoomScaleNormal="100" zoomScaleSheetLayoutView="85" workbookViewId="0">
      <selection activeCell="F51" sqref="F51:F52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88" t="s">
        <v>1</v>
      </c>
      <c r="O1" s="188"/>
      <c r="P1" s="85" t="s">
        <v>2</v>
      </c>
      <c r="Q1" s="8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9" t="s">
        <v>7</v>
      </c>
      <c r="B4" s="140"/>
      <c r="C4" s="140"/>
      <c r="D4" s="141"/>
      <c r="F4" s="189" t="s">
        <v>8</v>
      </c>
      <c r="G4" s="191">
        <v>3</v>
      </c>
      <c r="H4" s="193" t="s">
        <v>9</v>
      </c>
      <c r="I4" s="195">
        <v>46088</v>
      </c>
      <c r="J4" s="19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3" t="s">
        <v>7</v>
      </c>
      <c r="B5" s="15" t="s">
        <v>11</v>
      </c>
      <c r="C5" s="9" t="s">
        <v>12</v>
      </c>
      <c r="D5" s="25" t="s">
        <v>13</v>
      </c>
      <c r="F5" s="190"/>
      <c r="G5" s="192"/>
      <c r="H5" s="194"/>
      <c r="I5" s="197"/>
      <c r="J5" s="19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4"/>
      <c r="B6" s="16" t="s">
        <v>15</v>
      </c>
      <c r="C6" s="10">
        <v>432</v>
      </c>
      <c r="D6" s="13">
        <f t="shared" ref="D6:D28" si="1">C6*L6</f>
        <v>328752</v>
      </c>
      <c r="F6" s="199" t="s">
        <v>16</v>
      </c>
      <c r="G6" s="201" t="s">
        <v>141</v>
      </c>
      <c r="H6" s="202"/>
      <c r="I6" s="202"/>
      <c r="J6" s="203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4"/>
      <c r="B7" s="16" t="s">
        <v>18</v>
      </c>
      <c r="C7" s="10">
        <v>12</v>
      </c>
      <c r="D7" s="13">
        <f t="shared" si="1"/>
        <v>9372</v>
      </c>
      <c r="F7" s="200"/>
      <c r="G7" s="204"/>
      <c r="H7" s="205"/>
      <c r="I7" s="205"/>
      <c r="J7" s="206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4"/>
      <c r="B8" s="16" t="s">
        <v>20</v>
      </c>
      <c r="C8" s="10"/>
      <c r="D8" s="13">
        <f t="shared" si="1"/>
        <v>0</v>
      </c>
      <c r="F8" s="207" t="s">
        <v>21</v>
      </c>
      <c r="G8" s="208" t="s">
        <v>130</v>
      </c>
      <c r="H8" s="209"/>
      <c r="I8" s="209"/>
      <c r="J8" s="210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4"/>
      <c r="B9" s="16" t="s">
        <v>23</v>
      </c>
      <c r="C9" s="10">
        <v>59</v>
      </c>
      <c r="D9" s="13">
        <f t="shared" si="1"/>
        <v>43247</v>
      </c>
      <c r="F9" s="200"/>
      <c r="G9" s="211"/>
      <c r="H9" s="212"/>
      <c r="I9" s="212"/>
      <c r="J9" s="213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4"/>
      <c r="B10" t="s">
        <v>25</v>
      </c>
      <c r="C10" s="10"/>
      <c r="D10" s="13">
        <f t="shared" si="1"/>
        <v>0</v>
      </c>
      <c r="F10" s="199" t="s">
        <v>26</v>
      </c>
      <c r="G10" s="214" t="s">
        <v>127</v>
      </c>
      <c r="H10" s="215"/>
      <c r="I10" s="215"/>
      <c r="J10" s="216"/>
      <c r="K10" s="8"/>
      <c r="L10" s="6">
        <f>R36</f>
        <v>1032</v>
      </c>
      <c r="P10" s="4"/>
      <c r="Q10" s="4"/>
      <c r="R10" s="5"/>
    </row>
    <row r="11" spans="1:18" ht="15.75" x14ac:dyDescent="0.25">
      <c r="A11" s="134"/>
      <c r="B11" s="17" t="s">
        <v>28</v>
      </c>
      <c r="C11" s="10"/>
      <c r="D11" s="13">
        <f t="shared" si="1"/>
        <v>0</v>
      </c>
      <c r="F11" s="200"/>
      <c r="G11" s="211"/>
      <c r="H11" s="212"/>
      <c r="I11" s="212"/>
      <c r="J11" s="213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4"/>
      <c r="B12" s="17" t="s">
        <v>30</v>
      </c>
      <c r="C12" s="10">
        <v>2</v>
      </c>
      <c r="D12" s="48">
        <f t="shared" si="1"/>
        <v>1984</v>
      </c>
      <c r="F12" s="217" t="s">
        <v>33</v>
      </c>
      <c r="G12" s="218"/>
      <c r="H12" s="218"/>
      <c r="I12" s="218"/>
      <c r="J12" s="219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4"/>
      <c r="B13" s="17" t="s">
        <v>32</v>
      </c>
      <c r="C13" s="10">
        <v>19</v>
      </c>
      <c r="D13" s="48">
        <f t="shared" si="1"/>
        <v>5833</v>
      </c>
      <c r="F13" s="220" t="s">
        <v>36</v>
      </c>
      <c r="G13" s="184"/>
      <c r="H13" s="175">
        <f>D29</f>
        <v>412474</v>
      </c>
      <c r="I13" s="176"/>
      <c r="J13" s="17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4"/>
      <c r="B14" s="14" t="s">
        <v>35</v>
      </c>
      <c r="C14" s="10"/>
      <c r="D14" s="31">
        <f t="shared" si="1"/>
        <v>0</v>
      </c>
      <c r="F14" s="178" t="s">
        <v>39</v>
      </c>
      <c r="G14" s="179"/>
      <c r="H14" s="180">
        <f>D54</f>
        <v>58906.5</v>
      </c>
      <c r="I14" s="181"/>
      <c r="J14" s="18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4"/>
      <c r="B15" s="14" t="s">
        <v>38</v>
      </c>
      <c r="C15" s="10"/>
      <c r="D15" s="31">
        <f t="shared" si="1"/>
        <v>0</v>
      </c>
      <c r="F15" s="183" t="s">
        <v>40</v>
      </c>
      <c r="G15" s="184"/>
      <c r="H15" s="185">
        <f>H13-H14</f>
        <v>353567.5</v>
      </c>
      <c r="I15" s="186"/>
      <c r="J15" s="187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4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45">
        <f>2736</f>
        <v>2736</v>
      </c>
      <c r="I16" s="145"/>
      <c r="J16" s="145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4"/>
      <c r="B17" t="s">
        <v>112</v>
      </c>
      <c r="C17" s="10">
        <v>1</v>
      </c>
      <c r="D17" s="48">
        <f t="shared" si="1"/>
        <v>1582</v>
      </c>
      <c r="F17" s="56"/>
      <c r="G17" s="66" t="s">
        <v>45</v>
      </c>
      <c r="H17" s="156"/>
      <c r="I17" s="156"/>
      <c r="J17" s="156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4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56"/>
      <c r="I18" s="156"/>
      <c r="J18" s="156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4"/>
      <c r="B19" s="14" t="s">
        <v>176</v>
      </c>
      <c r="C19" s="10">
        <v>2</v>
      </c>
      <c r="D19" s="48">
        <f t="shared" si="1"/>
        <v>2204</v>
      </c>
      <c r="F19" s="56"/>
      <c r="G19" s="68" t="s">
        <v>50</v>
      </c>
      <c r="H19" s="232"/>
      <c r="I19" s="232"/>
      <c r="J19" s="232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4"/>
      <c r="B20" s="46" t="s">
        <v>108</v>
      </c>
      <c r="C20" s="10"/>
      <c r="D20" s="13">
        <f t="shared" si="1"/>
        <v>0</v>
      </c>
      <c r="F20" s="57"/>
      <c r="G20" s="70" t="s">
        <v>117</v>
      </c>
      <c r="H20" s="145"/>
      <c r="I20" s="145"/>
      <c r="J20" s="145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4"/>
      <c r="B21" s="14" t="s">
        <v>123</v>
      </c>
      <c r="C21" s="10">
        <v>30</v>
      </c>
      <c r="D21" s="48">
        <f t="shared" si="1"/>
        <v>19500</v>
      </c>
      <c r="F21" s="69" t="s">
        <v>99</v>
      </c>
      <c r="G21" s="82" t="s">
        <v>98</v>
      </c>
      <c r="H21" s="158" t="s">
        <v>13</v>
      </c>
      <c r="I21" s="159"/>
      <c r="J21" s="160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4"/>
      <c r="B22" s="46" t="s">
        <v>104</v>
      </c>
      <c r="C22" s="10"/>
      <c r="D22" s="48">
        <f t="shared" si="1"/>
        <v>0</v>
      </c>
      <c r="F22" s="77"/>
      <c r="G22" s="73"/>
      <c r="H22" s="161"/>
      <c r="I22" s="161"/>
      <c r="J22" s="161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4"/>
      <c r="B23" s="14" t="s">
        <v>107</v>
      </c>
      <c r="C23" s="10"/>
      <c r="D23" s="48">
        <f t="shared" si="1"/>
        <v>0</v>
      </c>
      <c r="F23" s="78"/>
      <c r="G23" s="79"/>
      <c r="H23" s="162"/>
      <c r="I23" s="131"/>
      <c r="J23" s="131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4"/>
      <c r="B24" s="14" t="s">
        <v>101</v>
      </c>
      <c r="C24" s="10"/>
      <c r="D24" s="48">
        <f t="shared" si="1"/>
        <v>0</v>
      </c>
      <c r="F24" s="38"/>
      <c r="G24" s="37"/>
      <c r="H24" s="162"/>
      <c r="I24" s="131"/>
      <c r="J24" s="131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4"/>
      <c r="B25" s="14" t="s">
        <v>115</v>
      </c>
      <c r="C25" s="10"/>
      <c r="D25" s="48">
        <f t="shared" si="1"/>
        <v>0</v>
      </c>
      <c r="F25" s="60" t="s">
        <v>100</v>
      </c>
      <c r="G25" s="55" t="s">
        <v>98</v>
      </c>
      <c r="H25" s="163" t="s">
        <v>13</v>
      </c>
      <c r="I25" s="164"/>
      <c r="J25" s="165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4"/>
      <c r="B26" s="14" t="s">
        <v>105</v>
      </c>
      <c r="C26" s="10"/>
      <c r="D26" s="48">
        <f t="shared" si="1"/>
        <v>0</v>
      </c>
      <c r="F26" s="64"/>
      <c r="G26" s="59"/>
      <c r="H26" s="166"/>
      <c r="I26" s="167"/>
      <c r="J26" s="168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4"/>
      <c r="B27" s="14" t="s">
        <v>109</v>
      </c>
      <c r="C27" s="10"/>
      <c r="D27" s="44">
        <f t="shared" si="1"/>
        <v>0</v>
      </c>
      <c r="F27" s="25"/>
      <c r="G27" s="80"/>
      <c r="H27" s="169"/>
      <c r="I27" s="170"/>
      <c r="J27" s="171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5"/>
      <c r="B28" s="46" t="s">
        <v>97</v>
      </c>
      <c r="C28" s="10"/>
      <c r="D28" s="48">
        <f t="shared" si="1"/>
        <v>0</v>
      </c>
      <c r="F28" s="86"/>
      <c r="G28" s="61"/>
      <c r="H28" s="172"/>
      <c r="I28" s="173"/>
      <c r="J28" s="174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46" t="s">
        <v>36</v>
      </c>
      <c r="B29" s="147"/>
      <c r="C29" s="148"/>
      <c r="D29" s="152">
        <f>SUM(D6:D28)</f>
        <v>412474</v>
      </c>
      <c r="F29" s="92" t="s">
        <v>55</v>
      </c>
      <c r="G29" s="154"/>
      <c r="H29" s="114">
        <f>H15-H16-H17-H18-H19-H20-H22-H23-H24+H26+H27</f>
        <v>350831.5</v>
      </c>
      <c r="I29" s="115"/>
      <c r="J29" s="116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49"/>
      <c r="B30" s="150"/>
      <c r="C30" s="151"/>
      <c r="D30" s="153"/>
      <c r="F30" s="95"/>
      <c r="G30" s="155"/>
      <c r="H30" s="117"/>
      <c r="I30" s="118"/>
      <c r="J30" s="119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39" t="s">
        <v>58</v>
      </c>
      <c r="B32" s="140"/>
      <c r="C32" s="140"/>
      <c r="D32" s="141"/>
      <c r="F32" s="142" t="s">
        <v>59</v>
      </c>
      <c r="G32" s="143"/>
      <c r="H32" s="143"/>
      <c r="I32" s="143"/>
      <c r="J32" s="144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142" t="s">
        <v>13</v>
      </c>
      <c r="I33" s="143"/>
      <c r="J33" s="144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3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100</v>
      </c>
      <c r="H34" s="136">
        <f>F34*G34</f>
        <v>100000</v>
      </c>
      <c r="I34" s="137"/>
      <c r="J34" s="138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4"/>
      <c r="B35" s="27" t="s">
        <v>68</v>
      </c>
      <c r="C35" s="52"/>
      <c r="D35" s="30">
        <f>C35*84</f>
        <v>0</v>
      </c>
      <c r="F35" s="58">
        <v>500</v>
      </c>
      <c r="G35" s="41">
        <v>31</v>
      </c>
      <c r="H35" s="136">
        <f>F35*G35</f>
        <v>15500</v>
      </c>
      <c r="I35" s="137"/>
      <c r="J35" s="138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5"/>
      <c r="B36" s="26" t="s">
        <v>70</v>
      </c>
      <c r="C36" s="10"/>
      <c r="D36" s="12">
        <f>C36*1.5</f>
        <v>0</v>
      </c>
      <c r="F36" s="12">
        <v>200</v>
      </c>
      <c r="G36" s="37"/>
      <c r="H36" s="136">
        <f t="shared" ref="H36:H39" si="2">F36*G36</f>
        <v>0</v>
      </c>
      <c r="I36" s="137"/>
      <c r="J36" s="138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3" t="s">
        <v>72</v>
      </c>
      <c r="B37" s="28" t="s">
        <v>66</v>
      </c>
      <c r="C37" s="53">
        <v>510</v>
      </c>
      <c r="D37" s="12">
        <f>C37*111</f>
        <v>56610</v>
      </c>
      <c r="F37" s="12">
        <v>100</v>
      </c>
      <c r="G37" s="39">
        <v>41</v>
      </c>
      <c r="H37" s="136">
        <f t="shared" si="2"/>
        <v>4100</v>
      </c>
      <c r="I37" s="137"/>
      <c r="J37" s="138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4"/>
      <c r="B38" s="29" t="s">
        <v>68</v>
      </c>
      <c r="C38" s="54">
        <v>1</v>
      </c>
      <c r="D38" s="12">
        <f>C38*84</f>
        <v>84</v>
      </c>
      <c r="F38" s="30">
        <v>50</v>
      </c>
      <c r="G38" s="39"/>
      <c r="H38" s="136">
        <f t="shared" si="2"/>
        <v>0</v>
      </c>
      <c r="I38" s="137"/>
      <c r="J38" s="138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5"/>
      <c r="B39" s="29" t="s">
        <v>70</v>
      </c>
      <c r="C39" s="52">
        <v>5</v>
      </c>
      <c r="D39" s="31">
        <f>C39*4.5</f>
        <v>22.5</v>
      </c>
      <c r="F39" s="12">
        <v>20</v>
      </c>
      <c r="G39" s="37"/>
      <c r="H39" s="136">
        <f t="shared" si="2"/>
        <v>0</v>
      </c>
      <c r="I39" s="137"/>
      <c r="J39" s="138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3" t="s">
        <v>76</v>
      </c>
      <c r="B40" s="27" t="s">
        <v>66</v>
      </c>
      <c r="C40" s="63">
        <v>2</v>
      </c>
      <c r="D40" s="12">
        <f>C40*111</f>
        <v>222</v>
      </c>
      <c r="F40" s="12">
        <v>10</v>
      </c>
      <c r="G40" s="42"/>
      <c r="H40" s="136"/>
      <c r="I40" s="137"/>
      <c r="J40" s="138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4"/>
      <c r="B41" s="27" t="s">
        <v>68</v>
      </c>
      <c r="C41" s="10"/>
      <c r="D41" s="12">
        <f>C41*84</f>
        <v>0</v>
      </c>
      <c r="F41" s="12">
        <v>5</v>
      </c>
      <c r="G41" s="42"/>
      <c r="H41" s="136"/>
      <c r="I41" s="137"/>
      <c r="J41" s="138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5"/>
      <c r="B42" s="27" t="s">
        <v>70</v>
      </c>
      <c r="C42" s="11">
        <v>2</v>
      </c>
      <c r="D42" s="12">
        <f>C42*2.25</f>
        <v>4.5</v>
      </c>
      <c r="F42" s="39" t="s">
        <v>79</v>
      </c>
      <c r="G42" s="136">
        <v>24</v>
      </c>
      <c r="H42" s="137"/>
      <c r="I42" s="137"/>
      <c r="J42" s="138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06" t="s">
        <v>81</v>
      </c>
      <c r="C43" s="11"/>
      <c r="D43" s="12"/>
      <c r="F43" s="59" t="s">
        <v>82</v>
      </c>
      <c r="G43" s="89" t="s">
        <v>83</v>
      </c>
      <c r="H43" s="128" t="s">
        <v>13</v>
      </c>
      <c r="I43" s="129"/>
      <c r="J43" s="130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07"/>
      <c r="B44" s="27" t="s">
        <v>66</v>
      </c>
      <c r="C44" s="10">
        <v>2</v>
      </c>
      <c r="D44" s="12">
        <f>C44*120</f>
        <v>240</v>
      </c>
      <c r="F44" s="37" t="s">
        <v>146</v>
      </c>
      <c r="G44" s="76" t="s">
        <v>177</v>
      </c>
      <c r="H44" s="131">
        <v>70468</v>
      </c>
      <c r="I44" s="131"/>
      <c r="J44" s="131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07"/>
      <c r="B45" s="27" t="s">
        <v>68</v>
      </c>
      <c r="C45" s="33"/>
      <c r="D45" s="12">
        <f>C45*84</f>
        <v>0</v>
      </c>
      <c r="F45" s="37" t="s">
        <v>146</v>
      </c>
      <c r="G45" s="76" t="s">
        <v>178</v>
      </c>
      <c r="H45" s="131">
        <v>162086</v>
      </c>
      <c r="I45" s="131"/>
      <c r="J45" s="131"/>
      <c r="K45" s="21"/>
      <c r="P45" s="4"/>
      <c r="Q45" s="4"/>
      <c r="R45" s="5"/>
    </row>
    <row r="46" spans="1:18" ht="15.75" x14ac:dyDescent="0.25">
      <c r="A46" s="107"/>
      <c r="B46" s="49" t="s">
        <v>70</v>
      </c>
      <c r="C46" s="81">
        <v>2</v>
      </c>
      <c r="D46" s="12">
        <f>C46*1.5</f>
        <v>3</v>
      </c>
      <c r="F46" s="37"/>
      <c r="G46" s="62"/>
      <c r="H46" s="132"/>
      <c r="I46" s="132"/>
      <c r="J46" s="132"/>
      <c r="K46" s="21"/>
      <c r="P46" s="4"/>
      <c r="Q46" s="4"/>
      <c r="R46" s="5"/>
    </row>
    <row r="47" spans="1:18" ht="15.75" x14ac:dyDescent="0.25">
      <c r="A47" s="108"/>
      <c r="B47" s="27"/>
      <c r="C47" s="11"/>
      <c r="D47" s="12"/>
      <c r="F47" s="59"/>
      <c r="G47" s="59"/>
      <c r="H47" s="109"/>
      <c r="I47" s="110"/>
      <c r="J47" s="111"/>
      <c r="K47" s="21"/>
      <c r="P47" s="4"/>
      <c r="Q47" s="4"/>
      <c r="R47" s="5"/>
    </row>
    <row r="48" spans="1:18" ht="15" customHeight="1" x14ac:dyDescent="0.25">
      <c r="A48" s="106" t="s">
        <v>32</v>
      </c>
      <c r="B48" s="27" t="s">
        <v>66</v>
      </c>
      <c r="C48" s="10">
        <v>12</v>
      </c>
      <c r="D48" s="12">
        <f>C48*78</f>
        <v>936</v>
      </c>
      <c r="F48" s="59"/>
      <c r="G48" s="59"/>
      <c r="H48" s="109"/>
      <c r="I48" s="110"/>
      <c r="J48" s="111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07"/>
      <c r="B49" s="29" t="s">
        <v>68</v>
      </c>
      <c r="C49" s="33">
        <v>18</v>
      </c>
      <c r="D49" s="12">
        <f>C49*42</f>
        <v>756</v>
      </c>
      <c r="F49" s="112" t="s">
        <v>86</v>
      </c>
      <c r="G49" s="114">
        <f>H34+H35+H36+H37+H38+H39+H40+H41+G42+H44+H45+H46</f>
        <v>352178</v>
      </c>
      <c r="H49" s="115"/>
      <c r="I49" s="115"/>
      <c r="J49" s="116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07"/>
      <c r="B50" s="32" t="s">
        <v>70</v>
      </c>
      <c r="C50" s="11">
        <v>19</v>
      </c>
      <c r="D50" s="12">
        <f>C50*1.5</f>
        <v>28.5</v>
      </c>
      <c r="F50" s="113"/>
      <c r="G50" s="117"/>
      <c r="H50" s="118"/>
      <c r="I50" s="118"/>
      <c r="J50" s="119"/>
      <c r="O50" t="s">
        <v>137</v>
      </c>
      <c r="P50" s="4">
        <v>1204</v>
      </c>
      <c r="Q50" s="4"/>
      <c r="R50" s="5"/>
    </row>
    <row r="51" spans="1:18" ht="15" customHeight="1" x14ac:dyDescent="0.25">
      <c r="A51" s="107"/>
      <c r="B51" s="27"/>
      <c r="C51" s="10"/>
      <c r="D51" s="31"/>
      <c r="F51" s="120" t="s">
        <v>138</v>
      </c>
      <c r="G51" s="122">
        <f>G49-H29</f>
        <v>1346.5</v>
      </c>
      <c r="H51" s="123"/>
      <c r="I51" s="123"/>
      <c r="J51" s="124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07"/>
      <c r="B52" s="29"/>
      <c r="C52" s="33"/>
      <c r="D52" s="45"/>
      <c r="F52" s="121"/>
      <c r="G52" s="125"/>
      <c r="H52" s="126"/>
      <c r="I52" s="126"/>
      <c r="J52" s="127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08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92" t="s">
        <v>90</v>
      </c>
      <c r="B54" s="93"/>
      <c r="C54" s="94"/>
      <c r="D54" s="98">
        <f>SUM(D34:D53)</f>
        <v>58906.5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95"/>
      <c r="B55" s="96"/>
      <c r="C55" s="97"/>
      <c r="D55" s="9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100" t="s">
        <v>91</v>
      </c>
      <c r="B58" s="101"/>
      <c r="C58" s="101"/>
      <c r="D58" s="102"/>
      <c r="F58" s="100" t="s">
        <v>92</v>
      </c>
      <c r="G58" s="101"/>
      <c r="H58" s="101"/>
      <c r="I58" s="101"/>
      <c r="J58" s="102"/>
    </row>
    <row r="59" spans="1:18" x14ac:dyDescent="0.25">
      <c r="A59" s="103"/>
      <c r="B59" s="104"/>
      <c r="C59" s="104"/>
      <c r="D59" s="105"/>
      <c r="F59" s="103"/>
      <c r="G59" s="104"/>
      <c r="H59" s="104"/>
      <c r="I59" s="104"/>
      <c r="J59" s="105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r:id="rId1"/>
  <drawing r:id="rId2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E6CD13-1AB8-4C33-9E13-6AB4F2FF47E1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88" t="s">
        <v>1</v>
      </c>
      <c r="O1" s="188"/>
      <c r="P1" s="85" t="s">
        <v>2</v>
      </c>
      <c r="Q1" s="85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39" t="s">
        <v>7</v>
      </c>
      <c r="B4" s="140"/>
      <c r="C4" s="140"/>
      <c r="D4" s="141"/>
      <c r="F4" s="189" t="s">
        <v>8</v>
      </c>
      <c r="G4" s="191"/>
      <c r="H4" s="193" t="s">
        <v>9</v>
      </c>
      <c r="I4" s="195"/>
      <c r="J4" s="19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33" t="s">
        <v>7</v>
      </c>
      <c r="B5" s="15" t="s">
        <v>11</v>
      </c>
      <c r="C5" s="9" t="s">
        <v>12</v>
      </c>
      <c r="D5" s="25" t="s">
        <v>13</v>
      </c>
      <c r="F5" s="190"/>
      <c r="G5" s="192"/>
      <c r="H5" s="194"/>
      <c r="I5" s="197"/>
      <c r="J5" s="19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34"/>
      <c r="B6" s="16"/>
      <c r="C6" s="10"/>
      <c r="D6" s="13">
        <f t="shared" ref="D6:D28" si="1">C6*L6</f>
        <v>0</v>
      </c>
      <c r="F6" s="199" t="s">
        <v>16</v>
      </c>
      <c r="G6" s="201"/>
      <c r="H6" s="202"/>
      <c r="I6" s="202"/>
      <c r="J6" s="203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34"/>
      <c r="B7" s="16"/>
      <c r="C7" s="10"/>
      <c r="D7" s="13">
        <f t="shared" si="1"/>
        <v>0</v>
      </c>
      <c r="F7" s="200"/>
      <c r="G7" s="204"/>
      <c r="H7" s="205"/>
      <c r="I7" s="205"/>
      <c r="J7" s="206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34"/>
      <c r="B8" s="16"/>
      <c r="C8" s="10"/>
      <c r="D8" s="13">
        <f t="shared" si="1"/>
        <v>0</v>
      </c>
      <c r="F8" s="207" t="s">
        <v>21</v>
      </c>
      <c r="G8" s="208"/>
      <c r="H8" s="209"/>
      <c r="I8" s="209"/>
      <c r="J8" s="210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34"/>
      <c r="B9" s="16"/>
      <c r="C9" s="10"/>
      <c r="D9" s="13">
        <f t="shared" si="1"/>
        <v>0</v>
      </c>
      <c r="F9" s="200"/>
      <c r="G9" s="211"/>
      <c r="H9" s="212"/>
      <c r="I9" s="212"/>
      <c r="J9" s="213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34"/>
      <c r="C10" s="10"/>
      <c r="D10" s="13">
        <f t="shared" si="1"/>
        <v>0</v>
      </c>
      <c r="F10" s="199" t="s">
        <v>26</v>
      </c>
      <c r="G10" s="214"/>
      <c r="H10" s="215"/>
      <c r="I10" s="215"/>
      <c r="J10" s="216"/>
      <c r="K10" s="8"/>
      <c r="L10" s="6">
        <f>R36</f>
        <v>972</v>
      </c>
      <c r="P10" s="4"/>
      <c r="Q10" s="4"/>
      <c r="R10" s="5"/>
    </row>
    <row r="11" spans="1:19" ht="15.75" x14ac:dyDescent="0.25">
      <c r="A11" s="134"/>
      <c r="B11" s="17"/>
      <c r="C11" s="10"/>
      <c r="D11" s="13">
        <f t="shared" si="1"/>
        <v>0</v>
      </c>
      <c r="F11" s="200"/>
      <c r="G11" s="211"/>
      <c r="H11" s="212"/>
      <c r="I11" s="212"/>
      <c r="J11" s="213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34"/>
      <c r="B12" s="17"/>
      <c r="C12" s="10"/>
      <c r="D12" s="48">
        <f t="shared" si="1"/>
        <v>0</v>
      </c>
      <c r="F12" s="217" t="s">
        <v>33</v>
      </c>
      <c r="G12" s="218"/>
      <c r="H12" s="218"/>
      <c r="I12" s="218"/>
      <c r="J12" s="219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34"/>
      <c r="B13" s="17"/>
      <c r="C13" s="10"/>
      <c r="D13" s="48">
        <f t="shared" si="1"/>
        <v>0</v>
      </c>
      <c r="F13" s="220" t="s">
        <v>36</v>
      </c>
      <c r="G13" s="184"/>
      <c r="H13" s="175">
        <f>D29</f>
        <v>0</v>
      </c>
      <c r="I13" s="176"/>
      <c r="J13" s="17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34"/>
      <c r="B14" s="14"/>
      <c r="C14" s="10"/>
      <c r="D14" s="31">
        <f t="shared" si="1"/>
        <v>0</v>
      </c>
      <c r="F14" s="178" t="s">
        <v>39</v>
      </c>
      <c r="G14" s="179"/>
      <c r="H14" s="180">
        <f>D54</f>
        <v>0</v>
      </c>
      <c r="I14" s="181"/>
      <c r="J14" s="18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34"/>
      <c r="B15" s="14"/>
      <c r="C15" s="10"/>
      <c r="D15" s="31">
        <f t="shared" si="1"/>
        <v>0</v>
      </c>
      <c r="F15" s="183" t="s">
        <v>40</v>
      </c>
      <c r="G15" s="184"/>
      <c r="H15" s="185">
        <f>H13-H14</f>
        <v>0</v>
      </c>
      <c r="I15" s="186"/>
      <c r="J15" s="187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34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45"/>
      <c r="I16" s="145"/>
      <c r="J16" s="145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4"/>
      <c r="C17" s="10"/>
      <c r="D17" s="48">
        <f t="shared" si="1"/>
        <v>0</v>
      </c>
      <c r="F17" s="56"/>
      <c r="G17" s="66" t="s">
        <v>45</v>
      </c>
      <c r="H17" s="156"/>
      <c r="I17" s="156"/>
      <c r="J17" s="156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4"/>
      <c r="B18" s="19"/>
      <c r="C18" s="10"/>
      <c r="D18" s="48">
        <f t="shared" si="1"/>
        <v>0</v>
      </c>
      <c r="F18" s="56"/>
      <c r="G18" s="66" t="s">
        <v>47</v>
      </c>
      <c r="H18" s="156"/>
      <c r="I18" s="156"/>
      <c r="J18" s="156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4"/>
      <c r="B19" s="14"/>
      <c r="C19" s="10"/>
      <c r="D19" s="48">
        <f t="shared" si="1"/>
        <v>0</v>
      </c>
      <c r="F19" s="56"/>
      <c r="G19" s="68" t="s">
        <v>50</v>
      </c>
      <c r="H19" s="157"/>
      <c r="I19" s="157"/>
      <c r="J19" s="157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4"/>
      <c r="B20" s="46"/>
      <c r="C20" s="10"/>
      <c r="D20" s="13">
        <f t="shared" si="1"/>
        <v>0</v>
      </c>
      <c r="F20" s="57"/>
      <c r="G20" s="70" t="s">
        <v>117</v>
      </c>
      <c r="H20" s="145"/>
      <c r="I20" s="145"/>
      <c r="J20" s="145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4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58" t="s">
        <v>13</v>
      </c>
      <c r="I21" s="159"/>
      <c r="J21" s="160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4"/>
      <c r="B22" s="46"/>
      <c r="C22" s="10"/>
      <c r="D22" s="48">
        <f t="shared" si="1"/>
        <v>0</v>
      </c>
      <c r="F22" s="77"/>
      <c r="G22" s="73"/>
      <c r="H22" s="161"/>
      <c r="I22" s="161"/>
      <c r="J22" s="161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4"/>
      <c r="B23" s="14"/>
      <c r="C23" s="10"/>
      <c r="D23" s="48">
        <f t="shared" si="1"/>
        <v>0</v>
      </c>
      <c r="F23" s="78"/>
      <c r="G23" s="79"/>
      <c r="H23" s="162"/>
      <c r="I23" s="131"/>
      <c r="J23" s="131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4"/>
      <c r="B24" s="14"/>
      <c r="C24" s="10"/>
      <c r="D24" s="48">
        <f t="shared" si="1"/>
        <v>0</v>
      </c>
      <c r="F24" s="38"/>
      <c r="G24" s="37"/>
      <c r="H24" s="162"/>
      <c r="I24" s="131"/>
      <c r="J24" s="131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4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63" t="s">
        <v>13</v>
      </c>
      <c r="I25" s="164"/>
      <c r="J25" s="165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4"/>
      <c r="B26" s="14"/>
      <c r="C26" s="10"/>
      <c r="D26" s="48">
        <f t="shared" si="1"/>
        <v>0</v>
      </c>
      <c r="F26" s="64"/>
      <c r="G26" s="59"/>
      <c r="H26" s="166"/>
      <c r="I26" s="167"/>
      <c r="J26" s="168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4"/>
      <c r="B27" s="14"/>
      <c r="C27" s="10"/>
      <c r="D27" s="44">
        <f t="shared" si="1"/>
        <v>0</v>
      </c>
      <c r="F27" s="25"/>
      <c r="G27" s="80"/>
      <c r="H27" s="169"/>
      <c r="I27" s="170"/>
      <c r="J27" s="171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5"/>
      <c r="B28" s="46"/>
      <c r="C28" s="10"/>
      <c r="D28" s="48">
        <f t="shared" si="1"/>
        <v>0</v>
      </c>
      <c r="F28" s="86"/>
      <c r="G28" s="61"/>
      <c r="H28" s="172"/>
      <c r="I28" s="173"/>
      <c r="J28" s="174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46" t="s">
        <v>36</v>
      </c>
      <c r="B29" s="147"/>
      <c r="C29" s="148"/>
      <c r="D29" s="152">
        <f>SUM(D6:D28)</f>
        <v>0</v>
      </c>
      <c r="F29" s="92" t="s">
        <v>55</v>
      </c>
      <c r="G29" s="154"/>
      <c r="H29" s="114">
        <f>H15-H16-H17-H18-H19-H20-H22-H23-H24+H26+H27</f>
        <v>0</v>
      </c>
      <c r="I29" s="115"/>
      <c r="J29" s="116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49"/>
      <c r="B30" s="150"/>
      <c r="C30" s="151"/>
      <c r="D30" s="153"/>
      <c r="F30" s="95"/>
      <c r="G30" s="155"/>
      <c r="H30" s="117"/>
      <c r="I30" s="118"/>
      <c r="J30" s="119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39" t="s">
        <v>58</v>
      </c>
      <c r="B32" s="140"/>
      <c r="C32" s="140"/>
      <c r="D32" s="141"/>
      <c r="F32" s="142" t="s">
        <v>59</v>
      </c>
      <c r="G32" s="143"/>
      <c r="H32" s="143"/>
      <c r="I32" s="143"/>
      <c r="J32" s="144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142" t="s">
        <v>13</v>
      </c>
      <c r="I33" s="143"/>
      <c r="J33" s="144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3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36"/>
      <c r="I34" s="137"/>
      <c r="J34" s="138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4"/>
      <c r="B35" s="27" t="s">
        <v>68</v>
      </c>
      <c r="C35" s="52"/>
      <c r="D35" s="30">
        <f>C35*84</f>
        <v>0</v>
      </c>
      <c r="F35" s="58">
        <v>500</v>
      </c>
      <c r="G35" s="41"/>
      <c r="H35" s="136"/>
      <c r="I35" s="137"/>
      <c r="J35" s="138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5"/>
      <c r="B36" s="26" t="s">
        <v>70</v>
      </c>
      <c r="C36" s="10"/>
      <c r="D36" s="12">
        <f>C36*1.5</f>
        <v>0</v>
      </c>
      <c r="F36" s="12">
        <v>200</v>
      </c>
      <c r="G36" s="37"/>
      <c r="H36" s="136"/>
      <c r="I36" s="137"/>
      <c r="J36" s="138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3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36"/>
      <c r="I37" s="137"/>
      <c r="J37" s="138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4"/>
      <c r="B38" s="29" t="s">
        <v>68</v>
      </c>
      <c r="C38" s="54"/>
      <c r="D38" s="12">
        <f>C38*84</f>
        <v>0</v>
      </c>
      <c r="F38" s="30">
        <v>50</v>
      </c>
      <c r="G38" s="39"/>
      <c r="H38" s="136"/>
      <c r="I38" s="137"/>
      <c r="J38" s="138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5"/>
      <c r="B39" s="29" t="s">
        <v>70</v>
      </c>
      <c r="C39" s="52"/>
      <c r="D39" s="31">
        <f>C39*4.5</f>
        <v>0</v>
      </c>
      <c r="F39" s="12">
        <v>20</v>
      </c>
      <c r="G39" s="37"/>
      <c r="H39" s="136"/>
      <c r="I39" s="137"/>
      <c r="J39" s="138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3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36"/>
      <c r="I40" s="137"/>
      <c r="J40" s="138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4"/>
      <c r="B41" s="27" t="s">
        <v>68</v>
      </c>
      <c r="C41" s="10"/>
      <c r="D41" s="12">
        <f>C41*84</f>
        <v>0</v>
      </c>
      <c r="F41" s="12">
        <v>5</v>
      </c>
      <c r="G41" s="42"/>
      <c r="H41" s="136"/>
      <c r="I41" s="137"/>
      <c r="J41" s="138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5"/>
      <c r="B42" s="27" t="s">
        <v>70</v>
      </c>
      <c r="C42" s="11"/>
      <c r="D42" s="12">
        <f>C42*2.25</f>
        <v>0</v>
      </c>
      <c r="F42" s="39" t="s">
        <v>79</v>
      </c>
      <c r="G42" s="136"/>
      <c r="H42" s="137"/>
      <c r="I42" s="137"/>
      <c r="J42" s="138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06" t="s">
        <v>81</v>
      </c>
      <c r="C43" s="11"/>
      <c r="D43" s="12"/>
      <c r="F43" s="59" t="s">
        <v>82</v>
      </c>
      <c r="G43" s="89" t="s">
        <v>83</v>
      </c>
      <c r="H43" s="128" t="s">
        <v>13</v>
      </c>
      <c r="I43" s="129"/>
      <c r="J43" s="130"/>
      <c r="K43" s="21"/>
      <c r="P43" s="4"/>
      <c r="Q43" s="4"/>
      <c r="R43" s="5"/>
    </row>
    <row r="44" spans="1:18" ht="15.75" x14ac:dyDescent="0.25">
      <c r="A44" s="107"/>
      <c r="B44" s="27" t="s">
        <v>66</v>
      </c>
      <c r="C44" s="10"/>
      <c r="D44" s="12">
        <f>C44*120</f>
        <v>0</v>
      </c>
      <c r="F44" s="37"/>
      <c r="G44" s="76"/>
      <c r="H44" s="131"/>
      <c r="I44" s="131"/>
      <c r="J44" s="131"/>
      <c r="K44" s="21"/>
      <c r="P44" s="4"/>
      <c r="Q44" s="4"/>
      <c r="R44" s="5"/>
    </row>
    <row r="45" spans="1:18" ht="15.75" x14ac:dyDescent="0.25">
      <c r="A45" s="107"/>
      <c r="B45" s="27" t="s">
        <v>68</v>
      </c>
      <c r="C45" s="33"/>
      <c r="D45" s="12">
        <f>C45*84</f>
        <v>0</v>
      </c>
      <c r="F45" s="37"/>
      <c r="G45" s="76"/>
      <c r="H45" s="131"/>
      <c r="I45" s="131"/>
      <c r="J45" s="131"/>
      <c r="K45" s="21"/>
      <c r="P45" s="4"/>
      <c r="Q45" s="4"/>
      <c r="R45" s="5"/>
    </row>
    <row r="46" spans="1:18" ht="15.75" x14ac:dyDescent="0.25">
      <c r="A46" s="107"/>
      <c r="B46" s="49" t="s">
        <v>70</v>
      </c>
      <c r="C46" s="81"/>
      <c r="D46" s="12">
        <f>C46*1.5</f>
        <v>0</v>
      </c>
      <c r="F46" s="37"/>
      <c r="G46" s="62"/>
      <c r="H46" s="132"/>
      <c r="I46" s="132"/>
      <c r="J46" s="132"/>
      <c r="K46" s="21"/>
      <c r="P46" s="4"/>
      <c r="Q46" s="4"/>
      <c r="R46" s="5"/>
    </row>
    <row r="47" spans="1:18" ht="15.75" x14ac:dyDescent="0.25">
      <c r="A47" s="108"/>
      <c r="B47" s="27"/>
      <c r="C47" s="11"/>
      <c r="D47" s="12"/>
      <c r="F47" s="59"/>
      <c r="G47" s="59"/>
      <c r="H47" s="109"/>
      <c r="I47" s="110"/>
      <c r="J47" s="111"/>
      <c r="K47" s="21"/>
      <c r="P47" s="4"/>
      <c r="Q47" s="4"/>
      <c r="R47" s="5"/>
    </row>
    <row r="48" spans="1:18" ht="15" customHeight="1" x14ac:dyDescent="0.25">
      <c r="A48" s="106" t="s">
        <v>32</v>
      </c>
      <c r="B48" s="27" t="s">
        <v>66</v>
      </c>
      <c r="C48" s="10"/>
      <c r="D48" s="12">
        <f>C48*78</f>
        <v>0</v>
      </c>
      <c r="F48" s="59"/>
      <c r="G48" s="59"/>
      <c r="H48" s="109"/>
      <c r="I48" s="110"/>
      <c r="J48" s="111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07"/>
      <c r="B49" s="29" t="s">
        <v>68</v>
      </c>
      <c r="C49" s="33"/>
      <c r="D49" s="12">
        <f>C49*42</f>
        <v>0</v>
      </c>
      <c r="F49" s="112" t="s">
        <v>86</v>
      </c>
      <c r="G49" s="114">
        <f>H34+H35+H36+H37+H38+H39+H40+H41+G42+H44+H45+H46</f>
        <v>0</v>
      </c>
      <c r="H49" s="115"/>
      <c r="I49" s="115"/>
      <c r="J49" s="116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07"/>
      <c r="B50" s="32" t="s">
        <v>70</v>
      </c>
      <c r="C50" s="11"/>
      <c r="D50" s="12">
        <f>C50*1.5</f>
        <v>0</v>
      </c>
      <c r="F50" s="113"/>
      <c r="G50" s="117"/>
      <c r="H50" s="118"/>
      <c r="I50" s="118"/>
      <c r="J50" s="119"/>
      <c r="P50" s="4"/>
      <c r="Q50" s="4"/>
      <c r="R50" s="5"/>
    </row>
    <row r="51" spans="1:18" ht="15" customHeight="1" x14ac:dyDescent="0.25">
      <c r="A51" s="107"/>
      <c r="B51" s="27"/>
      <c r="C51" s="10"/>
      <c r="D51" s="31"/>
      <c r="F51" s="120" t="s">
        <v>125</v>
      </c>
      <c r="G51" s="122">
        <f>G49-H29</f>
        <v>0</v>
      </c>
      <c r="H51" s="123"/>
      <c r="I51" s="123"/>
      <c r="J51" s="124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07"/>
      <c r="B52" s="29"/>
      <c r="C52" s="33"/>
      <c r="D52" s="45"/>
      <c r="F52" s="121"/>
      <c r="G52" s="125"/>
      <c r="H52" s="126"/>
      <c r="I52" s="126"/>
      <c r="J52" s="127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08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92" t="s">
        <v>90</v>
      </c>
      <c r="B54" s="93"/>
      <c r="C54" s="94"/>
      <c r="D54" s="98">
        <f>SUM(D34:D53)</f>
        <v>0</v>
      </c>
      <c r="F54" s="21"/>
      <c r="J54" s="34"/>
    </row>
    <row r="55" spans="1:18" x14ac:dyDescent="0.25">
      <c r="A55" s="95"/>
      <c r="B55" s="96"/>
      <c r="C55" s="97"/>
      <c r="D55" s="9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00" t="s">
        <v>91</v>
      </c>
      <c r="B58" s="101"/>
      <c r="C58" s="101"/>
      <c r="D58" s="102"/>
      <c r="F58" s="100" t="s">
        <v>92</v>
      </c>
      <c r="G58" s="101"/>
      <c r="H58" s="101"/>
      <c r="I58" s="101"/>
      <c r="J58" s="102"/>
    </row>
    <row r="59" spans="1:18" x14ac:dyDescent="0.25">
      <c r="A59" s="103"/>
      <c r="B59" s="104"/>
      <c r="C59" s="104"/>
      <c r="D59" s="105"/>
      <c r="F59" s="103"/>
      <c r="G59" s="104"/>
      <c r="H59" s="104"/>
      <c r="I59" s="104"/>
      <c r="J59" s="105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9AF066-6797-4C80-8E6B-60D2D9A8D673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88" t="s">
        <v>1</v>
      </c>
      <c r="O1" s="188"/>
      <c r="P1" s="85" t="s">
        <v>2</v>
      </c>
      <c r="Q1" s="8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9" t="s">
        <v>7</v>
      </c>
      <c r="B4" s="140"/>
      <c r="C4" s="140"/>
      <c r="D4" s="141"/>
      <c r="F4" s="189" t="s">
        <v>8</v>
      </c>
      <c r="G4" s="191">
        <v>1</v>
      </c>
      <c r="H4" s="193" t="s">
        <v>9</v>
      </c>
      <c r="I4" s="195">
        <v>46090</v>
      </c>
      <c r="J4" s="19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3" t="s">
        <v>7</v>
      </c>
      <c r="B5" s="15" t="s">
        <v>11</v>
      </c>
      <c r="C5" s="9" t="s">
        <v>12</v>
      </c>
      <c r="D5" s="25" t="s">
        <v>13</v>
      </c>
      <c r="F5" s="190"/>
      <c r="G5" s="192"/>
      <c r="H5" s="194"/>
      <c r="I5" s="197"/>
      <c r="J5" s="19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4"/>
      <c r="B6" s="16" t="s">
        <v>15</v>
      </c>
      <c r="C6" s="10">
        <v>558</v>
      </c>
      <c r="D6" s="13">
        <f t="shared" ref="D6:D28" si="1">C6*L6</f>
        <v>424638</v>
      </c>
      <c r="F6" s="199" t="s">
        <v>16</v>
      </c>
      <c r="G6" s="201" t="s">
        <v>111</v>
      </c>
      <c r="H6" s="202"/>
      <c r="I6" s="202"/>
      <c r="J6" s="203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4"/>
      <c r="B7" s="16" t="s">
        <v>18</v>
      </c>
      <c r="C7" s="10">
        <v>55</v>
      </c>
      <c r="D7" s="13">
        <f t="shared" si="1"/>
        <v>42955</v>
      </c>
      <c r="F7" s="200"/>
      <c r="G7" s="204"/>
      <c r="H7" s="205"/>
      <c r="I7" s="205"/>
      <c r="J7" s="206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4"/>
      <c r="B8" s="16" t="s">
        <v>20</v>
      </c>
      <c r="C8" s="10"/>
      <c r="D8" s="13">
        <f t="shared" si="1"/>
        <v>0</v>
      </c>
      <c r="F8" s="207" t="s">
        <v>21</v>
      </c>
      <c r="G8" s="208" t="s">
        <v>144</v>
      </c>
      <c r="H8" s="209"/>
      <c r="I8" s="209"/>
      <c r="J8" s="210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4"/>
      <c r="B9" s="16" t="s">
        <v>23</v>
      </c>
      <c r="C9" s="10">
        <v>67</v>
      </c>
      <c r="D9" s="13">
        <f t="shared" si="1"/>
        <v>49111</v>
      </c>
      <c r="F9" s="200"/>
      <c r="G9" s="211"/>
      <c r="H9" s="212"/>
      <c r="I9" s="212"/>
      <c r="J9" s="213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4"/>
      <c r="B10" t="s">
        <v>25</v>
      </c>
      <c r="C10" s="10">
        <v>1</v>
      </c>
      <c r="D10" s="13">
        <f t="shared" si="1"/>
        <v>1032</v>
      </c>
      <c r="F10" s="199" t="s">
        <v>26</v>
      </c>
      <c r="G10" s="214" t="s">
        <v>139</v>
      </c>
      <c r="H10" s="215"/>
      <c r="I10" s="215"/>
      <c r="J10" s="216"/>
      <c r="K10" s="8"/>
      <c r="L10" s="6">
        <f>R36</f>
        <v>1032</v>
      </c>
      <c r="P10" s="4"/>
      <c r="Q10" s="4"/>
      <c r="R10" s="5"/>
    </row>
    <row r="11" spans="1:18" ht="15.75" x14ac:dyDescent="0.25">
      <c r="A11" s="134"/>
      <c r="B11" s="17" t="s">
        <v>28</v>
      </c>
      <c r="C11" s="10"/>
      <c r="D11" s="13">
        <f t="shared" si="1"/>
        <v>0</v>
      </c>
      <c r="F11" s="200"/>
      <c r="G11" s="211"/>
      <c r="H11" s="212"/>
      <c r="I11" s="212"/>
      <c r="J11" s="213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4"/>
      <c r="B12" s="17" t="s">
        <v>30</v>
      </c>
      <c r="C12" s="10">
        <v>1</v>
      </c>
      <c r="D12" s="48">
        <f t="shared" si="1"/>
        <v>992</v>
      </c>
      <c r="F12" s="217" t="s">
        <v>33</v>
      </c>
      <c r="G12" s="218"/>
      <c r="H12" s="218"/>
      <c r="I12" s="218"/>
      <c r="J12" s="219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4"/>
      <c r="B13" s="17" t="s">
        <v>32</v>
      </c>
      <c r="C13" s="10">
        <v>20</v>
      </c>
      <c r="D13" s="48">
        <f t="shared" si="1"/>
        <v>6140</v>
      </c>
      <c r="F13" s="220" t="s">
        <v>36</v>
      </c>
      <c r="G13" s="184"/>
      <c r="H13" s="175">
        <f>D29</f>
        <v>529181</v>
      </c>
      <c r="I13" s="176"/>
      <c r="J13" s="17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4"/>
      <c r="B14" s="14" t="s">
        <v>35</v>
      </c>
      <c r="C14" s="10">
        <v>5</v>
      </c>
      <c r="D14" s="31">
        <f t="shared" si="1"/>
        <v>55</v>
      </c>
      <c r="F14" s="178" t="s">
        <v>39</v>
      </c>
      <c r="G14" s="179"/>
      <c r="H14" s="180">
        <f>D54</f>
        <v>67908.75</v>
      </c>
      <c r="I14" s="181"/>
      <c r="J14" s="18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4"/>
      <c r="B15" s="14" t="s">
        <v>38</v>
      </c>
      <c r="C15" s="10">
        <v>1</v>
      </c>
      <c r="D15" s="31">
        <f t="shared" si="1"/>
        <v>620</v>
      </c>
      <c r="F15" s="183" t="s">
        <v>40</v>
      </c>
      <c r="G15" s="184"/>
      <c r="H15" s="185">
        <f>H13-H14</f>
        <v>461272.25</v>
      </c>
      <c r="I15" s="186"/>
      <c r="J15" s="187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4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45">
        <f>534*6</f>
        <v>3204</v>
      </c>
      <c r="I16" s="145"/>
      <c r="J16" s="145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4"/>
      <c r="B17" t="s">
        <v>133</v>
      </c>
      <c r="C17" s="10">
        <v>2</v>
      </c>
      <c r="D17" s="48">
        <f t="shared" si="1"/>
        <v>3164</v>
      </c>
      <c r="F17" s="56"/>
      <c r="G17" s="66" t="s">
        <v>45</v>
      </c>
      <c r="H17" s="156"/>
      <c r="I17" s="156"/>
      <c r="J17" s="156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4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56"/>
      <c r="I18" s="156"/>
      <c r="J18" s="156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4"/>
      <c r="B19" s="14" t="s">
        <v>129</v>
      </c>
      <c r="C19" s="10"/>
      <c r="D19" s="48">
        <f t="shared" si="1"/>
        <v>0</v>
      </c>
      <c r="F19" s="56"/>
      <c r="G19" s="68" t="s">
        <v>50</v>
      </c>
      <c r="H19" s="156"/>
      <c r="I19" s="156"/>
      <c r="J19" s="156"/>
      <c r="L19" s="6">
        <v>1102</v>
      </c>
      <c r="Q19" s="4"/>
      <c r="R19" s="5">
        <f t="shared" si="0"/>
        <v>0</v>
      </c>
    </row>
    <row r="20" spans="1:18" ht="15.75" x14ac:dyDescent="0.25">
      <c r="A20" s="134"/>
      <c r="B20" s="83" t="s">
        <v>122</v>
      </c>
      <c r="C20" s="10"/>
      <c r="D20" s="13">
        <f t="shared" si="1"/>
        <v>0</v>
      </c>
      <c r="F20" s="57"/>
      <c r="G20" s="70" t="s">
        <v>117</v>
      </c>
      <c r="H20" s="145"/>
      <c r="I20" s="145"/>
      <c r="J20" s="145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4"/>
      <c r="B21" s="14" t="s">
        <v>131</v>
      </c>
      <c r="C21" s="10"/>
      <c r="D21" s="48">
        <f t="shared" si="1"/>
        <v>0</v>
      </c>
      <c r="F21" s="69" t="s">
        <v>99</v>
      </c>
      <c r="G21" s="82" t="s">
        <v>98</v>
      </c>
      <c r="H21" s="158" t="s">
        <v>13</v>
      </c>
      <c r="I21" s="159"/>
      <c r="J21" s="160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4"/>
      <c r="B22" s="46" t="s">
        <v>124</v>
      </c>
      <c r="C22" s="10"/>
      <c r="D22" s="48">
        <f t="shared" si="1"/>
        <v>0</v>
      </c>
      <c r="F22" s="77"/>
      <c r="G22" s="73"/>
      <c r="H22" s="161"/>
      <c r="I22" s="161"/>
      <c r="J22" s="161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4"/>
      <c r="B23" s="14" t="s">
        <v>101</v>
      </c>
      <c r="C23" s="10"/>
      <c r="D23" s="48">
        <f t="shared" si="1"/>
        <v>0</v>
      </c>
      <c r="F23" s="77"/>
      <c r="G23" s="79"/>
      <c r="H23" s="227"/>
      <c r="I23" s="228"/>
      <c r="J23" s="228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4"/>
      <c r="B24" s="14" t="s">
        <v>179</v>
      </c>
      <c r="C24" s="10">
        <v>12</v>
      </c>
      <c r="D24" s="48">
        <f t="shared" si="1"/>
        <v>474</v>
      </c>
      <c r="F24" s="77"/>
      <c r="G24" s="79"/>
      <c r="H24" s="227"/>
      <c r="I24" s="228"/>
      <c r="J24" s="228"/>
      <c r="L24" s="47">
        <f>912/24+1.5</f>
        <v>39.5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4"/>
      <c r="B25" s="14" t="s">
        <v>134</v>
      </c>
      <c r="C25" s="10"/>
      <c r="D25" s="48">
        <f t="shared" si="1"/>
        <v>0</v>
      </c>
      <c r="F25" s="60" t="s">
        <v>100</v>
      </c>
      <c r="G25" s="55" t="s">
        <v>98</v>
      </c>
      <c r="H25" s="163" t="s">
        <v>13</v>
      </c>
      <c r="I25" s="164"/>
      <c r="J25" s="165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4"/>
      <c r="B26" s="14" t="s">
        <v>132</v>
      </c>
      <c r="C26" s="10"/>
      <c r="D26" s="48">
        <f t="shared" si="1"/>
        <v>0</v>
      </c>
      <c r="F26" s="75" t="s">
        <v>174</v>
      </c>
      <c r="G26" s="65">
        <v>9435</v>
      </c>
      <c r="H26" s="131">
        <v>51622</v>
      </c>
      <c r="I26" s="131"/>
      <c r="J26" s="131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4"/>
      <c r="B27" s="14" t="s">
        <v>110</v>
      </c>
      <c r="C27" s="10"/>
      <c r="D27" s="44">
        <f t="shared" si="1"/>
        <v>0</v>
      </c>
      <c r="F27" s="71"/>
      <c r="G27" s="89"/>
      <c r="H27" s="229"/>
      <c r="I27" s="230"/>
      <c r="J27" s="230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5"/>
      <c r="B28" s="46" t="s">
        <v>97</v>
      </c>
      <c r="C28" s="10"/>
      <c r="D28" s="48">
        <f t="shared" si="1"/>
        <v>0</v>
      </c>
      <c r="F28" s="86"/>
      <c r="G28" s="61"/>
      <c r="H28" s="172"/>
      <c r="I28" s="173"/>
      <c r="J28" s="174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46" t="s">
        <v>36</v>
      </c>
      <c r="B29" s="147"/>
      <c r="C29" s="148"/>
      <c r="D29" s="152">
        <f>SUM(D6:D28)</f>
        <v>529181</v>
      </c>
      <c r="F29" s="92" t="s">
        <v>55</v>
      </c>
      <c r="G29" s="154"/>
      <c r="H29" s="114">
        <f>H15-H16-H17-H18-H19-H20-H22-H23-H24+H26+H27+H28</f>
        <v>509690.25</v>
      </c>
      <c r="I29" s="115"/>
      <c r="J29" s="116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49"/>
      <c r="B30" s="150"/>
      <c r="C30" s="151"/>
      <c r="D30" s="153"/>
      <c r="F30" s="95"/>
      <c r="G30" s="155"/>
      <c r="H30" s="117"/>
      <c r="I30" s="118"/>
      <c r="J30" s="119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39" t="s">
        <v>58</v>
      </c>
      <c r="B32" s="140"/>
      <c r="C32" s="140"/>
      <c r="D32" s="141"/>
      <c r="F32" s="142" t="s">
        <v>59</v>
      </c>
      <c r="G32" s="143"/>
      <c r="H32" s="143"/>
      <c r="I32" s="143"/>
      <c r="J32" s="144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142" t="s">
        <v>13</v>
      </c>
      <c r="I33" s="143"/>
      <c r="J33" s="144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3" t="s">
        <v>65</v>
      </c>
      <c r="B34" s="26" t="s">
        <v>66</v>
      </c>
      <c r="C34" s="51">
        <v>1</v>
      </c>
      <c r="D34" s="30">
        <f>C34*120</f>
        <v>120</v>
      </c>
      <c r="F34" s="12">
        <v>1000</v>
      </c>
      <c r="G34" s="40">
        <v>129</v>
      </c>
      <c r="H34" s="136">
        <f t="shared" ref="H34:H39" si="2">F34*G34</f>
        <v>129000</v>
      </c>
      <c r="I34" s="137"/>
      <c r="J34" s="138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4"/>
      <c r="B35" s="27" t="s">
        <v>68</v>
      </c>
      <c r="C35" s="52"/>
      <c r="D35" s="30">
        <f>C35*84</f>
        <v>0</v>
      </c>
      <c r="F35" s="58">
        <v>500</v>
      </c>
      <c r="G35" s="41">
        <v>39</v>
      </c>
      <c r="H35" s="136">
        <f t="shared" si="2"/>
        <v>19500</v>
      </c>
      <c r="I35" s="137"/>
      <c r="J35" s="138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5"/>
      <c r="B36" s="26" t="s">
        <v>70</v>
      </c>
      <c r="C36" s="10">
        <v>16</v>
      </c>
      <c r="D36" s="12">
        <f>C36*1.5</f>
        <v>24</v>
      </c>
      <c r="F36" s="12">
        <v>200</v>
      </c>
      <c r="G36" s="37"/>
      <c r="H36" s="136">
        <f t="shared" si="2"/>
        <v>0</v>
      </c>
      <c r="I36" s="137"/>
      <c r="J36" s="138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3" t="s">
        <v>72</v>
      </c>
      <c r="B37" s="28" t="s">
        <v>66</v>
      </c>
      <c r="C37" s="53">
        <v>462</v>
      </c>
      <c r="D37" s="12">
        <f>C37*111</f>
        <v>51282</v>
      </c>
      <c r="F37" s="12">
        <v>100</v>
      </c>
      <c r="G37" s="39">
        <v>5</v>
      </c>
      <c r="H37" s="136">
        <f t="shared" si="2"/>
        <v>500</v>
      </c>
      <c r="I37" s="137"/>
      <c r="J37" s="138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4"/>
      <c r="B38" s="29" t="s">
        <v>68</v>
      </c>
      <c r="C38" s="54">
        <v>138</v>
      </c>
      <c r="D38" s="12">
        <f>C38*84</f>
        <v>11592</v>
      </c>
      <c r="F38" s="30">
        <v>50</v>
      </c>
      <c r="G38" s="39">
        <v>1</v>
      </c>
      <c r="H38" s="136">
        <f t="shared" si="2"/>
        <v>50</v>
      </c>
      <c r="I38" s="137"/>
      <c r="J38" s="138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5"/>
      <c r="B39" s="29" t="s">
        <v>70</v>
      </c>
      <c r="C39" s="52">
        <v>1</v>
      </c>
      <c r="D39" s="31">
        <f>C39*4.5</f>
        <v>4.5</v>
      </c>
      <c r="F39" s="12">
        <v>20</v>
      </c>
      <c r="G39" s="37"/>
      <c r="H39" s="136">
        <f t="shared" si="2"/>
        <v>0</v>
      </c>
      <c r="I39" s="137"/>
      <c r="J39" s="138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3" t="s">
        <v>76</v>
      </c>
      <c r="B40" s="27" t="s">
        <v>66</v>
      </c>
      <c r="C40" s="63">
        <v>18</v>
      </c>
      <c r="D40" s="12">
        <f>C40*111</f>
        <v>1998</v>
      </c>
      <c r="F40" s="12">
        <v>10</v>
      </c>
      <c r="G40" s="42"/>
      <c r="H40" s="136"/>
      <c r="I40" s="137"/>
      <c r="J40" s="138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4"/>
      <c r="B41" s="27" t="s">
        <v>68</v>
      </c>
      <c r="C41" s="10">
        <v>30</v>
      </c>
      <c r="D41" s="12">
        <f>C41*84</f>
        <v>2520</v>
      </c>
      <c r="F41" s="12">
        <v>5</v>
      </c>
      <c r="G41" s="42"/>
      <c r="H41" s="136"/>
      <c r="I41" s="137"/>
      <c r="J41" s="138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5"/>
      <c r="B42" s="27" t="s">
        <v>70</v>
      </c>
      <c r="C42" s="11">
        <v>7</v>
      </c>
      <c r="D42" s="12">
        <f>C42*2.25</f>
        <v>15.75</v>
      </c>
      <c r="F42" s="39" t="s">
        <v>79</v>
      </c>
      <c r="G42" s="136"/>
      <c r="H42" s="137"/>
      <c r="I42" s="137"/>
      <c r="J42" s="138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06" t="s">
        <v>81</v>
      </c>
      <c r="C43" s="11"/>
      <c r="D43" s="12"/>
      <c r="F43" s="59" t="s">
        <v>82</v>
      </c>
      <c r="G43" s="89" t="s">
        <v>83</v>
      </c>
      <c r="H43" s="128" t="s">
        <v>13</v>
      </c>
      <c r="I43" s="129"/>
      <c r="J43" s="130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07"/>
      <c r="B44" s="27" t="s">
        <v>66</v>
      </c>
      <c r="C44" s="10">
        <v>2</v>
      </c>
      <c r="D44" s="12">
        <f>C44*120</f>
        <v>240</v>
      </c>
      <c r="F44" s="37" t="s">
        <v>145</v>
      </c>
      <c r="G44" s="62" t="s">
        <v>181</v>
      </c>
      <c r="H44" s="131">
        <v>359981</v>
      </c>
      <c r="I44" s="131"/>
      <c r="J44" s="131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07"/>
      <c r="B45" s="27" t="s">
        <v>68</v>
      </c>
      <c r="C45" s="33">
        <v>1</v>
      </c>
      <c r="D45" s="12">
        <f>C45*84</f>
        <v>84</v>
      </c>
      <c r="F45" s="37"/>
      <c r="G45" s="62"/>
      <c r="H45" s="131"/>
      <c r="I45" s="131"/>
      <c r="J45" s="131"/>
      <c r="K45" s="21"/>
      <c r="P45" s="4"/>
      <c r="Q45" s="4"/>
      <c r="R45" s="5"/>
    </row>
    <row r="46" spans="1:18" ht="15.75" x14ac:dyDescent="0.25">
      <c r="A46" s="107"/>
      <c r="B46" s="49" t="s">
        <v>70</v>
      </c>
      <c r="C46" s="81"/>
      <c r="D46" s="12">
        <f>C46*1.5</f>
        <v>0</v>
      </c>
      <c r="F46" s="37"/>
      <c r="G46" s="62"/>
      <c r="H46" s="131"/>
      <c r="I46" s="131"/>
      <c r="J46" s="131"/>
      <c r="K46" s="21"/>
      <c r="P46" s="4"/>
      <c r="Q46" s="4"/>
      <c r="R46" s="5"/>
    </row>
    <row r="47" spans="1:18" ht="15.75" x14ac:dyDescent="0.25">
      <c r="A47" s="108"/>
      <c r="B47" s="27"/>
      <c r="C47" s="11"/>
      <c r="D47" s="12"/>
      <c r="F47" s="59"/>
      <c r="G47" s="59"/>
      <c r="H47" s="109"/>
      <c r="I47" s="110"/>
      <c r="J47" s="111"/>
      <c r="K47" s="21"/>
      <c r="P47" s="4"/>
      <c r="Q47" s="4"/>
      <c r="R47" s="5"/>
    </row>
    <row r="48" spans="1:18" ht="15" customHeight="1" x14ac:dyDescent="0.25">
      <c r="A48" s="106" t="s">
        <v>32</v>
      </c>
      <c r="B48" s="27" t="s">
        <v>66</v>
      </c>
      <c r="C48" s="10"/>
      <c r="D48" s="12">
        <f>C48*78</f>
        <v>0</v>
      </c>
      <c r="F48" s="59"/>
      <c r="G48" s="59"/>
      <c r="H48" s="109"/>
      <c r="I48" s="110"/>
      <c r="J48" s="111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07"/>
      <c r="B49" s="29" t="s">
        <v>68</v>
      </c>
      <c r="C49" s="33"/>
      <c r="D49" s="12">
        <f>C49*42</f>
        <v>0</v>
      </c>
      <c r="F49" s="112" t="s">
        <v>86</v>
      </c>
      <c r="G49" s="114">
        <f>H34+H35+H36+H37+H38+H39+H40+H41+G42+H44+H45+H46</f>
        <v>509031</v>
      </c>
      <c r="H49" s="115"/>
      <c r="I49" s="115"/>
      <c r="J49" s="116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07"/>
      <c r="B50" s="32" t="s">
        <v>70</v>
      </c>
      <c r="C50" s="11">
        <v>19</v>
      </c>
      <c r="D50" s="12">
        <f>C50*1.5</f>
        <v>28.5</v>
      </c>
      <c r="F50" s="113"/>
      <c r="G50" s="117"/>
      <c r="H50" s="118"/>
      <c r="I50" s="118"/>
      <c r="J50" s="119"/>
      <c r="O50" t="s">
        <v>137</v>
      </c>
      <c r="P50" s="4">
        <v>1204</v>
      </c>
      <c r="Q50" s="4"/>
      <c r="R50" s="5"/>
    </row>
    <row r="51" spans="1:18" ht="15" customHeight="1" x14ac:dyDescent="0.25">
      <c r="A51" s="107"/>
      <c r="B51" s="27"/>
      <c r="C51" s="10"/>
      <c r="D51" s="31"/>
      <c r="F51" s="120" t="s">
        <v>128</v>
      </c>
      <c r="G51" s="221">
        <f>G49-H29</f>
        <v>-659.25</v>
      </c>
      <c r="H51" s="222"/>
      <c r="I51" s="222"/>
      <c r="J51" s="223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07"/>
      <c r="B52" s="29"/>
      <c r="C52" s="33"/>
      <c r="D52" s="45"/>
      <c r="F52" s="121"/>
      <c r="G52" s="224"/>
      <c r="H52" s="225"/>
      <c r="I52" s="225"/>
      <c r="J52" s="226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08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92" t="s">
        <v>90</v>
      </c>
      <c r="B54" s="93"/>
      <c r="C54" s="94"/>
      <c r="D54" s="98">
        <f>SUM(D34:D53)</f>
        <v>67908.75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95"/>
      <c r="B55" s="96"/>
      <c r="C55" s="97"/>
      <c r="D55" s="9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140</v>
      </c>
      <c r="D57" s="34"/>
      <c r="F57" s="36"/>
      <c r="G57" s="50"/>
      <c r="H57" s="50"/>
      <c r="I57" s="50"/>
      <c r="J57" s="43"/>
    </row>
    <row r="58" spans="1:18" x14ac:dyDescent="0.25">
      <c r="A58" s="100" t="s">
        <v>91</v>
      </c>
      <c r="B58" s="101"/>
      <c r="C58" s="101"/>
      <c r="D58" s="102"/>
      <c r="F58" s="100" t="s">
        <v>92</v>
      </c>
      <c r="G58" s="101"/>
      <c r="H58" s="101"/>
      <c r="I58" s="101"/>
      <c r="J58" s="102"/>
    </row>
    <row r="59" spans="1:18" x14ac:dyDescent="0.25">
      <c r="A59" s="103"/>
      <c r="B59" s="104"/>
      <c r="C59" s="104"/>
      <c r="D59" s="105"/>
      <c r="F59" s="103"/>
      <c r="G59" s="104"/>
      <c r="H59" s="104"/>
      <c r="I59" s="104"/>
      <c r="J59" s="105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r:id="rId1"/>
  <drawing r:id="rId2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612C43-1530-4100-98EA-12BB4D2C993F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88" t="s">
        <v>1</v>
      </c>
      <c r="O1" s="188"/>
      <c r="P1" s="85" t="s">
        <v>2</v>
      </c>
      <c r="Q1" s="8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9" t="s">
        <v>7</v>
      </c>
      <c r="B4" s="140"/>
      <c r="C4" s="140"/>
      <c r="D4" s="141"/>
      <c r="F4" s="189" t="s">
        <v>8</v>
      </c>
      <c r="G4" s="191">
        <v>2</v>
      </c>
      <c r="H4" s="193" t="s">
        <v>9</v>
      </c>
      <c r="I4" s="195">
        <v>46090</v>
      </c>
      <c r="J4" s="19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3" t="s">
        <v>7</v>
      </c>
      <c r="B5" s="15" t="s">
        <v>11</v>
      </c>
      <c r="C5" s="9" t="s">
        <v>12</v>
      </c>
      <c r="D5" s="25" t="s">
        <v>13</v>
      </c>
      <c r="F5" s="190"/>
      <c r="G5" s="192"/>
      <c r="H5" s="194"/>
      <c r="I5" s="197"/>
      <c r="J5" s="19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4"/>
      <c r="B6" s="16" t="s">
        <v>15</v>
      </c>
      <c r="C6" s="10">
        <v>538</v>
      </c>
      <c r="D6" s="13">
        <f t="shared" ref="D6:D28" si="1">C6*L6</f>
        <v>409418</v>
      </c>
      <c r="F6" s="199" t="s">
        <v>16</v>
      </c>
      <c r="G6" s="201" t="s">
        <v>126</v>
      </c>
      <c r="H6" s="202"/>
      <c r="I6" s="202"/>
      <c r="J6" s="203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4"/>
      <c r="B7" s="16" t="s">
        <v>18</v>
      </c>
      <c r="C7" s="10">
        <v>1</v>
      </c>
      <c r="D7" s="13">
        <f t="shared" si="1"/>
        <v>781</v>
      </c>
      <c r="F7" s="200"/>
      <c r="G7" s="204"/>
      <c r="H7" s="205"/>
      <c r="I7" s="205"/>
      <c r="J7" s="206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4"/>
      <c r="B8" s="16" t="s">
        <v>20</v>
      </c>
      <c r="C8" s="10"/>
      <c r="D8" s="13">
        <f t="shared" si="1"/>
        <v>0</v>
      </c>
      <c r="F8" s="207" t="s">
        <v>21</v>
      </c>
      <c r="G8" s="208" t="s">
        <v>113</v>
      </c>
      <c r="H8" s="209"/>
      <c r="I8" s="209"/>
      <c r="J8" s="210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4"/>
      <c r="B9" s="16" t="s">
        <v>23</v>
      </c>
      <c r="C9" s="10">
        <v>118</v>
      </c>
      <c r="D9" s="13">
        <f t="shared" si="1"/>
        <v>86494</v>
      </c>
      <c r="F9" s="200"/>
      <c r="G9" s="211"/>
      <c r="H9" s="212"/>
      <c r="I9" s="212"/>
      <c r="J9" s="213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4"/>
      <c r="B10" t="s">
        <v>25</v>
      </c>
      <c r="C10" s="10"/>
      <c r="D10" s="13">
        <f t="shared" si="1"/>
        <v>0</v>
      </c>
      <c r="F10" s="199" t="s">
        <v>26</v>
      </c>
      <c r="G10" s="214" t="s">
        <v>114</v>
      </c>
      <c r="H10" s="215"/>
      <c r="I10" s="215"/>
      <c r="J10" s="216"/>
      <c r="K10" s="8"/>
      <c r="L10" s="6">
        <f>R36</f>
        <v>1032</v>
      </c>
      <c r="P10" s="4"/>
      <c r="Q10" s="4"/>
      <c r="R10" s="5"/>
    </row>
    <row r="11" spans="1:18" ht="15.75" x14ac:dyDescent="0.25">
      <c r="A11" s="134"/>
      <c r="B11" s="17" t="s">
        <v>28</v>
      </c>
      <c r="C11" s="10"/>
      <c r="D11" s="13">
        <f t="shared" si="1"/>
        <v>0</v>
      </c>
      <c r="F11" s="200"/>
      <c r="G11" s="211"/>
      <c r="H11" s="212"/>
      <c r="I11" s="212"/>
      <c r="J11" s="213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4"/>
      <c r="B12" s="17" t="s">
        <v>30</v>
      </c>
      <c r="C12" s="10"/>
      <c r="D12" s="48">
        <f t="shared" si="1"/>
        <v>0</v>
      </c>
      <c r="F12" s="217" t="s">
        <v>33</v>
      </c>
      <c r="G12" s="218"/>
      <c r="H12" s="218"/>
      <c r="I12" s="218"/>
      <c r="J12" s="219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4"/>
      <c r="B13" s="17" t="s">
        <v>32</v>
      </c>
      <c r="C13" s="10">
        <v>20</v>
      </c>
      <c r="D13" s="48">
        <f t="shared" si="1"/>
        <v>6140</v>
      </c>
      <c r="F13" s="220" t="s">
        <v>36</v>
      </c>
      <c r="G13" s="184"/>
      <c r="H13" s="175">
        <f>D29</f>
        <v>502921</v>
      </c>
      <c r="I13" s="176"/>
      <c r="J13" s="17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4"/>
      <c r="B14" s="14" t="s">
        <v>35</v>
      </c>
      <c r="C14" s="10">
        <v>8</v>
      </c>
      <c r="D14" s="31">
        <f t="shared" si="1"/>
        <v>88</v>
      </c>
      <c r="F14" s="178" t="s">
        <v>39</v>
      </c>
      <c r="G14" s="179"/>
      <c r="H14" s="180">
        <f>D54</f>
        <v>75838.5</v>
      </c>
      <c r="I14" s="181"/>
      <c r="J14" s="18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4"/>
      <c r="B15" s="14" t="s">
        <v>38</v>
      </c>
      <c r="C15" s="10"/>
      <c r="D15" s="31">
        <f t="shared" si="1"/>
        <v>0</v>
      </c>
      <c r="F15" s="183" t="s">
        <v>40</v>
      </c>
      <c r="G15" s="184"/>
      <c r="H15" s="185">
        <f>H13-H14</f>
        <v>427082.5</v>
      </c>
      <c r="I15" s="186"/>
      <c r="J15" s="187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4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45">
        <f>900+1824+648</f>
        <v>3372</v>
      </c>
      <c r="I16" s="145"/>
      <c r="J16" s="145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4"/>
      <c r="B17" t="s">
        <v>93</v>
      </c>
      <c r="C17" s="10"/>
      <c r="D17" s="48">
        <f t="shared" si="1"/>
        <v>0</v>
      </c>
      <c r="F17" s="56"/>
      <c r="G17" s="66" t="s">
        <v>45</v>
      </c>
      <c r="H17" s="156"/>
      <c r="I17" s="156"/>
      <c r="J17" s="156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4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56"/>
      <c r="I18" s="156"/>
      <c r="J18" s="156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4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31"/>
      <c r="I19" s="231"/>
      <c r="J19" s="231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4"/>
      <c r="B20" s="46" t="s">
        <v>119</v>
      </c>
      <c r="C20" s="10"/>
      <c r="D20" s="13">
        <f t="shared" si="1"/>
        <v>0</v>
      </c>
      <c r="F20" s="57"/>
      <c r="G20" s="70" t="s">
        <v>117</v>
      </c>
      <c r="H20" s="156"/>
      <c r="I20" s="156"/>
      <c r="J20" s="156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4"/>
      <c r="B21" s="14" t="s">
        <v>131</v>
      </c>
      <c r="C21" s="10"/>
      <c r="D21" s="48">
        <f t="shared" si="1"/>
        <v>0</v>
      </c>
      <c r="F21" s="69" t="s">
        <v>99</v>
      </c>
      <c r="G21" s="82" t="s">
        <v>98</v>
      </c>
      <c r="H21" s="158" t="s">
        <v>13</v>
      </c>
      <c r="I21" s="159"/>
      <c r="J21" s="160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4"/>
      <c r="B22" s="46" t="s">
        <v>104</v>
      </c>
      <c r="C22" s="10"/>
      <c r="D22" s="48">
        <f t="shared" si="1"/>
        <v>0</v>
      </c>
      <c r="F22" s="72"/>
      <c r="G22" s="73"/>
      <c r="H22" s="161"/>
      <c r="I22" s="161"/>
      <c r="J22" s="161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4"/>
      <c r="B23" s="14" t="s">
        <v>107</v>
      </c>
      <c r="C23" s="10"/>
      <c r="D23" s="48">
        <f t="shared" si="1"/>
        <v>0</v>
      </c>
      <c r="F23" s="25"/>
      <c r="G23" s="37"/>
      <c r="H23" s="162"/>
      <c r="I23" s="131"/>
      <c r="J23" s="131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4"/>
      <c r="B24" s="14" t="s">
        <v>120</v>
      </c>
      <c r="C24" s="10"/>
      <c r="D24" s="48">
        <f t="shared" si="1"/>
        <v>0</v>
      </c>
      <c r="F24" s="38"/>
      <c r="G24" s="37"/>
      <c r="H24" s="162"/>
      <c r="I24" s="131"/>
      <c r="J24" s="131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4"/>
      <c r="B25" s="14" t="s">
        <v>121</v>
      </c>
      <c r="C25" s="10"/>
      <c r="D25" s="48">
        <f t="shared" si="1"/>
        <v>0</v>
      </c>
      <c r="F25" s="60" t="s">
        <v>100</v>
      </c>
      <c r="G25" s="55" t="s">
        <v>98</v>
      </c>
      <c r="H25" s="163" t="s">
        <v>13</v>
      </c>
      <c r="I25" s="164"/>
      <c r="J25" s="165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4"/>
      <c r="B26" s="14" t="s">
        <v>105</v>
      </c>
      <c r="C26" s="10"/>
      <c r="D26" s="48">
        <f t="shared" si="1"/>
        <v>0</v>
      </c>
      <c r="F26" s="64"/>
      <c r="G26" s="10"/>
      <c r="H26" s="166"/>
      <c r="I26" s="167"/>
      <c r="J26" s="168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4"/>
      <c r="B27" s="14" t="s">
        <v>109</v>
      </c>
      <c r="C27" s="10"/>
      <c r="D27" s="44">
        <f t="shared" si="1"/>
        <v>0</v>
      </c>
      <c r="F27" s="14"/>
      <c r="G27" s="14"/>
      <c r="H27" s="169"/>
      <c r="I27" s="170"/>
      <c r="J27" s="171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5"/>
      <c r="B28" s="46" t="s">
        <v>97</v>
      </c>
      <c r="C28" s="10"/>
      <c r="D28" s="48">
        <f t="shared" si="1"/>
        <v>0</v>
      </c>
      <c r="F28" s="86"/>
      <c r="G28" s="61"/>
      <c r="H28" s="172"/>
      <c r="I28" s="173"/>
      <c r="J28" s="174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46" t="s">
        <v>36</v>
      </c>
      <c r="B29" s="147"/>
      <c r="C29" s="148"/>
      <c r="D29" s="152">
        <f>SUM(D6:D28)</f>
        <v>502921</v>
      </c>
      <c r="F29" s="92" t="s">
        <v>55</v>
      </c>
      <c r="G29" s="154"/>
      <c r="H29" s="114">
        <f>H15-H16-H17-H18-H19-H20-H22-H23-H24+H26+H27</f>
        <v>423710.5</v>
      </c>
      <c r="I29" s="115"/>
      <c r="J29" s="116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49"/>
      <c r="B30" s="150"/>
      <c r="C30" s="151"/>
      <c r="D30" s="153"/>
      <c r="F30" s="95"/>
      <c r="G30" s="155"/>
      <c r="H30" s="117"/>
      <c r="I30" s="118"/>
      <c r="J30" s="119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39" t="s">
        <v>58</v>
      </c>
      <c r="B32" s="140"/>
      <c r="C32" s="140"/>
      <c r="D32" s="141"/>
      <c r="F32" s="142" t="s">
        <v>59</v>
      </c>
      <c r="G32" s="143"/>
      <c r="H32" s="143"/>
      <c r="I32" s="143"/>
      <c r="J32" s="144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142" t="s">
        <v>13</v>
      </c>
      <c r="I33" s="143"/>
      <c r="J33" s="144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3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340</v>
      </c>
      <c r="H34" s="136">
        <f>F34*G34</f>
        <v>340000</v>
      </c>
      <c r="I34" s="137"/>
      <c r="J34" s="138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4"/>
      <c r="B35" s="27" t="s">
        <v>68</v>
      </c>
      <c r="C35" s="52"/>
      <c r="D35" s="30">
        <f>C35*84</f>
        <v>0</v>
      </c>
      <c r="F35" s="58">
        <v>500</v>
      </c>
      <c r="G35" s="41">
        <v>25</v>
      </c>
      <c r="H35" s="136">
        <f t="shared" ref="H35:H39" si="2">F35*G35</f>
        <v>12500</v>
      </c>
      <c r="I35" s="137"/>
      <c r="J35" s="138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5"/>
      <c r="B36" s="26" t="s">
        <v>70</v>
      </c>
      <c r="C36" s="10"/>
      <c r="D36" s="12">
        <f>C36*1.5</f>
        <v>0</v>
      </c>
      <c r="F36" s="12">
        <v>200</v>
      </c>
      <c r="G36" s="37"/>
      <c r="H36" s="136">
        <f>F36*G36</f>
        <v>0</v>
      </c>
      <c r="I36" s="137"/>
      <c r="J36" s="138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3" t="s">
        <v>72</v>
      </c>
      <c r="B37" s="28" t="s">
        <v>66</v>
      </c>
      <c r="C37" s="53">
        <v>670</v>
      </c>
      <c r="D37" s="12">
        <f>C37*111</f>
        <v>74370</v>
      </c>
      <c r="F37" s="12">
        <v>100</v>
      </c>
      <c r="G37" s="39">
        <v>4</v>
      </c>
      <c r="H37" s="136">
        <f t="shared" si="2"/>
        <v>400</v>
      </c>
      <c r="I37" s="137"/>
      <c r="J37" s="138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4"/>
      <c r="B38" s="29" t="s">
        <v>68</v>
      </c>
      <c r="C38" s="54">
        <v>1</v>
      </c>
      <c r="D38" s="12">
        <f>C38*84</f>
        <v>84</v>
      </c>
      <c r="F38" s="30">
        <v>50</v>
      </c>
      <c r="G38" s="39"/>
      <c r="H38" s="136">
        <f t="shared" si="2"/>
        <v>0</v>
      </c>
      <c r="I38" s="137"/>
      <c r="J38" s="138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5"/>
      <c r="B39" s="29" t="s">
        <v>70</v>
      </c>
      <c r="C39" s="52">
        <v>4</v>
      </c>
      <c r="D39" s="31">
        <f>C39*4.5</f>
        <v>18</v>
      </c>
      <c r="F39" s="12">
        <v>20</v>
      </c>
      <c r="G39" s="37">
        <v>2</v>
      </c>
      <c r="H39" s="136">
        <f t="shared" si="2"/>
        <v>40</v>
      </c>
      <c r="I39" s="137"/>
      <c r="J39" s="138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3" t="s">
        <v>76</v>
      </c>
      <c r="B40" s="27" t="s">
        <v>66</v>
      </c>
      <c r="C40" s="63">
        <v>1</v>
      </c>
      <c r="D40" s="12">
        <f>C40*111</f>
        <v>111</v>
      </c>
      <c r="F40" s="12">
        <v>10</v>
      </c>
      <c r="G40" s="42"/>
      <c r="H40" s="136"/>
      <c r="I40" s="137"/>
      <c r="J40" s="138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4"/>
      <c r="B41" s="27" t="s">
        <v>68</v>
      </c>
      <c r="C41" s="10">
        <v>2</v>
      </c>
      <c r="D41" s="12">
        <f>C41*84</f>
        <v>168</v>
      </c>
      <c r="F41" s="12">
        <v>5</v>
      </c>
      <c r="G41" s="42"/>
      <c r="H41" s="136"/>
      <c r="I41" s="137"/>
      <c r="J41" s="138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5"/>
      <c r="B42" s="27" t="s">
        <v>70</v>
      </c>
      <c r="C42" s="11"/>
      <c r="D42" s="12">
        <f>C42*2.25</f>
        <v>0</v>
      </c>
      <c r="F42" s="39" t="s">
        <v>79</v>
      </c>
      <c r="G42" s="136">
        <v>100</v>
      </c>
      <c r="H42" s="137"/>
      <c r="I42" s="137"/>
      <c r="J42" s="138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06" t="s">
        <v>81</v>
      </c>
      <c r="C43" s="11"/>
      <c r="D43" s="12"/>
      <c r="F43" s="59" t="s">
        <v>82</v>
      </c>
      <c r="G43" s="89" t="s">
        <v>83</v>
      </c>
      <c r="H43" s="128" t="s">
        <v>13</v>
      </c>
      <c r="I43" s="129"/>
      <c r="J43" s="130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07"/>
      <c r="B44" s="27" t="s">
        <v>66</v>
      </c>
      <c r="C44" s="10"/>
      <c r="D44" s="12">
        <f>C44*120</f>
        <v>0</v>
      </c>
      <c r="F44" s="37" t="s">
        <v>172</v>
      </c>
      <c r="G44" s="76" t="s">
        <v>182</v>
      </c>
      <c r="H44" s="131">
        <v>70473</v>
      </c>
      <c r="I44" s="131"/>
      <c r="J44" s="131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07"/>
      <c r="B45" s="27" t="s">
        <v>68</v>
      </c>
      <c r="C45" s="33"/>
      <c r="D45" s="12">
        <f>C45*84</f>
        <v>0</v>
      </c>
      <c r="F45" s="37"/>
      <c r="G45" s="62"/>
      <c r="H45" s="131"/>
      <c r="I45" s="131"/>
      <c r="J45" s="131"/>
      <c r="K45" s="21"/>
      <c r="P45" s="4"/>
      <c r="Q45" s="4"/>
      <c r="R45" s="5"/>
    </row>
    <row r="46" spans="1:18" ht="15.75" x14ac:dyDescent="0.25">
      <c r="A46" s="107"/>
      <c r="B46" s="49" t="s">
        <v>70</v>
      </c>
      <c r="C46" s="81"/>
      <c r="D46" s="12">
        <f>C46*1.5</f>
        <v>0</v>
      </c>
      <c r="F46" s="37"/>
      <c r="G46" s="88"/>
      <c r="H46" s="132"/>
      <c r="I46" s="132"/>
      <c r="J46" s="132"/>
      <c r="K46" s="21"/>
      <c r="P46" s="4"/>
      <c r="Q46" s="4"/>
      <c r="R46" s="5"/>
    </row>
    <row r="47" spans="1:18" ht="15.75" x14ac:dyDescent="0.25">
      <c r="A47" s="108"/>
      <c r="B47" s="27"/>
      <c r="C47" s="11"/>
      <c r="D47" s="12"/>
      <c r="F47" s="59"/>
      <c r="G47" s="59"/>
      <c r="H47" s="109"/>
      <c r="I47" s="110"/>
      <c r="J47" s="111"/>
      <c r="K47" s="21"/>
      <c r="P47" s="4"/>
      <c r="Q47" s="4"/>
      <c r="R47" s="5"/>
    </row>
    <row r="48" spans="1:18" ht="15" customHeight="1" x14ac:dyDescent="0.25">
      <c r="A48" s="106" t="s">
        <v>32</v>
      </c>
      <c r="B48" s="27" t="s">
        <v>66</v>
      </c>
      <c r="C48" s="10">
        <v>6</v>
      </c>
      <c r="D48" s="12">
        <f>C48*78</f>
        <v>468</v>
      </c>
      <c r="F48" s="59"/>
      <c r="G48" s="59"/>
      <c r="H48" s="109"/>
      <c r="I48" s="110"/>
      <c r="J48" s="111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07"/>
      <c r="B49" s="29" t="s">
        <v>68</v>
      </c>
      <c r="C49" s="33">
        <v>14</v>
      </c>
      <c r="D49" s="12">
        <f>C49*42</f>
        <v>588</v>
      </c>
      <c r="F49" s="112" t="s">
        <v>86</v>
      </c>
      <c r="G49" s="114">
        <f>H34+H35+H36+H37+H38+H39+H40+H41+G42+H44+H45+H46</f>
        <v>423513</v>
      </c>
      <c r="H49" s="115"/>
      <c r="I49" s="115"/>
      <c r="J49" s="116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07"/>
      <c r="B50" s="32" t="s">
        <v>70</v>
      </c>
      <c r="C50" s="11">
        <v>21</v>
      </c>
      <c r="D50" s="12">
        <f>C50*1.5</f>
        <v>31.5</v>
      </c>
      <c r="F50" s="113"/>
      <c r="G50" s="117"/>
      <c r="H50" s="118"/>
      <c r="I50" s="118"/>
      <c r="J50" s="119"/>
      <c r="O50" t="s">
        <v>137</v>
      </c>
      <c r="P50" s="4">
        <v>1204</v>
      </c>
      <c r="Q50" s="4"/>
      <c r="R50" s="5"/>
    </row>
    <row r="51" spans="1:18" ht="15" customHeight="1" x14ac:dyDescent="0.25">
      <c r="A51" s="107"/>
      <c r="B51" s="27"/>
      <c r="C51" s="10"/>
      <c r="D51" s="31"/>
      <c r="F51" s="120" t="s">
        <v>162</v>
      </c>
      <c r="G51" s="221">
        <f>G49-H29</f>
        <v>-197.5</v>
      </c>
      <c r="H51" s="222"/>
      <c r="I51" s="222"/>
      <c r="J51" s="223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07"/>
      <c r="B52" s="29"/>
      <c r="C52" s="33"/>
      <c r="D52" s="45"/>
      <c r="F52" s="121"/>
      <c r="G52" s="224"/>
      <c r="H52" s="225"/>
      <c r="I52" s="225"/>
      <c r="J52" s="226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08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92" t="s">
        <v>90</v>
      </c>
      <c r="B54" s="93"/>
      <c r="C54" s="94"/>
      <c r="D54" s="98">
        <f>SUM(D34:D53)</f>
        <v>75838.5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95"/>
      <c r="B55" s="96"/>
      <c r="C55" s="97"/>
      <c r="D55" s="9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100" t="s">
        <v>91</v>
      </c>
      <c r="B58" s="101"/>
      <c r="C58" s="101"/>
      <c r="D58" s="102"/>
      <c r="F58" s="100" t="s">
        <v>92</v>
      </c>
      <c r="G58" s="101"/>
      <c r="H58" s="101"/>
      <c r="I58" s="101"/>
      <c r="J58" s="102"/>
    </row>
    <row r="59" spans="1:18" x14ac:dyDescent="0.25">
      <c r="A59" s="103"/>
      <c r="B59" s="104"/>
      <c r="C59" s="104"/>
      <c r="D59" s="105"/>
      <c r="F59" s="103"/>
      <c r="G59" s="104"/>
      <c r="H59" s="104"/>
      <c r="I59" s="104"/>
      <c r="J59" s="105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r:id="rId1"/>
  <drawing r:id="rId2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ACA814-B354-4E29-B82B-5E2DBA32FA3F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88" t="s">
        <v>1</v>
      </c>
      <c r="O1" s="188"/>
      <c r="P1" s="85" t="s">
        <v>2</v>
      </c>
      <c r="Q1" s="8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9" t="s">
        <v>7</v>
      </c>
      <c r="B4" s="140"/>
      <c r="C4" s="140"/>
      <c r="D4" s="141"/>
      <c r="F4" s="189" t="s">
        <v>8</v>
      </c>
      <c r="G4" s="191">
        <v>3</v>
      </c>
      <c r="H4" s="193" t="s">
        <v>9</v>
      </c>
      <c r="I4" s="195">
        <v>46090</v>
      </c>
      <c r="J4" s="19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3" t="s">
        <v>7</v>
      </c>
      <c r="B5" s="15" t="s">
        <v>11</v>
      </c>
      <c r="C5" s="9" t="s">
        <v>12</v>
      </c>
      <c r="D5" s="25" t="s">
        <v>13</v>
      </c>
      <c r="F5" s="190"/>
      <c r="G5" s="192"/>
      <c r="H5" s="194"/>
      <c r="I5" s="197"/>
      <c r="J5" s="19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4"/>
      <c r="B6" s="16" t="s">
        <v>15</v>
      </c>
      <c r="C6" s="10">
        <v>369</v>
      </c>
      <c r="D6" s="13">
        <f t="shared" ref="D6:D28" si="1">C6*L6</f>
        <v>280809</v>
      </c>
      <c r="F6" s="199" t="s">
        <v>16</v>
      </c>
      <c r="G6" s="201" t="s">
        <v>141</v>
      </c>
      <c r="H6" s="202"/>
      <c r="I6" s="202"/>
      <c r="J6" s="203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4"/>
      <c r="B7" s="16" t="s">
        <v>18</v>
      </c>
      <c r="C7" s="10">
        <v>11</v>
      </c>
      <c r="D7" s="13">
        <f t="shared" si="1"/>
        <v>8591</v>
      </c>
      <c r="F7" s="200"/>
      <c r="G7" s="204"/>
      <c r="H7" s="205"/>
      <c r="I7" s="205"/>
      <c r="J7" s="206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4"/>
      <c r="B8" s="16" t="s">
        <v>20</v>
      </c>
      <c r="C8" s="10">
        <v>1</v>
      </c>
      <c r="D8" s="13">
        <f t="shared" si="1"/>
        <v>1093</v>
      </c>
      <c r="F8" s="207" t="s">
        <v>21</v>
      </c>
      <c r="G8" s="208" t="s">
        <v>130</v>
      </c>
      <c r="H8" s="209"/>
      <c r="I8" s="209"/>
      <c r="J8" s="210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4"/>
      <c r="B9" s="16" t="s">
        <v>23</v>
      </c>
      <c r="C9" s="10">
        <v>63</v>
      </c>
      <c r="D9" s="13">
        <f t="shared" si="1"/>
        <v>46179</v>
      </c>
      <c r="F9" s="200"/>
      <c r="G9" s="211"/>
      <c r="H9" s="212"/>
      <c r="I9" s="212"/>
      <c r="J9" s="213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4"/>
      <c r="B10" t="s">
        <v>25</v>
      </c>
      <c r="C10" s="10"/>
      <c r="D10" s="13">
        <f t="shared" si="1"/>
        <v>0</v>
      </c>
      <c r="F10" s="199" t="s">
        <v>26</v>
      </c>
      <c r="G10" s="214" t="s">
        <v>127</v>
      </c>
      <c r="H10" s="215"/>
      <c r="I10" s="215"/>
      <c r="J10" s="216"/>
      <c r="K10" s="8"/>
      <c r="L10" s="6">
        <f>R36</f>
        <v>1032</v>
      </c>
      <c r="P10" s="4"/>
      <c r="Q10" s="4"/>
      <c r="R10" s="5"/>
    </row>
    <row r="11" spans="1:18" ht="15.75" x14ac:dyDescent="0.25">
      <c r="A11" s="134"/>
      <c r="B11" s="17" t="s">
        <v>28</v>
      </c>
      <c r="C11" s="10"/>
      <c r="D11" s="13">
        <f t="shared" si="1"/>
        <v>0</v>
      </c>
      <c r="F11" s="200"/>
      <c r="G11" s="211"/>
      <c r="H11" s="212"/>
      <c r="I11" s="212"/>
      <c r="J11" s="213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4"/>
      <c r="B12" s="17" t="s">
        <v>30</v>
      </c>
      <c r="C12" s="10">
        <v>2</v>
      </c>
      <c r="D12" s="48">
        <f t="shared" si="1"/>
        <v>1984</v>
      </c>
      <c r="F12" s="217" t="s">
        <v>33</v>
      </c>
      <c r="G12" s="218"/>
      <c r="H12" s="218"/>
      <c r="I12" s="218"/>
      <c r="J12" s="219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4"/>
      <c r="B13" s="17" t="s">
        <v>32</v>
      </c>
      <c r="C13" s="10">
        <v>15</v>
      </c>
      <c r="D13" s="48">
        <f t="shared" si="1"/>
        <v>4605</v>
      </c>
      <c r="F13" s="220" t="s">
        <v>36</v>
      </c>
      <c r="G13" s="184"/>
      <c r="H13" s="175">
        <f>D29</f>
        <v>344843</v>
      </c>
      <c r="I13" s="176"/>
      <c r="J13" s="17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4"/>
      <c r="B14" s="14" t="s">
        <v>35</v>
      </c>
      <c r="C14" s="10"/>
      <c r="D14" s="31">
        <f t="shared" si="1"/>
        <v>0</v>
      </c>
      <c r="F14" s="178" t="s">
        <v>39</v>
      </c>
      <c r="G14" s="179"/>
      <c r="H14" s="180">
        <f>D54</f>
        <v>25784.25</v>
      </c>
      <c r="I14" s="181"/>
      <c r="J14" s="18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4"/>
      <c r="B15" s="14" t="s">
        <v>38</v>
      </c>
      <c r="C15" s="10"/>
      <c r="D15" s="31">
        <f t="shared" si="1"/>
        <v>0</v>
      </c>
      <c r="F15" s="183" t="s">
        <v>40</v>
      </c>
      <c r="G15" s="184"/>
      <c r="H15" s="185">
        <f>H13-H14</f>
        <v>319058.75</v>
      </c>
      <c r="I15" s="186"/>
      <c r="J15" s="187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4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45">
        <f>300</f>
        <v>300</v>
      </c>
      <c r="I16" s="145"/>
      <c r="J16" s="145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4"/>
      <c r="B17" t="s">
        <v>112</v>
      </c>
      <c r="C17" s="10"/>
      <c r="D17" s="48">
        <f t="shared" si="1"/>
        <v>0</v>
      </c>
      <c r="F17" s="56"/>
      <c r="G17" s="66" t="s">
        <v>45</v>
      </c>
      <c r="H17" s="156"/>
      <c r="I17" s="156"/>
      <c r="J17" s="156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4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56"/>
      <c r="I18" s="156"/>
      <c r="J18" s="156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4"/>
      <c r="B19" s="14" t="s">
        <v>116</v>
      </c>
      <c r="C19" s="10"/>
      <c r="D19" s="48">
        <f t="shared" si="1"/>
        <v>0</v>
      </c>
      <c r="F19" s="56"/>
      <c r="G19" s="68" t="s">
        <v>50</v>
      </c>
      <c r="H19" s="232"/>
      <c r="I19" s="232"/>
      <c r="J19" s="232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4"/>
      <c r="B20" s="46" t="s">
        <v>108</v>
      </c>
      <c r="C20" s="10"/>
      <c r="D20" s="13">
        <f t="shared" si="1"/>
        <v>0</v>
      </c>
      <c r="F20" s="57"/>
      <c r="G20" s="70" t="s">
        <v>117</v>
      </c>
      <c r="H20" s="145"/>
      <c r="I20" s="145"/>
      <c r="J20" s="145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4"/>
      <c r="B21" s="14" t="s">
        <v>123</v>
      </c>
      <c r="C21" s="10"/>
      <c r="D21" s="48">
        <f t="shared" si="1"/>
        <v>0</v>
      </c>
      <c r="F21" s="69" t="s">
        <v>99</v>
      </c>
      <c r="G21" s="82" t="s">
        <v>98</v>
      </c>
      <c r="H21" s="158" t="s">
        <v>13</v>
      </c>
      <c r="I21" s="159"/>
      <c r="J21" s="160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4"/>
      <c r="B22" s="46" t="s">
        <v>104</v>
      </c>
      <c r="C22" s="10"/>
      <c r="D22" s="48">
        <f t="shared" si="1"/>
        <v>0</v>
      </c>
      <c r="F22" s="77"/>
      <c r="G22" s="73"/>
      <c r="H22" s="161"/>
      <c r="I22" s="161"/>
      <c r="J22" s="161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4"/>
      <c r="B23" s="14" t="s">
        <v>107</v>
      </c>
      <c r="C23" s="10"/>
      <c r="D23" s="48">
        <f t="shared" si="1"/>
        <v>0</v>
      </c>
      <c r="F23" s="78"/>
      <c r="G23" s="79"/>
      <c r="H23" s="162"/>
      <c r="I23" s="131"/>
      <c r="J23" s="131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4"/>
      <c r="B24" s="14" t="s">
        <v>101</v>
      </c>
      <c r="C24" s="10"/>
      <c r="D24" s="48">
        <f t="shared" si="1"/>
        <v>0</v>
      </c>
      <c r="F24" s="38"/>
      <c r="G24" s="37"/>
      <c r="H24" s="162"/>
      <c r="I24" s="131"/>
      <c r="J24" s="131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4"/>
      <c r="B25" s="14" t="s">
        <v>115</v>
      </c>
      <c r="C25" s="10"/>
      <c r="D25" s="48">
        <f t="shared" si="1"/>
        <v>0</v>
      </c>
      <c r="F25" s="60" t="s">
        <v>100</v>
      </c>
      <c r="G25" s="55" t="s">
        <v>98</v>
      </c>
      <c r="H25" s="163" t="s">
        <v>13</v>
      </c>
      <c r="I25" s="164"/>
      <c r="J25" s="165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4"/>
      <c r="B26" s="14" t="s">
        <v>105</v>
      </c>
      <c r="C26" s="10"/>
      <c r="D26" s="48">
        <f t="shared" si="1"/>
        <v>0</v>
      </c>
      <c r="F26" s="64"/>
      <c r="G26" s="59"/>
      <c r="H26" s="166"/>
      <c r="I26" s="167"/>
      <c r="J26" s="168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4"/>
      <c r="B27" s="14" t="s">
        <v>109</v>
      </c>
      <c r="C27" s="10">
        <v>1</v>
      </c>
      <c r="D27" s="44">
        <f t="shared" si="1"/>
        <v>1582</v>
      </c>
      <c r="F27" s="25"/>
      <c r="G27" s="80"/>
      <c r="H27" s="169"/>
      <c r="I27" s="170"/>
      <c r="J27" s="171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5"/>
      <c r="B28" s="46" t="s">
        <v>97</v>
      </c>
      <c r="C28" s="10"/>
      <c r="D28" s="48">
        <f t="shared" si="1"/>
        <v>0</v>
      </c>
      <c r="F28" s="86"/>
      <c r="G28" s="61"/>
      <c r="H28" s="172"/>
      <c r="I28" s="173"/>
      <c r="J28" s="174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46" t="s">
        <v>36</v>
      </c>
      <c r="B29" s="147"/>
      <c r="C29" s="148"/>
      <c r="D29" s="152">
        <f>SUM(D6:D28)</f>
        <v>344843</v>
      </c>
      <c r="F29" s="92" t="s">
        <v>55</v>
      </c>
      <c r="G29" s="154"/>
      <c r="H29" s="114">
        <f>H15-H16-H17-H18-H19-H20-H22-H23-H24+H26+H27</f>
        <v>318758.75</v>
      </c>
      <c r="I29" s="115"/>
      <c r="J29" s="116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49"/>
      <c r="B30" s="150"/>
      <c r="C30" s="151"/>
      <c r="D30" s="153"/>
      <c r="F30" s="95"/>
      <c r="G30" s="155"/>
      <c r="H30" s="117"/>
      <c r="I30" s="118"/>
      <c r="J30" s="119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39" t="s">
        <v>58</v>
      </c>
      <c r="B32" s="140"/>
      <c r="C32" s="140"/>
      <c r="D32" s="141"/>
      <c r="F32" s="142" t="s">
        <v>59</v>
      </c>
      <c r="G32" s="143"/>
      <c r="H32" s="143"/>
      <c r="I32" s="143"/>
      <c r="J32" s="144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142" t="s">
        <v>13</v>
      </c>
      <c r="I33" s="143"/>
      <c r="J33" s="144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3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114</v>
      </c>
      <c r="H34" s="136">
        <f>F34*G34</f>
        <v>114000</v>
      </c>
      <c r="I34" s="137"/>
      <c r="J34" s="138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4"/>
      <c r="B35" s="27" t="s">
        <v>68</v>
      </c>
      <c r="C35" s="52"/>
      <c r="D35" s="30">
        <f>C35*84</f>
        <v>0</v>
      </c>
      <c r="F35" s="58">
        <v>500</v>
      </c>
      <c r="G35" s="41">
        <v>66</v>
      </c>
      <c r="H35" s="136">
        <f>F35*G35</f>
        <v>33000</v>
      </c>
      <c r="I35" s="137"/>
      <c r="J35" s="138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5"/>
      <c r="B36" s="26" t="s">
        <v>70</v>
      </c>
      <c r="C36" s="10"/>
      <c r="D36" s="12">
        <f>C36*1.5</f>
        <v>0</v>
      </c>
      <c r="F36" s="12">
        <v>200</v>
      </c>
      <c r="G36" s="37"/>
      <c r="H36" s="136">
        <f t="shared" ref="H36:H39" si="2">F36*G36</f>
        <v>0</v>
      </c>
      <c r="I36" s="137"/>
      <c r="J36" s="138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3" t="s">
        <v>72</v>
      </c>
      <c r="B37" s="28" t="s">
        <v>66</v>
      </c>
      <c r="C37" s="53">
        <v>221</v>
      </c>
      <c r="D37" s="12">
        <f>C37*111</f>
        <v>24531</v>
      </c>
      <c r="F37" s="12">
        <v>100</v>
      </c>
      <c r="G37" s="39">
        <v>17</v>
      </c>
      <c r="H37" s="136">
        <f t="shared" si="2"/>
        <v>1700</v>
      </c>
      <c r="I37" s="137"/>
      <c r="J37" s="138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4"/>
      <c r="B38" s="29" t="s">
        <v>68</v>
      </c>
      <c r="C38" s="54"/>
      <c r="D38" s="12">
        <f>C38*84</f>
        <v>0</v>
      </c>
      <c r="F38" s="30">
        <v>50</v>
      </c>
      <c r="G38" s="39">
        <v>31</v>
      </c>
      <c r="H38" s="136">
        <f t="shared" si="2"/>
        <v>1550</v>
      </c>
      <c r="I38" s="137"/>
      <c r="J38" s="138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5"/>
      <c r="B39" s="29" t="s">
        <v>70</v>
      </c>
      <c r="C39" s="52"/>
      <c r="D39" s="31">
        <f>C39*4.5</f>
        <v>0</v>
      </c>
      <c r="F39" s="12">
        <v>20</v>
      </c>
      <c r="G39" s="37"/>
      <c r="H39" s="136">
        <f t="shared" si="2"/>
        <v>0</v>
      </c>
      <c r="I39" s="137"/>
      <c r="J39" s="138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3" t="s">
        <v>76</v>
      </c>
      <c r="B40" s="27" t="s">
        <v>66</v>
      </c>
      <c r="C40" s="63">
        <v>6</v>
      </c>
      <c r="D40" s="12">
        <f>C40*111</f>
        <v>666</v>
      </c>
      <c r="F40" s="12">
        <v>10</v>
      </c>
      <c r="G40" s="42"/>
      <c r="H40" s="136"/>
      <c r="I40" s="137"/>
      <c r="J40" s="138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4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136"/>
      <c r="I41" s="137"/>
      <c r="J41" s="138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5"/>
      <c r="B42" s="27" t="s">
        <v>70</v>
      </c>
      <c r="C42" s="11">
        <v>7</v>
      </c>
      <c r="D42" s="12">
        <f>C42*2.25</f>
        <v>15.75</v>
      </c>
      <c r="F42" s="39" t="s">
        <v>79</v>
      </c>
      <c r="G42" s="136">
        <v>43</v>
      </c>
      <c r="H42" s="137"/>
      <c r="I42" s="137"/>
      <c r="J42" s="138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06" t="s">
        <v>81</v>
      </c>
      <c r="C43" s="11"/>
      <c r="D43" s="12"/>
      <c r="F43" s="59" t="s">
        <v>82</v>
      </c>
      <c r="G43" s="89" t="s">
        <v>83</v>
      </c>
      <c r="H43" s="128" t="s">
        <v>13</v>
      </c>
      <c r="I43" s="129"/>
      <c r="J43" s="130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07"/>
      <c r="B44" s="27" t="s">
        <v>66</v>
      </c>
      <c r="C44" s="10">
        <v>1</v>
      </c>
      <c r="D44" s="12">
        <f>C44*120</f>
        <v>120</v>
      </c>
      <c r="F44" s="37" t="s">
        <v>154</v>
      </c>
      <c r="G44" s="62" t="s">
        <v>180</v>
      </c>
      <c r="H44" s="131">
        <v>168245</v>
      </c>
      <c r="I44" s="131"/>
      <c r="J44" s="131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07"/>
      <c r="B45" s="27" t="s">
        <v>68</v>
      </c>
      <c r="C45" s="33"/>
      <c r="D45" s="12">
        <f>C45*84</f>
        <v>0</v>
      </c>
      <c r="F45" s="37"/>
      <c r="G45" s="76"/>
      <c r="H45" s="131"/>
      <c r="I45" s="131"/>
      <c r="J45" s="131"/>
      <c r="K45" s="21"/>
      <c r="P45" s="4"/>
      <c r="Q45" s="4"/>
      <c r="R45" s="5"/>
    </row>
    <row r="46" spans="1:18" ht="15.75" x14ac:dyDescent="0.25">
      <c r="A46" s="107"/>
      <c r="B46" s="49" t="s">
        <v>70</v>
      </c>
      <c r="C46" s="81"/>
      <c r="D46" s="12">
        <f>C46*1.5</f>
        <v>0</v>
      </c>
      <c r="F46" s="37"/>
      <c r="G46" s="62"/>
      <c r="H46" s="132"/>
      <c r="I46" s="132"/>
      <c r="J46" s="132"/>
      <c r="K46" s="21"/>
      <c r="P46" s="4"/>
      <c r="Q46" s="4"/>
      <c r="R46" s="5"/>
    </row>
    <row r="47" spans="1:18" ht="15.75" x14ac:dyDescent="0.25">
      <c r="A47" s="108"/>
      <c r="B47" s="27"/>
      <c r="C47" s="11"/>
      <c r="D47" s="12"/>
      <c r="F47" s="59"/>
      <c r="G47" s="59"/>
      <c r="H47" s="109"/>
      <c r="I47" s="110"/>
      <c r="J47" s="111"/>
      <c r="K47" s="21"/>
      <c r="P47" s="4"/>
      <c r="Q47" s="4"/>
      <c r="R47" s="5"/>
    </row>
    <row r="48" spans="1:18" ht="15" customHeight="1" x14ac:dyDescent="0.25">
      <c r="A48" s="106" t="s">
        <v>32</v>
      </c>
      <c r="B48" s="27" t="s">
        <v>66</v>
      </c>
      <c r="C48" s="10">
        <v>4</v>
      </c>
      <c r="D48" s="12">
        <f>C48*78</f>
        <v>312</v>
      </c>
      <c r="F48" s="59"/>
      <c r="G48" s="59"/>
      <c r="H48" s="109"/>
      <c r="I48" s="110"/>
      <c r="J48" s="111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07"/>
      <c r="B49" s="29" t="s">
        <v>68</v>
      </c>
      <c r="C49" s="33">
        <v>1</v>
      </c>
      <c r="D49" s="12">
        <f>C49*42</f>
        <v>42</v>
      </c>
      <c r="F49" s="112" t="s">
        <v>86</v>
      </c>
      <c r="G49" s="114">
        <f>H34+H35+H36+H37+H38+H39+H40+H41+G42+H44+H45+H46</f>
        <v>318538</v>
      </c>
      <c r="H49" s="115"/>
      <c r="I49" s="115"/>
      <c r="J49" s="116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07"/>
      <c r="B50" s="32" t="s">
        <v>70</v>
      </c>
      <c r="C50" s="11">
        <v>9</v>
      </c>
      <c r="D50" s="12">
        <f>C50*1.5</f>
        <v>13.5</v>
      </c>
      <c r="F50" s="113"/>
      <c r="G50" s="117"/>
      <c r="H50" s="118"/>
      <c r="I50" s="118"/>
      <c r="J50" s="119"/>
      <c r="O50" t="s">
        <v>137</v>
      </c>
      <c r="P50" s="4">
        <v>1204</v>
      </c>
      <c r="Q50" s="4"/>
      <c r="R50" s="5"/>
    </row>
    <row r="51" spans="1:18" ht="15" customHeight="1" x14ac:dyDescent="0.25">
      <c r="A51" s="107"/>
      <c r="B51" s="27"/>
      <c r="C51" s="10"/>
      <c r="D51" s="31"/>
      <c r="F51" s="120" t="s">
        <v>128</v>
      </c>
      <c r="G51" s="221">
        <f>G49-H29</f>
        <v>-220.75</v>
      </c>
      <c r="H51" s="222"/>
      <c r="I51" s="222"/>
      <c r="J51" s="223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07"/>
      <c r="B52" s="29"/>
      <c r="C52" s="33"/>
      <c r="D52" s="45"/>
      <c r="F52" s="121"/>
      <c r="G52" s="224"/>
      <c r="H52" s="225"/>
      <c r="I52" s="225"/>
      <c r="J52" s="226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08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92" t="s">
        <v>90</v>
      </c>
      <c r="B54" s="93"/>
      <c r="C54" s="94"/>
      <c r="D54" s="98">
        <f>SUM(D34:D53)</f>
        <v>25784.25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95"/>
      <c r="B55" s="96"/>
      <c r="C55" s="97"/>
      <c r="D55" s="9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100" t="s">
        <v>91</v>
      </c>
      <c r="B58" s="101"/>
      <c r="C58" s="101"/>
      <c r="D58" s="102"/>
      <c r="F58" s="100" t="s">
        <v>92</v>
      </c>
      <c r="G58" s="101"/>
      <c r="H58" s="101"/>
      <c r="I58" s="101"/>
      <c r="J58" s="102"/>
    </row>
    <row r="59" spans="1:18" x14ac:dyDescent="0.25">
      <c r="A59" s="103"/>
      <c r="B59" s="104"/>
      <c r="C59" s="104"/>
      <c r="D59" s="105"/>
      <c r="F59" s="103"/>
      <c r="G59" s="104"/>
      <c r="H59" s="104"/>
      <c r="I59" s="104"/>
      <c r="J59" s="105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00E1DC-8A6B-4DF0-8008-D504F42F86A1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88" t="s">
        <v>1</v>
      </c>
      <c r="O1" s="188"/>
      <c r="P1" s="85" t="s">
        <v>2</v>
      </c>
      <c r="Q1" s="85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39" t="s">
        <v>7</v>
      </c>
      <c r="B4" s="140"/>
      <c r="C4" s="140"/>
      <c r="D4" s="141"/>
      <c r="F4" s="189" t="s">
        <v>8</v>
      </c>
      <c r="G4" s="191"/>
      <c r="H4" s="193" t="s">
        <v>9</v>
      </c>
      <c r="I4" s="195"/>
      <c r="J4" s="19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33" t="s">
        <v>7</v>
      </c>
      <c r="B5" s="15" t="s">
        <v>11</v>
      </c>
      <c r="C5" s="9" t="s">
        <v>12</v>
      </c>
      <c r="D5" s="25" t="s">
        <v>13</v>
      </c>
      <c r="F5" s="190"/>
      <c r="G5" s="192"/>
      <c r="H5" s="194"/>
      <c r="I5" s="197"/>
      <c r="J5" s="19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34"/>
      <c r="B6" s="16"/>
      <c r="C6" s="10"/>
      <c r="D6" s="13">
        <f t="shared" ref="D6:D28" si="1">C6*L6</f>
        <v>0</v>
      </c>
      <c r="F6" s="199" t="s">
        <v>16</v>
      </c>
      <c r="G6" s="201"/>
      <c r="H6" s="202"/>
      <c r="I6" s="202"/>
      <c r="J6" s="203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34"/>
      <c r="B7" s="16"/>
      <c r="C7" s="10"/>
      <c r="D7" s="13">
        <f t="shared" si="1"/>
        <v>0</v>
      </c>
      <c r="F7" s="200"/>
      <c r="G7" s="204"/>
      <c r="H7" s="205"/>
      <c r="I7" s="205"/>
      <c r="J7" s="206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34"/>
      <c r="B8" s="16"/>
      <c r="C8" s="10"/>
      <c r="D8" s="13">
        <f t="shared" si="1"/>
        <v>0</v>
      </c>
      <c r="F8" s="207" t="s">
        <v>21</v>
      </c>
      <c r="G8" s="208"/>
      <c r="H8" s="209"/>
      <c r="I8" s="209"/>
      <c r="J8" s="210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34"/>
      <c r="B9" s="16"/>
      <c r="C9" s="10"/>
      <c r="D9" s="13">
        <f t="shared" si="1"/>
        <v>0</v>
      </c>
      <c r="F9" s="200"/>
      <c r="G9" s="211"/>
      <c r="H9" s="212"/>
      <c r="I9" s="212"/>
      <c r="J9" s="213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34"/>
      <c r="C10" s="10"/>
      <c r="D10" s="13">
        <f t="shared" si="1"/>
        <v>0</v>
      </c>
      <c r="F10" s="199" t="s">
        <v>26</v>
      </c>
      <c r="G10" s="214"/>
      <c r="H10" s="215"/>
      <c r="I10" s="215"/>
      <c r="J10" s="216"/>
      <c r="K10" s="8"/>
      <c r="L10" s="6">
        <f>R36</f>
        <v>972</v>
      </c>
      <c r="P10" s="4"/>
      <c r="Q10" s="4"/>
      <c r="R10" s="5"/>
    </row>
    <row r="11" spans="1:19" ht="15.75" x14ac:dyDescent="0.25">
      <c r="A11" s="134"/>
      <c r="B11" s="17"/>
      <c r="C11" s="10"/>
      <c r="D11" s="13">
        <f t="shared" si="1"/>
        <v>0</v>
      </c>
      <c r="F11" s="200"/>
      <c r="G11" s="211"/>
      <c r="H11" s="212"/>
      <c r="I11" s="212"/>
      <c r="J11" s="213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34"/>
      <c r="B12" s="17"/>
      <c r="C12" s="10"/>
      <c r="D12" s="48">
        <f t="shared" si="1"/>
        <v>0</v>
      </c>
      <c r="F12" s="217" t="s">
        <v>33</v>
      </c>
      <c r="G12" s="218"/>
      <c r="H12" s="218"/>
      <c r="I12" s="218"/>
      <c r="J12" s="219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34"/>
      <c r="B13" s="17"/>
      <c r="C13" s="10"/>
      <c r="D13" s="48">
        <f t="shared" si="1"/>
        <v>0</v>
      </c>
      <c r="F13" s="220" t="s">
        <v>36</v>
      </c>
      <c r="G13" s="184"/>
      <c r="H13" s="175">
        <f>D29</f>
        <v>0</v>
      </c>
      <c r="I13" s="176"/>
      <c r="J13" s="17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34"/>
      <c r="B14" s="14"/>
      <c r="C14" s="10"/>
      <c r="D14" s="31">
        <f t="shared" si="1"/>
        <v>0</v>
      </c>
      <c r="F14" s="178" t="s">
        <v>39</v>
      </c>
      <c r="G14" s="179"/>
      <c r="H14" s="180">
        <f>D54</f>
        <v>0</v>
      </c>
      <c r="I14" s="181"/>
      <c r="J14" s="18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34"/>
      <c r="B15" s="14"/>
      <c r="C15" s="10"/>
      <c r="D15" s="31">
        <f t="shared" si="1"/>
        <v>0</v>
      </c>
      <c r="F15" s="183" t="s">
        <v>40</v>
      </c>
      <c r="G15" s="184"/>
      <c r="H15" s="185">
        <f>H13-H14</f>
        <v>0</v>
      </c>
      <c r="I15" s="186"/>
      <c r="J15" s="187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34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45"/>
      <c r="I16" s="145"/>
      <c r="J16" s="145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4"/>
      <c r="C17" s="10"/>
      <c r="D17" s="48">
        <f t="shared" si="1"/>
        <v>0</v>
      </c>
      <c r="F17" s="56"/>
      <c r="G17" s="66" t="s">
        <v>45</v>
      </c>
      <c r="H17" s="156"/>
      <c r="I17" s="156"/>
      <c r="J17" s="156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4"/>
      <c r="B18" s="19"/>
      <c r="C18" s="10"/>
      <c r="D18" s="48">
        <f t="shared" si="1"/>
        <v>0</v>
      </c>
      <c r="F18" s="56"/>
      <c r="G18" s="66" t="s">
        <v>47</v>
      </c>
      <c r="H18" s="156"/>
      <c r="I18" s="156"/>
      <c r="J18" s="156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4"/>
      <c r="B19" s="14"/>
      <c r="C19" s="10"/>
      <c r="D19" s="48">
        <f t="shared" si="1"/>
        <v>0</v>
      </c>
      <c r="F19" s="56"/>
      <c r="G19" s="68" t="s">
        <v>50</v>
      </c>
      <c r="H19" s="157"/>
      <c r="I19" s="157"/>
      <c r="J19" s="157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4"/>
      <c r="B20" s="46"/>
      <c r="C20" s="10"/>
      <c r="D20" s="13">
        <f t="shared" si="1"/>
        <v>0</v>
      </c>
      <c r="F20" s="57"/>
      <c r="G20" s="70" t="s">
        <v>117</v>
      </c>
      <c r="H20" s="145"/>
      <c r="I20" s="145"/>
      <c r="J20" s="145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4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58" t="s">
        <v>13</v>
      </c>
      <c r="I21" s="159"/>
      <c r="J21" s="160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4"/>
      <c r="B22" s="46"/>
      <c r="C22" s="10"/>
      <c r="D22" s="48">
        <f t="shared" si="1"/>
        <v>0</v>
      </c>
      <c r="F22" s="77"/>
      <c r="G22" s="73"/>
      <c r="H22" s="161"/>
      <c r="I22" s="161"/>
      <c r="J22" s="161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4"/>
      <c r="B23" s="14"/>
      <c r="C23" s="10"/>
      <c r="D23" s="48">
        <f t="shared" si="1"/>
        <v>0</v>
      </c>
      <c r="F23" s="78"/>
      <c r="G23" s="79"/>
      <c r="H23" s="162"/>
      <c r="I23" s="131"/>
      <c r="J23" s="131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4"/>
      <c r="B24" s="14"/>
      <c r="C24" s="10"/>
      <c r="D24" s="48">
        <f t="shared" si="1"/>
        <v>0</v>
      </c>
      <c r="F24" s="38"/>
      <c r="G24" s="37"/>
      <c r="H24" s="162"/>
      <c r="I24" s="131"/>
      <c r="J24" s="131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4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63" t="s">
        <v>13</v>
      </c>
      <c r="I25" s="164"/>
      <c r="J25" s="165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4"/>
      <c r="B26" s="14"/>
      <c r="C26" s="10"/>
      <c r="D26" s="48">
        <f t="shared" si="1"/>
        <v>0</v>
      </c>
      <c r="F26" s="64"/>
      <c r="G26" s="59"/>
      <c r="H26" s="166"/>
      <c r="I26" s="167"/>
      <c r="J26" s="168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4"/>
      <c r="B27" s="14"/>
      <c r="C27" s="10"/>
      <c r="D27" s="44">
        <f t="shared" si="1"/>
        <v>0</v>
      </c>
      <c r="F27" s="25"/>
      <c r="G27" s="80"/>
      <c r="H27" s="169"/>
      <c r="I27" s="170"/>
      <c r="J27" s="171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5"/>
      <c r="B28" s="46"/>
      <c r="C28" s="10"/>
      <c r="D28" s="48">
        <f t="shared" si="1"/>
        <v>0</v>
      </c>
      <c r="F28" s="86"/>
      <c r="G28" s="61"/>
      <c r="H28" s="172"/>
      <c r="I28" s="173"/>
      <c r="J28" s="174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46" t="s">
        <v>36</v>
      </c>
      <c r="B29" s="147"/>
      <c r="C29" s="148"/>
      <c r="D29" s="152">
        <f>SUM(D6:D28)</f>
        <v>0</v>
      </c>
      <c r="F29" s="92" t="s">
        <v>55</v>
      </c>
      <c r="G29" s="154"/>
      <c r="H29" s="114">
        <f>H15-H16-H17-H18-H19-H20-H22-H23-H24+H26+H27</f>
        <v>0</v>
      </c>
      <c r="I29" s="115"/>
      <c r="J29" s="116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49"/>
      <c r="B30" s="150"/>
      <c r="C30" s="151"/>
      <c r="D30" s="153"/>
      <c r="F30" s="95"/>
      <c r="G30" s="155"/>
      <c r="H30" s="117"/>
      <c r="I30" s="118"/>
      <c r="J30" s="119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39" t="s">
        <v>58</v>
      </c>
      <c r="B32" s="140"/>
      <c r="C32" s="140"/>
      <c r="D32" s="141"/>
      <c r="F32" s="142" t="s">
        <v>59</v>
      </c>
      <c r="G32" s="143"/>
      <c r="H32" s="143"/>
      <c r="I32" s="143"/>
      <c r="J32" s="144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142" t="s">
        <v>13</v>
      </c>
      <c r="I33" s="143"/>
      <c r="J33" s="144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3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36"/>
      <c r="I34" s="137"/>
      <c r="J34" s="138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4"/>
      <c r="B35" s="27" t="s">
        <v>68</v>
      </c>
      <c r="C35" s="52"/>
      <c r="D35" s="30">
        <f>C35*84</f>
        <v>0</v>
      </c>
      <c r="F35" s="58">
        <v>500</v>
      </c>
      <c r="G35" s="41"/>
      <c r="H35" s="136"/>
      <c r="I35" s="137"/>
      <c r="J35" s="138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5"/>
      <c r="B36" s="26" t="s">
        <v>70</v>
      </c>
      <c r="C36" s="10"/>
      <c r="D36" s="12">
        <f>C36*1.5</f>
        <v>0</v>
      </c>
      <c r="F36" s="12">
        <v>200</v>
      </c>
      <c r="G36" s="37"/>
      <c r="H36" s="136"/>
      <c r="I36" s="137"/>
      <c r="J36" s="138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3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36"/>
      <c r="I37" s="137"/>
      <c r="J37" s="138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4"/>
      <c r="B38" s="29" t="s">
        <v>68</v>
      </c>
      <c r="C38" s="54"/>
      <c r="D38" s="12">
        <f>C38*84</f>
        <v>0</v>
      </c>
      <c r="F38" s="30">
        <v>50</v>
      </c>
      <c r="G38" s="39"/>
      <c r="H38" s="136"/>
      <c r="I38" s="137"/>
      <c r="J38" s="138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5"/>
      <c r="B39" s="29" t="s">
        <v>70</v>
      </c>
      <c r="C39" s="52"/>
      <c r="D39" s="31">
        <f>C39*4.5</f>
        <v>0</v>
      </c>
      <c r="F39" s="12">
        <v>20</v>
      </c>
      <c r="G39" s="37"/>
      <c r="H39" s="136"/>
      <c r="I39" s="137"/>
      <c r="J39" s="138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3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36"/>
      <c r="I40" s="137"/>
      <c r="J40" s="138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4"/>
      <c r="B41" s="27" t="s">
        <v>68</v>
      </c>
      <c r="C41" s="10"/>
      <c r="D41" s="12">
        <f>C41*84</f>
        <v>0</v>
      </c>
      <c r="F41" s="12">
        <v>5</v>
      </c>
      <c r="G41" s="42"/>
      <c r="H41" s="136"/>
      <c r="I41" s="137"/>
      <c r="J41" s="138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5"/>
      <c r="B42" s="27" t="s">
        <v>70</v>
      </c>
      <c r="C42" s="11"/>
      <c r="D42" s="12">
        <f>C42*2.25</f>
        <v>0</v>
      </c>
      <c r="F42" s="39" t="s">
        <v>79</v>
      </c>
      <c r="G42" s="136"/>
      <c r="H42" s="137"/>
      <c r="I42" s="137"/>
      <c r="J42" s="138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06" t="s">
        <v>81</v>
      </c>
      <c r="C43" s="11"/>
      <c r="D43" s="12"/>
      <c r="F43" s="59" t="s">
        <v>82</v>
      </c>
      <c r="G43" s="89" t="s">
        <v>83</v>
      </c>
      <c r="H43" s="128" t="s">
        <v>13</v>
      </c>
      <c r="I43" s="129"/>
      <c r="J43" s="130"/>
      <c r="K43" s="21"/>
      <c r="P43" s="4"/>
      <c r="Q43" s="4"/>
      <c r="R43" s="5"/>
    </row>
    <row r="44" spans="1:18" ht="15.75" x14ac:dyDescent="0.25">
      <c r="A44" s="107"/>
      <c r="B44" s="27" t="s">
        <v>66</v>
      </c>
      <c r="C44" s="10"/>
      <c r="D44" s="12">
        <f>C44*120</f>
        <v>0</v>
      </c>
      <c r="F44" s="37"/>
      <c r="G44" s="76"/>
      <c r="H44" s="131"/>
      <c r="I44" s="131"/>
      <c r="J44" s="131"/>
      <c r="K44" s="21"/>
      <c r="P44" s="4"/>
      <c r="Q44" s="4"/>
      <c r="R44" s="5"/>
    </row>
    <row r="45" spans="1:18" ht="15.75" x14ac:dyDescent="0.25">
      <c r="A45" s="107"/>
      <c r="B45" s="27" t="s">
        <v>68</v>
      </c>
      <c r="C45" s="33"/>
      <c r="D45" s="12">
        <f>C45*84</f>
        <v>0</v>
      </c>
      <c r="F45" s="37"/>
      <c r="G45" s="76"/>
      <c r="H45" s="131"/>
      <c r="I45" s="131"/>
      <c r="J45" s="131"/>
      <c r="K45" s="21"/>
      <c r="P45" s="4"/>
      <c r="Q45" s="4"/>
      <c r="R45" s="5"/>
    </row>
    <row r="46" spans="1:18" ht="15.75" x14ac:dyDescent="0.25">
      <c r="A46" s="107"/>
      <c r="B46" s="49" t="s">
        <v>70</v>
      </c>
      <c r="C46" s="81"/>
      <c r="D46" s="12">
        <f>C46*1.5</f>
        <v>0</v>
      </c>
      <c r="F46" s="37"/>
      <c r="G46" s="62"/>
      <c r="H46" s="132"/>
      <c r="I46" s="132"/>
      <c r="J46" s="132"/>
      <c r="K46" s="21"/>
      <c r="P46" s="4"/>
      <c r="Q46" s="4"/>
      <c r="R46" s="5"/>
    </row>
    <row r="47" spans="1:18" ht="15.75" x14ac:dyDescent="0.25">
      <c r="A47" s="108"/>
      <c r="B47" s="27"/>
      <c r="C47" s="11"/>
      <c r="D47" s="12"/>
      <c r="F47" s="59"/>
      <c r="G47" s="59"/>
      <c r="H47" s="109"/>
      <c r="I47" s="110"/>
      <c r="J47" s="111"/>
      <c r="K47" s="21"/>
      <c r="P47" s="4"/>
      <c r="Q47" s="4"/>
      <c r="R47" s="5"/>
    </row>
    <row r="48" spans="1:18" ht="15" customHeight="1" x14ac:dyDescent="0.25">
      <c r="A48" s="106" t="s">
        <v>32</v>
      </c>
      <c r="B48" s="27" t="s">
        <v>66</v>
      </c>
      <c r="C48" s="10"/>
      <c r="D48" s="12">
        <f>C48*78</f>
        <v>0</v>
      </c>
      <c r="F48" s="59"/>
      <c r="G48" s="59"/>
      <c r="H48" s="109"/>
      <c r="I48" s="110"/>
      <c r="J48" s="111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07"/>
      <c r="B49" s="29" t="s">
        <v>68</v>
      </c>
      <c r="C49" s="33"/>
      <c r="D49" s="12">
        <f>C49*42</f>
        <v>0</v>
      </c>
      <c r="F49" s="112" t="s">
        <v>86</v>
      </c>
      <c r="G49" s="114">
        <f>H34+H35+H36+H37+H38+H39+H40+H41+G42+H44+H45+H46</f>
        <v>0</v>
      </c>
      <c r="H49" s="115"/>
      <c r="I49" s="115"/>
      <c r="J49" s="116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07"/>
      <c r="B50" s="32" t="s">
        <v>70</v>
      </c>
      <c r="C50" s="11"/>
      <c r="D50" s="12">
        <f>C50*1.5</f>
        <v>0</v>
      </c>
      <c r="F50" s="113"/>
      <c r="G50" s="117"/>
      <c r="H50" s="118"/>
      <c r="I50" s="118"/>
      <c r="J50" s="119"/>
      <c r="P50" s="4"/>
      <c r="Q50" s="4"/>
      <c r="R50" s="5"/>
    </row>
    <row r="51" spans="1:18" ht="15" customHeight="1" x14ac:dyDescent="0.25">
      <c r="A51" s="107"/>
      <c r="B51" s="27"/>
      <c r="C51" s="10"/>
      <c r="D51" s="31"/>
      <c r="F51" s="120" t="s">
        <v>125</v>
      </c>
      <c r="G51" s="122">
        <f>G49-H29</f>
        <v>0</v>
      </c>
      <c r="H51" s="123"/>
      <c r="I51" s="123"/>
      <c r="J51" s="124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07"/>
      <c r="B52" s="29"/>
      <c r="C52" s="33"/>
      <c r="D52" s="45"/>
      <c r="F52" s="121"/>
      <c r="G52" s="125"/>
      <c r="H52" s="126"/>
      <c r="I52" s="126"/>
      <c r="J52" s="127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08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92" t="s">
        <v>90</v>
      </c>
      <c r="B54" s="93"/>
      <c r="C54" s="94"/>
      <c r="D54" s="98">
        <f>SUM(D34:D53)</f>
        <v>0</v>
      </c>
      <c r="F54" s="21"/>
      <c r="J54" s="34"/>
    </row>
    <row r="55" spans="1:18" x14ac:dyDescent="0.25">
      <c r="A55" s="95"/>
      <c r="B55" s="96"/>
      <c r="C55" s="97"/>
      <c r="D55" s="9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00" t="s">
        <v>91</v>
      </c>
      <c r="B58" s="101"/>
      <c r="C58" s="101"/>
      <c r="D58" s="102"/>
      <c r="F58" s="100" t="s">
        <v>92</v>
      </c>
      <c r="G58" s="101"/>
      <c r="H58" s="101"/>
      <c r="I58" s="101"/>
      <c r="J58" s="102"/>
    </row>
    <row r="59" spans="1:18" x14ac:dyDescent="0.25">
      <c r="A59" s="103"/>
      <c r="B59" s="104"/>
      <c r="C59" s="104"/>
      <c r="D59" s="105"/>
      <c r="F59" s="103"/>
      <c r="G59" s="104"/>
      <c r="H59" s="104"/>
      <c r="I59" s="104"/>
      <c r="J59" s="105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D744DA-ADB4-4858-97FF-05CE73EE1DF7}">
  <dimension ref="A1:R59"/>
  <sheetViews>
    <sheetView tabSelected="1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88" t="s">
        <v>1</v>
      </c>
      <c r="O1" s="188"/>
      <c r="P1" s="85" t="s">
        <v>2</v>
      </c>
      <c r="Q1" s="8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9" t="s">
        <v>7</v>
      </c>
      <c r="B4" s="140"/>
      <c r="C4" s="140"/>
      <c r="D4" s="141"/>
      <c r="F4" s="189" t="s">
        <v>8</v>
      </c>
      <c r="G4" s="191">
        <v>1</v>
      </c>
      <c r="H4" s="193" t="s">
        <v>9</v>
      </c>
      <c r="I4" s="195">
        <v>46091</v>
      </c>
      <c r="J4" s="19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3" t="s">
        <v>7</v>
      </c>
      <c r="B5" s="15" t="s">
        <v>11</v>
      </c>
      <c r="C5" s="9" t="s">
        <v>12</v>
      </c>
      <c r="D5" s="25" t="s">
        <v>13</v>
      </c>
      <c r="F5" s="190"/>
      <c r="G5" s="192"/>
      <c r="H5" s="194"/>
      <c r="I5" s="197"/>
      <c r="J5" s="19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4"/>
      <c r="B6" s="16" t="s">
        <v>15</v>
      </c>
      <c r="C6" s="10">
        <v>324</v>
      </c>
      <c r="D6" s="13">
        <f t="shared" ref="D6:D28" si="1">C6*L6</f>
        <v>246564</v>
      </c>
      <c r="F6" s="199" t="s">
        <v>16</v>
      </c>
      <c r="G6" s="201" t="s">
        <v>111</v>
      </c>
      <c r="H6" s="202"/>
      <c r="I6" s="202"/>
      <c r="J6" s="203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4"/>
      <c r="B7" s="16" t="s">
        <v>18</v>
      </c>
      <c r="C7" s="10">
        <v>3</v>
      </c>
      <c r="D7" s="13">
        <f t="shared" si="1"/>
        <v>2343</v>
      </c>
      <c r="F7" s="200"/>
      <c r="G7" s="204"/>
      <c r="H7" s="205"/>
      <c r="I7" s="205"/>
      <c r="J7" s="206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4"/>
      <c r="B8" s="16" t="s">
        <v>20</v>
      </c>
      <c r="C8" s="10"/>
      <c r="D8" s="13">
        <f t="shared" si="1"/>
        <v>0</v>
      </c>
      <c r="F8" s="207" t="s">
        <v>21</v>
      </c>
      <c r="G8" s="208" t="s">
        <v>144</v>
      </c>
      <c r="H8" s="209"/>
      <c r="I8" s="209"/>
      <c r="J8" s="210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4"/>
      <c r="B9" s="16" t="s">
        <v>23</v>
      </c>
      <c r="C9" s="10">
        <v>20</v>
      </c>
      <c r="D9" s="13">
        <f t="shared" si="1"/>
        <v>14660</v>
      </c>
      <c r="F9" s="200"/>
      <c r="G9" s="211"/>
      <c r="H9" s="212"/>
      <c r="I9" s="212"/>
      <c r="J9" s="213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4"/>
      <c r="B10" t="s">
        <v>25</v>
      </c>
      <c r="C10" s="10"/>
      <c r="D10" s="13">
        <f t="shared" si="1"/>
        <v>0</v>
      </c>
      <c r="F10" s="199" t="s">
        <v>26</v>
      </c>
      <c r="G10" s="214" t="s">
        <v>139</v>
      </c>
      <c r="H10" s="215"/>
      <c r="I10" s="215"/>
      <c r="J10" s="216"/>
      <c r="K10" s="8"/>
      <c r="L10" s="6">
        <f>R36</f>
        <v>1032</v>
      </c>
      <c r="P10" s="4"/>
      <c r="Q10" s="4"/>
      <c r="R10" s="5"/>
    </row>
    <row r="11" spans="1:18" ht="15.75" x14ac:dyDescent="0.25">
      <c r="A11" s="134"/>
      <c r="B11" s="17" t="s">
        <v>28</v>
      </c>
      <c r="C11" s="10"/>
      <c r="D11" s="13">
        <f t="shared" si="1"/>
        <v>0</v>
      </c>
      <c r="F11" s="200"/>
      <c r="G11" s="211"/>
      <c r="H11" s="212"/>
      <c r="I11" s="212"/>
      <c r="J11" s="213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4"/>
      <c r="B12" s="17" t="s">
        <v>30</v>
      </c>
      <c r="C12" s="10"/>
      <c r="D12" s="48">
        <f t="shared" si="1"/>
        <v>0</v>
      </c>
      <c r="F12" s="217" t="s">
        <v>33</v>
      </c>
      <c r="G12" s="218"/>
      <c r="H12" s="218"/>
      <c r="I12" s="218"/>
      <c r="J12" s="219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4"/>
      <c r="B13" s="17" t="s">
        <v>32</v>
      </c>
      <c r="C13" s="10">
        <v>5</v>
      </c>
      <c r="D13" s="48">
        <f t="shared" si="1"/>
        <v>1535</v>
      </c>
      <c r="F13" s="220" t="s">
        <v>36</v>
      </c>
      <c r="G13" s="184"/>
      <c r="H13" s="175">
        <f>D29</f>
        <v>267570</v>
      </c>
      <c r="I13" s="176"/>
      <c r="J13" s="17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4"/>
      <c r="B14" s="14" t="s">
        <v>35</v>
      </c>
      <c r="C14" s="10">
        <v>6</v>
      </c>
      <c r="D14" s="31">
        <f t="shared" si="1"/>
        <v>66</v>
      </c>
      <c r="F14" s="178" t="s">
        <v>39</v>
      </c>
      <c r="G14" s="179"/>
      <c r="H14" s="180">
        <f>D54</f>
        <v>39540.75</v>
      </c>
      <c r="I14" s="181"/>
      <c r="J14" s="18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4"/>
      <c r="B15" s="14" t="s">
        <v>38</v>
      </c>
      <c r="C15" s="10"/>
      <c r="D15" s="31">
        <f t="shared" si="1"/>
        <v>0</v>
      </c>
      <c r="F15" s="183" t="s">
        <v>40</v>
      </c>
      <c r="G15" s="184"/>
      <c r="H15" s="185">
        <f>H13-H14</f>
        <v>228029.25</v>
      </c>
      <c r="I15" s="186"/>
      <c r="J15" s="187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4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45"/>
      <c r="I16" s="145"/>
      <c r="J16" s="145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4"/>
      <c r="B17" t="s">
        <v>133</v>
      </c>
      <c r="C17" s="10"/>
      <c r="D17" s="48">
        <f t="shared" si="1"/>
        <v>0</v>
      </c>
      <c r="F17" s="56"/>
      <c r="G17" s="66" t="s">
        <v>45</v>
      </c>
      <c r="H17" s="156"/>
      <c r="I17" s="156"/>
      <c r="J17" s="156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4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56"/>
      <c r="I18" s="156"/>
      <c r="J18" s="156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4"/>
      <c r="B19" s="14" t="s">
        <v>129</v>
      </c>
      <c r="C19" s="10">
        <v>1</v>
      </c>
      <c r="D19" s="48">
        <f t="shared" si="1"/>
        <v>1102</v>
      </c>
      <c r="F19" s="56"/>
      <c r="G19" s="68" t="s">
        <v>50</v>
      </c>
      <c r="H19" s="145">
        <v>50</v>
      </c>
      <c r="I19" s="145"/>
      <c r="J19" s="145"/>
      <c r="L19" s="6">
        <v>1102</v>
      </c>
      <c r="Q19" s="4"/>
      <c r="R19" s="5">
        <f t="shared" si="0"/>
        <v>0</v>
      </c>
    </row>
    <row r="20" spans="1:18" ht="15.75" x14ac:dyDescent="0.25">
      <c r="A20" s="134"/>
      <c r="B20" s="83" t="s">
        <v>122</v>
      </c>
      <c r="C20" s="10"/>
      <c r="D20" s="13">
        <f t="shared" si="1"/>
        <v>0</v>
      </c>
      <c r="F20" s="57"/>
      <c r="G20" s="70" t="s">
        <v>117</v>
      </c>
      <c r="H20" s="145"/>
      <c r="I20" s="145"/>
      <c r="J20" s="145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4"/>
      <c r="B21" s="14" t="s">
        <v>131</v>
      </c>
      <c r="C21" s="10">
        <f>1+1</f>
        <v>2</v>
      </c>
      <c r="D21" s="48">
        <f t="shared" si="1"/>
        <v>1300</v>
      </c>
      <c r="F21" s="69" t="s">
        <v>99</v>
      </c>
      <c r="G21" s="82" t="s">
        <v>98</v>
      </c>
      <c r="H21" s="158" t="s">
        <v>13</v>
      </c>
      <c r="I21" s="159"/>
      <c r="J21" s="160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4"/>
      <c r="B22" s="46" t="s">
        <v>124</v>
      </c>
      <c r="C22" s="10"/>
      <c r="D22" s="48">
        <f t="shared" si="1"/>
        <v>0</v>
      </c>
      <c r="F22" s="77"/>
      <c r="G22" s="73"/>
      <c r="H22" s="161"/>
      <c r="I22" s="161"/>
      <c r="J22" s="161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4"/>
      <c r="B23" s="14" t="s">
        <v>101</v>
      </c>
      <c r="C23" s="10"/>
      <c r="D23" s="48">
        <f t="shared" si="1"/>
        <v>0</v>
      </c>
      <c r="F23" s="77"/>
      <c r="G23" s="79"/>
      <c r="H23" s="227"/>
      <c r="I23" s="228"/>
      <c r="J23" s="228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4"/>
      <c r="B24" s="14" t="s">
        <v>118</v>
      </c>
      <c r="C24" s="10"/>
      <c r="D24" s="48">
        <f t="shared" si="1"/>
        <v>0</v>
      </c>
      <c r="F24" s="77"/>
      <c r="G24" s="79"/>
      <c r="H24" s="227"/>
      <c r="I24" s="228"/>
      <c r="J24" s="228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4"/>
      <c r="B25" s="14" t="s">
        <v>134</v>
      </c>
      <c r="C25" s="10"/>
      <c r="D25" s="48">
        <f t="shared" si="1"/>
        <v>0</v>
      </c>
      <c r="F25" s="60" t="s">
        <v>100</v>
      </c>
      <c r="G25" s="55" t="s">
        <v>98</v>
      </c>
      <c r="H25" s="163" t="s">
        <v>13</v>
      </c>
      <c r="I25" s="164"/>
      <c r="J25" s="165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4"/>
      <c r="B26" s="14" t="s">
        <v>132</v>
      </c>
      <c r="C26" s="10"/>
      <c r="D26" s="48">
        <f t="shared" si="1"/>
        <v>0</v>
      </c>
      <c r="F26" s="75"/>
      <c r="G26" s="65"/>
      <c r="H26" s="131"/>
      <c r="I26" s="131"/>
      <c r="J26" s="131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4"/>
      <c r="B27" s="14" t="s">
        <v>110</v>
      </c>
      <c r="C27" s="10"/>
      <c r="D27" s="44">
        <f t="shared" si="1"/>
        <v>0</v>
      </c>
      <c r="F27" s="71"/>
      <c r="G27" s="89"/>
      <c r="H27" s="229"/>
      <c r="I27" s="230"/>
      <c r="J27" s="230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5"/>
      <c r="B28" s="46" t="s">
        <v>97</v>
      </c>
      <c r="C28" s="10"/>
      <c r="D28" s="48">
        <f t="shared" si="1"/>
        <v>0</v>
      </c>
      <c r="F28" s="86"/>
      <c r="G28" s="61"/>
      <c r="H28" s="172"/>
      <c r="I28" s="173"/>
      <c r="J28" s="174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46" t="s">
        <v>36</v>
      </c>
      <c r="B29" s="147"/>
      <c r="C29" s="148"/>
      <c r="D29" s="152">
        <f>SUM(D6:D28)</f>
        <v>267570</v>
      </c>
      <c r="F29" s="92" t="s">
        <v>55</v>
      </c>
      <c r="G29" s="154"/>
      <c r="H29" s="114">
        <f>H15-H16-H17-H18-H19-H20-H22-H23-H24+H26+H27+H28</f>
        <v>227979.25</v>
      </c>
      <c r="I29" s="115"/>
      <c r="J29" s="116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49"/>
      <c r="B30" s="150"/>
      <c r="C30" s="151"/>
      <c r="D30" s="153"/>
      <c r="F30" s="95"/>
      <c r="G30" s="155"/>
      <c r="H30" s="117"/>
      <c r="I30" s="118"/>
      <c r="J30" s="119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39" t="s">
        <v>58</v>
      </c>
      <c r="B32" s="140"/>
      <c r="C32" s="140"/>
      <c r="D32" s="141"/>
      <c r="F32" s="142" t="s">
        <v>59</v>
      </c>
      <c r="G32" s="143"/>
      <c r="H32" s="143"/>
      <c r="I32" s="143"/>
      <c r="J32" s="144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142" t="s">
        <v>13</v>
      </c>
      <c r="I33" s="143"/>
      <c r="J33" s="144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3" t="s">
        <v>65</v>
      </c>
      <c r="B34" s="26" t="s">
        <v>66</v>
      </c>
      <c r="C34" s="51"/>
      <c r="D34" s="30">
        <f>C34*120</f>
        <v>0</v>
      </c>
      <c r="F34" s="12">
        <v>1000</v>
      </c>
      <c r="G34" s="40">
        <v>195</v>
      </c>
      <c r="H34" s="136">
        <f t="shared" ref="H34:H39" si="2">F34*G34</f>
        <v>195000</v>
      </c>
      <c r="I34" s="137"/>
      <c r="J34" s="138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4"/>
      <c r="B35" s="27" t="s">
        <v>68</v>
      </c>
      <c r="C35" s="52"/>
      <c r="D35" s="30">
        <f>C35*84</f>
        <v>0</v>
      </c>
      <c r="F35" s="58">
        <v>500</v>
      </c>
      <c r="G35" s="41">
        <v>54</v>
      </c>
      <c r="H35" s="136">
        <f t="shared" si="2"/>
        <v>27000</v>
      </c>
      <c r="I35" s="137"/>
      <c r="J35" s="138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5"/>
      <c r="B36" s="26" t="s">
        <v>70</v>
      </c>
      <c r="C36" s="10"/>
      <c r="D36" s="12">
        <f>C36*1.5</f>
        <v>0</v>
      </c>
      <c r="F36" s="12">
        <v>200</v>
      </c>
      <c r="G36" s="37">
        <v>4</v>
      </c>
      <c r="H36" s="136">
        <f t="shared" si="2"/>
        <v>800</v>
      </c>
      <c r="I36" s="137"/>
      <c r="J36" s="138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3" t="s">
        <v>72</v>
      </c>
      <c r="B37" s="28" t="s">
        <v>66</v>
      </c>
      <c r="C37" s="53">
        <v>349</v>
      </c>
      <c r="D37" s="12">
        <f>C37*111</f>
        <v>38739</v>
      </c>
      <c r="F37" s="12">
        <v>100</v>
      </c>
      <c r="G37" s="39">
        <v>42</v>
      </c>
      <c r="H37" s="136">
        <f t="shared" si="2"/>
        <v>4200</v>
      </c>
      <c r="I37" s="137"/>
      <c r="J37" s="138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4"/>
      <c r="B38" s="29" t="s">
        <v>68</v>
      </c>
      <c r="C38" s="54">
        <v>1</v>
      </c>
      <c r="D38" s="12">
        <f>C38*84</f>
        <v>84</v>
      </c>
      <c r="F38" s="30">
        <v>50</v>
      </c>
      <c r="G38" s="39">
        <v>24</v>
      </c>
      <c r="H38" s="136">
        <f t="shared" si="2"/>
        <v>1200</v>
      </c>
      <c r="I38" s="137"/>
      <c r="J38" s="138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5"/>
      <c r="B39" s="29" t="s">
        <v>70</v>
      </c>
      <c r="C39" s="52">
        <v>3</v>
      </c>
      <c r="D39" s="31">
        <f>C39*4.5</f>
        <v>13.5</v>
      </c>
      <c r="F39" s="12">
        <v>20</v>
      </c>
      <c r="G39" s="37">
        <v>2</v>
      </c>
      <c r="H39" s="136">
        <f t="shared" si="2"/>
        <v>40</v>
      </c>
      <c r="I39" s="137"/>
      <c r="J39" s="138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3" t="s">
        <v>76</v>
      </c>
      <c r="B40" s="27" t="s">
        <v>66</v>
      </c>
      <c r="C40" s="63">
        <v>3</v>
      </c>
      <c r="D40" s="12">
        <f>C40*111</f>
        <v>333</v>
      </c>
      <c r="F40" s="12">
        <v>10</v>
      </c>
      <c r="G40" s="42"/>
      <c r="H40" s="136"/>
      <c r="I40" s="137"/>
      <c r="J40" s="138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4"/>
      <c r="B41" s="27" t="s">
        <v>68</v>
      </c>
      <c r="C41" s="10"/>
      <c r="D41" s="12">
        <f>C41*84</f>
        <v>0</v>
      </c>
      <c r="F41" s="12">
        <v>5</v>
      </c>
      <c r="G41" s="42"/>
      <c r="H41" s="136"/>
      <c r="I41" s="137"/>
      <c r="J41" s="138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5"/>
      <c r="B42" s="27" t="s">
        <v>70</v>
      </c>
      <c r="C42" s="11">
        <v>5</v>
      </c>
      <c r="D42" s="12">
        <f>C42*2.25</f>
        <v>11.25</v>
      </c>
      <c r="F42" s="39" t="s">
        <v>79</v>
      </c>
      <c r="G42" s="136">
        <v>217</v>
      </c>
      <c r="H42" s="137"/>
      <c r="I42" s="137"/>
      <c r="J42" s="138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06" t="s">
        <v>81</v>
      </c>
      <c r="C43" s="11"/>
      <c r="D43" s="12"/>
      <c r="F43" s="59" t="s">
        <v>82</v>
      </c>
      <c r="G43" s="89" t="s">
        <v>83</v>
      </c>
      <c r="H43" s="128" t="s">
        <v>13</v>
      </c>
      <c r="I43" s="129"/>
      <c r="J43" s="130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07"/>
      <c r="B44" s="27" t="s">
        <v>66</v>
      </c>
      <c r="C44" s="10"/>
      <c r="D44" s="12">
        <f>C44*120</f>
        <v>0</v>
      </c>
      <c r="F44" s="37"/>
      <c r="G44" s="84"/>
      <c r="H44" s="131"/>
      <c r="I44" s="131"/>
      <c r="J44" s="131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07"/>
      <c r="B45" s="27" t="s">
        <v>68</v>
      </c>
      <c r="C45" s="33"/>
      <c r="D45" s="12">
        <f>C45*84</f>
        <v>0</v>
      </c>
      <c r="F45" s="37"/>
      <c r="G45" s="62"/>
      <c r="H45" s="131"/>
      <c r="I45" s="131"/>
      <c r="J45" s="131"/>
      <c r="K45" s="21"/>
      <c r="P45" s="4"/>
      <c r="Q45" s="4"/>
      <c r="R45" s="5"/>
    </row>
    <row r="46" spans="1:18" ht="15.75" x14ac:dyDescent="0.25">
      <c r="A46" s="107"/>
      <c r="B46" s="49" t="s">
        <v>70</v>
      </c>
      <c r="C46" s="81"/>
      <c r="D46" s="12">
        <f>C46*1.5</f>
        <v>0</v>
      </c>
      <c r="F46" s="37"/>
      <c r="G46" s="62"/>
      <c r="H46" s="131"/>
      <c r="I46" s="131"/>
      <c r="J46" s="131"/>
      <c r="K46" s="21"/>
      <c r="P46" s="4"/>
      <c r="Q46" s="4"/>
      <c r="R46" s="5"/>
    </row>
    <row r="47" spans="1:18" ht="15.75" x14ac:dyDescent="0.25">
      <c r="A47" s="108"/>
      <c r="B47" s="27"/>
      <c r="C47" s="11"/>
      <c r="D47" s="12"/>
      <c r="F47" s="59"/>
      <c r="G47" s="59"/>
      <c r="H47" s="109"/>
      <c r="I47" s="110"/>
      <c r="J47" s="111"/>
      <c r="K47" s="21"/>
      <c r="P47" s="4"/>
      <c r="Q47" s="4"/>
      <c r="R47" s="5"/>
    </row>
    <row r="48" spans="1:18" ht="15" customHeight="1" x14ac:dyDescent="0.25">
      <c r="A48" s="106" t="s">
        <v>32</v>
      </c>
      <c r="B48" s="27" t="s">
        <v>66</v>
      </c>
      <c r="C48" s="10">
        <v>4</v>
      </c>
      <c r="D48" s="12">
        <f>C48*78</f>
        <v>312</v>
      </c>
      <c r="F48" s="59"/>
      <c r="G48" s="59"/>
      <c r="H48" s="109"/>
      <c r="I48" s="110"/>
      <c r="J48" s="111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07"/>
      <c r="B49" s="29" t="s">
        <v>68</v>
      </c>
      <c r="C49" s="33">
        <v>1</v>
      </c>
      <c r="D49" s="12">
        <f>C49*42</f>
        <v>42</v>
      </c>
      <c r="F49" s="112" t="s">
        <v>86</v>
      </c>
      <c r="G49" s="114">
        <f>H34+H35+H36+H37+H38+H39+H40+H41+G42+H44+H45+H46</f>
        <v>228457</v>
      </c>
      <c r="H49" s="115"/>
      <c r="I49" s="115"/>
      <c r="J49" s="116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07"/>
      <c r="B50" s="32" t="s">
        <v>70</v>
      </c>
      <c r="C50" s="11">
        <v>4</v>
      </c>
      <c r="D50" s="12">
        <f>C50*1.5</f>
        <v>6</v>
      </c>
      <c r="F50" s="113"/>
      <c r="G50" s="117"/>
      <c r="H50" s="118"/>
      <c r="I50" s="118"/>
      <c r="J50" s="119"/>
      <c r="O50" t="s">
        <v>137</v>
      </c>
      <c r="P50" s="4">
        <v>1204</v>
      </c>
      <c r="Q50" s="4"/>
      <c r="R50" s="5"/>
    </row>
    <row r="51" spans="1:18" ht="15" customHeight="1" x14ac:dyDescent="0.25">
      <c r="A51" s="107"/>
      <c r="B51" s="27"/>
      <c r="C51" s="10"/>
      <c r="D51" s="31"/>
      <c r="F51" s="233" t="s">
        <v>184</v>
      </c>
      <c r="G51" s="235">
        <f>G49-H29</f>
        <v>477.75</v>
      </c>
      <c r="H51" s="236"/>
      <c r="I51" s="236"/>
      <c r="J51" s="237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07"/>
      <c r="B52" s="29"/>
      <c r="C52" s="33"/>
      <c r="D52" s="45"/>
      <c r="F52" s="234"/>
      <c r="G52" s="238"/>
      <c r="H52" s="239"/>
      <c r="I52" s="239"/>
      <c r="J52" s="240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08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92" t="s">
        <v>90</v>
      </c>
      <c r="B54" s="93"/>
      <c r="C54" s="94"/>
      <c r="D54" s="98">
        <f>SUM(D34:D53)</f>
        <v>39540.75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95"/>
      <c r="B55" s="96"/>
      <c r="C55" s="97"/>
      <c r="D55" s="9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140</v>
      </c>
      <c r="D57" s="34"/>
      <c r="F57" s="36"/>
      <c r="G57" s="50"/>
      <c r="H57" s="50"/>
      <c r="I57" s="50"/>
      <c r="J57" s="43"/>
    </row>
    <row r="58" spans="1:18" x14ac:dyDescent="0.25">
      <c r="A58" s="100" t="s">
        <v>91</v>
      </c>
      <c r="B58" s="101"/>
      <c r="C58" s="101"/>
      <c r="D58" s="102"/>
      <c r="F58" s="100" t="s">
        <v>92</v>
      </c>
      <c r="G58" s="101"/>
      <c r="H58" s="101"/>
      <c r="I58" s="101"/>
      <c r="J58" s="102"/>
    </row>
    <row r="59" spans="1:18" x14ac:dyDescent="0.25">
      <c r="A59" s="103"/>
      <c r="B59" s="104"/>
      <c r="C59" s="104"/>
      <c r="D59" s="105"/>
      <c r="F59" s="103"/>
      <c r="G59" s="104"/>
      <c r="H59" s="104"/>
      <c r="I59" s="104"/>
      <c r="J59" s="105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r:id="rId1"/>
  <drawing r:id="rId2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9B620F-165A-4877-8AB3-9E0C5C728054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88" t="s">
        <v>1</v>
      </c>
      <c r="O1" s="188"/>
      <c r="P1" s="85" t="s">
        <v>2</v>
      </c>
      <c r="Q1" s="8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9" t="s">
        <v>7</v>
      </c>
      <c r="B4" s="140"/>
      <c r="C4" s="140"/>
      <c r="D4" s="141"/>
      <c r="F4" s="189" t="s">
        <v>8</v>
      </c>
      <c r="G4" s="191">
        <v>2</v>
      </c>
      <c r="H4" s="193" t="s">
        <v>9</v>
      </c>
      <c r="I4" s="195">
        <v>46091</v>
      </c>
      <c r="J4" s="19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3" t="s">
        <v>7</v>
      </c>
      <c r="B5" s="15" t="s">
        <v>11</v>
      </c>
      <c r="C5" s="9" t="s">
        <v>12</v>
      </c>
      <c r="D5" s="25" t="s">
        <v>13</v>
      </c>
      <c r="F5" s="190"/>
      <c r="G5" s="192"/>
      <c r="H5" s="194"/>
      <c r="I5" s="197"/>
      <c r="J5" s="19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4"/>
      <c r="B6" s="16" t="s">
        <v>15</v>
      </c>
      <c r="C6" s="10">
        <v>311</v>
      </c>
      <c r="D6" s="13">
        <f t="shared" ref="D6:D28" si="1">C6*L6</f>
        <v>236671</v>
      </c>
      <c r="F6" s="199" t="s">
        <v>16</v>
      </c>
      <c r="G6" s="201" t="s">
        <v>126</v>
      </c>
      <c r="H6" s="202"/>
      <c r="I6" s="202"/>
      <c r="J6" s="203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4"/>
      <c r="B7" s="16" t="s">
        <v>18</v>
      </c>
      <c r="C7" s="10">
        <v>6</v>
      </c>
      <c r="D7" s="13">
        <f t="shared" si="1"/>
        <v>4686</v>
      </c>
      <c r="F7" s="200"/>
      <c r="G7" s="204"/>
      <c r="H7" s="205"/>
      <c r="I7" s="205"/>
      <c r="J7" s="206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4"/>
      <c r="B8" s="16" t="s">
        <v>20</v>
      </c>
      <c r="C8" s="10"/>
      <c r="D8" s="13">
        <f t="shared" si="1"/>
        <v>0</v>
      </c>
      <c r="F8" s="207" t="s">
        <v>21</v>
      </c>
      <c r="G8" s="208" t="s">
        <v>113</v>
      </c>
      <c r="H8" s="209"/>
      <c r="I8" s="209"/>
      <c r="J8" s="210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4"/>
      <c r="B9" s="16" t="s">
        <v>23</v>
      </c>
      <c r="C9" s="10">
        <v>29</v>
      </c>
      <c r="D9" s="13">
        <f t="shared" si="1"/>
        <v>21257</v>
      </c>
      <c r="F9" s="200"/>
      <c r="G9" s="211"/>
      <c r="H9" s="212"/>
      <c r="I9" s="212"/>
      <c r="J9" s="213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4"/>
      <c r="B10" t="s">
        <v>25</v>
      </c>
      <c r="C10" s="10"/>
      <c r="D10" s="13">
        <f t="shared" si="1"/>
        <v>0</v>
      </c>
      <c r="F10" s="199" t="s">
        <v>26</v>
      </c>
      <c r="G10" s="214" t="s">
        <v>114</v>
      </c>
      <c r="H10" s="215"/>
      <c r="I10" s="215"/>
      <c r="J10" s="216"/>
      <c r="K10" s="8"/>
      <c r="L10" s="6">
        <f>R36</f>
        <v>1032</v>
      </c>
      <c r="P10" s="4"/>
      <c r="Q10" s="4"/>
      <c r="R10" s="5"/>
    </row>
    <row r="11" spans="1:18" ht="15.75" x14ac:dyDescent="0.25">
      <c r="A11" s="134"/>
      <c r="B11" s="17" t="s">
        <v>28</v>
      </c>
      <c r="C11" s="10"/>
      <c r="D11" s="13">
        <f t="shared" si="1"/>
        <v>0</v>
      </c>
      <c r="F11" s="200"/>
      <c r="G11" s="211"/>
      <c r="H11" s="212"/>
      <c r="I11" s="212"/>
      <c r="J11" s="213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4"/>
      <c r="B12" s="17" t="s">
        <v>30</v>
      </c>
      <c r="C12" s="10"/>
      <c r="D12" s="48">
        <f t="shared" si="1"/>
        <v>0</v>
      </c>
      <c r="F12" s="217" t="s">
        <v>33</v>
      </c>
      <c r="G12" s="218"/>
      <c r="H12" s="218"/>
      <c r="I12" s="218"/>
      <c r="J12" s="219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4"/>
      <c r="B13" s="17" t="s">
        <v>32</v>
      </c>
      <c r="C13" s="10">
        <v>11</v>
      </c>
      <c r="D13" s="48">
        <f t="shared" si="1"/>
        <v>3377</v>
      </c>
      <c r="F13" s="220" t="s">
        <v>36</v>
      </c>
      <c r="G13" s="184"/>
      <c r="H13" s="175">
        <f>D29</f>
        <v>266386.58333333331</v>
      </c>
      <c r="I13" s="176"/>
      <c r="J13" s="17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4"/>
      <c r="B14" s="14" t="s">
        <v>35</v>
      </c>
      <c r="C14" s="10">
        <v>6</v>
      </c>
      <c r="D14" s="31">
        <f t="shared" si="1"/>
        <v>66</v>
      </c>
      <c r="F14" s="178" t="s">
        <v>39</v>
      </c>
      <c r="G14" s="179"/>
      <c r="H14" s="180">
        <f>D54</f>
        <v>52669.5</v>
      </c>
      <c r="I14" s="181"/>
      <c r="J14" s="18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4"/>
      <c r="B15" s="14" t="s">
        <v>38</v>
      </c>
      <c r="C15" s="10"/>
      <c r="D15" s="31">
        <f t="shared" si="1"/>
        <v>0</v>
      </c>
      <c r="F15" s="183" t="s">
        <v>40</v>
      </c>
      <c r="G15" s="184"/>
      <c r="H15" s="185">
        <f>H13-H14</f>
        <v>213717.08333333331</v>
      </c>
      <c r="I15" s="186"/>
      <c r="J15" s="187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4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45">
        <f>108*6</f>
        <v>648</v>
      </c>
      <c r="I16" s="145"/>
      <c r="J16" s="145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4"/>
      <c r="B17" t="s">
        <v>93</v>
      </c>
      <c r="C17" s="10"/>
      <c r="D17" s="48">
        <f t="shared" si="1"/>
        <v>0</v>
      </c>
      <c r="F17" s="56"/>
      <c r="G17" s="66" t="s">
        <v>45</v>
      </c>
      <c r="H17" s="156"/>
      <c r="I17" s="156"/>
      <c r="J17" s="156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4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56"/>
      <c r="I18" s="156"/>
      <c r="J18" s="156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4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31"/>
      <c r="I19" s="231"/>
      <c r="J19" s="231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4"/>
      <c r="B20" s="46" t="s">
        <v>119</v>
      </c>
      <c r="C20" s="10"/>
      <c r="D20" s="13">
        <f t="shared" si="1"/>
        <v>0</v>
      </c>
      <c r="F20" s="57"/>
      <c r="G20" s="70" t="s">
        <v>117</v>
      </c>
      <c r="H20" s="156"/>
      <c r="I20" s="156"/>
      <c r="J20" s="156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4"/>
      <c r="B21" s="14" t="s">
        <v>131</v>
      </c>
      <c r="C21" s="10"/>
      <c r="D21" s="48">
        <f t="shared" si="1"/>
        <v>0</v>
      </c>
      <c r="F21" s="69" t="s">
        <v>99</v>
      </c>
      <c r="G21" s="82" t="s">
        <v>98</v>
      </c>
      <c r="H21" s="158" t="s">
        <v>13</v>
      </c>
      <c r="I21" s="159"/>
      <c r="J21" s="160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4"/>
      <c r="B22" s="46" t="s">
        <v>104</v>
      </c>
      <c r="C22" s="10"/>
      <c r="D22" s="48">
        <f t="shared" si="1"/>
        <v>0</v>
      </c>
      <c r="F22" s="72"/>
      <c r="G22" s="73"/>
      <c r="H22" s="161"/>
      <c r="I22" s="161"/>
      <c r="J22" s="161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4"/>
      <c r="B23" s="14" t="s">
        <v>107</v>
      </c>
      <c r="C23" s="10"/>
      <c r="D23" s="48">
        <f t="shared" si="1"/>
        <v>0</v>
      </c>
      <c r="F23" s="25"/>
      <c r="G23" s="37"/>
      <c r="H23" s="162"/>
      <c r="I23" s="131"/>
      <c r="J23" s="131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4"/>
      <c r="B24" s="14" t="s">
        <v>120</v>
      </c>
      <c r="C24" s="10"/>
      <c r="D24" s="48">
        <f t="shared" si="1"/>
        <v>0</v>
      </c>
      <c r="F24" s="38"/>
      <c r="G24" s="37"/>
      <c r="H24" s="162"/>
      <c r="I24" s="131"/>
      <c r="J24" s="131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4"/>
      <c r="B25" s="14" t="s">
        <v>121</v>
      </c>
      <c r="C25" s="10"/>
      <c r="D25" s="48">
        <f t="shared" si="1"/>
        <v>0</v>
      </c>
      <c r="F25" s="60" t="s">
        <v>100</v>
      </c>
      <c r="G25" s="55" t="s">
        <v>98</v>
      </c>
      <c r="H25" s="163" t="s">
        <v>13</v>
      </c>
      <c r="I25" s="164"/>
      <c r="J25" s="165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4"/>
      <c r="B26" s="14" t="s">
        <v>105</v>
      </c>
      <c r="C26" s="10"/>
      <c r="D26" s="48">
        <f t="shared" si="1"/>
        <v>0</v>
      </c>
      <c r="F26" s="64"/>
      <c r="G26" s="10"/>
      <c r="H26" s="166"/>
      <c r="I26" s="167"/>
      <c r="J26" s="168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4"/>
      <c r="B27" s="14" t="s">
        <v>109</v>
      </c>
      <c r="C27" s="10">
        <v>5</v>
      </c>
      <c r="D27" s="44">
        <f t="shared" si="1"/>
        <v>329.58333333333337</v>
      </c>
      <c r="F27" s="14"/>
      <c r="G27" s="14"/>
      <c r="H27" s="169"/>
      <c r="I27" s="170"/>
      <c r="J27" s="171"/>
      <c r="L27" s="7">
        <f>1582/24</f>
        <v>65.916666666666671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5"/>
      <c r="B28" s="46" t="s">
        <v>97</v>
      </c>
      <c r="C28" s="10"/>
      <c r="D28" s="48">
        <f t="shared" si="1"/>
        <v>0</v>
      </c>
      <c r="F28" s="86"/>
      <c r="G28" s="61"/>
      <c r="H28" s="172"/>
      <c r="I28" s="173"/>
      <c r="J28" s="174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46" t="s">
        <v>36</v>
      </c>
      <c r="B29" s="147"/>
      <c r="C29" s="148"/>
      <c r="D29" s="152">
        <f>SUM(D6:D28)</f>
        <v>266386.58333333331</v>
      </c>
      <c r="F29" s="92" t="s">
        <v>55</v>
      </c>
      <c r="G29" s="154"/>
      <c r="H29" s="114">
        <f>H15-H16-H17-H18-H19-H20-H22-H23-H24+H26+H27</f>
        <v>213069.08333333331</v>
      </c>
      <c r="I29" s="115"/>
      <c r="J29" s="116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49"/>
      <c r="B30" s="150"/>
      <c r="C30" s="151"/>
      <c r="D30" s="153"/>
      <c r="F30" s="95"/>
      <c r="G30" s="155"/>
      <c r="H30" s="117"/>
      <c r="I30" s="118"/>
      <c r="J30" s="119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39" t="s">
        <v>58</v>
      </c>
      <c r="B32" s="140"/>
      <c r="C32" s="140"/>
      <c r="D32" s="141"/>
      <c r="F32" s="142" t="s">
        <v>59</v>
      </c>
      <c r="G32" s="143"/>
      <c r="H32" s="143"/>
      <c r="I32" s="143"/>
      <c r="J32" s="144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142" t="s">
        <v>13</v>
      </c>
      <c r="I33" s="143"/>
      <c r="J33" s="144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3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127</v>
      </c>
      <c r="H34" s="136">
        <f>F34*G34</f>
        <v>127000</v>
      </c>
      <c r="I34" s="137"/>
      <c r="J34" s="138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4"/>
      <c r="B35" s="27" t="s">
        <v>68</v>
      </c>
      <c r="C35" s="52"/>
      <c r="D35" s="30">
        <f>C35*84</f>
        <v>0</v>
      </c>
      <c r="F35" s="58">
        <v>500</v>
      </c>
      <c r="G35" s="41">
        <v>51</v>
      </c>
      <c r="H35" s="136">
        <f t="shared" ref="H35:H39" si="2">F35*G35</f>
        <v>25500</v>
      </c>
      <c r="I35" s="137"/>
      <c r="J35" s="138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5"/>
      <c r="B36" s="26" t="s">
        <v>70</v>
      </c>
      <c r="C36" s="10"/>
      <c r="D36" s="12">
        <f>C36*1.5</f>
        <v>0</v>
      </c>
      <c r="F36" s="12">
        <v>200</v>
      </c>
      <c r="G36" s="37"/>
      <c r="H36" s="136">
        <f>F36*G36</f>
        <v>0</v>
      </c>
      <c r="I36" s="137"/>
      <c r="J36" s="138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3" t="s">
        <v>72</v>
      </c>
      <c r="B37" s="28" t="s">
        <v>66</v>
      </c>
      <c r="C37" s="53">
        <v>449</v>
      </c>
      <c r="D37" s="12">
        <f>C37*111</f>
        <v>49839</v>
      </c>
      <c r="F37" s="12">
        <v>100</v>
      </c>
      <c r="G37" s="39">
        <v>37</v>
      </c>
      <c r="H37" s="136">
        <f t="shared" si="2"/>
        <v>3700</v>
      </c>
      <c r="I37" s="137"/>
      <c r="J37" s="138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4"/>
      <c r="B38" s="29" t="s">
        <v>68</v>
      </c>
      <c r="C38" s="54">
        <v>10</v>
      </c>
      <c r="D38" s="12">
        <f>C38*84</f>
        <v>840</v>
      </c>
      <c r="F38" s="30">
        <v>50</v>
      </c>
      <c r="G38" s="39">
        <v>5</v>
      </c>
      <c r="H38" s="136">
        <f t="shared" si="2"/>
        <v>250</v>
      </c>
      <c r="I38" s="137"/>
      <c r="J38" s="138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5"/>
      <c r="B39" s="29" t="s">
        <v>70</v>
      </c>
      <c r="C39" s="52">
        <v>5</v>
      </c>
      <c r="D39" s="31">
        <f>C39*4.5</f>
        <v>22.5</v>
      </c>
      <c r="F39" s="12">
        <v>20</v>
      </c>
      <c r="G39" s="37"/>
      <c r="H39" s="136">
        <f t="shared" si="2"/>
        <v>0</v>
      </c>
      <c r="I39" s="137"/>
      <c r="J39" s="138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3" t="s">
        <v>76</v>
      </c>
      <c r="B40" s="27" t="s">
        <v>66</v>
      </c>
      <c r="C40" s="63">
        <v>9</v>
      </c>
      <c r="D40" s="12">
        <f>C40*111</f>
        <v>999</v>
      </c>
      <c r="F40" s="12">
        <v>10</v>
      </c>
      <c r="G40" s="42"/>
      <c r="H40" s="136"/>
      <c r="I40" s="137"/>
      <c r="J40" s="138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4"/>
      <c r="B41" s="27" t="s">
        <v>68</v>
      </c>
      <c r="C41" s="10">
        <v>2</v>
      </c>
      <c r="D41" s="12">
        <f>C41*84</f>
        <v>168</v>
      </c>
      <c r="F41" s="12">
        <v>5</v>
      </c>
      <c r="G41" s="42"/>
      <c r="H41" s="136"/>
      <c r="I41" s="137"/>
      <c r="J41" s="138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5"/>
      <c r="B42" s="27" t="s">
        <v>70</v>
      </c>
      <c r="C42" s="11">
        <v>10</v>
      </c>
      <c r="D42" s="12">
        <f>C42*2.25</f>
        <v>22.5</v>
      </c>
      <c r="F42" s="39" t="s">
        <v>79</v>
      </c>
      <c r="G42" s="136">
        <v>80</v>
      </c>
      <c r="H42" s="137"/>
      <c r="I42" s="137"/>
      <c r="J42" s="138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06" t="s">
        <v>81</v>
      </c>
      <c r="C43" s="11"/>
      <c r="D43" s="12"/>
      <c r="F43" s="59" t="s">
        <v>82</v>
      </c>
      <c r="G43" s="89" t="s">
        <v>83</v>
      </c>
      <c r="H43" s="128" t="s">
        <v>13</v>
      </c>
      <c r="I43" s="129"/>
      <c r="J43" s="130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07"/>
      <c r="B44" s="27" t="s">
        <v>66</v>
      </c>
      <c r="C44" s="10"/>
      <c r="D44" s="12">
        <f>C44*120</f>
        <v>0</v>
      </c>
      <c r="F44" s="37" t="s">
        <v>172</v>
      </c>
      <c r="G44" s="91" t="s">
        <v>183</v>
      </c>
      <c r="H44" s="131">
        <v>56579</v>
      </c>
      <c r="I44" s="131"/>
      <c r="J44" s="131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07"/>
      <c r="B45" s="27" t="s">
        <v>68</v>
      </c>
      <c r="C45" s="33"/>
      <c r="D45" s="12">
        <f>C45*84</f>
        <v>0</v>
      </c>
      <c r="F45" s="37"/>
      <c r="G45" s="62"/>
      <c r="H45" s="131"/>
      <c r="I45" s="131"/>
      <c r="J45" s="131"/>
      <c r="K45" s="21"/>
      <c r="P45" s="4"/>
      <c r="Q45" s="4"/>
      <c r="R45" s="5"/>
    </row>
    <row r="46" spans="1:18" ht="15.75" x14ac:dyDescent="0.25">
      <c r="A46" s="107"/>
      <c r="B46" s="49" t="s">
        <v>70</v>
      </c>
      <c r="C46" s="81">
        <v>1</v>
      </c>
      <c r="D46" s="12">
        <f>C46*1.5</f>
        <v>1.5</v>
      </c>
      <c r="F46" s="37"/>
      <c r="G46" s="88"/>
      <c r="H46" s="132"/>
      <c r="I46" s="132"/>
      <c r="J46" s="132"/>
      <c r="K46" s="21"/>
      <c r="P46" s="4"/>
      <c r="Q46" s="4"/>
      <c r="R46" s="5"/>
    </row>
    <row r="47" spans="1:18" ht="15.75" x14ac:dyDescent="0.25">
      <c r="A47" s="108"/>
      <c r="B47" s="27"/>
      <c r="C47" s="11"/>
      <c r="D47" s="12"/>
      <c r="F47" s="59"/>
      <c r="G47" s="59"/>
      <c r="H47" s="109"/>
      <c r="I47" s="110"/>
      <c r="J47" s="111"/>
      <c r="K47" s="21"/>
      <c r="P47" s="4"/>
      <c r="Q47" s="4"/>
      <c r="R47" s="5"/>
    </row>
    <row r="48" spans="1:18" ht="15" customHeight="1" x14ac:dyDescent="0.25">
      <c r="A48" s="106" t="s">
        <v>32</v>
      </c>
      <c r="B48" s="27" t="s">
        <v>66</v>
      </c>
      <c r="C48" s="10">
        <v>9</v>
      </c>
      <c r="D48" s="12">
        <f>C48*78</f>
        <v>702</v>
      </c>
      <c r="F48" s="59"/>
      <c r="G48" s="59"/>
      <c r="H48" s="109"/>
      <c r="I48" s="110"/>
      <c r="J48" s="111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07"/>
      <c r="B49" s="29" t="s">
        <v>68</v>
      </c>
      <c r="C49" s="33">
        <v>1</v>
      </c>
      <c r="D49" s="12">
        <f>C49*42</f>
        <v>42</v>
      </c>
      <c r="F49" s="112" t="s">
        <v>86</v>
      </c>
      <c r="G49" s="114">
        <f>H34+H35+H36+H37+H38+H39+H40+H41+G42+H44+H45+H46</f>
        <v>213109</v>
      </c>
      <c r="H49" s="115"/>
      <c r="I49" s="115"/>
      <c r="J49" s="116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07"/>
      <c r="B50" s="32" t="s">
        <v>70</v>
      </c>
      <c r="C50" s="11">
        <v>22</v>
      </c>
      <c r="D50" s="12">
        <f>C50*1.5</f>
        <v>33</v>
      </c>
      <c r="F50" s="113"/>
      <c r="G50" s="117"/>
      <c r="H50" s="118"/>
      <c r="I50" s="118"/>
      <c r="J50" s="119"/>
      <c r="O50" t="s">
        <v>137</v>
      </c>
      <c r="P50" s="4">
        <v>1204</v>
      </c>
      <c r="Q50" s="4"/>
      <c r="R50" s="5"/>
    </row>
    <row r="51" spans="1:18" ht="15" customHeight="1" x14ac:dyDescent="0.25">
      <c r="A51" s="107"/>
      <c r="B51" s="27"/>
      <c r="C51" s="10"/>
      <c r="D51" s="31"/>
      <c r="F51" s="120" t="s">
        <v>135</v>
      </c>
      <c r="G51" s="122">
        <f>G49-H29</f>
        <v>39.916666666686069</v>
      </c>
      <c r="H51" s="123"/>
      <c r="I51" s="123"/>
      <c r="J51" s="124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07"/>
      <c r="B52" s="29"/>
      <c r="C52" s="33"/>
      <c r="D52" s="45"/>
      <c r="F52" s="121"/>
      <c r="G52" s="125"/>
      <c r="H52" s="126"/>
      <c r="I52" s="126"/>
      <c r="J52" s="127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08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92" t="s">
        <v>90</v>
      </c>
      <c r="B54" s="93"/>
      <c r="C54" s="94"/>
      <c r="D54" s="98">
        <f>SUM(D34:D53)</f>
        <v>52669.5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95"/>
      <c r="B55" s="96"/>
      <c r="C55" s="97"/>
      <c r="D55" s="9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100" t="s">
        <v>91</v>
      </c>
      <c r="B58" s="101"/>
      <c r="C58" s="101"/>
      <c r="D58" s="102"/>
      <c r="F58" s="100" t="s">
        <v>92</v>
      </c>
      <c r="G58" s="101"/>
      <c r="H58" s="101"/>
      <c r="I58" s="101"/>
      <c r="J58" s="102"/>
    </row>
    <row r="59" spans="1:18" x14ac:dyDescent="0.25">
      <c r="A59" s="103"/>
      <c r="B59" s="104"/>
      <c r="C59" s="104"/>
      <c r="D59" s="105"/>
      <c r="F59" s="103"/>
      <c r="G59" s="104"/>
      <c r="H59" s="104"/>
      <c r="I59" s="104"/>
      <c r="J59" s="105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r:id="rId1"/>
  <drawing r:id="rId2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AD7F98-AF9F-4E6A-BA37-CFD337E6E118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88" t="s">
        <v>1</v>
      </c>
      <c r="O1" s="188"/>
      <c r="P1" s="85" t="s">
        <v>2</v>
      </c>
      <c r="Q1" s="8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9" t="s">
        <v>7</v>
      </c>
      <c r="B4" s="140"/>
      <c r="C4" s="140"/>
      <c r="D4" s="141"/>
      <c r="F4" s="189" t="s">
        <v>8</v>
      </c>
      <c r="G4" s="191">
        <v>3</v>
      </c>
      <c r="H4" s="193" t="s">
        <v>9</v>
      </c>
      <c r="I4" s="195">
        <v>46091</v>
      </c>
      <c r="J4" s="19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3" t="s">
        <v>7</v>
      </c>
      <c r="B5" s="15" t="s">
        <v>11</v>
      </c>
      <c r="C5" s="9" t="s">
        <v>12</v>
      </c>
      <c r="D5" s="25" t="s">
        <v>13</v>
      </c>
      <c r="F5" s="190"/>
      <c r="G5" s="192"/>
      <c r="H5" s="194"/>
      <c r="I5" s="197"/>
      <c r="J5" s="19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4"/>
      <c r="B6" s="16" t="s">
        <v>15</v>
      </c>
      <c r="C6" s="10">
        <v>329</v>
      </c>
      <c r="D6" s="13">
        <f t="shared" ref="D6:D28" si="1">C6*L6</f>
        <v>250369</v>
      </c>
      <c r="F6" s="199" t="s">
        <v>16</v>
      </c>
      <c r="G6" s="201" t="s">
        <v>141</v>
      </c>
      <c r="H6" s="202"/>
      <c r="I6" s="202"/>
      <c r="J6" s="203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4"/>
      <c r="B7" s="16" t="s">
        <v>18</v>
      </c>
      <c r="C7" s="10">
        <v>5</v>
      </c>
      <c r="D7" s="13">
        <f t="shared" si="1"/>
        <v>3905</v>
      </c>
      <c r="F7" s="200"/>
      <c r="G7" s="204"/>
      <c r="H7" s="205"/>
      <c r="I7" s="205"/>
      <c r="J7" s="206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4"/>
      <c r="B8" s="16" t="s">
        <v>20</v>
      </c>
      <c r="C8" s="10">
        <v>1</v>
      </c>
      <c r="D8" s="13">
        <f t="shared" si="1"/>
        <v>1093</v>
      </c>
      <c r="F8" s="207" t="s">
        <v>21</v>
      </c>
      <c r="G8" s="208" t="s">
        <v>130</v>
      </c>
      <c r="H8" s="209"/>
      <c r="I8" s="209"/>
      <c r="J8" s="210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4"/>
      <c r="B9" s="16" t="s">
        <v>23</v>
      </c>
      <c r="C9" s="10">
        <v>21</v>
      </c>
      <c r="D9" s="13">
        <f t="shared" si="1"/>
        <v>15393</v>
      </c>
      <c r="F9" s="200"/>
      <c r="G9" s="211"/>
      <c r="H9" s="212"/>
      <c r="I9" s="212"/>
      <c r="J9" s="213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4"/>
      <c r="B10" t="s">
        <v>25</v>
      </c>
      <c r="C10" s="10">
        <v>2</v>
      </c>
      <c r="D10" s="13">
        <f t="shared" si="1"/>
        <v>2064</v>
      </c>
      <c r="F10" s="199" t="s">
        <v>26</v>
      </c>
      <c r="G10" s="214" t="s">
        <v>127</v>
      </c>
      <c r="H10" s="215"/>
      <c r="I10" s="215"/>
      <c r="J10" s="216"/>
      <c r="K10" s="8"/>
      <c r="L10" s="6">
        <f>R36</f>
        <v>1032</v>
      </c>
      <c r="P10" s="4"/>
      <c r="Q10" s="4"/>
      <c r="R10" s="5"/>
    </row>
    <row r="11" spans="1:18" ht="15.75" x14ac:dyDescent="0.25">
      <c r="A11" s="134"/>
      <c r="B11" s="17" t="s">
        <v>28</v>
      </c>
      <c r="C11" s="10"/>
      <c r="D11" s="13">
        <f t="shared" si="1"/>
        <v>0</v>
      </c>
      <c r="F11" s="200"/>
      <c r="G11" s="211"/>
      <c r="H11" s="212"/>
      <c r="I11" s="212"/>
      <c r="J11" s="213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4"/>
      <c r="B12" s="17" t="s">
        <v>30</v>
      </c>
      <c r="C12" s="10">
        <v>2</v>
      </c>
      <c r="D12" s="48">
        <f t="shared" si="1"/>
        <v>1984</v>
      </c>
      <c r="F12" s="217" t="s">
        <v>33</v>
      </c>
      <c r="G12" s="218"/>
      <c r="H12" s="218"/>
      <c r="I12" s="218"/>
      <c r="J12" s="219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4"/>
      <c r="B13" s="17" t="s">
        <v>32</v>
      </c>
      <c r="C13" s="10">
        <v>14</v>
      </c>
      <c r="D13" s="48">
        <f t="shared" si="1"/>
        <v>4298</v>
      </c>
      <c r="F13" s="220" t="s">
        <v>36</v>
      </c>
      <c r="G13" s="184"/>
      <c r="H13" s="175">
        <f>D29</f>
        <v>281186</v>
      </c>
      <c r="I13" s="176"/>
      <c r="J13" s="17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4"/>
      <c r="B14" s="14" t="s">
        <v>35</v>
      </c>
      <c r="C14" s="10">
        <v>20</v>
      </c>
      <c r="D14" s="31">
        <f t="shared" si="1"/>
        <v>220</v>
      </c>
      <c r="F14" s="178" t="s">
        <v>39</v>
      </c>
      <c r="G14" s="179"/>
      <c r="H14" s="180">
        <f>D54</f>
        <v>42842.25</v>
      </c>
      <c r="I14" s="181"/>
      <c r="J14" s="18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4"/>
      <c r="B15" s="14" t="s">
        <v>38</v>
      </c>
      <c r="C15" s="10">
        <v>1</v>
      </c>
      <c r="D15" s="31">
        <f t="shared" si="1"/>
        <v>620</v>
      </c>
      <c r="F15" s="183" t="s">
        <v>40</v>
      </c>
      <c r="G15" s="184"/>
      <c r="H15" s="185">
        <f>H13-H14</f>
        <v>238343.75</v>
      </c>
      <c r="I15" s="186"/>
      <c r="J15" s="187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4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45">
        <f>108*6+80*6</f>
        <v>1128</v>
      </c>
      <c r="I16" s="145"/>
      <c r="J16" s="145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4"/>
      <c r="B17" t="s">
        <v>112</v>
      </c>
      <c r="C17" s="10"/>
      <c r="D17" s="48">
        <f t="shared" si="1"/>
        <v>0</v>
      </c>
      <c r="F17" s="56"/>
      <c r="G17" s="66" t="s">
        <v>45</v>
      </c>
      <c r="H17" s="156"/>
      <c r="I17" s="156"/>
      <c r="J17" s="156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4"/>
      <c r="B18" s="19" t="s">
        <v>95</v>
      </c>
      <c r="C18" s="10">
        <v>2</v>
      </c>
      <c r="D18" s="48">
        <f t="shared" si="1"/>
        <v>1240</v>
      </c>
      <c r="F18" s="56"/>
      <c r="G18" s="66" t="s">
        <v>47</v>
      </c>
      <c r="H18" s="156"/>
      <c r="I18" s="156"/>
      <c r="J18" s="156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4"/>
      <c r="B19" s="14" t="s">
        <v>116</v>
      </c>
      <c r="C19" s="10"/>
      <c r="D19" s="48">
        <f t="shared" si="1"/>
        <v>0</v>
      </c>
      <c r="F19" s="56"/>
      <c r="G19" s="68" t="s">
        <v>50</v>
      </c>
      <c r="H19" s="232"/>
      <c r="I19" s="232"/>
      <c r="J19" s="232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4"/>
      <c r="B20" s="46" t="s">
        <v>108</v>
      </c>
      <c r="C20" s="10"/>
      <c r="D20" s="13">
        <f t="shared" si="1"/>
        <v>0</v>
      </c>
      <c r="F20" s="57"/>
      <c r="G20" s="70" t="s">
        <v>117</v>
      </c>
      <c r="H20" s="145"/>
      <c r="I20" s="145"/>
      <c r="J20" s="145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4"/>
      <c r="B21" s="14" t="s">
        <v>123</v>
      </c>
      <c r="C21" s="10"/>
      <c r="D21" s="48">
        <f t="shared" si="1"/>
        <v>0</v>
      </c>
      <c r="F21" s="69" t="s">
        <v>99</v>
      </c>
      <c r="G21" s="82" t="s">
        <v>98</v>
      </c>
      <c r="H21" s="158" t="s">
        <v>13</v>
      </c>
      <c r="I21" s="159"/>
      <c r="J21" s="160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4"/>
      <c r="B22" s="46" t="s">
        <v>104</v>
      </c>
      <c r="C22" s="10"/>
      <c r="D22" s="48">
        <f t="shared" si="1"/>
        <v>0</v>
      </c>
      <c r="F22" s="77"/>
      <c r="G22" s="73"/>
      <c r="H22" s="161"/>
      <c r="I22" s="161"/>
      <c r="J22" s="161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4"/>
      <c r="B23" s="14" t="s">
        <v>107</v>
      </c>
      <c r="C23" s="10"/>
      <c r="D23" s="48">
        <f t="shared" si="1"/>
        <v>0</v>
      </c>
      <c r="F23" s="78"/>
      <c r="G23" s="79"/>
      <c r="H23" s="162"/>
      <c r="I23" s="131"/>
      <c r="J23" s="131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4"/>
      <c r="B24" s="14" t="s">
        <v>101</v>
      </c>
      <c r="C24" s="10"/>
      <c r="D24" s="48">
        <f t="shared" si="1"/>
        <v>0</v>
      </c>
      <c r="F24" s="38"/>
      <c r="G24" s="37"/>
      <c r="H24" s="162"/>
      <c r="I24" s="131"/>
      <c r="J24" s="131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4"/>
      <c r="B25" s="14" t="s">
        <v>115</v>
      </c>
      <c r="C25" s="10"/>
      <c r="D25" s="48">
        <f t="shared" si="1"/>
        <v>0</v>
      </c>
      <c r="F25" s="60" t="s">
        <v>100</v>
      </c>
      <c r="G25" s="55" t="s">
        <v>98</v>
      </c>
      <c r="H25" s="163" t="s">
        <v>13</v>
      </c>
      <c r="I25" s="164"/>
      <c r="J25" s="165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4"/>
      <c r="B26" s="14" t="s">
        <v>105</v>
      </c>
      <c r="C26" s="10"/>
      <c r="D26" s="48">
        <f t="shared" si="1"/>
        <v>0</v>
      </c>
      <c r="F26" s="64"/>
      <c r="G26" s="59"/>
      <c r="H26" s="166"/>
      <c r="I26" s="167"/>
      <c r="J26" s="168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4"/>
      <c r="B27" s="14" t="s">
        <v>109</v>
      </c>
      <c r="C27" s="10"/>
      <c r="D27" s="44">
        <f t="shared" si="1"/>
        <v>0</v>
      </c>
      <c r="F27" s="25"/>
      <c r="G27" s="80"/>
      <c r="H27" s="169"/>
      <c r="I27" s="170"/>
      <c r="J27" s="171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5"/>
      <c r="B28" s="46" t="s">
        <v>97</v>
      </c>
      <c r="C28" s="10"/>
      <c r="D28" s="48">
        <f t="shared" si="1"/>
        <v>0</v>
      </c>
      <c r="F28" s="86"/>
      <c r="G28" s="61"/>
      <c r="H28" s="172"/>
      <c r="I28" s="173"/>
      <c r="J28" s="174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46" t="s">
        <v>36</v>
      </c>
      <c r="B29" s="147"/>
      <c r="C29" s="148"/>
      <c r="D29" s="152">
        <f>SUM(D6:D28)</f>
        <v>281186</v>
      </c>
      <c r="F29" s="92" t="s">
        <v>55</v>
      </c>
      <c r="G29" s="154"/>
      <c r="H29" s="114">
        <f>H15-H16-H17-H18-H19-H20-H22-H23-H24+H26+H27</f>
        <v>237215.75</v>
      </c>
      <c r="I29" s="115"/>
      <c r="J29" s="116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49"/>
      <c r="B30" s="150"/>
      <c r="C30" s="151"/>
      <c r="D30" s="153"/>
      <c r="F30" s="95"/>
      <c r="G30" s="155"/>
      <c r="H30" s="117"/>
      <c r="I30" s="118"/>
      <c r="J30" s="119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39" t="s">
        <v>58</v>
      </c>
      <c r="B32" s="140"/>
      <c r="C32" s="140"/>
      <c r="D32" s="141"/>
      <c r="F32" s="142" t="s">
        <v>59</v>
      </c>
      <c r="G32" s="143"/>
      <c r="H32" s="143"/>
      <c r="I32" s="143"/>
      <c r="J32" s="144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142" t="s">
        <v>13</v>
      </c>
      <c r="I33" s="143"/>
      <c r="J33" s="144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3" t="s">
        <v>65</v>
      </c>
      <c r="B34" s="26" t="s">
        <v>66</v>
      </c>
      <c r="C34" s="51">
        <v>2</v>
      </c>
      <c r="D34" s="30">
        <f>C34*120</f>
        <v>240</v>
      </c>
      <c r="F34" s="12">
        <v>1000</v>
      </c>
      <c r="G34" s="74">
        <v>88</v>
      </c>
      <c r="H34" s="136">
        <f>F34*G34</f>
        <v>88000</v>
      </c>
      <c r="I34" s="137"/>
      <c r="J34" s="138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4"/>
      <c r="B35" s="27" t="s">
        <v>68</v>
      </c>
      <c r="C35" s="52"/>
      <c r="D35" s="30">
        <f>C35*84</f>
        <v>0</v>
      </c>
      <c r="F35" s="58">
        <v>500</v>
      </c>
      <c r="G35" s="41">
        <v>32</v>
      </c>
      <c r="H35" s="136">
        <f>F35*G35</f>
        <v>16000</v>
      </c>
      <c r="I35" s="137"/>
      <c r="J35" s="138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5"/>
      <c r="B36" s="26" t="s">
        <v>70</v>
      </c>
      <c r="C36" s="10"/>
      <c r="D36" s="12">
        <f>C36*1.5</f>
        <v>0</v>
      </c>
      <c r="F36" s="12">
        <v>200</v>
      </c>
      <c r="G36" s="37">
        <v>3</v>
      </c>
      <c r="H36" s="136">
        <f t="shared" ref="H36:H39" si="2">F36*G36</f>
        <v>600</v>
      </c>
      <c r="I36" s="137"/>
      <c r="J36" s="138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3" t="s">
        <v>72</v>
      </c>
      <c r="B37" s="28" t="s">
        <v>66</v>
      </c>
      <c r="C37" s="53">
        <v>354</v>
      </c>
      <c r="D37" s="12">
        <f>C37*111</f>
        <v>39294</v>
      </c>
      <c r="F37" s="12">
        <v>100</v>
      </c>
      <c r="G37" s="39">
        <v>66</v>
      </c>
      <c r="H37" s="136">
        <f t="shared" si="2"/>
        <v>6600</v>
      </c>
      <c r="I37" s="137"/>
      <c r="J37" s="138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4"/>
      <c r="B38" s="29" t="s">
        <v>68</v>
      </c>
      <c r="C38" s="54"/>
      <c r="D38" s="12">
        <f>C38*84</f>
        <v>0</v>
      </c>
      <c r="F38" s="30">
        <v>50</v>
      </c>
      <c r="G38" s="39">
        <v>14</v>
      </c>
      <c r="H38" s="136">
        <f t="shared" si="2"/>
        <v>700</v>
      </c>
      <c r="I38" s="137"/>
      <c r="J38" s="138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5"/>
      <c r="B39" s="29" t="s">
        <v>70</v>
      </c>
      <c r="C39" s="52">
        <v>8</v>
      </c>
      <c r="D39" s="31">
        <f>C39*4.5</f>
        <v>36</v>
      </c>
      <c r="F39" s="12">
        <v>20</v>
      </c>
      <c r="G39" s="37">
        <v>4</v>
      </c>
      <c r="H39" s="136">
        <f t="shared" si="2"/>
        <v>80</v>
      </c>
      <c r="I39" s="137"/>
      <c r="J39" s="138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3" t="s">
        <v>76</v>
      </c>
      <c r="B40" s="27" t="s">
        <v>66</v>
      </c>
      <c r="C40" s="63">
        <v>12</v>
      </c>
      <c r="D40" s="12">
        <f>C40*111</f>
        <v>1332</v>
      </c>
      <c r="F40" s="12">
        <v>10</v>
      </c>
      <c r="G40" s="42"/>
      <c r="H40" s="136"/>
      <c r="I40" s="137"/>
      <c r="J40" s="138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4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136"/>
      <c r="I41" s="137"/>
      <c r="J41" s="138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5"/>
      <c r="B42" s="27" t="s">
        <v>70</v>
      </c>
      <c r="C42" s="11">
        <v>3</v>
      </c>
      <c r="D42" s="12">
        <f>C42*2.25</f>
        <v>6.75</v>
      </c>
      <c r="F42" s="39" t="s">
        <v>79</v>
      </c>
      <c r="G42" s="136">
        <v>911</v>
      </c>
      <c r="H42" s="137"/>
      <c r="I42" s="137"/>
      <c r="J42" s="138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06" t="s">
        <v>81</v>
      </c>
      <c r="C43" s="11"/>
      <c r="D43" s="12"/>
      <c r="F43" s="59" t="s">
        <v>82</v>
      </c>
      <c r="G43" s="89" t="s">
        <v>83</v>
      </c>
      <c r="H43" s="128" t="s">
        <v>13</v>
      </c>
      <c r="I43" s="129"/>
      <c r="J43" s="130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07"/>
      <c r="B44" s="27" t="s">
        <v>66</v>
      </c>
      <c r="C44" s="10">
        <v>6</v>
      </c>
      <c r="D44" s="12">
        <f>C44*120</f>
        <v>720</v>
      </c>
      <c r="F44" s="37" t="s">
        <v>146</v>
      </c>
      <c r="G44" s="62" t="s">
        <v>185</v>
      </c>
      <c r="H44" s="131">
        <v>71968</v>
      </c>
      <c r="I44" s="131"/>
      <c r="J44" s="131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07"/>
      <c r="B45" s="27" t="s">
        <v>68</v>
      </c>
      <c r="C45" s="33"/>
      <c r="D45" s="12">
        <f>C45*84</f>
        <v>0</v>
      </c>
      <c r="F45" s="37" t="s">
        <v>146</v>
      </c>
      <c r="G45" s="62" t="s">
        <v>186</v>
      </c>
      <c r="H45" s="131">
        <v>52207</v>
      </c>
      <c r="I45" s="131"/>
      <c r="J45" s="131"/>
      <c r="K45" s="21"/>
      <c r="P45" s="4"/>
      <c r="Q45" s="4"/>
      <c r="R45" s="5"/>
    </row>
    <row r="46" spans="1:18" ht="15.75" x14ac:dyDescent="0.25">
      <c r="A46" s="107"/>
      <c r="B46" s="49" t="s">
        <v>70</v>
      </c>
      <c r="C46" s="81">
        <v>45</v>
      </c>
      <c r="D46" s="12">
        <f>C46*1.5</f>
        <v>67.5</v>
      </c>
      <c r="F46" s="37"/>
      <c r="G46" s="62"/>
      <c r="H46" s="132"/>
      <c r="I46" s="132"/>
      <c r="J46" s="132"/>
      <c r="K46" s="21"/>
      <c r="P46" s="4"/>
      <c r="Q46" s="4"/>
      <c r="R46" s="5"/>
    </row>
    <row r="47" spans="1:18" ht="15.75" x14ac:dyDescent="0.25">
      <c r="A47" s="108"/>
      <c r="B47" s="27"/>
      <c r="C47" s="11"/>
      <c r="D47" s="12"/>
      <c r="F47" s="59"/>
      <c r="G47" s="59"/>
      <c r="H47" s="109"/>
      <c r="I47" s="110"/>
      <c r="J47" s="111"/>
      <c r="K47" s="21"/>
      <c r="P47" s="4"/>
      <c r="Q47" s="4"/>
      <c r="R47" s="5"/>
    </row>
    <row r="48" spans="1:18" ht="15" customHeight="1" x14ac:dyDescent="0.25">
      <c r="A48" s="106" t="s">
        <v>32</v>
      </c>
      <c r="B48" s="27" t="s">
        <v>66</v>
      </c>
      <c r="C48" s="10">
        <v>9</v>
      </c>
      <c r="D48" s="12">
        <f>C48*78</f>
        <v>702</v>
      </c>
      <c r="F48" s="59"/>
      <c r="G48" s="59"/>
      <c r="H48" s="109"/>
      <c r="I48" s="110"/>
      <c r="J48" s="111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07"/>
      <c r="B49" s="29" t="s">
        <v>68</v>
      </c>
      <c r="C49" s="33">
        <v>8</v>
      </c>
      <c r="D49" s="12">
        <f>C49*42</f>
        <v>336</v>
      </c>
      <c r="F49" s="112" t="s">
        <v>86</v>
      </c>
      <c r="G49" s="114">
        <f>H34+H35+H36+H37+H38+H39+H40+H41+G42+H44+H45+H46</f>
        <v>237066</v>
      </c>
      <c r="H49" s="115"/>
      <c r="I49" s="115"/>
      <c r="J49" s="116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07"/>
      <c r="B50" s="32" t="s">
        <v>70</v>
      </c>
      <c r="C50" s="11">
        <v>16</v>
      </c>
      <c r="D50" s="12">
        <f>C50*1.5</f>
        <v>24</v>
      </c>
      <c r="F50" s="113"/>
      <c r="G50" s="117"/>
      <c r="H50" s="118"/>
      <c r="I50" s="118"/>
      <c r="J50" s="119"/>
      <c r="O50" t="s">
        <v>137</v>
      </c>
      <c r="P50" s="4">
        <v>1204</v>
      </c>
      <c r="Q50" s="4"/>
      <c r="R50" s="5"/>
    </row>
    <row r="51" spans="1:18" ht="15" customHeight="1" x14ac:dyDescent="0.25">
      <c r="A51" s="107"/>
      <c r="B51" s="27"/>
      <c r="C51" s="10"/>
      <c r="D51" s="31"/>
      <c r="F51" s="120" t="s">
        <v>128</v>
      </c>
      <c r="G51" s="221">
        <f>G49-H29</f>
        <v>-149.75</v>
      </c>
      <c r="H51" s="222"/>
      <c r="I51" s="222"/>
      <c r="J51" s="223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07"/>
      <c r="B52" s="29"/>
      <c r="C52" s="33"/>
      <c r="D52" s="45"/>
      <c r="F52" s="121"/>
      <c r="G52" s="224"/>
      <c r="H52" s="225"/>
      <c r="I52" s="225"/>
      <c r="J52" s="226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08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92" t="s">
        <v>90</v>
      </c>
      <c r="B54" s="93"/>
      <c r="C54" s="94"/>
      <c r="D54" s="98">
        <f>SUM(D34:D53)</f>
        <v>42842.25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95"/>
      <c r="B55" s="96"/>
      <c r="C55" s="97"/>
      <c r="D55" s="9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100" t="s">
        <v>91</v>
      </c>
      <c r="B58" s="101"/>
      <c r="C58" s="101"/>
      <c r="D58" s="102"/>
      <c r="F58" s="100" t="s">
        <v>92</v>
      </c>
      <c r="G58" s="101"/>
      <c r="H58" s="101"/>
      <c r="I58" s="101"/>
      <c r="J58" s="102"/>
    </row>
    <row r="59" spans="1:18" x14ac:dyDescent="0.25">
      <c r="A59" s="103"/>
      <c r="B59" s="104"/>
      <c r="C59" s="104"/>
      <c r="D59" s="105"/>
      <c r="F59" s="103"/>
      <c r="G59" s="104"/>
      <c r="H59" s="104"/>
      <c r="I59" s="104"/>
      <c r="J59" s="105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r:id="rId1"/>
  <drawing r:id="rId2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3460E-D933-42B6-8391-C820B5E5C17B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88" t="s">
        <v>1</v>
      </c>
      <c r="O1" s="188"/>
      <c r="P1" s="85" t="s">
        <v>2</v>
      </c>
      <c r="Q1" s="85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39" t="s">
        <v>7</v>
      </c>
      <c r="B4" s="140"/>
      <c r="C4" s="140"/>
      <c r="D4" s="141"/>
      <c r="F4" s="189" t="s">
        <v>8</v>
      </c>
      <c r="G4" s="191"/>
      <c r="H4" s="193" t="s">
        <v>9</v>
      </c>
      <c r="I4" s="195"/>
      <c r="J4" s="19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33" t="s">
        <v>7</v>
      </c>
      <c r="B5" s="15" t="s">
        <v>11</v>
      </c>
      <c r="C5" s="9" t="s">
        <v>12</v>
      </c>
      <c r="D5" s="25" t="s">
        <v>13</v>
      </c>
      <c r="F5" s="190"/>
      <c r="G5" s="192"/>
      <c r="H5" s="194"/>
      <c r="I5" s="197"/>
      <c r="J5" s="19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34"/>
      <c r="B6" s="16"/>
      <c r="C6" s="10"/>
      <c r="D6" s="13">
        <f t="shared" ref="D6:D28" si="1">C6*L6</f>
        <v>0</v>
      </c>
      <c r="F6" s="199" t="s">
        <v>16</v>
      </c>
      <c r="G6" s="201"/>
      <c r="H6" s="202"/>
      <c r="I6" s="202"/>
      <c r="J6" s="203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34"/>
      <c r="B7" s="16"/>
      <c r="C7" s="10"/>
      <c r="D7" s="13">
        <f t="shared" si="1"/>
        <v>0</v>
      </c>
      <c r="F7" s="200"/>
      <c r="G7" s="204"/>
      <c r="H7" s="205"/>
      <c r="I7" s="205"/>
      <c r="J7" s="206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34"/>
      <c r="B8" s="16"/>
      <c r="C8" s="10"/>
      <c r="D8" s="13">
        <f t="shared" si="1"/>
        <v>0</v>
      </c>
      <c r="F8" s="207" t="s">
        <v>21</v>
      </c>
      <c r="G8" s="208"/>
      <c r="H8" s="209"/>
      <c r="I8" s="209"/>
      <c r="J8" s="210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34"/>
      <c r="B9" s="16"/>
      <c r="C9" s="10"/>
      <c r="D9" s="13">
        <f t="shared" si="1"/>
        <v>0</v>
      </c>
      <c r="F9" s="200"/>
      <c r="G9" s="211"/>
      <c r="H9" s="212"/>
      <c r="I9" s="212"/>
      <c r="J9" s="213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34"/>
      <c r="C10" s="10"/>
      <c r="D10" s="13">
        <f t="shared" si="1"/>
        <v>0</v>
      </c>
      <c r="F10" s="199" t="s">
        <v>26</v>
      </c>
      <c r="G10" s="214"/>
      <c r="H10" s="215"/>
      <c r="I10" s="215"/>
      <c r="J10" s="216"/>
      <c r="K10" s="8"/>
      <c r="L10" s="6">
        <f>R36</f>
        <v>972</v>
      </c>
      <c r="P10" s="4"/>
      <c r="Q10" s="4"/>
      <c r="R10" s="5"/>
    </row>
    <row r="11" spans="1:19" ht="15.75" x14ac:dyDescent="0.25">
      <c r="A11" s="134"/>
      <c r="B11" s="17"/>
      <c r="C11" s="10"/>
      <c r="D11" s="13">
        <f t="shared" si="1"/>
        <v>0</v>
      </c>
      <c r="F11" s="200"/>
      <c r="G11" s="211"/>
      <c r="H11" s="212"/>
      <c r="I11" s="212"/>
      <c r="J11" s="213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34"/>
      <c r="B12" s="17"/>
      <c r="C12" s="10"/>
      <c r="D12" s="48">
        <f t="shared" si="1"/>
        <v>0</v>
      </c>
      <c r="F12" s="217" t="s">
        <v>33</v>
      </c>
      <c r="G12" s="218"/>
      <c r="H12" s="218"/>
      <c r="I12" s="218"/>
      <c r="J12" s="219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34"/>
      <c r="B13" s="17"/>
      <c r="C13" s="10"/>
      <c r="D13" s="48">
        <f t="shared" si="1"/>
        <v>0</v>
      </c>
      <c r="F13" s="220" t="s">
        <v>36</v>
      </c>
      <c r="G13" s="184"/>
      <c r="H13" s="175">
        <f>D29</f>
        <v>0</v>
      </c>
      <c r="I13" s="176"/>
      <c r="J13" s="17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34"/>
      <c r="B14" s="14"/>
      <c r="C14" s="10"/>
      <c r="D14" s="31">
        <f t="shared" si="1"/>
        <v>0</v>
      </c>
      <c r="F14" s="178" t="s">
        <v>39</v>
      </c>
      <c r="G14" s="179"/>
      <c r="H14" s="180">
        <f>D54</f>
        <v>0</v>
      </c>
      <c r="I14" s="181"/>
      <c r="J14" s="18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34"/>
      <c r="B15" s="14"/>
      <c r="C15" s="10"/>
      <c r="D15" s="31">
        <f t="shared" si="1"/>
        <v>0</v>
      </c>
      <c r="F15" s="183" t="s">
        <v>40</v>
      </c>
      <c r="G15" s="184"/>
      <c r="H15" s="185">
        <f>H13-H14</f>
        <v>0</v>
      </c>
      <c r="I15" s="186"/>
      <c r="J15" s="187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34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45"/>
      <c r="I16" s="145"/>
      <c r="J16" s="145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4"/>
      <c r="C17" s="10"/>
      <c r="D17" s="48">
        <f t="shared" si="1"/>
        <v>0</v>
      </c>
      <c r="F17" s="56"/>
      <c r="G17" s="66" t="s">
        <v>45</v>
      </c>
      <c r="H17" s="156"/>
      <c r="I17" s="156"/>
      <c r="J17" s="156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4"/>
      <c r="B18" s="19"/>
      <c r="C18" s="10"/>
      <c r="D18" s="48">
        <f t="shared" si="1"/>
        <v>0</v>
      </c>
      <c r="F18" s="56"/>
      <c r="G18" s="66" t="s">
        <v>47</v>
      </c>
      <c r="H18" s="156"/>
      <c r="I18" s="156"/>
      <c r="J18" s="156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4"/>
      <c r="B19" s="14"/>
      <c r="C19" s="10"/>
      <c r="D19" s="48">
        <f t="shared" si="1"/>
        <v>0</v>
      </c>
      <c r="F19" s="56"/>
      <c r="G19" s="68" t="s">
        <v>50</v>
      </c>
      <c r="H19" s="157"/>
      <c r="I19" s="157"/>
      <c r="J19" s="157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4"/>
      <c r="B20" s="46"/>
      <c r="C20" s="10"/>
      <c r="D20" s="13">
        <f t="shared" si="1"/>
        <v>0</v>
      </c>
      <c r="F20" s="57"/>
      <c r="G20" s="70" t="s">
        <v>117</v>
      </c>
      <c r="H20" s="145"/>
      <c r="I20" s="145"/>
      <c r="J20" s="145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4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58" t="s">
        <v>13</v>
      </c>
      <c r="I21" s="159"/>
      <c r="J21" s="160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4"/>
      <c r="B22" s="46"/>
      <c r="C22" s="10"/>
      <c r="D22" s="48">
        <f t="shared" si="1"/>
        <v>0</v>
      </c>
      <c r="F22" s="77"/>
      <c r="G22" s="73"/>
      <c r="H22" s="161"/>
      <c r="I22" s="161"/>
      <c r="J22" s="161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4"/>
      <c r="B23" s="14"/>
      <c r="C23" s="10"/>
      <c r="D23" s="48">
        <f t="shared" si="1"/>
        <v>0</v>
      </c>
      <c r="F23" s="78"/>
      <c r="G23" s="79"/>
      <c r="H23" s="162"/>
      <c r="I23" s="131"/>
      <c r="J23" s="131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4"/>
      <c r="B24" s="14"/>
      <c r="C24" s="10"/>
      <c r="D24" s="48">
        <f t="shared" si="1"/>
        <v>0</v>
      </c>
      <c r="F24" s="38"/>
      <c r="G24" s="37"/>
      <c r="H24" s="162"/>
      <c r="I24" s="131"/>
      <c r="J24" s="131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4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63" t="s">
        <v>13</v>
      </c>
      <c r="I25" s="164"/>
      <c r="J25" s="165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4"/>
      <c r="B26" s="14"/>
      <c r="C26" s="10"/>
      <c r="D26" s="48">
        <f t="shared" si="1"/>
        <v>0</v>
      </c>
      <c r="F26" s="64"/>
      <c r="G26" s="59"/>
      <c r="H26" s="166"/>
      <c r="I26" s="167"/>
      <c r="J26" s="168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4"/>
      <c r="B27" s="14"/>
      <c r="C27" s="10"/>
      <c r="D27" s="44">
        <f t="shared" si="1"/>
        <v>0</v>
      </c>
      <c r="F27" s="25"/>
      <c r="G27" s="80"/>
      <c r="H27" s="169"/>
      <c r="I27" s="170"/>
      <c r="J27" s="171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5"/>
      <c r="B28" s="46"/>
      <c r="C28" s="10"/>
      <c r="D28" s="48">
        <f t="shared" si="1"/>
        <v>0</v>
      </c>
      <c r="F28" s="86"/>
      <c r="G28" s="61"/>
      <c r="H28" s="172"/>
      <c r="I28" s="173"/>
      <c r="J28" s="174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46" t="s">
        <v>36</v>
      </c>
      <c r="B29" s="147"/>
      <c r="C29" s="148"/>
      <c r="D29" s="152">
        <f>SUM(D6:D28)</f>
        <v>0</v>
      </c>
      <c r="F29" s="92" t="s">
        <v>55</v>
      </c>
      <c r="G29" s="154"/>
      <c r="H29" s="114">
        <f>H15-H16-H17-H18-H19-H20-H22-H23-H24+H26+H27</f>
        <v>0</v>
      </c>
      <c r="I29" s="115"/>
      <c r="J29" s="116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49"/>
      <c r="B30" s="150"/>
      <c r="C30" s="151"/>
      <c r="D30" s="153"/>
      <c r="F30" s="95"/>
      <c r="G30" s="155"/>
      <c r="H30" s="117"/>
      <c r="I30" s="118"/>
      <c r="J30" s="119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39" t="s">
        <v>58</v>
      </c>
      <c r="B32" s="140"/>
      <c r="C32" s="140"/>
      <c r="D32" s="141"/>
      <c r="F32" s="142" t="s">
        <v>59</v>
      </c>
      <c r="G32" s="143"/>
      <c r="H32" s="143"/>
      <c r="I32" s="143"/>
      <c r="J32" s="144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142" t="s">
        <v>13</v>
      </c>
      <c r="I33" s="143"/>
      <c r="J33" s="144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3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36"/>
      <c r="I34" s="137"/>
      <c r="J34" s="138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4"/>
      <c r="B35" s="27" t="s">
        <v>68</v>
      </c>
      <c r="C35" s="52"/>
      <c r="D35" s="30">
        <f>C35*84</f>
        <v>0</v>
      </c>
      <c r="F35" s="58">
        <v>500</v>
      </c>
      <c r="G35" s="41"/>
      <c r="H35" s="136"/>
      <c r="I35" s="137"/>
      <c r="J35" s="138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5"/>
      <c r="B36" s="26" t="s">
        <v>70</v>
      </c>
      <c r="C36" s="10"/>
      <c r="D36" s="12">
        <f>C36*1.5</f>
        <v>0</v>
      </c>
      <c r="F36" s="12">
        <v>200</v>
      </c>
      <c r="G36" s="37"/>
      <c r="H36" s="136"/>
      <c r="I36" s="137"/>
      <c r="J36" s="138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3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36"/>
      <c r="I37" s="137"/>
      <c r="J37" s="138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4"/>
      <c r="B38" s="29" t="s">
        <v>68</v>
      </c>
      <c r="C38" s="54"/>
      <c r="D38" s="12">
        <f>C38*84</f>
        <v>0</v>
      </c>
      <c r="F38" s="30">
        <v>50</v>
      </c>
      <c r="G38" s="39"/>
      <c r="H38" s="136"/>
      <c r="I38" s="137"/>
      <c r="J38" s="138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5"/>
      <c r="B39" s="29" t="s">
        <v>70</v>
      </c>
      <c r="C39" s="52"/>
      <c r="D39" s="31">
        <f>C39*4.5</f>
        <v>0</v>
      </c>
      <c r="F39" s="12">
        <v>20</v>
      </c>
      <c r="G39" s="37"/>
      <c r="H39" s="136"/>
      <c r="I39" s="137"/>
      <c r="J39" s="138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3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36"/>
      <c r="I40" s="137"/>
      <c r="J40" s="138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4"/>
      <c r="B41" s="27" t="s">
        <v>68</v>
      </c>
      <c r="C41" s="10"/>
      <c r="D41" s="12">
        <f>C41*84</f>
        <v>0</v>
      </c>
      <c r="F41" s="12">
        <v>5</v>
      </c>
      <c r="G41" s="42"/>
      <c r="H41" s="136"/>
      <c r="I41" s="137"/>
      <c r="J41" s="138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5"/>
      <c r="B42" s="27" t="s">
        <v>70</v>
      </c>
      <c r="C42" s="11"/>
      <c r="D42" s="12">
        <f>C42*2.25</f>
        <v>0</v>
      </c>
      <c r="F42" s="39" t="s">
        <v>79</v>
      </c>
      <c r="G42" s="136"/>
      <c r="H42" s="137"/>
      <c r="I42" s="137"/>
      <c r="J42" s="138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06" t="s">
        <v>81</v>
      </c>
      <c r="C43" s="11"/>
      <c r="D43" s="12"/>
      <c r="F43" s="59" t="s">
        <v>82</v>
      </c>
      <c r="G43" s="89" t="s">
        <v>83</v>
      </c>
      <c r="H43" s="128" t="s">
        <v>13</v>
      </c>
      <c r="I43" s="129"/>
      <c r="J43" s="130"/>
      <c r="K43" s="21"/>
      <c r="P43" s="4"/>
      <c r="Q43" s="4"/>
      <c r="R43" s="5"/>
    </row>
    <row r="44" spans="1:18" ht="15.75" x14ac:dyDescent="0.25">
      <c r="A44" s="107"/>
      <c r="B44" s="27" t="s">
        <v>66</v>
      </c>
      <c r="C44" s="10"/>
      <c r="D44" s="12">
        <f>C44*120</f>
        <v>0</v>
      </c>
      <c r="F44" s="37"/>
      <c r="G44" s="76"/>
      <c r="H44" s="131"/>
      <c r="I44" s="131"/>
      <c r="J44" s="131"/>
      <c r="K44" s="21"/>
      <c r="P44" s="4"/>
      <c r="Q44" s="4"/>
      <c r="R44" s="5"/>
    </row>
    <row r="45" spans="1:18" ht="15.75" x14ac:dyDescent="0.25">
      <c r="A45" s="107"/>
      <c r="B45" s="27" t="s">
        <v>68</v>
      </c>
      <c r="C45" s="33"/>
      <c r="D45" s="12">
        <f>C45*84</f>
        <v>0</v>
      </c>
      <c r="F45" s="37"/>
      <c r="G45" s="76"/>
      <c r="H45" s="131"/>
      <c r="I45" s="131"/>
      <c r="J45" s="131"/>
      <c r="K45" s="21"/>
      <c r="P45" s="4"/>
      <c r="Q45" s="4"/>
      <c r="R45" s="5"/>
    </row>
    <row r="46" spans="1:18" ht="15.75" x14ac:dyDescent="0.25">
      <c r="A46" s="107"/>
      <c r="B46" s="49" t="s">
        <v>70</v>
      </c>
      <c r="C46" s="81"/>
      <c r="D46" s="12">
        <f>C46*1.5</f>
        <v>0</v>
      </c>
      <c r="F46" s="37"/>
      <c r="G46" s="62"/>
      <c r="H46" s="132"/>
      <c r="I46" s="132"/>
      <c r="J46" s="132"/>
      <c r="K46" s="21"/>
      <c r="P46" s="4"/>
      <c r="Q46" s="4"/>
      <c r="R46" s="5"/>
    </row>
    <row r="47" spans="1:18" ht="15.75" x14ac:dyDescent="0.25">
      <c r="A47" s="108"/>
      <c r="B47" s="27"/>
      <c r="C47" s="11"/>
      <c r="D47" s="12"/>
      <c r="F47" s="59"/>
      <c r="G47" s="59"/>
      <c r="H47" s="109"/>
      <c r="I47" s="110"/>
      <c r="J47" s="111"/>
      <c r="K47" s="21"/>
      <c r="P47" s="4"/>
      <c r="Q47" s="4"/>
      <c r="R47" s="5"/>
    </row>
    <row r="48" spans="1:18" ht="15" customHeight="1" x14ac:dyDescent="0.25">
      <c r="A48" s="106" t="s">
        <v>32</v>
      </c>
      <c r="B48" s="27" t="s">
        <v>66</v>
      </c>
      <c r="C48" s="10"/>
      <c r="D48" s="12">
        <f>C48*78</f>
        <v>0</v>
      </c>
      <c r="F48" s="59"/>
      <c r="G48" s="59"/>
      <c r="H48" s="109"/>
      <c r="I48" s="110"/>
      <c r="J48" s="111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07"/>
      <c r="B49" s="29" t="s">
        <v>68</v>
      </c>
      <c r="C49" s="33"/>
      <c r="D49" s="12">
        <f>C49*42</f>
        <v>0</v>
      </c>
      <c r="F49" s="112" t="s">
        <v>86</v>
      </c>
      <c r="G49" s="114">
        <f>H34+H35+H36+H37+H38+H39+H40+H41+G42+H44+H45+H46</f>
        <v>0</v>
      </c>
      <c r="H49" s="115"/>
      <c r="I49" s="115"/>
      <c r="J49" s="116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07"/>
      <c r="B50" s="32" t="s">
        <v>70</v>
      </c>
      <c r="C50" s="11"/>
      <c r="D50" s="12">
        <f>C50*1.5</f>
        <v>0</v>
      </c>
      <c r="F50" s="113"/>
      <c r="G50" s="117"/>
      <c r="H50" s="118"/>
      <c r="I50" s="118"/>
      <c r="J50" s="119"/>
      <c r="P50" s="4"/>
      <c r="Q50" s="4"/>
      <c r="R50" s="5"/>
    </row>
    <row r="51" spans="1:18" ht="15" customHeight="1" x14ac:dyDescent="0.25">
      <c r="A51" s="107"/>
      <c r="B51" s="27"/>
      <c r="C51" s="10"/>
      <c r="D51" s="31"/>
      <c r="F51" s="120" t="s">
        <v>125</v>
      </c>
      <c r="G51" s="122">
        <f>G49-H29</f>
        <v>0</v>
      </c>
      <c r="H51" s="123"/>
      <c r="I51" s="123"/>
      <c r="J51" s="124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07"/>
      <c r="B52" s="29"/>
      <c r="C52" s="33"/>
      <c r="D52" s="45"/>
      <c r="F52" s="121"/>
      <c r="G52" s="125"/>
      <c r="H52" s="126"/>
      <c r="I52" s="126"/>
      <c r="J52" s="127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08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92" t="s">
        <v>90</v>
      </c>
      <c r="B54" s="93"/>
      <c r="C54" s="94"/>
      <c r="D54" s="98">
        <f>SUM(D34:D53)</f>
        <v>0</v>
      </c>
      <c r="F54" s="21"/>
      <c r="J54" s="34"/>
    </row>
    <row r="55" spans="1:18" x14ac:dyDescent="0.25">
      <c r="A55" s="95"/>
      <c r="B55" s="96"/>
      <c r="C55" s="97"/>
      <c r="D55" s="9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00" t="s">
        <v>91</v>
      </c>
      <c r="B58" s="101"/>
      <c r="C58" s="101"/>
      <c r="D58" s="102"/>
      <c r="F58" s="100" t="s">
        <v>92</v>
      </c>
      <c r="G58" s="101"/>
      <c r="H58" s="101"/>
      <c r="I58" s="101"/>
      <c r="J58" s="102"/>
    </row>
    <row r="59" spans="1:18" x14ac:dyDescent="0.25">
      <c r="A59" s="103"/>
      <c r="B59" s="104"/>
      <c r="C59" s="104"/>
      <c r="D59" s="105"/>
      <c r="F59" s="103"/>
      <c r="G59" s="104"/>
      <c r="H59" s="104"/>
      <c r="I59" s="104"/>
      <c r="J59" s="105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1BD20A-BBAA-46FC-B265-A4F4D1B105A0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88" t="s">
        <v>1</v>
      </c>
      <c r="O1" s="188"/>
      <c r="P1" s="85" t="s">
        <v>2</v>
      </c>
      <c r="Q1" s="8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9" t="s">
        <v>7</v>
      </c>
      <c r="B4" s="140"/>
      <c r="C4" s="140"/>
      <c r="D4" s="141"/>
      <c r="F4" s="189" t="s">
        <v>8</v>
      </c>
      <c r="G4" s="191">
        <v>1</v>
      </c>
      <c r="H4" s="193" t="s">
        <v>9</v>
      </c>
      <c r="I4" s="195">
        <v>46092</v>
      </c>
      <c r="J4" s="19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3" t="s">
        <v>7</v>
      </c>
      <c r="B5" s="15" t="s">
        <v>11</v>
      </c>
      <c r="C5" s="9" t="s">
        <v>12</v>
      </c>
      <c r="D5" s="25" t="s">
        <v>13</v>
      </c>
      <c r="F5" s="190"/>
      <c r="G5" s="192"/>
      <c r="H5" s="194"/>
      <c r="I5" s="197"/>
      <c r="J5" s="19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4"/>
      <c r="B6" s="16" t="s">
        <v>15</v>
      </c>
      <c r="C6" s="10"/>
      <c r="D6" s="13">
        <f t="shared" ref="D6:D28" si="1">C6*L6</f>
        <v>0</v>
      </c>
      <c r="F6" s="199" t="s">
        <v>16</v>
      </c>
      <c r="G6" s="201" t="s">
        <v>111</v>
      </c>
      <c r="H6" s="202"/>
      <c r="I6" s="202"/>
      <c r="J6" s="203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4"/>
      <c r="B7" s="16" t="s">
        <v>18</v>
      </c>
      <c r="C7" s="10"/>
      <c r="D7" s="13">
        <f t="shared" si="1"/>
        <v>0</v>
      </c>
      <c r="F7" s="200"/>
      <c r="G7" s="204"/>
      <c r="H7" s="205"/>
      <c r="I7" s="205"/>
      <c r="J7" s="206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4"/>
      <c r="B8" s="16" t="s">
        <v>20</v>
      </c>
      <c r="C8" s="10"/>
      <c r="D8" s="13">
        <f t="shared" si="1"/>
        <v>0</v>
      </c>
      <c r="F8" s="207" t="s">
        <v>21</v>
      </c>
      <c r="G8" s="208" t="s">
        <v>144</v>
      </c>
      <c r="H8" s="209"/>
      <c r="I8" s="209"/>
      <c r="J8" s="210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4"/>
      <c r="B9" s="16" t="s">
        <v>23</v>
      </c>
      <c r="C9" s="10"/>
      <c r="D9" s="13">
        <f t="shared" si="1"/>
        <v>0</v>
      </c>
      <c r="F9" s="200"/>
      <c r="G9" s="211"/>
      <c r="H9" s="212"/>
      <c r="I9" s="212"/>
      <c r="J9" s="213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4"/>
      <c r="B10" t="s">
        <v>25</v>
      </c>
      <c r="C10" s="10"/>
      <c r="D10" s="13">
        <f t="shared" si="1"/>
        <v>0</v>
      </c>
      <c r="F10" s="199" t="s">
        <v>26</v>
      </c>
      <c r="G10" s="214" t="s">
        <v>139</v>
      </c>
      <c r="H10" s="215"/>
      <c r="I10" s="215"/>
      <c r="J10" s="216"/>
      <c r="K10" s="8"/>
      <c r="L10" s="6">
        <f>R36</f>
        <v>1032</v>
      </c>
      <c r="P10" s="4"/>
      <c r="Q10" s="4"/>
      <c r="R10" s="5"/>
    </row>
    <row r="11" spans="1:18" ht="15.75" x14ac:dyDescent="0.25">
      <c r="A11" s="134"/>
      <c r="B11" s="17" t="s">
        <v>28</v>
      </c>
      <c r="C11" s="10"/>
      <c r="D11" s="13">
        <f t="shared" si="1"/>
        <v>0</v>
      </c>
      <c r="F11" s="200"/>
      <c r="G11" s="211"/>
      <c r="H11" s="212"/>
      <c r="I11" s="212"/>
      <c r="J11" s="213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4"/>
      <c r="B12" s="17" t="s">
        <v>30</v>
      </c>
      <c r="C12" s="10"/>
      <c r="D12" s="48">
        <f t="shared" si="1"/>
        <v>0</v>
      </c>
      <c r="F12" s="217" t="s">
        <v>33</v>
      </c>
      <c r="G12" s="218"/>
      <c r="H12" s="218"/>
      <c r="I12" s="218"/>
      <c r="J12" s="219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4"/>
      <c r="B13" s="17" t="s">
        <v>32</v>
      </c>
      <c r="C13" s="10"/>
      <c r="D13" s="48">
        <f t="shared" si="1"/>
        <v>0</v>
      </c>
      <c r="F13" s="220" t="s">
        <v>36</v>
      </c>
      <c r="G13" s="184"/>
      <c r="H13" s="175">
        <f>D29</f>
        <v>0</v>
      </c>
      <c r="I13" s="176"/>
      <c r="J13" s="17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4"/>
      <c r="B14" s="14" t="s">
        <v>35</v>
      </c>
      <c r="C14" s="10"/>
      <c r="D14" s="31">
        <f t="shared" si="1"/>
        <v>0</v>
      </c>
      <c r="F14" s="178" t="s">
        <v>39</v>
      </c>
      <c r="G14" s="179"/>
      <c r="H14" s="180">
        <f>D54</f>
        <v>0</v>
      </c>
      <c r="I14" s="181"/>
      <c r="J14" s="18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4"/>
      <c r="B15" s="14" t="s">
        <v>38</v>
      </c>
      <c r="C15" s="10"/>
      <c r="D15" s="31">
        <f t="shared" si="1"/>
        <v>0</v>
      </c>
      <c r="F15" s="183" t="s">
        <v>40</v>
      </c>
      <c r="G15" s="184"/>
      <c r="H15" s="185">
        <f>H13-H14</f>
        <v>0</v>
      </c>
      <c r="I15" s="186"/>
      <c r="J15" s="187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4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45"/>
      <c r="I16" s="145"/>
      <c r="J16" s="145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4"/>
      <c r="B17" t="s">
        <v>133</v>
      </c>
      <c r="C17" s="10"/>
      <c r="D17" s="48">
        <f t="shared" si="1"/>
        <v>0</v>
      </c>
      <c r="F17" s="56"/>
      <c r="G17" s="66" t="s">
        <v>45</v>
      </c>
      <c r="H17" s="156"/>
      <c r="I17" s="156"/>
      <c r="J17" s="156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4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56"/>
      <c r="I18" s="156"/>
      <c r="J18" s="156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4"/>
      <c r="B19" s="14" t="s">
        <v>129</v>
      </c>
      <c r="C19" s="10"/>
      <c r="D19" s="48">
        <f t="shared" si="1"/>
        <v>0</v>
      </c>
      <c r="F19" s="56"/>
      <c r="G19" s="68" t="s">
        <v>50</v>
      </c>
      <c r="H19" s="156"/>
      <c r="I19" s="156"/>
      <c r="J19" s="156"/>
      <c r="L19" s="6">
        <v>1102</v>
      </c>
      <c r="Q19" s="4"/>
      <c r="R19" s="5">
        <f t="shared" si="0"/>
        <v>0</v>
      </c>
    </row>
    <row r="20" spans="1:18" ht="15.75" x14ac:dyDescent="0.25">
      <c r="A20" s="134"/>
      <c r="B20" s="83" t="s">
        <v>122</v>
      </c>
      <c r="C20" s="10"/>
      <c r="D20" s="13">
        <f t="shared" si="1"/>
        <v>0</v>
      </c>
      <c r="F20" s="57"/>
      <c r="G20" s="70" t="s">
        <v>117</v>
      </c>
      <c r="H20" s="145"/>
      <c r="I20" s="145"/>
      <c r="J20" s="145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4"/>
      <c r="B21" s="14" t="s">
        <v>131</v>
      </c>
      <c r="C21" s="10"/>
      <c r="D21" s="48">
        <f t="shared" si="1"/>
        <v>0</v>
      </c>
      <c r="F21" s="69" t="s">
        <v>99</v>
      </c>
      <c r="G21" s="82" t="s">
        <v>98</v>
      </c>
      <c r="H21" s="158" t="s">
        <v>13</v>
      </c>
      <c r="I21" s="159"/>
      <c r="J21" s="160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4"/>
      <c r="B22" s="46" t="s">
        <v>124</v>
      </c>
      <c r="C22" s="10"/>
      <c r="D22" s="48">
        <f t="shared" si="1"/>
        <v>0</v>
      </c>
      <c r="F22" s="77"/>
      <c r="G22" s="73"/>
      <c r="H22" s="161"/>
      <c r="I22" s="161"/>
      <c r="J22" s="161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4"/>
      <c r="B23" s="14" t="s">
        <v>101</v>
      </c>
      <c r="C23" s="10"/>
      <c r="D23" s="48">
        <f t="shared" si="1"/>
        <v>0</v>
      </c>
      <c r="F23" s="77"/>
      <c r="G23" s="79"/>
      <c r="H23" s="227"/>
      <c r="I23" s="228"/>
      <c r="J23" s="228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4"/>
      <c r="B24" s="14" t="s">
        <v>118</v>
      </c>
      <c r="C24" s="10"/>
      <c r="D24" s="48">
        <f t="shared" si="1"/>
        <v>0</v>
      </c>
      <c r="F24" s="77"/>
      <c r="G24" s="79"/>
      <c r="H24" s="227"/>
      <c r="I24" s="228"/>
      <c r="J24" s="228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4"/>
      <c r="B25" s="14" t="s">
        <v>134</v>
      </c>
      <c r="C25" s="10"/>
      <c r="D25" s="48">
        <f t="shared" si="1"/>
        <v>0</v>
      </c>
      <c r="F25" s="60" t="s">
        <v>100</v>
      </c>
      <c r="G25" s="55" t="s">
        <v>98</v>
      </c>
      <c r="H25" s="163" t="s">
        <v>13</v>
      </c>
      <c r="I25" s="164"/>
      <c r="J25" s="165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4"/>
      <c r="B26" s="14" t="s">
        <v>132</v>
      </c>
      <c r="C26" s="10"/>
      <c r="D26" s="48">
        <f t="shared" si="1"/>
        <v>0</v>
      </c>
      <c r="F26" s="75"/>
      <c r="G26" s="65"/>
      <c r="H26" s="131"/>
      <c r="I26" s="131"/>
      <c r="J26" s="131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4"/>
      <c r="B27" s="14" t="s">
        <v>110</v>
      </c>
      <c r="C27" s="10"/>
      <c r="D27" s="44">
        <f t="shared" si="1"/>
        <v>0</v>
      </c>
      <c r="F27" s="71"/>
      <c r="G27" s="89"/>
      <c r="H27" s="229"/>
      <c r="I27" s="230"/>
      <c r="J27" s="230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5"/>
      <c r="B28" s="46" t="s">
        <v>97</v>
      </c>
      <c r="C28" s="10"/>
      <c r="D28" s="48">
        <f t="shared" si="1"/>
        <v>0</v>
      </c>
      <c r="F28" s="86"/>
      <c r="G28" s="61"/>
      <c r="H28" s="172"/>
      <c r="I28" s="173"/>
      <c r="J28" s="174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46" t="s">
        <v>36</v>
      </c>
      <c r="B29" s="147"/>
      <c r="C29" s="148"/>
      <c r="D29" s="152">
        <f>SUM(D6:D28)</f>
        <v>0</v>
      </c>
      <c r="F29" s="92" t="s">
        <v>55</v>
      </c>
      <c r="G29" s="154"/>
      <c r="H29" s="114">
        <f>H15-H16-H17-H18-H19-H20-H22-H23-H24+H26+H27+H28</f>
        <v>0</v>
      </c>
      <c r="I29" s="115"/>
      <c r="J29" s="116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49"/>
      <c r="B30" s="150"/>
      <c r="C30" s="151"/>
      <c r="D30" s="153"/>
      <c r="F30" s="95"/>
      <c r="G30" s="155"/>
      <c r="H30" s="117"/>
      <c r="I30" s="118"/>
      <c r="J30" s="119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39" t="s">
        <v>58</v>
      </c>
      <c r="B32" s="140"/>
      <c r="C32" s="140"/>
      <c r="D32" s="141"/>
      <c r="F32" s="142" t="s">
        <v>59</v>
      </c>
      <c r="G32" s="143"/>
      <c r="H32" s="143"/>
      <c r="I32" s="143"/>
      <c r="J32" s="144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142" t="s">
        <v>13</v>
      </c>
      <c r="I33" s="143"/>
      <c r="J33" s="144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3" t="s">
        <v>65</v>
      </c>
      <c r="B34" s="26" t="s">
        <v>66</v>
      </c>
      <c r="C34" s="51"/>
      <c r="D34" s="30">
        <f>C34*120</f>
        <v>0</v>
      </c>
      <c r="F34" s="12">
        <v>1000</v>
      </c>
      <c r="G34" s="40"/>
      <c r="H34" s="136">
        <f t="shared" ref="H34:H39" si="2">F34*G34</f>
        <v>0</v>
      </c>
      <c r="I34" s="137"/>
      <c r="J34" s="138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4"/>
      <c r="B35" s="27" t="s">
        <v>68</v>
      </c>
      <c r="C35" s="52"/>
      <c r="D35" s="30">
        <f>C35*84</f>
        <v>0</v>
      </c>
      <c r="F35" s="58">
        <v>500</v>
      </c>
      <c r="G35" s="41"/>
      <c r="H35" s="136">
        <f t="shared" si="2"/>
        <v>0</v>
      </c>
      <c r="I35" s="137"/>
      <c r="J35" s="138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5"/>
      <c r="B36" s="26" t="s">
        <v>70</v>
      </c>
      <c r="C36" s="10"/>
      <c r="D36" s="12">
        <f>C36*1.5</f>
        <v>0</v>
      </c>
      <c r="F36" s="12">
        <v>200</v>
      </c>
      <c r="G36" s="37"/>
      <c r="H36" s="136">
        <f t="shared" si="2"/>
        <v>0</v>
      </c>
      <c r="I36" s="137"/>
      <c r="J36" s="138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3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36">
        <f t="shared" si="2"/>
        <v>0</v>
      </c>
      <c r="I37" s="137"/>
      <c r="J37" s="138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4"/>
      <c r="B38" s="29" t="s">
        <v>68</v>
      </c>
      <c r="C38" s="54"/>
      <c r="D38" s="12">
        <f>C38*84</f>
        <v>0</v>
      </c>
      <c r="F38" s="30">
        <v>50</v>
      </c>
      <c r="G38" s="39"/>
      <c r="H38" s="136">
        <f t="shared" si="2"/>
        <v>0</v>
      </c>
      <c r="I38" s="137"/>
      <c r="J38" s="138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5"/>
      <c r="B39" s="29" t="s">
        <v>70</v>
      </c>
      <c r="C39" s="52"/>
      <c r="D39" s="31">
        <f>C39*4.5</f>
        <v>0</v>
      </c>
      <c r="F39" s="12">
        <v>20</v>
      </c>
      <c r="G39" s="37"/>
      <c r="H39" s="136">
        <f t="shared" si="2"/>
        <v>0</v>
      </c>
      <c r="I39" s="137"/>
      <c r="J39" s="138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3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36"/>
      <c r="I40" s="137"/>
      <c r="J40" s="138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4"/>
      <c r="B41" s="27" t="s">
        <v>68</v>
      </c>
      <c r="C41" s="10"/>
      <c r="D41" s="12">
        <f>C41*84</f>
        <v>0</v>
      </c>
      <c r="F41" s="12">
        <v>5</v>
      </c>
      <c r="G41" s="42"/>
      <c r="H41" s="136"/>
      <c r="I41" s="137"/>
      <c r="J41" s="138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5"/>
      <c r="B42" s="27" t="s">
        <v>70</v>
      </c>
      <c r="C42" s="11"/>
      <c r="D42" s="12">
        <f>C42*2.25</f>
        <v>0</v>
      </c>
      <c r="F42" s="39" t="s">
        <v>79</v>
      </c>
      <c r="G42" s="136"/>
      <c r="H42" s="137"/>
      <c r="I42" s="137"/>
      <c r="J42" s="138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06" t="s">
        <v>81</v>
      </c>
      <c r="C43" s="11"/>
      <c r="D43" s="12"/>
      <c r="F43" s="59" t="s">
        <v>82</v>
      </c>
      <c r="G43" s="89" t="s">
        <v>83</v>
      </c>
      <c r="H43" s="128" t="s">
        <v>13</v>
      </c>
      <c r="I43" s="129"/>
      <c r="J43" s="130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07"/>
      <c r="B44" s="27" t="s">
        <v>66</v>
      </c>
      <c r="C44" s="10"/>
      <c r="D44" s="12">
        <f>C44*120</f>
        <v>0</v>
      </c>
      <c r="F44" s="37"/>
      <c r="G44" s="84"/>
      <c r="H44" s="131"/>
      <c r="I44" s="131"/>
      <c r="J44" s="131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07"/>
      <c r="B45" s="27" t="s">
        <v>68</v>
      </c>
      <c r="C45" s="33"/>
      <c r="D45" s="12">
        <f>C45*84</f>
        <v>0</v>
      </c>
      <c r="F45" s="37"/>
      <c r="G45" s="62"/>
      <c r="H45" s="131"/>
      <c r="I45" s="131"/>
      <c r="J45" s="131"/>
      <c r="K45" s="21"/>
      <c r="P45" s="4"/>
      <c r="Q45" s="4"/>
      <c r="R45" s="5"/>
    </row>
    <row r="46" spans="1:18" ht="15.75" x14ac:dyDescent="0.25">
      <c r="A46" s="107"/>
      <c r="B46" s="49" t="s">
        <v>70</v>
      </c>
      <c r="C46" s="81"/>
      <c r="D46" s="12">
        <f>C46*1.5</f>
        <v>0</v>
      </c>
      <c r="F46" s="37"/>
      <c r="G46" s="62"/>
      <c r="H46" s="131"/>
      <c r="I46" s="131"/>
      <c r="J46" s="131"/>
      <c r="K46" s="21"/>
      <c r="P46" s="4"/>
      <c r="Q46" s="4"/>
      <c r="R46" s="5"/>
    </row>
    <row r="47" spans="1:18" ht="15.75" x14ac:dyDescent="0.25">
      <c r="A47" s="108"/>
      <c r="B47" s="27"/>
      <c r="C47" s="11"/>
      <c r="D47" s="12"/>
      <c r="F47" s="59"/>
      <c r="G47" s="59"/>
      <c r="H47" s="109"/>
      <c r="I47" s="110"/>
      <c r="J47" s="111"/>
      <c r="K47" s="21"/>
      <c r="P47" s="4"/>
      <c r="Q47" s="4"/>
      <c r="R47" s="5"/>
    </row>
    <row r="48" spans="1:18" ht="15" customHeight="1" x14ac:dyDescent="0.25">
      <c r="A48" s="106" t="s">
        <v>32</v>
      </c>
      <c r="B48" s="27" t="s">
        <v>66</v>
      </c>
      <c r="C48" s="10"/>
      <c r="D48" s="12">
        <f>C48*78</f>
        <v>0</v>
      </c>
      <c r="F48" s="59"/>
      <c r="G48" s="59"/>
      <c r="H48" s="109"/>
      <c r="I48" s="110"/>
      <c r="J48" s="111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07"/>
      <c r="B49" s="29" t="s">
        <v>68</v>
      </c>
      <c r="C49" s="33"/>
      <c r="D49" s="12">
        <f>C49*42</f>
        <v>0</v>
      </c>
      <c r="F49" s="112" t="s">
        <v>86</v>
      </c>
      <c r="G49" s="114">
        <f>H34+H35+H36+H37+H38+H39+H40+H41+G42+H44+H45+H46</f>
        <v>0</v>
      </c>
      <c r="H49" s="115"/>
      <c r="I49" s="115"/>
      <c r="J49" s="116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07"/>
      <c r="B50" s="32" t="s">
        <v>70</v>
      </c>
      <c r="C50" s="11"/>
      <c r="D50" s="12">
        <f>C50*1.5</f>
        <v>0</v>
      </c>
      <c r="F50" s="113"/>
      <c r="G50" s="117"/>
      <c r="H50" s="118"/>
      <c r="I50" s="118"/>
      <c r="J50" s="119"/>
      <c r="O50" t="s">
        <v>137</v>
      </c>
      <c r="P50" s="4">
        <v>1204</v>
      </c>
      <c r="Q50" s="4"/>
      <c r="R50" s="5"/>
    </row>
    <row r="51" spans="1:18" ht="15" customHeight="1" x14ac:dyDescent="0.25">
      <c r="A51" s="107"/>
      <c r="B51" s="27"/>
      <c r="C51" s="10"/>
      <c r="D51" s="31"/>
      <c r="F51" s="120" t="s">
        <v>128</v>
      </c>
      <c r="G51" s="221">
        <f>G49-H29</f>
        <v>0</v>
      </c>
      <c r="H51" s="222"/>
      <c r="I51" s="222"/>
      <c r="J51" s="223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07"/>
      <c r="B52" s="29"/>
      <c r="C52" s="33"/>
      <c r="D52" s="45"/>
      <c r="F52" s="121"/>
      <c r="G52" s="224"/>
      <c r="H52" s="225"/>
      <c r="I52" s="225"/>
      <c r="J52" s="226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08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92" t="s">
        <v>90</v>
      </c>
      <c r="B54" s="93"/>
      <c r="C54" s="94"/>
      <c r="D54" s="98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95"/>
      <c r="B55" s="96"/>
      <c r="C55" s="97"/>
      <c r="D55" s="9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140</v>
      </c>
      <c r="D57" s="34"/>
      <c r="F57" s="36"/>
      <c r="G57" s="50"/>
      <c r="H57" s="50"/>
      <c r="I57" s="50"/>
      <c r="J57" s="43"/>
    </row>
    <row r="58" spans="1:18" x14ac:dyDescent="0.25">
      <c r="A58" s="100" t="s">
        <v>91</v>
      </c>
      <c r="B58" s="101"/>
      <c r="C58" s="101"/>
      <c r="D58" s="102"/>
      <c r="F58" s="100" t="s">
        <v>92</v>
      </c>
      <c r="G58" s="101"/>
      <c r="H58" s="101"/>
      <c r="I58" s="101"/>
      <c r="J58" s="102"/>
    </row>
    <row r="59" spans="1:18" x14ac:dyDescent="0.25">
      <c r="A59" s="103"/>
      <c r="B59" s="104"/>
      <c r="C59" s="104"/>
      <c r="D59" s="105"/>
      <c r="F59" s="103"/>
      <c r="G59" s="104"/>
      <c r="H59" s="104"/>
      <c r="I59" s="104"/>
      <c r="J59" s="105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4926E2-1A78-4A73-BDD6-0AC71B2EB385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88" t="s">
        <v>1</v>
      </c>
      <c r="O1" s="188"/>
      <c r="P1" s="85" t="s">
        <v>2</v>
      </c>
      <c r="Q1" s="8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9" t="s">
        <v>7</v>
      </c>
      <c r="B4" s="140"/>
      <c r="C4" s="140"/>
      <c r="D4" s="141"/>
      <c r="F4" s="189" t="s">
        <v>8</v>
      </c>
      <c r="G4" s="191">
        <v>2</v>
      </c>
      <c r="H4" s="193" t="s">
        <v>9</v>
      </c>
      <c r="I4" s="195">
        <v>46092</v>
      </c>
      <c r="J4" s="19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3" t="s">
        <v>7</v>
      </c>
      <c r="B5" s="15" t="s">
        <v>11</v>
      </c>
      <c r="C5" s="9" t="s">
        <v>12</v>
      </c>
      <c r="D5" s="25" t="s">
        <v>13</v>
      </c>
      <c r="F5" s="190"/>
      <c r="G5" s="192"/>
      <c r="H5" s="194"/>
      <c r="I5" s="197"/>
      <c r="J5" s="19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4"/>
      <c r="B6" s="16" t="s">
        <v>15</v>
      </c>
      <c r="C6" s="10"/>
      <c r="D6" s="13">
        <f t="shared" ref="D6:D28" si="1">C6*L6</f>
        <v>0</v>
      </c>
      <c r="F6" s="199" t="s">
        <v>16</v>
      </c>
      <c r="G6" s="201" t="s">
        <v>126</v>
      </c>
      <c r="H6" s="202"/>
      <c r="I6" s="202"/>
      <c r="J6" s="203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4"/>
      <c r="B7" s="16" t="s">
        <v>18</v>
      </c>
      <c r="C7" s="10"/>
      <c r="D7" s="13">
        <f t="shared" si="1"/>
        <v>0</v>
      </c>
      <c r="F7" s="200"/>
      <c r="G7" s="204"/>
      <c r="H7" s="205"/>
      <c r="I7" s="205"/>
      <c r="J7" s="206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4"/>
      <c r="B8" s="16" t="s">
        <v>20</v>
      </c>
      <c r="C8" s="10"/>
      <c r="D8" s="13">
        <f t="shared" si="1"/>
        <v>0</v>
      </c>
      <c r="F8" s="207" t="s">
        <v>21</v>
      </c>
      <c r="G8" s="208" t="s">
        <v>113</v>
      </c>
      <c r="H8" s="209"/>
      <c r="I8" s="209"/>
      <c r="J8" s="210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4"/>
      <c r="B9" s="16" t="s">
        <v>23</v>
      </c>
      <c r="C9" s="10"/>
      <c r="D9" s="13">
        <f t="shared" si="1"/>
        <v>0</v>
      </c>
      <c r="F9" s="200"/>
      <c r="G9" s="211"/>
      <c r="H9" s="212"/>
      <c r="I9" s="212"/>
      <c r="J9" s="213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4"/>
      <c r="B10" t="s">
        <v>25</v>
      </c>
      <c r="C10" s="10"/>
      <c r="D10" s="13">
        <f t="shared" si="1"/>
        <v>0</v>
      </c>
      <c r="F10" s="199" t="s">
        <v>26</v>
      </c>
      <c r="G10" s="214" t="s">
        <v>114</v>
      </c>
      <c r="H10" s="215"/>
      <c r="I10" s="215"/>
      <c r="J10" s="216"/>
      <c r="K10" s="8"/>
      <c r="L10" s="6">
        <f>R36</f>
        <v>1032</v>
      </c>
      <c r="P10" s="4"/>
      <c r="Q10" s="4"/>
      <c r="R10" s="5"/>
    </row>
    <row r="11" spans="1:18" ht="15.75" x14ac:dyDescent="0.25">
      <c r="A11" s="134"/>
      <c r="B11" s="17" t="s">
        <v>28</v>
      </c>
      <c r="C11" s="10"/>
      <c r="D11" s="13">
        <f t="shared" si="1"/>
        <v>0</v>
      </c>
      <c r="F11" s="200"/>
      <c r="G11" s="211"/>
      <c r="H11" s="212"/>
      <c r="I11" s="212"/>
      <c r="J11" s="213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4"/>
      <c r="B12" s="17" t="s">
        <v>30</v>
      </c>
      <c r="C12" s="10"/>
      <c r="D12" s="48">
        <f t="shared" si="1"/>
        <v>0</v>
      </c>
      <c r="F12" s="217" t="s">
        <v>33</v>
      </c>
      <c r="G12" s="218"/>
      <c r="H12" s="218"/>
      <c r="I12" s="218"/>
      <c r="J12" s="219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4"/>
      <c r="B13" s="17" t="s">
        <v>32</v>
      </c>
      <c r="C13" s="10"/>
      <c r="D13" s="48">
        <f t="shared" si="1"/>
        <v>0</v>
      </c>
      <c r="F13" s="220" t="s">
        <v>36</v>
      </c>
      <c r="G13" s="184"/>
      <c r="H13" s="175">
        <f>D29</f>
        <v>0</v>
      </c>
      <c r="I13" s="176"/>
      <c r="J13" s="17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4"/>
      <c r="B14" s="14" t="s">
        <v>35</v>
      </c>
      <c r="C14" s="10"/>
      <c r="D14" s="31">
        <f t="shared" si="1"/>
        <v>0</v>
      </c>
      <c r="F14" s="178" t="s">
        <v>39</v>
      </c>
      <c r="G14" s="179"/>
      <c r="H14" s="180">
        <f>D54</f>
        <v>0</v>
      </c>
      <c r="I14" s="181"/>
      <c r="J14" s="18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4"/>
      <c r="B15" s="14" t="s">
        <v>38</v>
      </c>
      <c r="C15" s="10"/>
      <c r="D15" s="31">
        <f t="shared" si="1"/>
        <v>0</v>
      </c>
      <c r="F15" s="183" t="s">
        <v>40</v>
      </c>
      <c r="G15" s="184"/>
      <c r="H15" s="185">
        <f>H13-H14</f>
        <v>0</v>
      </c>
      <c r="I15" s="186"/>
      <c r="J15" s="187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4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45"/>
      <c r="I16" s="145"/>
      <c r="J16" s="145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4"/>
      <c r="B17" t="s">
        <v>93</v>
      </c>
      <c r="C17" s="10"/>
      <c r="D17" s="48">
        <f t="shared" si="1"/>
        <v>0</v>
      </c>
      <c r="F17" s="56"/>
      <c r="G17" s="66" t="s">
        <v>45</v>
      </c>
      <c r="H17" s="156"/>
      <c r="I17" s="156"/>
      <c r="J17" s="156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4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56"/>
      <c r="I18" s="156"/>
      <c r="J18" s="156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4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31"/>
      <c r="I19" s="231"/>
      <c r="J19" s="231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4"/>
      <c r="B20" s="46" t="s">
        <v>119</v>
      </c>
      <c r="C20" s="10"/>
      <c r="D20" s="13">
        <f t="shared" si="1"/>
        <v>0</v>
      </c>
      <c r="F20" s="57"/>
      <c r="G20" s="70" t="s">
        <v>117</v>
      </c>
      <c r="H20" s="156"/>
      <c r="I20" s="156"/>
      <c r="J20" s="156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4"/>
      <c r="B21" s="14" t="s">
        <v>131</v>
      </c>
      <c r="C21" s="10"/>
      <c r="D21" s="48">
        <f t="shared" si="1"/>
        <v>0</v>
      </c>
      <c r="F21" s="69" t="s">
        <v>99</v>
      </c>
      <c r="G21" s="82" t="s">
        <v>98</v>
      </c>
      <c r="H21" s="158" t="s">
        <v>13</v>
      </c>
      <c r="I21" s="159"/>
      <c r="J21" s="160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4"/>
      <c r="B22" s="46" t="s">
        <v>104</v>
      </c>
      <c r="C22" s="10"/>
      <c r="D22" s="48">
        <f t="shared" si="1"/>
        <v>0</v>
      </c>
      <c r="F22" s="72"/>
      <c r="G22" s="73"/>
      <c r="H22" s="161"/>
      <c r="I22" s="161"/>
      <c r="J22" s="161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4"/>
      <c r="B23" s="14" t="s">
        <v>107</v>
      </c>
      <c r="C23" s="10"/>
      <c r="D23" s="48">
        <f t="shared" si="1"/>
        <v>0</v>
      </c>
      <c r="F23" s="25"/>
      <c r="G23" s="37"/>
      <c r="H23" s="162"/>
      <c r="I23" s="131"/>
      <c r="J23" s="131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4"/>
      <c r="B24" s="14" t="s">
        <v>120</v>
      </c>
      <c r="C24" s="10"/>
      <c r="D24" s="48">
        <f t="shared" si="1"/>
        <v>0</v>
      </c>
      <c r="F24" s="38"/>
      <c r="G24" s="37"/>
      <c r="H24" s="162"/>
      <c r="I24" s="131"/>
      <c r="J24" s="131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4"/>
      <c r="B25" s="14" t="s">
        <v>121</v>
      </c>
      <c r="C25" s="10"/>
      <c r="D25" s="48">
        <f t="shared" si="1"/>
        <v>0</v>
      </c>
      <c r="F25" s="60" t="s">
        <v>100</v>
      </c>
      <c r="G25" s="55" t="s">
        <v>98</v>
      </c>
      <c r="H25" s="163" t="s">
        <v>13</v>
      </c>
      <c r="I25" s="164"/>
      <c r="J25" s="165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4"/>
      <c r="B26" s="14" t="s">
        <v>105</v>
      </c>
      <c r="C26" s="10"/>
      <c r="D26" s="48">
        <f t="shared" si="1"/>
        <v>0</v>
      </c>
      <c r="F26" s="64"/>
      <c r="G26" s="10"/>
      <c r="H26" s="166"/>
      <c r="I26" s="167"/>
      <c r="J26" s="168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4"/>
      <c r="B27" s="14" t="s">
        <v>109</v>
      </c>
      <c r="C27" s="10"/>
      <c r="D27" s="44">
        <f t="shared" si="1"/>
        <v>0</v>
      </c>
      <c r="F27" s="14"/>
      <c r="G27" s="14"/>
      <c r="H27" s="169"/>
      <c r="I27" s="170"/>
      <c r="J27" s="171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5"/>
      <c r="B28" s="46" t="s">
        <v>97</v>
      </c>
      <c r="C28" s="10"/>
      <c r="D28" s="48">
        <f t="shared" si="1"/>
        <v>0</v>
      </c>
      <c r="F28" s="86"/>
      <c r="G28" s="61"/>
      <c r="H28" s="172"/>
      <c r="I28" s="173"/>
      <c r="J28" s="174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46" t="s">
        <v>36</v>
      </c>
      <c r="B29" s="147"/>
      <c r="C29" s="148"/>
      <c r="D29" s="152">
        <f>SUM(D6:D28)</f>
        <v>0</v>
      </c>
      <c r="F29" s="92" t="s">
        <v>55</v>
      </c>
      <c r="G29" s="154"/>
      <c r="H29" s="114">
        <f>H15-H16-H17-H18-H19-H20-H22-H23-H24+H26+H27</f>
        <v>0</v>
      </c>
      <c r="I29" s="115"/>
      <c r="J29" s="116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49"/>
      <c r="B30" s="150"/>
      <c r="C30" s="151"/>
      <c r="D30" s="153"/>
      <c r="F30" s="95"/>
      <c r="G30" s="155"/>
      <c r="H30" s="117"/>
      <c r="I30" s="118"/>
      <c r="J30" s="119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39" t="s">
        <v>58</v>
      </c>
      <c r="B32" s="140"/>
      <c r="C32" s="140"/>
      <c r="D32" s="141"/>
      <c r="F32" s="142" t="s">
        <v>59</v>
      </c>
      <c r="G32" s="143"/>
      <c r="H32" s="143"/>
      <c r="I32" s="143"/>
      <c r="J32" s="144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142" t="s">
        <v>13</v>
      </c>
      <c r="I33" s="143"/>
      <c r="J33" s="144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3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36">
        <f>F34*G34</f>
        <v>0</v>
      </c>
      <c r="I34" s="137"/>
      <c r="J34" s="138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4"/>
      <c r="B35" s="27" t="s">
        <v>68</v>
      </c>
      <c r="C35" s="52"/>
      <c r="D35" s="30">
        <f>C35*84</f>
        <v>0</v>
      </c>
      <c r="F35" s="58">
        <v>500</v>
      </c>
      <c r="G35" s="41"/>
      <c r="H35" s="136">
        <f t="shared" ref="H35:H39" si="2">F35*G35</f>
        <v>0</v>
      </c>
      <c r="I35" s="137"/>
      <c r="J35" s="138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5"/>
      <c r="B36" s="26" t="s">
        <v>70</v>
      </c>
      <c r="C36" s="10"/>
      <c r="D36" s="12">
        <f>C36*1.5</f>
        <v>0</v>
      </c>
      <c r="F36" s="12">
        <v>200</v>
      </c>
      <c r="G36" s="37"/>
      <c r="H36" s="136">
        <f>F36*G36</f>
        <v>0</v>
      </c>
      <c r="I36" s="137"/>
      <c r="J36" s="138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3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36">
        <f t="shared" si="2"/>
        <v>0</v>
      </c>
      <c r="I37" s="137"/>
      <c r="J37" s="138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4"/>
      <c r="B38" s="29" t="s">
        <v>68</v>
      </c>
      <c r="C38" s="54"/>
      <c r="D38" s="12">
        <f>C38*84</f>
        <v>0</v>
      </c>
      <c r="F38" s="30">
        <v>50</v>
      </c>
      <c r="G38" s="39"/>
      <c r="H38" s="136">
        <f t="shared" si="2"/>
        <v>0</v>
      </c>
      <c r="I38" s="137"/>
      <c r="J38" s="138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5"/>
      <c r="B39" s="29" t="s">
        <v>70</v>
      </c>
      <c r="C39" s="52"/>
      <c r="D39" s="31">
        <f>C39*4.5</f>
        <v>0</v>
      </c>
      <c r="F39" s="12">
        <v>20</v>
      </c>
      <c r="G39" s="37"/>
      <c r="H39" s="136">
        <f t="shared" si="2"/>
        <v>0</v>
      </c>
      <c r="I39" s="137"/>
      <c r="J39" s="138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3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36"/>
      <c r="I40" s="137"/>
      <c r="J40" s="138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4"/>
      <c r="B41" s="27" t="s">
        <v>68</v>
      </c>
      <c r="C41" s="10"/>
      <c r="D41" s="12">
        <f>C41*84</f>
        <v>0</v>
      </c>
      <c r="F41" s="12">
        <v>5</v>
      </c>
      <c r="G41" s="42"/>
      <c r="H41" s="136"/>
      <c r="I41" s="137"/>
      <c r="J41" s="138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5"/>
      <c r="B42" s="27" t="s">
        <v>70</v>
      </c>
      <c r="C42" s="11"/>
      <c r="D42" s="12">
        <f>C42*2.25</f>
        <v>0</v>
      </c>
      <c r="F42" s="39" t="s">
        <v>79</v>
      </c>
      <c r="G42" s="136"/>
      <c r="H42" s="137"/>
      <c r="I42" s="137"/>
      <c r="J42" s="138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06" t="s">
        <v>81</v>
      </c>
      <c r="C43" s="11"/>
      <c r="D43" s="12"/>
      <c r="F43" s="59" t="s">
        <v>82</v>
      </c>
      <c r="G43" s="89" t="s">
        <v>83</v>
      </c>
      <c r="H43" s="128" t="s">
        <v>13</v>
      </c>
      <c r="I43" s="129"/>
      <c r="J43" s="130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07"/>
      <c r="B44" s="27" t="s">
        <v>66</v>
      </c>
      <c r="C44" s="10"/>
      <c r="D44" s="12">
        <f>C44*120</f>
        <v>0</v>
      </c>
      <c r="F44" s="37"/>
      <c r="G44" s="62"/>
      <c r="H44" s="131"/>
      <c r="I44" s="131"/>
      <c r="J44" s="131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07"/>
      <c r="B45" s="27" t="s">
        <v>68</v>
      </c>
      <c r="C45" s="33"/>
      <c r="D45" s="12">
        <f>C45*84</f>
        <v>0</v>
      </c>
      <c r="F45" s="37"/>
      <c r="G45" s="62"/>
      <c r="H45" s="131"/>
      <c r="I45" s="131"/>
      <c r="J45" s="131"/>
      <c r="K45" s="21"/>
      <c r="P45" s="4"/>
      <c r="Q45" s="4"/>
      <c r="R45" s="5"/>
    </row>
    <row r="46" spans="1:18" ht="15.75" x14ac:dyDescent="0.25">
      <c r="A46" s="107"/>
      <c r="B46" s="49" t="s">
        <v>70</v>
      </c>
      <c r="C46" s="81"/>
      <c r="D46" s="12">
        <f>C46*1.5</f>
        <v>0</v>
      </c>
      <c r="F46" s="37"/>
      <c r="G46" s="88"/>
      <c r="H46" s="132"/>
      <c r="I46" s="132"/>
      <c r="J46" s="132"/>
      <c r="K46" s="21"/>
      <c r="P46" s="4"/>
      <c r="Q46" s="4"/>
      <c r="R46" s="5"/>
    </row>
    <row r="47" spans="1:18" ht="15.75" x14ac:dyDescent="0.25">
      <c r="A47" s="108"/>
      <c r="B47" s="27"/>
      <c r="C47" s="11"/>
      <c r="D47" s="12"/>
      <c r="F47" s="59"/>
      <c r="G47" s="59"/>
      <c r="H47" s="109"/>
      <c r="I47" s="110"/>
      <c r="J47" s="111"/>
      <c r="K47" s="21"/>
      <c r="P47" s="4"/>
      <c r="Q47" s="4"/>
      <c r="R47" s="5"/>
    </row>
    <row r="48" spans="1:18" ht="15" customHeight="1" x14ac:dyDescent="0.25">
      <c r="A48" s="106" t="s">
        <v>32</v>
      </c>
      <c r="B48" s="27" t="s">
        <v>66</v>
      </c>
      <c r="C48" s="10"/>
      <c r="D48" s="12">
        <f>C48*78</f>
        <v>0</v>
      </c>
      <c r="F48" s="59"/>
      <c r="G48" s="59"/>
      <c r="H48" s="109"/>
      <c r="I48" s="110"/>
      <c r="J48" s="111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07"/>
      <c r="B49" s="29" t="s">
        <v>68</v>
      </c>
      <c r="C49" s="33"/>
      <c r="D49" s="12">
        <f>C49*42</f>
        <v>0</v>
      </c>
      <c r="F49" s="112" t="s">
        <v>86</v>
      </c>
      <c r="G49" s="114">
        <f>H34+H35+H36+H37+H38+H39+H40+H41+G42+H44+H45+H46</f>
        <v>0</v>
      </c>
      <c r="H49" s="115"/>
      <c r="I49" s="115"/>
      <c r="J49" s="116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07"/>
      <c r="B50" s="32" t="s">
        <v>70</v>
      </c>
      <c r="C50" s="11"/>
      <c r="D50" s="12">
        <f>C50*1.5</f>
        <v>0</v>
      </c>
      <c r="F50" s="113"/>
      <c r="G50" s="117"/>
      <c r="H50" s="118"/>
      <c r="I50" s="118"/>
      <c r="J50" s="119"/>
      <c r="O50" t="s">
        <v>137</v>
      </c>
      <c r="P50" s="4">
        <v>1204</v>
      </c>
      <c r="Q50" s="4"/>
      <c r="R50" s="5"/>
    </row>
    <row r="51" spans="1:18" ht="15" customHeight="1" x14ac:dyDescent="0.25">
      <c r="A51" s="107"/>
      <c r="B51" s="27"/>
      <c r="C51" s="10"/>
      <c r="D51" s="31"/>
      <c r="F51" s="120" t="s">
        <v>135</v>
      </c>
      <c r="G51" s="122">
        <f>G49-H29</f>
        <v>0</v>
      </c>
      <c r="H51" s="123"/>
      <c r="I51" s="123"/>
      <c r="J51" s="124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07"/>
      <c r="B52" s="29"/>
      <c r="C52" s="33"/>
      <c r="D52" s="45"/>
      <c r="F52" s="121"/>
      <c r="G52" s="125"/>
      <c r="H52" s="126"/>
      <c r="I52" s="126"/>
      <c r="J52" s="127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08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92" t="s">
        <v>90</v>
      </c>
      <c r="B54" s="93"/>
      <c r="C54" s="94"/>
      <c r="D54" s="98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95"/>
      <c r="B55" s="96"/>
      <c r="C55" s="97"/>
      <c r="D55" s="9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100" t="s">
        <v>91</v>
      </c>
      <c r="B58" s="101"/>
      <c r="C58" s="101"/>
      <c r="D58" s="102"/>
      <c r="F58" s="100" t="s">
        <v>92</v>
      </c>
      <c r="G58" s="101"/>
      <c r="H58" s="101"/>
      <c r="I58" s="101"/>
      <c r="J58" s="102"/>
    </row>
    <row r="59" spans="1:18" x14ac:dyDescent="0.25">
      <c r="A59" s="103"/>
      <c r="B59" s="104"/>
      <c r="C59" s="104"/>
      <c r="D59" s="105"/>
      <c r="F59" s="103"/>
      <c r="G59" s="104"/>
      <c r="H59" s="104"/>
      <c r="I59" s="104"/>
      <c r="J59" s="105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914BD0-B8C7-4F3A-BC81-5527136777EB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88" t="s">
        <v>1</v>
      </c>
      <c r="O1" s="188"/>
      <c r="P1" s="85" t="s">
        <v>2</v>
      </c>
      <c r="Q1" s="8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9" t="s">
        <v>7</v>
      </c>
      <c r="B4" s="140"/>
      <c r="C4" s="140"/>
      <c r="D4" s="141"/>
      <c r="F4" s="189" t="s">
        <v>8</v>
      </c>
      <c r="G4" s="191">
        <v>3</v>
      </c>
      <c r="H4" s="193" t="s">
        <v>9</v>
      </c>
      <c r="I4" s="195">
        <v>46092</v>
      </c>
      <c r="J4" s="19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3" t="s">
        <v>7</v>
      </c>
      <c r="B5" s="15" t="s">
        <v>11</v>
      </c>
      <c r="C5" s="9" t="s">
        <v>12</v>
      </c>
      <c r="D5" s="25" t="s">
        <v>13</v>
      </c>
      <c r="F5" s="190"/>
      <c r="G5" s="192"/>
      <c r="H5" s="194"/>
      <c r="I5" s="197"/>
      <c r="J5" s="19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4"/>
      <c r="B6" s="16" t="s">
        <v>15</v>
      </c>
      <c r="C6" s="10"/>
      <c r="D6" s="13">
        <f t="shared" ref="D6:D28" si="1">C6*L6</f>
        <v>0</v>
      </c>
      <c r="F6" s="199" t="s">
        <v>16</v>
      </c>
      <c r="G6" s="201" t="s">
        <v>141</v>
      </c>
      <c r="H6" s="202"/>
      <c r="I6" s="202"/>
      <c r="J6" s="203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4"/>
      <c r="B7" s="16" t="s">
        <v>18</v>
      </c>
      <c r="C7" s="10"/>
      <c r="D7" s="13">
        <f t="shared" si="1"/>
        <v>0</v>
      </c>
      <c r="F7" s="200"/>
      <c r="G7" s="204"/>
      <c r="H7" s="205"/>
      <c r="I7" s="205"/>
      <c r="J7" s="206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4"/>
      <c r="B8" s="16" t="s">
        <v>20</v>
      </c>
      <c r="C8" s="10"/>
      <c r="D8" s="13">
        <f t="shared" si="1"/>
        <v>0</v>
      </c>
      <c r="F8" s="207" t="s">
        <v>21</v>
      </c>
      <c r="G8" s="208" t="s">
        <v>130</v>
      </c>
      <c r="H8" s="209"/>
      <c r="I8" s="209"/>
      <c r="J8" s="210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4"/>
      <c r="B9" s="16" t="s">
        <v>23</v>
      </c>
      <c r="C9" s="10"/>
      <c r="D9" s="13">
        <f t="shared" si="1"/>
        <v>0</v>
      </c>
      <c r="F9" s="200"/>
      <c r="G9" s="211"/>
      <c r="H9" s="212"/>
      <c r="I9" s="212"/>
      <c r="J9" s="213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4"/>
      <c r="B10" t="s">
        <v>25</v>
      </c>
      <c r="C10" s="10"/>
      <c r="D10" s="13">
        <f t="shared" si="1"/>
        <v>0</v>
      </c>
      <c r="F10" s="199" t="s">
        <v>26</v>
      </c>
      <c r="G10" s="214" t="s">
        <v>127</v>
      </c>
      <c r="H10" s="215"/>
      <c r="I10" s="215"/>
      <c r="J10" s="216"/>
      <c r="K10" s="8"/>
      <c r="L10" s="6">
        <f>R36</f>
        <v>1032</v>
      </c>
      <c r="P10" s="4"/>
      <c r="Q10" s="4"/>
      <c r="R10" s="5"/>
    </row>
    <row r="11" spans="1:18" ht="15.75" x14ac:dyDescent="0.25">
      <c r="A11" s="134"/>
      <c r="B11" s="17" t="s">
        <v>28</v>
      </c>
      <c r="C11" s="10"/>
      <c r="D11" s="13">
        <f t="shared" si="1"/>
        <v>0</v>
      </c>
      <c r="F11" s="200"/>
      <c r="G11" s="211"/>
      <c r="H11" s="212"/>
      <c r="I11" s="212"/>
      <c r="J11" s="213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4"/>
      <c r="B12" s="17" t="s">
        <v>30</v>
      </c>
      <c r="C12" s="10"/>
      <c r="D12" s="48">
        <f t="shared" si="1"/>
        <v>0</v>
      </c>
      <c r="F12" s="217" t="s">
        <v>33</v>
      </c>
      <c r="G12" s="218"/>
      <c r="H12" s="218"/>
      <c r="I12" s="218"/>
      <c r="J12" s="219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4"/>
      <c r="B13" s="17" t="s">
        <v>32</v>
      </c>
      <c r="C13" s="10"/>
      <c r="D13" s="48">
        <f t="shared" si="1"/>
        <v>0</v>
      </c>
      <c r="F13" s="220" t="s">
        <v>36</v>
      </c>
      <c r="G13" s="184"/>
      <c r="H13" s="175">
        <f>D29</f>
        <v>0</v>
      </c>
      <c r="I13" s="176"/>
      <c r="J13" s="17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4"/>
      <c r="B14" s="14" t="s">
        <v>35</v>
      </c>
      <c r="C14" s="10"/>
      <c r="D14" s="31">
        <f t="shared" si="1"/>
        <v>0</v>
      </c>
      <c r="F14" s="178" t="s">
        <v>39</v>
      </c>
      <c r="G14" s="179"/>
      <c r="H14" s="180">
        <f>D54</f>
        <v>0</v>
      </c>
      <c r="I14" s="181"/>
      <c r="J14" s="18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4"/>
      <c r="B15" s="14" t="s">
        <v>38</v>
      </c>
      <c r="C15" s="10"/>
      <c r="D15" s="31">
        <f t="shared" si="1"/>
        <v>0</v>
      </c>
      <c r="F15" s="183" t="s">
        <v>40</v>
      </c>
      <c r="G15" s="184"/>
      <c r="H15" s="185">
        <f>H13-H14</f>
        <v>0</v>
      </c>
      <c r="I15" s="186"/>
      <c r="J15" s="187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4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45"/>
      <c r="I16" s="145"/>
      <c r="J16" s="145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4"/>
      <c r="B17" t="s">
        <v>112</v>
      </c>
      <c r="C17" s="10"/>
      <c r="D17" s="48">
        <f t="shared" si="1"/>
        <v>0</v>
      </c>
      <c r="F17" s="56"/>
      <c r="G17" s="66" t="s">
        <v>45</v>
      </c>
      <c r="H17" s="156"/>
      <c r="I17" s="156"/>
      <c r="J17" s="156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4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56"/>
      <c r="I18" s="156"/>
      <c r="J18" s="156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4"/>
      <c r="B19" s="14" t="s">
        <v>116</v>
      </c>
      <c r="C19" s="10"/>
      <c r="D19" s="48">
        <f t="shared" si="1"/>
        <v>0</v>
      </c>
      <c r="F19" s="56"/>
      <c r="G19" s="68" t="s">
        <v>50</v>
      </c>
      <c r="H19" s="232"/>
      <c r="I19" s="232"/>
      <c r="J19" s="232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4"/>
      <c r="B20" s="46" t="s">
        <v>108</v>
      </c>
      <c r="C20" s="10"/>
      <c r="D20" s="13">
        <f t="shared" si="1"/>
        <v>0</v>
      </c>
      <c r="F20" s="57"/>
      <c r="G20" s="70" t="s">
        <v>117</v>
      </c>
      <c r="H20" s="145"/>
      <c r="I20" s="145"/>
      <c r="J20" s="145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4"/>
      <c r="B21" s="14" t="s">
        <v>123</v>
      </c>
      <c r="C21" s="10"/>
      <c r="D21" s="48">
        <f t="shared" si="1"/>
        <v>0</v>
      </c>
      <c r="F21" s="69" t="s">
        <v>99</v>
      </c>
      <c r="G21" s="82" t="s">
        <v>98</v>
      </c>
      <c r="H21" s="158" t="s">
        <v>13</v>
      </c>
      <c r="I21" s="159"/>
      <c r="J21" s="160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4"/>
      <c r="B22" s="46" t="s">
        <v>104</v>
      </c>
      <c r="C22" s="10"/>
      <c r="D22" s="48">
        <f t="shared" si="1"/>
        <v>0</v>
      </c>
      <c r="F22" s="77"/>
      <c r="G22" s="73"/>
      <c r="H22" s="161"/>
      <c r="I22" s="161"/>
      <c r="J22" s="161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4"/>
      <c r="B23" s="14" t="s">
        <v>107</v>
      </c>
      <c r="C23" s="10"/>
      <c r="D23" s="48">
        <f t="shared" si="1"/>
        <v>0</v>
      </c>
      <c r="F23" s="78"/>
      <c r="G23" s="79"/>
      <c r="H23" s="162"/>
      <c r="I23" s="131"/>
      <c r="J23" s="131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4"/>
      <c r="B24" s="14" t="s">
        <v>101</v>
      </c>
      <c r="C24" s="10"/>
      <c r="D24" s="48">
        <f t="shared" si="1"/>
        <v>0</v>
      </c>
      <c r="F24" s="38"/>
      <c r="G24" s="37"/>
      <c r="H24" s="162"/>
      <c r="I24" s="131"/>
      <c r="J24" s="131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4"/>
      <c r="B25" s="14" t="s">
        <v>115</v>
      </c>
      <c r="C25" s="10"/>
      <c r="D25" s="48">
        <f t="shared" si="1"/>
        <v>0</v>
      </c>
      <c r="F25" s="60" t="s">
        <v>100</v>
      </c>
      <c r="G25" s="55" t="s">
        <v>98</v>
      </c>
      <c r="H25" s="163" t="s">
        <v>13</v>
      </c>
      <c r="I25" s="164"/>
      <c r="J25" s="165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4"/>
      <c r="B26" s="14" t="s">
        <v>105</v>
      </c>
      <c r="C26" s="10"/>
      <c r="D26" s="48">
        <f t="shared" si="1"/>
        <v>0</v>
      </c>
      <c r="F26" s="64"/>
      <c r="G26" s="59"/>
      <c r="H26" s="166"/>
      <c r="I26" s="167"/>
      <c r="J26" s="168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4"/>
      <c r="B27" s="14" t="s">
        <v>109</v>
      </c>
      <c r="C27" s="10"/>
      <c r="D27" s="44">
        <f t="shared" si="1"/>
        <v>0</v>
      </c>
      <c r="F27" s="25"/>
      <c r="G27" s="80"/>
      <c r="H27" s="169"/>
      <c r="I27" s="170"/>
      <c r="J27" s="171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5"/>
      <c r="B28" s="46" t="s">
        <v>97</v>
      </c>
      <c r="C28" s="10"/>
      <c r="D28" s="48">
        <f t="shared" si="1"/>
        <v>0</v>
      </c>
      <c r="F28" s="86"/>
      <c r="G28" s="61"/>
      <c r="H28" s="172"/>
      <c r="I28" s="173"/>
      <c r="J28" s="174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46" t="s">
        <v>36</v>
      </c>
      <c r="B29" s="147"/>
      <c r="C29" s="148"/>
      <c r="D29" s="152">
        <f>SUM(D6:D28)</f>
        <v>0</v>
      </c>
      <c r="F29" s="92" t="s">
        <v>55</v>
      </c>
      <c r="G29" s="154"/>
      <c r="H29" s="114">
        <f>H15-H16-H17-H18-H19-H20-H22-H23-H24+H26+H27</f>
        <v>0</v>
      </c>
      <c r="I29" s="115"/>
      <c r="J29" s="116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49"/>
      <c r="B30" s="150"/>
      <c r="C30" s="151"/>
      <c r="D30" s="153"/>
      <c r="F30" s="95"/>
      <c r="G30" s="155"/>
      <c r="H30" s="117"/>
      <c r="I30" s="118"/>
      <c r="J30" s="119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39" t="s">
        <v>58</v>
      </c>
      <c r="B32" s="140"/>
      <c r="C32" s="140"/>
      <c r="D32" s="141"/>
      <c r="F32" s="142" t="s">
        <v>59</v>
      </c>
      <c r="G32" s="143"/>
      <c r="H32" s="143"/>
      <c r="I32" s="143"/>
      <c r="J32" s="144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142" t="s">
        <v>13</v>
      </c>
      <c r="I33" s="143"/>
      <c r="J33" s="144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3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36">
        <f>F34*G34</f>
        <v>0</v>
      </c>
      <c r="I34" s="137"/>
      <c r="J34" s="138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4"/>
      <c r="B35" s="27" t="s">
        <v>68</v>
      </c>
      <c r="C35" s="52"/>
      <c r="D35" s="30">
        <f>C35*84</f>
        <v>0</v>
      </c>
      <c r="F35" s="58">
        <v>500</v>
      </c>
      <c r="G35" s="41"/>
      <c r="H35" s="136">
        <f>F35*G35</f>
        <v>0</v>
      </c>
      <c r="I35" s="137"/>
      <c r="J35" s="138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5"/>
      <c r="B36" s="26" t="s">
        <v>70</v>
      </c>
      <c r="C36" s="10"/>
      <c r="D36" s="12">
        <f>C36*1.5</f>
        <v>0</v>
      </c>
      <c r="F36" s="12">
        <v>200</v>
      </c>
      <c r="G36" s="37"/>
      <c r="H36" s="136">
        <f t="shared" ref="H36:H39" si="2">F36*G36</f>
        <v>0</v>
      </c>
      <c r="I36" s="137"/>
      <c r="J36" s="138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3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36">
        <f t="shared" si="2"/>
        <v>0</v>
      </c>
      <c r="I37" s="137"/>
      <c r="J37" s="138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4"/>
      <c r="B38" s="29" t="s">
        <v>68</v>
      </c>
      <c r="C38" s="54"/>
      <c r="D38" s="12">
        <f>C38*84</f>
        <v>0</v>
      </c>
      <c r="F38" s="30">
        <v>50</v>
      </c>
      <c r="G38" s="39"/>
      <c r="H38" s="136">
        <f t="shared" si="2"/>
        <v>0</v>
      </c>
      <c r="I38" s="137"/>
      <c r="J38" s="138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5"/>
      <c r="B39" s="29" t="s">
        <v>70</v>
      </c>
      <c r="C39" s="52"/>
      <c r="D39" s="31">
        <f>C39*4.5</f>
        <v>0</v>
      </c>
      <c r="F39" s="12">
        <v>20</v>
      </c>
      <c r="G39" s="37"/>
      <c r="H39" s="136">
        <f t="shared" si="2"/>
        <v>0</v>
      </c>
      <c r="I39" s="137"/>
      <c r="J39" s="138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3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36"/>
      <c r="I40" s="137"/>
      <c r="J40" s="138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4"/>
      <c r="B41" s="27" t="s">
        <v>68</v>
      </c>
      <c r="C41" s="10"/>
      <c r="D41" s="12">
        <f>C41*84</f>
        <v>0</v>
      </c>
      <c r="F41" s="12">
        <v>5</v>
      </c>
      <c r="G41" s="42"/>
      <c r="H41" s="136"/>
      <c r="I41" s="137"/>
      <c r="J41" s="138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5"/>
      <c r="B42" s="27" t="s">
        <v>70</v>
      </c>
      <c r="C42" s="11"/>
      <c r="D42" s="12">
        <f>C42*2.25</f>
        <v>0</v>
      </c>
      <c r="F42" s="39" t="s">
        <v>79</v>
      </c>
      <c r="G42" s="136"/>
      <c r="H42" s="137"/>
      <c r="I42" s="137"/>
      <c r="J42" s="138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06" t="s">
        <v>81</v>
      </c>
      <c r="C43" s="11"/>
      <c r="D43" s="12"/>
      <c r="F43" s="59" t="s">
        <v>82</v>
      </c>
      <c r="G43" s="89" t="s">
        <v>83</v>
      </c>
      <c r="H43" s="128" t="s">
        <v>13</v>
      </c>
      <c r="I43" s="129"/>
      <c r="J43" s="130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07"/>
      <c r="B44" s="27" t="s">
        <v>66</v>
      </c>
      <c r="C44" s="10"/>
      <c r="D44" s="12">
        <f>C44*120</f>
        <v>0</v>
      </c>
      <c r="F44" s="37"/>
      <c r="G44" s="76"/>
      <c r="H44" s="131"/>
      <c r="I44" s="131"/>
      <c r="J44" s="131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07"/>
      <c r="B45" s="27" t="s">
        <v>68</v>
      </c>
      <c r="C45" s="33"/>
      <c r="D45" s="12">
        <f>C45*84</f>
        <v>0</v>
      </c>
      <c r="F45" s="37"/>
      <c r="G45" s="76"/>
      <c r="H45" s="131"/>
      <c r="I45" s="131"/>
      <c r="J45" s="131"/>
      <c r="K45" s="21"/>
      <c r="P45" s="4"/>
      <c r="Q45" s="4"/>
      <c r="R45" s="5"/>
    </row>
    <row r="46" spans="1:18" ht="15.75" x14ac:dyDescent="0.25">
      <c r="A46" s="107"/>
      <c r="B46" s="49" t="s">
        <v>70</v>
      </c>
      <c r="C46" s="81"/>
      <c r="D46" s="12">
        <f>C46*1.5</f>
        <v>0</v>
      </c>
      <c r="F46" s="37"/>
      <c r="G46" s="62"/>
      <c r="H46" s="132"/>
      <c r="I46" s="132"/>
      <c r="J46" s="132"/>
      <c r="K46" s="21"/>
      <c r="P46" s="4"/>
      <c r="Q46" s="4"/>
      <c r="R46" s="5"/>
    </row>
    <row r="47" spans="1:18" ht="15.75" x14ac:dyDescent="0.25">
      <c r="A47" s="108"/>
      <c r="B47" s="27"/>
      <c r="C47" s="11"/>
      <c r="D47" s="12"/>
      <c r="F47" s="59"/>
      <c r="G47" s="59"/>
      <c r="H47" s="109"/>
      <c r="I47" s="110"/>
      <c r="J47" s="111"/>
      <c r="K47" s="21"/>
      <c r="P47" s="4"/>
      <c r="Q47" s="4"/>
      <c r="R47" s="5"/>
    </row>
    <row r="48" spans="1:18" ht="15" customHeight="1" x14ac:dyDescent="0.25">
      <c r="A48" s="106" t="s">
        <v>32</v>
      </c>
      <c r="B48" s="27" t="s">
        <v>66</v>
      </c>
      <c r="C48" s="10"/>
      <c r="D48" s="12">
        <f>C48*78</f>
        <v>0</v>
      </c>
      <c r="F48" s="59"/>
      <c r="G48" s="59"/>
      <c r="H48" s="109"/>
      <c r="I48" s="110"/>
      <c r="J48" s="111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07"/>
      <c r="B49" s="29" t="s">
        <v>68</v>
      </c>
      <c r="C49" s="33"/>
      <c r="D49" s="12">
        <f>C49*42</f>
        <v>0</v>
      </c>
      <c r="F49" s="112" t="s">
        <v>86</v>
      </c>
      <c r="G49" s="114">
        <f>H34+H35+H36+H37+H38+H39+H40+H41+G42+H44+H45+H46</f>
        <v>0</v>
      </c>
      <c r="H49" s="115"/>
      <c r="I49" s="115"/>
      <c r="J49" s="116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07"/>
      <c r="B50" s="32" t="s">
        <v>70</v>
      </c>
      <c r="C50" s="11"/>
      <c r="D50" s="12">
        <f>C50*1.5</f>
        <v>0</v>
      </c>
      <c r="F50" s="113"/>
      <c r="G50" s="117"/>
      <c r="H50" s="118"/>
      <c r="I50" s="118"/>
      <c r="J50" s="119"/>
      <c r="O50" t="s">
        <v>137</v>
      </c>
      <c r="P50" s="4">
        <v>1204</v>
      </c>
      <c r="Q50" s="4"/>
      <c r="R50" s="5"/>
    </row>
    <row r="51" spans="1:18" ht="15" customHeight="1" x14ac:dyDescent="0.25">
      <c r="A51" s="107"/>
      <c r="B51" s="27"/>
      <c r="C51" s="10"/>
      <c r="D51" s="31"/>
      <c r="F51" s="120" t="s">
        <v>138</v>
      </c>
      <c r="G51" s="122">
        <f>G49-H29</f>
        <v>0</v>
      </c>
      <c r="H51" s="123"/>
      <c r="I51" s="123"/>
      <c r="J51" s="124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07"/>
      <c r="B52" s="29"/>
      <c r="C52" s="33"/>
      <c r="D52" s="45"/>
      <c r="F52" s="121"/>
      <c r="G52" s="125"/>
      <c r="H52" s="126"/>
      <c r="I52" s="126"/>
      <c r="J52" s="127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08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92" t="s">
        <v>90</v>
      </c>
      <c r="B54" s="93"/>
      <c r="C54" s="94"/>
      <c r="D54" s="98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95"/>
      <c r="B55" s="96"/>
      <c r="C55" s="97"/>
      <c r="D55" s="9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100" t="s">
        <v>91</v>
      </c>
      <c r="B58" s="101"/>
      <c r="C58" s="101"/>
      <c r="D58" s="102"/>
      <c r="F58" s="100" t="s">
        <v>92</v>
      </c>
      <c r="G58" s="101"/>
      <c r="H58" s="101"/>
      <c r="I58" s="101"/>
      <c r="J58" s="102"/>
    </row>
    <row r="59" spans="1:18" x14ac:dyDescent="0.25">
      <c r="A59" s="103"/>
      <c r="B59" s="104"/>
      <c r="C59" s="104"/>
      <c r="D59" s="105"/>
      <c r="F59" s="103"/>
      <c r="G59" s="104"/>
      <c r="H59" s="104"/>
      <c r="I59" s="104"/>
      <c r="J59" s="105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61F7A8-CE77-4847-8EF3-7ADC9E6413B6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88" t="s">
        <v>1</v>
      </c>
      <c r="O1" s="188"/>
      <c r="P1" s="85" t="s">
        <v>2</v>
      </c>
      <c r="Q1" s="85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39" t="s">
        <v>7</v>
      </c>
      <c r="B4" s="140"/>
      <c r="C4" s="140"/>
      <c r="D4" s="141"/>
      <c r="F4" s="189" t="s">
        <v>8</v>
      </c>
      <c r="G4" s="191"/>
      <c r="H4" s="193" t="s">
        <v>9</v>
      </c>
      <c r="I4" s="195"/>
      <c r="J4" s="19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33" t="s">
        <v>7</v>
      </c>
      <c r="B5" s="15" t="s">
        <v>11</v>
      </c>
      <c r="C5" s="9" t="s">
        <v>12</v>
      </c>
      <c r="D5" s="25" t="s">
        <v>13</v>
      </c>
      <c r="F5" s="190"/>
      <c r="G5" s="192"/>
      <c r="H5" s="194"/>
      <c r="I5" s="197"/>
      <c r="J5" s="19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34"/>
      <c r="B6" s="16"/>
      <c r="C6" s="10"/>
      <c r="D6" s="13">
        <f t="shared" ref="D6:D28" si="1">C6*L6</f>
        <v>0</v>
      </c>
      <c r="F6" s="199" t="s">
        <v>16</v>
      </c>
      <c r="G6" s="201"/>
      <c r="H6" s="202"/>
      <c r="I6" s="202"/>
      <c r="J6" s="203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34"/>
      <c r="B7" s="16"/>
      <c r="C7" s="10"/>
      <c r="D7" s="13">
        <f t="shared" si="1"/>
        <v>0</v>
      </c>
      <c r="F7" s="200"/>
      <c r="G7" s="204"/>
      <c r="H7" s="205"/>
      <c r="I7" s="205"/>
      <c r="J7" s="206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34"/>
      <c r="B8" s="16"/>
      <c r="C8" s="10"/>
      <c r="D8" s="13">
        <f t="shared" si="1"/>
        <v>0</v>
      </c>
      <c r="F8" s="207" t="s">
        <v>21</v>
      </c>
      <c r="G8" s="208"/>
      <c r="H8" s="209"/>
      <c r="I8" s="209"/>
      <c r="J8" s="210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34"/>
      <c r="B9" s="16"/>
      <c r="C9" s="10"/>
      <c r="D9" s="13">
        <f t="shared" si="1"/>
        <v>0</v>
      </c>
      <c r="F9" s="200"/>
      <c r="G9" s="211"/>
      <c r="H9" s="212"/>
      <c r="I9" s="212"/>
      <c r="J9" s="213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34"/>
      <c r="C10" s="10"/>
      <c r="D10" s="13">
        <f t="shared" si="1"/>
        <v>0</v>
      </c>
      <c r="F10" s="199" t="s">
        <v>26</v>
      </c>
      <c r="G10" s="214"/>
      <c r="H10" s="215"/>
      <c r="I10" s="215"/>
      <c r="J10" s="216"/>
      <c r="K10" s="8"/>
      <c r="L10" s="6">
        <f>R36</f>
        <v>972</v>
      </c>
      <c r="P10" s="4"/>
      <c r="Q10" s="4"/>
      <c r="R10" s="5"/>
    </row>
    <row r="11" spans="1:19" ht="15.75" x14ac:dyDescent="0.25">
      <c r="A11" s="134"/>
      <c r="B11" s="17"/>
      <c r="C11" s="10"/>
      <c r="D11" s="13">
        <f t="shared" si="1"/>
        <v>0</v>
      </c>
      <c r="F11" s="200"/>
      <c r="G11" s="211"/>
      <c r="H11" s="212"/>
      <c r="I11" s="212"/>
      <c r="J11" s="213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34"/>
      <c r="B12" s="17"/>
      <c r="C12" s="10"/>
      <c r="D12" s="48">
        <f t="shared" si="1"/>
        <v>0</v>
      </c>
      <c r="F12" s="217" t="s">
        <v>33</v>
      </c>
      <c r="G12" s="218"/>
      <c r="H12" s="218"/>
      <c r="I12" s="218"/>
      <c r="J12" s="219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34"/>
      <c r="B13" s="17"/>
      <c r="C13" s="10"/>
      <c r="D13" s="48">
        <f t="shared" si="1"/>
        <v>0</v>
      </c>
      <c r="F13" s="220" t="s">
        <v>36</v>
      </c>
      <c r="G13" s="184"/>
      <c r="H13" s="175">
        <f>D29</f>
        <v>0</v>
      </c>
      <c r="I13" s="176"/>
      <c r="J13" s="17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34"/>
      <c r="B14" s="14"/>
      <c r="C14" s="10"/>
      <c r="D14" s="31">
        <f t="shared" si="1"/>
        <v>0</v>
      </c>
      <c r="F14" s="178" t="s">
        <v>39</v>
      </c>
      <c r="G14" s="179"/>
      <c r="H14" s="180">
        <f>D54</f>
        <v>0</v>
      </c>
      <c r="I14" s="181"/>
      <c r="J14" s="18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34"/>
      <c r="B15" s="14"/>
      <c r="C15" s="10"/>
      <c r="D15" s="31">
        <f t="shared" si="1"/>
        <v>0</v>
      </c>
      <c r="F15" s="183" t="s">
        <v>40</v>
      </c>
      <c r="G15" s="184"/>
      <c r="H15" s="185">
        <f>H13-H14</f>
        <v>0</v>
      </c>
      <c r="I15" s="186"/>
      <c r="J15" s="187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34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45"/>
      <c r="I16" s="145"/>
      <c r="J16" s="145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4"/>
      <c r="C17" s="10"/>
      <c r="D17" s="48">
        <f t="shared" si="1"/>
        <v>0</v>
      </c>
      <c r="F17" s="56"/>
      <c r="G17" s="66" t="s">
        <v>45</v>
      </c>
      <c r="H17" s="156"/>
      <c r="I17" s="156"/>
      <c r="J17" s="156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4"/>
      <c r="B18" s="19"/>
      <c r="C18" s="10"/>
      <c r="D18" s="48">
        <f t="shared" si="1"/>
        <v>0</v>
      </c>
      <c r="F18" s="56"/>
      <c r="G18" s="66" t="s">
        <v>47</v>
      </c>
      <c r="H18" s="156"/>
      <c r="I18" s="156"/>
      <c r="J18" s="156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4"/>
      <c r="B19" s="14"/>
      <c r="C19" s="10"/>
      <c r="D19" s="48">
        <f t="shared" si="1"/>
        <v>0</v>
      </c>
      <c r="F19" s="56"/>
      <c r="G19" s="68" t="s">
        <v>50</v>
      </c>
      <c r="H19" s="157"/>
      <c r="I19" s="157"/>
      <c r="J19" s="157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4"/>
      <c r="B20" s="46"/>
      <c r="C20" s="10"/>
      <c r="D20" s="13">
        <f t="shared" si="1"/>
        <v>0</v>
      </c>
      <c r="F20" s="57"/>
      <c r="G20" s="70" t="s">
        <v>117</v>
      </c>
      <c r="H20" s="145"/>
      <c r="I20" s="145"/>
      <c r="J20" s="145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4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58" t="s">
        <v>13</v>
      </c>
      <c r="I21" s="159"/>
      <c r="J21" s="160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4"/>
      <c r="B22" s="46"/>
      <c r="C22" s="10"/>
      <c r="D22" s="48">
        <f t="shared" si="1"/>
        <v>0</v>
      </c>
      <c r="F22" s="77"/>
      <c r="G22" s="73"/>
      <c r="H22" s="161"/>
      <c r="I22" s="161"/>
      <c r="J22" s="161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4"/>
      <c r="B23" s="14"/>
      <c r="C23" s="10"/>
      <c r="D23" s="48">
        <f t="shared" si="1"/>
        <v>0</v>
      </c>
      <c r="F23" s="78"/>
      <c r="G23" s="79"/>
      <c r="H23" s="162"/>
      <c r="I23" s="131"/>
      <c r="J23" s="131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4"/>
      <c r="B24" s="14"/>
      <c r="C24" s="10"/>
      <c r="D24" s="48">
        <f t="shared" si="1"/>
        <v>0</v>
      </c>
      <c r="F24" s="38"/>
      <c r="G24" s="37"/>
      <c r="H24" s="162"/>
      <c r="I24" s="131"/>
      <c r="J24" s="131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4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63" t="s">
        <v>13</v>
      </c>
      <c r="I25" s="164"/>
      <c r="J25" s="165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4"/>
      <c r="B26" s="14"/>
      <c r="C26" s="10"/>
      <c r="D26" s="48">
        <f t="shared" si="1"/>
        <v>0</v>
      </c>
      <c r="F26" s="64"/>
      <c r="G26" s="59"/>
      <c r="H26" s="166"/>
      <c r="I26" s="167"/>
      <c r="J26" s="168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4"/>
      <c r="B27" s="14"/>
      <c r="C27" s="10"/>
      <c r="D27" s="44">
        <f t="shared" si="1"/>
        <v>0</v>
      </c>
      <c r="F27" s="25"/>
      <c r="G27" s="80"/>
      <c r="H27" s="169"/>
      <c r="I27" s="170"/>
      <c r="J27" s="171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5"/>
      <c r="B28" s="46"/>
      <c r="C28" s="10"/>
      <c r="D28" s="48">
        <f t="shared" si="1"/>
        <v>0</v>
      </c>
      <c r="F28" s="86"/>
      <c r="G28" s="61"/>
      <c r="H28" s="172"/>
      <c r="I28" s="173"/>
      <c r="J28" s="174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46" t="s">
        <v>36</v>
      </c>
      <c r="B29" s="147"/>
      <c r="C29" s="148"/>
      <c r="D29" s="152">
        <f>SUM(D6:D28)</f>
        <v>0</v>
      </c>
      <c r="F29" s="92" t="s">
        <v>55</v>
      </c>
      <c r="G29" s="154"/>
      <c r="H29" s="114">
        <f>H15-H16-H17-H18-H19-H20-H22-H23-H24+H26+H27</f>
        <v>0</v>
      </c>
      <c r="I29" s="115"/>
      <c r="J29" s="116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49"/>
      <c r="B30" s="150"/>
      <c r="C30" s="151"/>
      <c r="D30" s="153"/>
      <c r="F30" s="95"/>
      <c r="G30" s="155"/>
      <c r="H30" s="117"/>
      <c r="I30" s="118"/>
      <c r="J30" s="119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39" t="s">
        <v>58</v>
      </c>
      <c r="B32" s="140"/>
      <c r="C32" s="140"/>
      <c r="D32" s="141"/>
      <c r="F32" s="142" t="s">
        <v>59</v>
      </c>
      <c r="G32" s="143"/>
      <c r="H32" s="143"/>
      <c r="I32" s="143"/>
      <c r="J32" s="144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142" t="s">
        <v>13</v>
      </c>
      <c r="I33" s="143"/>
      <c r="J33" s="144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3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36"/>
      <c r="I34" s="137"/>
      <c r="J34" s="138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4"/>
      <c r="B35" s="27" t="s">
        <v>68</v>
      </c>
      <c r="C35" s="52"/>
      <c r="D35" s="30">
        <f>C35*84</f>
        <v>0</v>
      </c>
      <c r="F35" s="58">
        <v>500</v>
      </c>
      <c r="G35" s="41"/>
      <c r="H35" s="136"/>
      <c r="I35" s="137"/>
      <c r="J35" s="138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5"/>
      <c r="B36" s="26" t="s">
        <v>70</v>
      </c>
      <c r="C36" s="10"/>
      <c r="D36" s="12">
        <f>C36*1.5</f>
        <v>0</v>
      </c>
      <c r="F36" s="12">
        <v>200</v>
      </c>
      <c r="G36" s="37"/>
      <c r="H36" s="136"/>
      <c r="I36" s="137"/>
      <c r="J36" s="138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3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36"/>
      <c r="I37" s="137"/>
      <c r="J37" s="138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4"/>
      <c r="B38" s="29" t="s">
        <v>68</v>
      </c>
      <c r="C38" s="54"/>
      <c r="D38" s="12">
        <f>C38*84</f>
        <v>0</v>
      </c>
      <c r="F38" s="30">
        <v>50</v>
      </c>
      <c r="G38" s="39"/>
      <c r="H38" s="136"/>
      <c r="I38" s="137"/>
      <c r="J38" s="138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5"/>
      <c r="B39" s="29" t="s">
        <v>70</v>
      </c>
      <c r="C39" s="52"/>
      <c r="D39" s="31">
        <f>C39*4.5</f>
        <v>0</v>
      </c>
      <c r="F39" s="12">
        <v>20</v>
      </c>
      <c r="G39" s="37"/>
      <c r="H39" s="136"/>
      <c r="I39" s="137"/>
      <c r="J39" s="138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3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36"/>
      <c r="I40" s="137"/>
      <c r="J40" s="138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4"/>
      <c r="B41" s="27" t="s">
        <v>68</v>
      </c>
      <c r="C41" s="10"/>
      <c r="D41" s="12">
        <f>C41*84</f>
        <v>0</v>
      </c>
      <c r="F41" s="12">
        <v>5</v>
      </c>
      <c r="G41" s="42"/>
      <c r="H41" s="136"/>
      <c r="I41" s="137"/>
      <c r="J41" s="138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5"/>
      <c r="B42" s="27" t="s">
        <v>70</v>
      </c>
      <c r="C42" s="11"/>
      <c r="D42" s="12">
        <f>C42*2.25</f>
        <v>0</v>
      </c>
      <c r="F42" s="39" t="s">
        <v>79</v>
      </c>
      <c r="G42" s="136"/>
      <c r="H42" s="137"/>
      <c r="I42" s="137"/>
      <c r="J42" s="138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06" t="s">
        <v>81</v>
      </c>
      <c r="C43" s="11"/>
      <c r="D43" s="12"/>
      <c r="F43" s="59" t="s">
        <v>82</v>
      </c>
      <c r="G43" s="89" t="s">
        <v>83</v>
      </c>
      <c r="H43" s="128" t="s">
        <v>13</v>
      </c>
      <c r="I43" s="129"/>
      <c r="J43" s="130"/>
      <c r="K43" s="21"/>
      <c r="P43" s="4"/>
      <c r="Q43" s="4"/>
      <c r="R43" s="5"/>
    </row>
    <row r="44" spans="1:18" ht="15.75" x14ac:dyDescent="0.25">
      <c r="A44" s="107"/>
      <c r="B44" s="27" t="s">
        <v>66</v>
      </c>
      <c r="C44" s="10"/>
      <c r="D44" s="12">
        <f>C44*120</f>
        <v>0</v>
      </c>
      <c r="F44" s="37"/>
      <c r="G44" s="76"/>
      <c r="H44" s="131"/>
      <c r="I44" s="131"/>
      <c r="J44" s="131"/>
      <c r="K44" s="21"/>
      <c r="P44" s="4"/>
      <c r="Q44" s="4"/>
      <c r="R44" s="5"/>
    </row>
    <row r="45" spans="1:18" ht="15.75" x14ac:dyDescent="0.25">
      <c r="A45" s="107"/>
      <c r="B45" s="27" t="s">
        <v>68</v>
      </c>
      <c r="C45" s="33"/>
      <c r="D45" s="12">
        <f>C45*84</f>
        <v>0</v>
      </c>
      <c r="F45" s="37"/>
      <c r="G45" s="76"/>
      <c r="H45" s="131"/>
      <c r="I45" s="131"/>
      <c r="J45" s="131"/>
      <c r="K45" s="21"/>
      <c r="P45" s="4"/>
      <c r="Q45" s="4"/>
      <c r="R45" s="5"/>
    </row>
    <row r="46" spans="1:18" ht="15.75" x14ac:dyDescent="0.25">
      <c r="A46" s="107"/>
      <c r="B46" s="49" t="s">
        <v>70</v>
      </c>
      <c r="C46" s="81"/>
      <c r="D46" s="12">
        <f>C46*1.5</f>
        <v>0</v>
      </c>
      <c r="F46" s="37"/>
      <c r="G46" s="62"/>
      <c r="H46" s="132"/>
      <c r="I46" s="132"/>
      <c r="J46" s="132"/>
      <c r="K46" s="21"/>
      <c r="P46" s="4"/>
      <c r="Q46" s="4"/>
      <c r="R46" s="5"/>
    </row>
    <row r="47" spans="1:18" ht="15.75" x14ac:dyDescent="0.25">
      <c r="A47" s="108"/>
      <c r="B47" s="27"/>
      <c r="C47" s="11"/>
      <c r="D47" s="12"/>
      <c r="F47" s="59"/>
      <c r="G47" s="59"/>
      <c r="H47" s="109"/>
      <c r="I47" s="110"/>
      <c r="J47" s="111"/>
      <c r="K47" s="21"/>
      <c r="P47" s="4"/>
      <c r="Q47" s="4"/>
      <c r="R47" s="5"/>
    </row>
    <row r="48" spans="1:18" ht="15" customHeight="1" x14ac:dyDescent="0.25">
      <c r="A48" s="106" t="s">
        <v>32</v>
      </c>
      <c r="B48" s="27" t="s">
        <v>66</v>
      </c>
      <c r="C48" s="10"/>
      <c r="D48" s="12">
        <f>C48*78</f>
        <v>0</v>
      </c>
      <c r="F48" s="59"/>
      <c r="G48" s="59"/>
      <c r="H48" s="109"/>
      <c r="I48" s="110"/>
      <c r="J48" s="111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07"/>
      <c r="B49" s="29" t="s">
        <v>68</v>
      </c>
      <c r="C49" s="33"/>
      <c r="D49" s="12">
        <f>C49*42</f>
        <v>0</v>
      </c>
      <c r="F49" s="112" t="s">
        <v>86</v>
      </c>
      <c r="G49" s="114">
        <f>H34+H35+H36+H37+H38+H39+H40+H41+G42+H44+H45+H46</f>
        <v>0</v>
      </c>
      <c r="H49" s="115"/>
      <c r="I49" s="115"/>
      <c r="J49" s="116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07"/>
      <c r="B50" s="32" t="s">
        <v>70</v>
      </c>
      <c r="C50" s="11"/>
      <c r="D50" s="12">
        <f>C50*1.5</f>
        <v>0</v>
      </c>
      <c r="F50" s="113"/>
      <c r="G50" s="117"/>
      <c r="H50" s="118"/>
      <c r="I50" s="118"/>
      <c r="J50" s="119"/>
      <c r="P50" s="4"/>
      <c r="Q50" s="4"/>
      <c r="R50" s="5"/>
    </row>
    <row r="51" spans="1:18" ht="15" customHeight="1" x14ac:dyDescent="0.25">
      <c r="A51" s="107"/>
      <c r="B51" s="27"/>
      <c r="C51" s="10"/>
      <c r="D51" s="31"/>
      <c r="F51" s="120" t="s">
        <v>125</v>
      </c>
      <c r="G51" s="122">
        <f>G49-H29</f>
        <v>0</v>
      </c>
      <c r="H51" s="123"/>
      <c r="I51" s="123"/>
      <c r="J51" s="124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07"/>
      <c r="B52" s="29"/>
      <c r="C52" s="33"/>
      <c r="D52" s="45"/>
      <c r="F52" s="121"/>
      <c r="G52" s="125"/>
      <c r="H52" s="126"/>
      <c r="I52" s="126"/>
      <c r="J52" s="127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08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92" t="s">
        <v>90</v>
      </c>
      <c r="B54" s="93"/>
      <c r="C54" s="94"/>
      <c r="D54" s="98">
        <f>SUM(D34:D53)</f>
        <v>0</v>
      </c>
      <c r="F54" s="21"/>
      <c r="J54" s="34"/>
    </row>
    <row r="55" spans="1:18" x14ac:dyDescent="0.25">
      <c r="A55" s="95"/>
      <c r="B55" s="96"/>
      <c r="C55" s="97"/>
      <c r="D55" s="9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00" t="s">
        <v>91</v>
      </c>
      <c r="B58" s="101"/>
      <c r="C58" s="101"/>
      <c r="D58" s="102"/>
      <c r="F58" s="100" t="s">
        <v>92</v>
      </c>
      <c r="G58" s="101"/>
      <c r="H58" s="101"/>
      <c r="I58" s="101"/>
      <c r="J58" s="102"/>
    </row>
    <row r="59" spans="1:18" x14ac:dyDescent="0.25">
      <c r="A59" s="103"/>
      <c r="B59" s="104"/>
      <c r="C59" s="104"/>
      <c r="D59" s="105"/>
      <c r="F59" s="103"/>
      <c r="G59" s="104"/>
      <c r="H59" s="104"/>
      <c r="I59" s="104"/>
      <c r="J59" s="105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9E3A9C-2282-4423-86B3-F79EE52EE269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88" t="s">
        <v>1</v>
      </c>
      <c r="O1" s="188"/>
      <c r="P1" s="85" t="s">
        <v>2</v>
      </c>
      <c r="Q1" s="8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9" t="s">
        <v>7</v>
      </c>
      <c r="B4" s="140"/>
      <c r="C4" s="140"/>
      <c r="D4" s="141"/>
      <c r="F4" s="189" t="s">
        <v>8</v>
      </c>
      <c r="G4" s="191">
        <v>1</v>
      </c>
      <c r="H4" s="193" t="s">
        <v>9</v>
      </c>
      <c r="I4" s="195">
        <v>46093</v>
      </c>
      <c r="J4" s="19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3" t="s">
        <v>7</v>
      </c>
      <c r="B5" s="15" t="s">
        <v>11</v>
      </c>
      <c r="C5" s="9" t="s">
        <v>12</v>
      </c>
      <c r="D5" s="25" t="s">
        <v>13</v>
      </c>
      <c r="F5" s="190"/>
      <c r="G5" s="192"/>
      <c r="H5" s="194"/>
      <c r="I5" s="197"/>
      <c r="J5" s="19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4"/>
      <c r="B6" s="16" t="s">
        <v>15</v>
      </c>
      <c r="C6" s="10"/>
      <c r="D6" s="13">
        <f t="shared" ref="D6:D28" si="1">C6*L6</f>
        <v>0</v>
      </c>
      <c r="F6" s="199" t="s">
        <v>16</v>
      </c>
      <c r="G6" s="201" t="s">
        <v>111</v>
      </c>
      <c r="H6" s="202"/>
      <c r="I6" s="202"/>
      <c r="J6" s="203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4"/>
      <c r="B7" s="16" t="s">
        <v>18</v>
      </c>
      <c r="C7" s="10"/>
      <c r="D7" s="13">
        <f t="shared" si="1"/>
        <v>0</v>
      </c>
      <c r="F7" s="200"/>
      <c r="G7" s="204"/>
      <c r="H7" s="205"/>
      <c r="I7" s="205"/>
      <c r="J7" s="206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4"/>
      <c r="B8" s="16" t="s">
        <v>20</v>
      </c>
      <c r="C8" s="10"/>
      <c r="D8" s="13">
        <f t="shared" si="1"/>
        <v>0</v>
      </c>
      <c r="F8" s="207" t="s">
        <v>21</v>
      </c>
      <c r="G8" s="208" t="s">
        <v>144</v>
      </c>
      <c r="H8" s="209"/>
      <c r="I8" s="209"/>
      <c r="J8" s="210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4"/>
      <c r="B9" s="16" t="s">
        <v>23</v>
      </c>
      <c r="C9" s="10"/>
      <c r="D9" s="13">
        <f t="shared" si="1"/>
        <v>0</v>
      </c>
      <c r="F9" s="200"/>
      <c r="G9" s="211"/>
      <c r="H9" s="212"/>
      <c r="I9" s="212"/>
      <c r="J9" s="213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4"/>
      <c r="B10" t="s">
        <v>25</v>
      </c>
      <c r="C10" s="10"/>
      <c r="D10" s="13">
        <f t="shared" si="1"/>
        <v>0</v>
      </c>
      <c r="F10" s="199" t="s">
        <v>26</v>
      </c>
      <c r="G10" s="214" t="s">
        <v>139</v>
      </c>
      <c r="H10" s="215"/>
      <c r="I10" s="215"/>
      <c r="J10" s="216"/>
      <c r="K10" s="8"/>
      <c r="L10" s="6">
        <f>R36</f>
        <v>1032</v>
      </c>
      <c r="P10" s="4"/>
      <c r="Q10" s="4"/>
      <c r="R10" s="5"/>
    </row>
    <row r="11" spans="1:18" ht="15.75" x14ac:dyDescent="0.25">
      <c r="A11" s="134"/>
      <c r="B11" s="17" t="s">
        <v>28</v>
      </c>
      <c r="C11" s="10"/>
      <c r="D11" s="13">
        <f t="shared" si="1"/>
        <v>0</v>
      </c>
      <c r="F11" s="200"/>
      <c r="G11" s="211"/>
      <c r="H11" s="212"/>
      <c r="I11" s="212"/>
      <c r="J11" s="213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4"/>
      <c r="B12" s="17" t="s">
        <v>30</v>
      </c>
      <c r="C12" s="10"/>
      <c r="D12" s="48">
        <f t="shared" si="1"/>
        <v>0</v>
      </c>
      <c r="F12" s="217" t="s">
        <v>33</v>
      </c>
      <c r="G12" s="218"/>
      <c r="H12" s="218"/>
      <c r="I12" s="218"/>
      <c r="J12" s="219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4"/>
      <c r="B13" s="17" t="s">
        <v>32</v>
      </c>
      <c r="C13" s="10"/>
      <c r="D13" s="48">
        <f t="shared" si="1"/>
        <v>0</v>
      </c>
      <c r="F13" s="220" t="s">
        <v>36</v>
      </c>
      <c r="G13" s="184"/>
      <c r="H13" s="175">
        <f>D29</f>
        <v>0</v>
      </c>
      <c r="I13" s="176"/>
      <c r="J13" s="17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4"/>
      <c r="B14" s="14" t="s">
        <v>35</v>
      </c>
      <c r="C14" s="10"/>
      <c r="D14" s="31">
        <f t="shared" si="1"/>
        <v>0</v>
      </c>
      <c r="F14" s="178" t="s">
        <v>39</v>
      </c>
      <c r="G14" s="179"/>
      <c r="H14" s="180">
        <f>D54</f>
        <v>0</v>
      </c>
      <c r="I14" s="181"/>
      <c r="J14" s="18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4"/>
      <c r="B15" s="14" t="s">
        <v>38</v>
      </c>
      <c r="C15" s="10"/>
      <c r="D15" s="31">
        <f t="shared" si="1"/>
        <v>0</v>
      </c>
      <c r="F15" s="183" t="s">
        <v>40</v>
      </c>
      <c r="G15" s="184"/>
      <c r="H15" s="185">
        <f>H13-H14</f>
        <v>0</v>
      </c>
      <c r="I15" s="186"/>
      <c r="J15" s="187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4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45"/>
      <c r="I16" s="145"/>
      <c r="J16" s="145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4"/>
      <c r="B17" t="s">
        <v>133</v>
      </c>
      <c r="C17" s="10"/>
      <c r="D17" s="48">
        <f t="shared" si="1"/>
        <v>0</v>
      </c>
      <c r="F17" s="56"/>
      <c r="G17" s="66" t="s">
        <v>45</v>
      </c>
      <c r="H17" s="156"/>
      <c r="I17" s="156"/>
      <c r="J17" s="156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4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56"/>
      <c r="I18" s="156"/>
      <c r="J18" s="156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4"/>
      <c r="B19" s="14" t="s">
        <v>129</v>
      </c>
      <c r="C19" s="10"/>
      <c r="D19" s="48">
        <f t="shared" si="1"/>
        <v>0</v>
      </c>
      <c r="F19" s="56"/>
      <c r="G19" s="68" t="s">
        <v>50</v>
      </c>
      <c r="H19" s="156"/>
      <c r="I19" s="156"/>
      <c r="J19" s="156"/>
      <c r="L19" s="6">
        <v>1102</v>
      </c>
      <c r="Q19" s="4"/>
      <c r="R19" s="5">
        <f t="shared" si="0"/>
        <v>0</v>
      </c>
    </row>
    <row r="20" spans="1:18" ht="15.75" x14ac:dyDescent="0.25">
      <c r="A20" s="134"/>
      <c r="B20" s="83" t="s">
        <v>122</v>
      </c>
      <c r="C20" s="10"/>
      <c r="D20" s="13">
        <f t="shared" si="1"/>
        <v>0</v>
      </c>
      <c r="F20" s="57"/>
      <c r="G20" s="70" t="s">
        <v>117</v>
      </c>
      <c r="H20" s="145"/>
      <c r="I20" s="145"/>
      <c r="J20" s="145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4"/>
      <c r="B21" s="14" t="s">
        <v>131</v>
      </c>
      <c r="C21" s="10"/>
      <c r="D21" s="48">
        <f t="shared" si="1"/>
        <v>0</v>
      </c>
      <c r="F21" s="69" t="s">
        <v>99</v>
      </c>
      <c r="G21" s="82" t="s">
        <v>98</v>
      </c>
      <c r="H21" s="158" t="s">
        <v>13</v>
      </c>
      <c r="I21" s="159"/>
      <c r="J21" s="160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4"/>
      <c r="B22" s="46" t="s">
        <v>124</v>
      </c>
      <c r="C22" s="10"/>
      <c r="D22" s="48">
        <f t="shared" si="1"/>
        <v>0</v>
      </c>
      <c r="F22" s="77"/>
      <c r="G22" s="73"/>
      <c r="H22" s="161"/>
      <c r="I22" s="161"/>
      <c r="J22" s="161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4"/>
      <c r="B23" s="14" t="s">
        <v>101</v>
      </c>
      <c r="C23" s="10"/>
      <c r="D23" s="48">
        <f t="shared" si="1"/>
        <v>0</v>
      </c>
      <c r="F23" s="77"/>
      <c r="G23" s="79"/>
      <c r="H23" s="227"/>
      <c r="I23" s="228"/>
      <c r="J23" s="228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4"/>
      <c r="B24" s="14" t="s">
        <v>118</v>
      </c>
      <c r="C24" s="10"/>
      <c r="D24" s="48">
        <f t="shared" si="1"/>
        <v>0</v>
      </c>
      <c r="F24" s="77"/>
      <c r="G24" s="79"/>
      <c r="H24" s="227"/>
      <c r="I24" s="228"/>
      <c r="J24" s="228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4"/>
      <c r="B25" s="14" t="s">
        <v>134</v>
      </c>
      <c r="C25" s="10"/>
      <c r="D25" s="48">
        <f t="shared" si="1"/>
        <v>0</v>
      </c>
      <c r="F25" s="60" t="s">
        <v>100</v>
      </c>
      <c r="G25" s="55" t="s">
        <v>98</v>
      </c>
      <c r="H25" s="163" t="s">
        <v>13</v>
      </c>
      <c r="I25" s="164"/>
      <c r="J25" s="165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4"/>
      <c r="B26" s="14" t="s">
        <v>132</v>
      </c>
      <c r="C26" s="10"/>
      <c r="D26" s="48">
        <f t="shared" si="1"/>
        <v>0</v>
      </c>
      <c r="F26" s="75"/>
      <c r="G26" s="65"/>
      <c r="H26" s="131"/>
      <c r="I26" s="131"/>
      <c r="J26" s="131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4"/>
      <c r="B27" s="14" t="s">
        <v>110</v>
      </c>
      <c r="C27" s="10"/>
      <c r="D27" s="44">
        <f t="shared" si="1"/>
        <v>0</v>
      </c>
      <c r="F27" s="71"/>
      <c r="G27" s="89"/>
      <c r="H27" s="229"/>
      <c r="I27" s="230"/>
      <c r="J27" s="230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5"/>
      <c r="B28" s="46" t="s">
        <v>97</v>
      </c>
      <c r="C28" s="10"/>
      <c r="D28" s="48">
        <f t="shared" si="1"/>
        <v>0</v>
      </c>
      <c r="F28" s="86"/>
      <c r="G28" s="61"/>
      <c r="H28" s="172"/>
      <c r="I28" s="173"/>
      <c r="J28" s="174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46" t="s">
        <v>36</v>
      </c>
      <c r="B29" s="147"/>
      <c r="C29" s="148"/>
      <c r="D29" s="152">
        <f>SUM(D6:D28)</f>
        <v>0</v>
      </c>
      <c r="F29" s="92" t="s">
        <v>55</v>
      </c>
      <c r="G29" s="154"/>
      <c r="H29" s="114">
        <f>H15-H16-H17-H18-H19-H20-H22-H23-H24+H26+H27+H28</f>
        <v>0</v>
      </c>
      <c r="I29" s="115"/>
      <c r="J29" s="116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49"/>
      <c r="B30" s="150"/>
      <c r="C30" s="151"/>
      <c r="D30" s="153"/>
      <c r="F30" s="95"/>
      <c r="G30" s="155"/>
      <c r="H30" s="117"/>
      <c r="I30" s="118"/>
      <c r="J30" s="119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39" t="s">
        <v>58</v>
      </c>
      <c r="B32" s="140"/>
      <c r="C32" s="140"/>
      <c r="D32" s="141"/>
      <c r="F32" s="142" t="s">
        <v>59</v>
      </c>
      <c r="G32" s="143"/>
      <c r="H32" s="143"/>
      <c r="I32" s="143"/>
      <c r="J32" s="144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142" t="s">
        <v>13</v>
      </c>
      <c r="I33" s="143"/>
      <c r="J33" s="144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3" t="s">
        <v>65</v>
      </c>
      <c r="B34" s="26" t="s">
        <v>66</v>
      </c>
      <c r="C34" s="51"/>
      <c r="D34" s="30">
        <f>C34*120</f>
        <v>0</v>
      </c>
      <c r="F34" s="12">
        <v>1000</v>
      </c>
      <c r="G34" s="40"/>
      <c r="H34" s="136">
        <f t="shared" ref="H34:H39" si="2">F34*G34</f>
        <v>0</v>
      </c>
      <c r="I34" s="137"/>
      <c r="J34" s="138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4"/>
      <c r="B35" s="27" t="s">
        <v>68</v>
      </c>
      <c r="C35" s="52"/>
      <c r="D35" s="30">
        <f>C35*84</f>
        <v>0</v>
      </c>
      <c r="F35" s="58">
        <v>500</v>
      </c>
      <c r="G35" s="41"/>
      <c r="H35" s="136">
        <f t="shared" si="2"/>
        <v>0</v>
      </c>
      <c r="I35" s="137"/>
      <c r="J35" s="138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5"/>
      <c r="B36" s="26" t="s">
        <v>70</v>
      </c>
      <c r="C36" s="10"/>
      <c r="D36" s="12">
        <f>C36*1.5</f>
        <v>0</v>
      </c>
      <c r="F36" s="12">
        <v>200</v>
      </c>
      <c r="G36" s="37"/>
      <c r="H36" s="136">
        <f t="shared" si="2"/>
        <v>0</v>
      </c>
      <c r="I36" s="137"/>
      <c r="J36" s="138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3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36">
        <f t="shared" si="2"/>
        <v>0</v>
      </c>
      <c r="I37" s="137"/>
      <c r="J37" s="138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4"/>
      <c r="B38" s="29" t="s">
        <v>68</v>
      </c>
      <c r="C38" s="54"/>
      <c r="D38" s="12">
        <f>C38*84</f>
        <v>0</v>
      </c>
      <c r="F38" s="30">
        <v>50</v>
      </c>
      <c r="G38" s="39"/>
      <c r="H38" s="136">
        <f t="shared" si="2"/>
        <v>0</v>
      </c>
      <c r="I38" s="137"/>
      <c r="J38" s="138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5"/>
      <c r="B39" s="29" t="s">
        <v>70</v>
      </c>
      <c r="C39" s="52"/>
      <c r="D39" s="31">
        <f>C39*4.5</f>
        <v>0</v>
      </c>
      <c r="F39" s="12">
        <v>20</v>
      </c>
      <c r="G39" s="37"/>
      <c r="H39" s="136">
        <f t="shared" si="2"/>
        <v>0</v>
      </c>
      <c r="I39" s="137"/>
      <c r="J39" s="138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3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36"/>
      <c r="I40" s="137"/>
      <c r="J40" s="138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4"/>
      <c r="B41" s="27" t="s">
        <v>68</v>
      </c>
      <c r="C41" s="10"/>
      <c r="D41" s="12">
        <f>C41*84</f>
        <v>0</v>
      </c>
      <c r="F41" s="12">
        <v>5</v>
      </c>
      <c r="G41" s="42"/>
      <c r="H41" s="136"/>
      <c r="I41" s="137"/>
      <c r="J41" s="138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5"/>
      <c r="B42" s="27" t="s">
        <v>70</v>
      </c>
      <c r="C42" s="11"/>
      <c r="D42" s="12">
        <f>C42*2.25</f>
        <v>0</v>
      </c>
      <c r="F42" s="39" t="s">
        <v>79</v>
      </c>
      <c r="G42" s="136"/>
      <c r="H42" s="137"/>
      <c r="I42" s="137"/>
      <c r="J42" s="138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06" t="s">
        <v>81</v>
      </c>
      <c r="C43" s="11"/>
      <c r="D43" s="12"/>
      <c r="F43" s="59" t="s">
        <v>82</v>
      </c>
      <c r="G43" s="89" t="s">
        <v>83</v>
      </c>
      <c r="H43" s="128" t="s">
        <v>13</v>
      </c>
      <c r="I43" s="129"/>
      <c r="J43" s="130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07"/>
      <c r="B44" s="27" t="s">
        <v>66</v>
      </c>
      <c r="C44" s="10"/>
      <c r="D44" s="12">
        <f>C44*120</f>
        <v>0</v>
      </c>
      <c r="F44" s="37"/>
      <c r="G44" s="84"/>
      <c r="H44" s="131"/>
      <c r="I44" s="131"/>
      <c r="J44" s="131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07"/>
      <c r="B45" s="27" t="s">
        <v>68</v>
      </c>
      <c r="C45" s="33"/>
      <c r="D45" s="12">
        <f>C45*84</f>
        <v>0</v>
      </c>
      <c r="F45" s="37"/>
      <c r="G45" s="62"/>
      <c r="H45" s="131"/>
      <c r="I45" s="131"/>
      <c r="J45" s="131"/>
      <c r="K45" s="21"/>
      <c r="P45" s="4"/>
      <c r="Q45" s="4"/>
      <c r="R45" s="5"/>
    </row>
    <row r="46" spans="1:18" ht="15.75" x14ac:dyDescent="0.25">
      <c r="A46" s="107"/>
      <c r="B46" s="49" t="s">
        <v>70</v>
      </c>
      <c r="C46" s="81"/>
      <c r="D46" s="12">
        <f>C46*1.5</f>
        <v>0</v>
      </c>
      <c r="F46" s="37"/>
      <c r="G46" s="62"/>
      <c r="H46" s="131"/>
      <c r="I46" s="131"/>
      <c r="J46" s="131"/>
      <c r="K46" s="21"/>
      <c r="P46" s="4"/>
      <c r="Q46" s="4"/>
      <c r="R46" s="5"/>
    </row>
    <row r="47" spans="1:18" ht="15.75" x14ac:dyDescent="0.25">
      <c r="A47" s="108"/>
      <c r="B47" s="27"/>
      <c r="C47" s="11"/>
      <c r="D47" s="12"/>
      <c r="F47" s="59"/>
      <c r="G47" s="59"/>
      <c r="H47" s="109"/>
      <c r="I47" s="110"/>
      <c r="J47" s="111"/>
      <c r="K47" s="21"/>
      <c r="P47" s="4"/>
      <c r="Q47" s="4"/>
      <c r="R47" s="5"/>
    </row>
    <row r="48" spans="1:18" ht="15" customHeight="1" x14ac:dyDescent="0.25">
      <c r="A48" s="106" t="s">
        <v>32</v>
      </c>
      <c r="B48" s="27" t="s">
        <v>66</v>
      </c>
      <c r="C48" s="10"/>
      <c r="D48" s="12">
        <f>C48*78</f>
        <v>0</v>
      </c>
      <c r="F48" s="59"/>
      <c r="G48" s="59"/>
      <c r="H48" s="109"/>
      <c r="I48" s="110"/>
      <c r="J48" s="111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07"/>
      <c r="B49" s="29" t="s">
        <v>68</v>
      </c>
      <c r="C49" s="33"/>
      <c r="D49" s="12">
        <f>C49*42</f>
        <v>0</v>
      </c>
      <c r="F49" s="112" t="s">
        <v>86</v>
      </c>
      <c r="G49" s="114">
        <f>H34+H35+H36+H37+H38+H39+H40+H41+G42+H44+H45+H46</f>
        <v>0</v>
      </c>
      <c r="H49" s="115"/>
      <c r="I49" s="115"/>
      <c r="J49" s="116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07"/>
      <c r="B50" s="32" t="s">
        <v>70</v>
      </c>
      <c r="C50" s="11"/>
      <c r="D50" s="12">
        <f>C50*1.5</f>
        <v>0</v>
      </c>
      <c r="F50" s="113"/>
      <c r="G50" s="117"/>
      <c r="H50" s="118"/>
      <c r="I50" s="118"/>
      <c r="J50" s="119"/>
      <c r="O50" t="s">
        <v>137</v>
      </c>
      <c r="P50" s="4">
        <v>1204</v>
      </c>
      <c r="Q50" s="4"/>
      <c r="R50" s="5"/>
    </row>
    <row r="51" spans="1:18" ht="15" customHeight="1" x14ac:dyDescent="0.25">
      <c r="A51" s="107"/>
      <c r="B51" s="27"/>
      <c r="C51" s="10"/>
      <c r="D51" s="31"/>
      <c r="F51" s="120" t="s">
        <v>128</v>
      </c>
      <c r="G51" s="221">
        <f>G49-H29</f>
        <v>0</v>
      </c>
      <c r="H51" s="222"/>
      <c r="I51" s="222"/>
      <c r="J51" s="223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07"/>
      <c r="B52" s="29"/>
      <c r="C52" s="33"/>
      <c r="D52" s="45"/>
      <c r="F52" s="121"/>
      <c r="G52" s="224"/>
      <c r="H52" s="225"/>
      <c r="I52" s="225"/>
      <c r="J52" s="226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08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92" t="s">
        <v>90</v>
      </c>
      <c r="B54" s="93"/>
      <c r="C54" s="94"/>
      <c r="D54" s="98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95"/>
      <c r="B55" s="96"/>
      <c r="C55" s="97"/>
      <c r="D55" s="9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140</v>
      </c>
      <c r="D57" s="34"/>
      <c r="F57" s="36"/>
      <c r="G57" s="50"/>
      <c r="H57" s="50"/>
      <c r="I57" s="50"/>
      <c r="J57" s="43"/>
    </row>
    <row r="58" spans="1:18" x14ac:dyDescent="0.25">
      <c r="A58" s="100" t="s">
        <v>91</v>
      </c>
      <c r="B58" s="101"/>
      <c r="C58" s="101"/>
      <c r="D58" s="102"/>
      <c r="F58" s="100" t="s">
        <v>92</v>
      </c>
      <c r="G58" s="101"/>
      <c r="H58" s="101"/>
      <c r="I58" s="101"/>
      <c r="J58" s="102"/>
    </row>
    <row r="59" spans="1:18" x14ac:dyDescent="0.25">
      <c r="A59" s="103"/>
      <c r="B59" s="104"/>
      <c r="C59" s="104"/>
      <c r="D59" s="105"/>
      <c r="F59" s="103"/>
      <c r="G59" s="104"/>
      <c r="H59" s="104"/>
      <c r="I59" s="104"/>
      <c r="J59" s="105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1ACA32-2722-498D-A361-C9B36166E7DA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88" t="s">
        <v>1</v>
      </c>
      <c r="O1" s="188"/>
      <c r="P1" s="85" t="s">
        <v>2</v>
      </c>
      <c r="Q1" s="8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9" t="s">
        <v>7</v>
      </c>
      <c r="B4" s="140"/>
      <c r="C4" s="140"/>
      <c r="D4" s="141"/>
      <c r="F4" s="189" t="s">
        <v>8</v>
      </c>
      <c r="G4" s="191">
        <v>2</v>
      </c>
      <c r="H4" s="193" t="s">
        <v>9</v>
      </c>
      <c r="I4" s="195">
        <v>46093</v>
      </c>
      <c r="J4" s="19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3" t="s">
        <v>7</v>
      </c>
      <c r="B5" s="15" t="s">
        <v>11</v>
      </c>
      <c r="C5" s="9" t="s">
        <v>12</v>
      </c>
      <c r="D5" s="25" t="s">
        <v>13</v>
      </c>
      <c r="F5" s="190"/>
      <c r="G5" s="192"/>
      <c r="H5" s="194"/>
      <c r="I5" s="197"/>
      <c r="J5" s="19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4"/>
      <c r="B6" s="16" t="s">
        <v>15</v>
      </c>
      <c r="C6" s="10"/>
      <c r="D6" s="13">
        <f t="shared" ref="D6:D28" si="1">C6*L6</f>
        <v>0</v>
      </c>
      <c r="F6" s="199" t="s">
        <v>16</v>
      </c>
      <c r="G6" s="201" t="s">
        <v>126</v>
      </c>
      <c r="H6" s="202"/>
      <c r="I6" s="202"/>
      <c r="J6" s="203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4"/>
      <c r="B7" s="16" t="s">
        <v>18</v>
      </c>
      <c r="C7" s="10"/>
      <c r="D7" s="13">
        <f t="shared" si="1"/>
        <v>0</v>
      </c>
      <c r="F7" s="200"/>
      <c r="G7" s="204"/>
      <c r="H7" s="205"/>
      <c r="I7" s="205"/>
      <c r="J7" s="206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4"/>
      <c r="B8" s="16" t="s">
        <v>20</v>
      </c>
      <c r="C8" s="10"/>
      <c r="D8" s="13">
        <f t="shared" si="1"/>
        <v>0</v>
      </c>
      <c r="F8" s="207" t="s">
        <v>21</v>
      </c>
      <c r="G8" s="208" t="s">
        <v>113</v>
      </c>
      <c r="H8" s="209"/>
      <c r="I8" s="209"/>
      <c r="J8" s="210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4"/>
      <c r="B9" s="16" t="s">
        <v>23</v>
      </c>
      <c r="C9" s="10"/>
      <c r="D9" s="13">
        <f t="shared" si="1"/>
        <v>0</v>
      </c>
      <c r="F9" s="200"/>
      <c r="G9" s="211"/>
      <c r="H9" s="212"/>
      <c r="I9" s="212"/>
      <c r="J9" s="213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4"/>
      <c r="B10" t="s">
        <v>25</v>
      </c>
      <c r="C10" s="10"/>
      <c r="D10" s="13">
        <f t="shared" si="1"/>
        <v>0</v>
      </c>
      <c r="F10" s="199" t="s">
        <v>26</v>
      </c>
      <c r="G10" s="214" t="s">
        <v>114</v>
      </c>
      <c r="H10" s="215"/>
      <c r="I10" s="215"/>
      <c r="J10" s="216"/>
      <c r="K10" s="8"/>
      <c r="L10" s="6">
        <f>R36</f>
        <v>1032</v>
      </c>
      <c r="P10" s="4"/>
      <c r="Q10" s="4"/>
      <c r="R10" s="5"/>
    </row>
    <row r="11" spans="1:18" ht="15.75" x14ac:dyDescent="0.25">
      <c r="A11" s="134"/>
      <c r="B11" s="17" t="s">
        <v>28</v>
      </c>
      <c r="C11" s="10"/>
      <c r="D11" s="13">
        <f t="shared" si="1"/>
        <v>0</v>
      </c>
      <c r="F11" s="200"/>
      <c r="G11" s="211"/>
      <c r="H11" s="212"/>
      <c r="I11" s="212"/>
      <c r="J11" s="213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4"/>
      <c r="B12" s="17" t="s">
        <v>30</v>
      </c>
      <c r="C12" s="10"/>
      <c r="D12" s="48">
        <f t="shared" si="1"/>
        <v>0</v>
      </c>
      <c r="F12" s="217" t="s">
        <v>33</v>
      </c>
      <c r="G12" s="218"/>
      <c r="H12" s="218"/>
      <c r="I12" s="218"/>
      <c r="J12" s="219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4"/>
      <c r="B13" s="17" t="s">
        <v>32</v>
      </c>
      <c r="C13" s="10"/>
      <c r="D13" s="48">
        <f t="shared" si="1"/>
        <v>0</v>
      </c>
      <c r="F13" s="220" t="s">
        <v>36</v>
      </c>
      <c r="G13" s="184"/>
      <c r="H13" s="175">
        <f>D29</f>
        <v>0</v>
      </c>
      <c r="I13" s="176"/>
      <c r="J13" s="17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4"/>
      <c r="B14" s="14" t="s">
        <v>35</v>
      </c>
      <c r="C14" s="10"/>
      <c r="D14" s="31">
        <f t="shared" si="1"/>
        <v>0</v>
      </c>
      <c r="F14" s="178" t="s">
        <v>39</v>
      </c>
      <c r="G14" s="179"/>
      <c r="H14" s="180">
        <f>D54</f>
        <v>0</v>
      </c>
      <c r="I14" s="181"/>
      <c r="J14" s="18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4"/>
      <c r="B15" s="14" t="s">
        <v>38</v>
      </c>
      <c r="C15" s="10"/>
      <c r="D15" s="31">
        <f t="shared" si="1"/>
        <v>0</v>
      </c>
      <c r="F15" s="183" t="s">
        <v>40</v>
      </c>
      <c r="G15" s="184"/>
      <c r="H15" s="185">
        <f>H13-H14</f>
        <v>0</v>
      </c>
      <c r="I15" s="186"/>
      <c r="J15" s="187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4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45"/>
      <c r="I16" s="145"/>
      <c r="J16" s="145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4"/>
      <c r="B17" t="s">
        <v>93</v>
      </c>
      <c r="C17" s="10"/>
      <c r="D17" s="48">
        <f t="shared" si="1"/>
        <v>0</v>
      </c>
      <c r="F17" s="56"/>
      <c r="G17" s="66" t="s">
        <v>45</v>
      </c>
      <c r="H17" s="156"/>
      <c r="I17" s="156"/>
      <c r="J17" s="156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4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56"/>
      <c r="I18" s="156"/>
      <c r="J18" s="156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4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31"/>
      <c r="I19" s="231"/>
      <c r="J19" s="231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4"/>
      <c r="B20" s="46" t="s">
        <v>119</v>
      </c>
      <c r="C20" s="10"/>
      <c r="D20" s="13">
        <f t="shared" si="1"/>
        <v>0</v>
      </c>
      <c r="F20" s="57"/>
      <c r="G20" s="70" t="s">
        <v>117</v>
      </c>
      <c r="H20" s="156"/>
      <c r="I20" s="156"/>
      <c r="J20" s="156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4"/>
      <c r="B21" s="14" t="s">
        <v>131</v>
      </c>
      <c r="C21" s="10"/>
      <c r="D21" s="48">
        <f t="shared" si="1"/>
        <v>0</v>
      </c>
      <c r="F21" s="69" t="s">
        <v>99</v>
      </c>
      <c r="G21" s="82" t="s">
        <v>98</v>
      </c>
      <c r="H21" s="158" t="s">
        <v>13</v>
      </c>
      <c r="I21" s="159"/>
      <c r="J21" s="160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4"/>
      <c r="B22" s="46" t="s">
        <v>104</v>
      </c>
      <c r="C22" s="10"/>
      <c r="D22" s="48">
        <f t="shared" si="1"/>
        <v>0</v>
      </c>
      <c r="F22" s="72"/>
      <c r="G22" s="73"/>
      <c r="H22" s="161"/>
      <c r="I22" s="161"/>
      <c r="J22" s="161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4"/>
      <c r="B23" s="14" t="s">
        <v>107</v>
      </c>
      <c r="C23" s="10"/>
      <c r="D23" s="48">
        <f t="shared" si="1"/>
        <v>0</v>
      </c>
      <c r="F23" s="25"/>
      <c r="G23" s="37"/>
      <c r="H23" s="162"/>
      <c r="I23" s="131"/>
      <c r="J23" s="131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4"/>
      <c r="B24" s="14" t="s">
        <v>120</v>
      </c>
      <c r="C24" s="10"/>
      <c r="D24" s="48">
        <f t="shared" si="1"/>
        <v>0</v>
      </c>
      <c r="F24" s="38"/>
      <c r="G24" s="37"/>
      <c r="H24" s="162"/>
      <c r="I24" s="131"/>
      <c r="J24" s="131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4"/>
      <c r="B25" s="14" t="s">
        <v>121</v>
      </c>
      <c r="C25" s="10"/>
      <c r="D25" s="48">
        <f t="shared" si="1"/>
        <v>0</v>
      </c>
      <c r="F25" s="60" t="s">
        <v>100</v>
      </c>
      <c r="G25" s="55" t="s">
        <v>98</v>
      </c>
      <c r="H25" s="163" t="s">
        <v>13</v>
      </c>
      <c r="I25" s="164"/>
      <c r="J25" s="165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4"/>
      <c r="B26" s="14" t="s">
        <v>105</v>
      </c>
      <c r="C26" s="10"/>
      <c r="D26" s="48">
        <f t="shared" si="1"/>
        <v>0</v>
      </c>
      <c r="F26" s="64"/>
      <c r="G26" s="10"/>
      <c r="H26" s="166"/>
      <c r="I26" s="167"/>
      <c r="J26" s="168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4"/>
      <c r="B27" s="14" t="s">
        <v>109</v>
      </c>
      <c r="C27" s="10"/>
      <c r="D27" s="44">
        <f t="shared" si="1"/>
        <v>0</v>
      </c>
      <c r="F27" s="14"/>
      <c r="G27" s="14"/>
      <c r="H27" s="169"/>
      <c r="I27" s="170"/>
      <c r="J27" s="171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5"/>
      <c r="B28" s="46" t="s">
        <v>97</v>
      </c>
      <c r="C28" s="10"/>
      <c r="D28" s="48">
        <f t="shared" si="1"/>
        <v>0</v>
      </c>
      <c r="F28" s="86"/>
      <c r="G28" s="61"/>
      <c r="H28" s="172"/>
      <c r="I28" s="173"/>
      <c r="J28" s="174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46" t="s">
        <v>36</v>
      </c>
      <c r="B29" s="147"/>
      <c r="C29" s="148"/>
      <c r="D29" s="152">
        <f>SUM(D6:D28)</f>
        <v>0</v>
      </c>
      <c r="F29" s="92" t="s">
        <v>55</v>
      </c>
      <c r="G29" s="154"/>
      <c r="H29" s="114">
        <f>H15-H16-H17-H18-H19-H20-H22-H23-H24+H26+H27</f>
        <v>0</v>
      </c>
      <c r="I29" s="115"/>
      <c r="J29" s="116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49"/>
      <c r="B30" s="150"/>
      <c r="C30" s="151"/>
      <c r="D30" s="153"/>
      <c r="F30" s="95"/>
      <c r="G30" s="155"/>
      <c r="H30" s="117"/>
      <c r="I30" s="118"/>
      <c r="J30" s="119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39" t="s">
        <v>58</v>
      </c>
      <c r="B32" s="140"/>
      <c r="C32" s="140"/>
      <c r="D32" s="141"/>
      <c r="F32" s="142" t="s">
        <v>59</v>
      </c>
      <c r="G32" s="143"/>
      <c r="H32" s="143"/>
      <c r="I32" s="143"/>
      <c r="J32" s="144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142" t="s">
        <v>13</v>
      </c>
      <c r="I33" s="143"/>
      <c r="J33" s="144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3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36">
        <f>F34*G34</f>
        <v>0</v>
      </c>
      <c r="I34" s="137"/>
      <c r="J34" s="138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4"/>
      <c r="B35" s="27" t="s">
        <v>68</v>
      </c>
      <c r="C35" s="52"/>
      <c r="D35" s="30">
        <f>C35*84</f>
        <v>0</v>
      </c>
      <c r="F35" s="58">
        <v>500</v>
      </c>
      <c r="G35" s="41"/>
      <c r="H35" s="136">
        <f t="shared" ref="H35:H39" si="2">F35*G35</f>
        <v>0</v>
      </c>
      <c r="I35" s="137"/>
      <c r="J35" s="138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5"/>
      <c r="B36" s="26" t="s">
        <v>70</v>
      </c>
      <c r="C36" s="10"/>
      <c r="D36" s="12">
        <f>C36*1.5</f>
        <v>0</v>
      </c>
      <c r="F36" s="12">
        <v>200</v>
      </c>
      <c r="G36" s="37"/>
      <c r="H36" s="136">
        <f>F36*G36</f>
        <v>0</v>
      </c>
      <c r="I36" s="137"/>
      <c r="J36" s="138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3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36">
        <f t="shared" si="2"/>
        <v>0</v>
      </c>
      <c r="I37" s="137"/>
      <c r="J37" s="138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4"/>
      <c r="B38" s="29" t="s">
        <v>68</v>
      </c>
      <c r="C38" s="54"/>
      <c r="D38" s="12">
        <f>C38*84</f>
        <v>0</v>
      </c>
      <c r="F38" s="30">
        <v>50</v>
      </c>
      <c r="G38" s="39"/>
      <c r="H38" s="136">
        <f t="shared" si="2"/>
        <v>0</v>
      </c>
      <c r="I38" s="137"/>
      <c r="J38" s="138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5"/>
      <c r="B39" s="29" t="s">
        <v>70</v>
      </c>
      <c r="C39" s="52"/>
      <c r="D39" s="31">
        <f>C39*4.5</f>
        <v>0</v>
      </c>
      <c r="F39" s="12">
        <v>20</v>
      </c>
      <c r="G39" s="37"/>
      <c r="H39" s="136">
        <f t="shared" si="2"/>
        <v>0</v>
      </c>
      <c r="I39" s="137"/>
      <c r="J39" s="138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3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36"/>
      <c r="I40" s="137"/>
      <c r="J40" s="138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4"/>
      <c r="B41" s="27" t="s">
        <v>68</v>
      </c>
      <c r="C41" s="10"/>
      <c r="D41" s="12">
        <f>C41*84</f>
        <v>0</v>
      </c>
      <c r="F41" s="12">
        <v>5</v>
      </c>
      <c r="G41" s="42"/>
      <c r="H41" s="136"/>
      <c r="I41" s="137"/>
      <c r="J41" s="138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5"/>
      <c r="B42" s="27" t="s">
        <v>70</v>
      </c>
      <c r="C42" s="11"/>
      <c r="D42" s="12">
        <f>C42*2.25</f>
        <v>0</v>
      </c>
      <c r="F42" s="39" t="s">
        <v>79</v>
      </c>
      <c r="G42" s="136"/>
      <c r="H42" s="137"/>
      <c r="I42" s="137"/>
      <c r="J42" s="138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06" t="s">
        <v>81</v>
      </c>
      <c r="C43" s="11"/>
      <c r="D43" s="12"/>
      <c r="F43" s="59" t="s">
        <v>82</v>
      </c>
      <c r="G43" s="89" t="s">
        <v>83</v>
      </c>
      <c r="H43" s="128" t="s">
        <v>13</v>
      </c>
      <c r="I43" s="129"/>
      <c r="J43" s="130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07"/>
      <c r="B44" s="27" t="s">
        <v>66</v>
      </c>
      <c r="C44" s="10"/>
      <c r="D44" s="12">
        <f>C44*120</f>
        <v>0</v>
      </c>
      <c r="F44" s="37"/>
      <c r="G44" s="62"/>
      <c r="H44" s="131"/>
      <c r="I44" s="131"/>
      <c r="J44" s="131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07"/>
      <c r="B45" s="27" t="s">
        <v>68</v>
      </c>
      <c r="C45" s="33"/>
      <c r="D45" s="12">
        <f>C45*84</f>
        <v>0</v>
      </c>
      <c r="F45" s="37"/>
      <c r="G45" s="62"/>
      <c r="H45" s="131"/>
      <c r="I45" s="131"/>
      <c r="J45" s="131"/>
      <c r="K45" s="21"/>
      <c r="P45" s="4"/>
      <c r="Q45" s="4"/>
      <c r="R45" s="5"/>
    </row>
    <row r="46" spans="1:18" ht="15.75" x14ac:dyDescent="0.25">
      <c r="A46" s="107"/>
      <c r="B46" s="49" t="s">
        <v>70</v>
      </c>
      <c r="C46" s="81"/>
      <c r="D46" s="12">
        <f>C46*1.5</f>
        <v>0</v>
      </c>
      <c r="F46" s="37"/>
      <c r="G46" s="88"/>
      <c r="H46" s="132"/>
      <c r="I46" s="132"/>
      <c r="J46" s="132"/>
      <c r="K46" s="21"/>
      <c r="P46" s="4"/>
      <c r="Q46" s="4"/>
      <c r="R46" s="5"/>
    </row>
    <row r="47" spans="1:18" ht="15.75" x14ac:dyDescent="0.25">
      <c r="A47" s="108"/>
      <c r="B47" s="27"/>
      <c r="C47" s="11"/>
      <c r="D47" s="12"/>
      <c r="F47" s="59"/>
      <c r="G47" s="59"/>
      <c r="H47" s="109"/>
      <c r="I47" s="110"/>
      <c r="J47" s="111"/>
      <c r="K47" s="21"/>
      <c r="P47" s="4"/>
      <c r="Q47" s="4"/>
      <c r="R47" s="5"/>
    </row>
    <row r="48" spans="1:18" ht="15" customHeight="1" x14ac:dyDescent="0.25">
      <c r="A48" s="106" t="s">
        <v>32</v>
      </c>
      <c r="B48" s="27" t="s">
        <v>66</v>
      </c>
      <c r="C48" s="10"/>
      <c r="D48" s="12">
        <f>C48*78</f>
        <v>0</v>
      </c>
      <c r="F48" s="59"/>
      <c r="G48" s="59"/>
      <c r="H48" s="109"/>
      <c r="I48" s="110"/>
      <c r="J48" s="111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07"/>
      <c r="B49" s="29" t="s">
        <v>68</v>
      </c>
      <c r="C49" s="33"/>
      <c r="D49" s="12">
        <f>C49*42</f>
        <v>0</v>
      </c>
      <c r="F49" s="112" t="s">
        <v>86</v>
      </c>
      <c r="G49" s="114">
        <f>H34+H35+H36+H37+H38+H39+H40+H41+G42+H44+H45+H46</f>
        <v>0</v>
      </c>
      <c r="H49" s="115"/>
      <c r="I49" s="115"/>
      <c r="J49" s="116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07"/>
      <c r="B50" s="32" t="s">
        <v>70</v>
      </c>
      <c r="C50" s="11"/>
      <c r="D50" s="12">
        <f>C50*1.5</f>
        <v>0</v>
      </c>
      <c r="F50" s="113"/>
      <c r="G50" s="117"/>
      <c r="H50" s="118"/>
      <c r="I50" s="118"/>
      <c r="J50" s="119"/>
      <c r="O50" t="s">
        <v>137</v>
      </c>
      <c r="P50" s="4">
        <v>1204</v>
      </c>
      <c r="Q50" s="4"/>
      <c r="R50" s="5"/>
    </row>
    <row r="51" spans="1:18" ht="15" customHeight="1" x14ac:dyDescent="0.25">
      <c r="A51" s="107"/>
      <c r="B51" s="27"/>
      <c r="C51" s="10"/>
      <c r="D51" s="31"/>
      <c r="F51" s="120" t="s">
        <v>135</v>
      </c>
      <c r="G51" s="122">
        <f>G49-H29</f>
        <v>0</v>
      </c>
      <c r="H51" s="123"/>
      <c r="I51" s="123"/>
      <c r="J51" s="124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07"/>
      <c r="B52" s="29"/>
      <c r="C52" s="33"/>
      <c r="D52" s="45"/>
      <c r="F52" s="121"/>
      <c r="G52" s="125"/>
      <c r="H52" s="126"/>
      <c r="I52" s="126"/>
      <c r="J52" s="127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08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92" t="s">
        <v>90</v>
      </c>
      <c r="B54" s="93"/>
      <c r="C54" s="94"/>
      <c r="D54" s="98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95"/>
      <c r="B55" s="96"/>
      <c r="C55" s="97"/>
      <c r="D55" s="9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100" t="s">
        <v>91</v>
      </c>
      <c r="B58" s="101"/>
      <c r="C58" s="101"/>
      <c r="D58" s="102"/>
      <c r="F58" s="100" t="s">
        <v>92</v>
      </c>
      <c r="G58" s="101"/>
      <c r="H58" s="101"/>
      <c r="I58" s="101"/>
      <c r="J58" s="102"/>
    </row>
    <row r="59" spans="1:18" x14ac:dyDescent="0.25">
      <c r="A59" s="103"/>
      <c r="B59" s="104"/>
      <c r="C59" s="104"/>
      <c r="D59" s="105"/>
      <c r="F59" s="103"/>
      <c r="G59" s="104"/>
      <c r="H59" s="104"/>
      <c r="I59" s="104"/>
      <c r="J59" s="105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BCF944-8E4F-43DE-AE88-55577DC43484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88" t="s">
        <v>1</v>
      </c>
      <c r="O1" s="188"/>
      <c r="P1" s="85" t="s">
        <v>2</v>
      </c>
      <c r="Q1" s="8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9" t="s">
        <v>7</v>
      </c>
      <c r="B4" s="140"/>
      <c r="C4" s="140"/>
      <c r="D4" s="141"/>
      <c r="F4" s="189" t="s">
        <v>8</v>
      </c>
      <c r="G4" s="191">
        <v>3</v>
      </c>
      <c r="H4" s="193" t="s">
        <v>9</v>
      </c>
      <c r="I4" s="195">
        <v>46093</v>
      </c>
      <c r="J4" s="19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3" t="s">
        <v>7</v>
      </c>
      <c r="B5" s="15" t="s">
        <v>11</v>
      </c>
      <c r="C5" s="9" t="s">
        <v>12</v>
      </c>
      <c r="D5" s="25" t="s">
        <v>13</v>
      </c>
      <c r="F5" s="190"/>
      <c r="G5" s="192"/>
      <c r="H5" s="194"/>
      <c r="I5" s="197"/>
      <c r="J5" s="19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4"/>
      <c r="B6" s="16" t="s">
        <v>15</v>
      </c>
      <c r="C6" s="10"/>
      <c r="D6" s="13">
        <f t="shared" ref="D6:D28" si="1">C6*L6</f>
        <v>0</v>
      </c>
      <c r="F6" s="199" t="s">
        <v>16</v>
      </c>
      <c r="G6" s="201" t="s">
        <v>141</v>
      </c>
      <c r="H6" s="202"/>
      <c r="I6" s="202"/>
      <c r="J6" s="203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4"/>
      <c r="B7" s="16" t="s">
        <v>18</v>
      </c>
      <c r="C7" s="10"/>
      <c r="D7" s="13">
        <f t="shared" si="1"/>
        <v>0</v>
      </c>
      <c r="F7" s="200"/>
      <c r="G7" s="204"/>
      <c r="H7" s="205"/>
      <c r="I7" s="205"/>
      <c r="J7" s="206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4"/>
      <c r="B8" s="16" t="s">
        <v>20</v>
      </c>
      <c r="C8" s="10"/>
      <c r="D8" s="13">
        <f t="shared" si="1"/>
        <v>0</v>
      </c>
      <c r="F8" s="207" t="s">
        <v>21</v>
      </c>
      <c r="G8" s="208" t="s">
        <v>130</v>
      </c>
      <c r="H8" s="209"/>
      <c r="I8" s="209"/>
      <c r="J8" s="210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4"/>
      <c r="B9" s="16" t="s">
        <v>23</v>
      </c>
      <c r="C9" s="10"/>
      <c r="D9" s="13">
        <f t="shared" si="1"/>
        <v>0</v>
      </c>
      <c r="F9" s="200"/>
      <c r="G9" s="211"/>
      <c r="H9" s="212"/>
      <c r="I9" s="212"/>
      <c r="J9" s="213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4"/>
      <c r="B10" t="s">
        <v>25</v>
      </c>
      <c r="C10" s="10"/>
      <c r="D10" s="13">
        <f t="shared" si="1"/>
        <v>0</v>
      </c>
      <c r="F10" s="199" t="s">
        <v>26</v>
      </c>
      <c r="G10" s="214" t="s">
        <v>127</v>
      </c>
      <c r="H10" s="215"/>
      <c r="I10" s="215"/>
      <c r="J10" s="216"/>
      <c r="K10" s="8"/>
      <c r="L10" s="6">
        <f>R36</f>
        <v>1032</v>
      </c>
      <c r="P10" s="4"/>
      <c r="Q10" s="4"/>
      <c r="R10" s="5"/>
    </row>
    <row r="11" spans="1:18" ht="15.75" x14ac:dyDescent="0.25">
      <c r="A11" s="134"/>
      <c r="B11" s="17" t="s">
        <v>28</v>
      </c>
      <c r="C11" s="10"/>
      <c r="D11" s="13">
        <f t="shared" si="1"/>
        <v>0</v>
      </c>
      <c r="F11" s="200"/>
      <c r="G11" s="211"/>
      <c r="H11" s="212"/>
      <c r="I11" s="212"/>
      <c r="J11" s="213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4"/>
      <c r="B12" s="17" t="s">
        <v>30</v>
      </c>
      <c r="C12" s="10"/>
      <c r="D12" s="48">
        <f t="shared" si="1"/>
        <v>0</v>
      </c>
      <c r="F12" s="217" t="s">
        <v>33</v>
      </c>
      <c r="G12" s="218"/>
      <c r="H12" s="218"/>
      <c r="I12" s="218"/>
      <c r="J12" s="219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4"/>
      <c r="B13" s="17" t="s">
        <v>32</v>
      </c>
      <c r="C13" s="10"/>
      <c r="D13" s="48">
        <f t="shared" si="1"/>
        <v>0</v>
      </c>
      <c r="F13" s="220" t="s">
        <v>36</v>
      </c>
      <c r="G13" s="184"/>
      <c r="H13" s="175">
        <f>D29</f>
        <v>0</v>
      </c>
      <c r="I13" s="176"/>
      <c r="J13" s="17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4"/>
      <c r="B14" s="14" t="s">
        <v>35</v>
      </c>
      <c r="C14" s="10"/>
      <c r="D14" s="31">
        <f t="shared" si="1"/>
        <v>0</v>
      </c>
      <c r="F14" s="178" t="s">
        <v>39</v>
      </c>
      <c r="G14" s="179"/>
      <c r="H14" s="180">
        <f>D54</f>
        <v>0</v>
      </c>
      <c r="I14" s="181"/>
      <c r="J14" s="18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4"/>
      <c r="B15" s="14" t="s">
        <v>38</v>
      </c>
      <c r="C15" s="10"/>
      <c r="D15" s="31">
        <f t="shared" si="1"/>
        <v>0</v>
      </c>
      <c r="F15" s="183" t="s">
        <v>40</v>
      </c>
      <c r="G15" s="184"/>
      <c r="H15" s="185">
        <f>H13-H14</f>
        <v>0</v>
      </c>
      <c r="I15" s="186"/>
      <c r="J15" s="187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4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45"/>
      <c r="I16" s="145"/>
      <c r="J16" s="145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4"/>
      <c r="B17" t="s">
        <v>112</v>
      </c>
      <c r="C17" s="10"/>
      <c r="D17" s="48">
        <f t="shared" si="1"/>
        <v>0</v>
      </c>
      <c r="F17" s="56"/>
      <c r="G17" s="66" t="s">
        <v>45</v>
      </c>
      <c r="H17" s="156"/>
      <c r="I17" s="156"/>
      <c r="J17" s="156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4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56"/>
      <c r="I18" s="156"/>
      <c r="J18" s="156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4"/>
      <c r="B19" s="14" t="s">
        <v>116</v>
      </c>
      <c r="C19" s="10"/>
      <c r="D19" s="48">
        <f t="shared" si="1"/>
        <v>0</v>
      </c>
      <c r="F19" s="56"/>
      <c r="G19" s="68" t="s">
        <v>50</v>
      </c>
      <c r="H19" s="232"/>
      <c r="I19" s="232"/>
      <c r="J19" s="232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4"/>
      <c r="B20" s="46" t="s">
        <v>108</v>
      </c>
      <c r="C20" s="10"/>
      <c r="D20" s="13">
        <f t="shared" si="1"/>
        <v>0</v>
      </c>
      <c r="F20" s="57"/>
      <c r="G20" s="70" t="s">
        <v>117</v>
      </c>
      <c r="H20" s="145"/>
      <c r="I20" s="145"/>
      <c r="J20" s="145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4"/>
      <c r="B21" s="14" t="s">
        <v>123</v>
      </c>
      <c r="C21" s="10"/>
      <c r="D21" s="48">
        <f t="shared" si="1"/>
        <v>0</v>
      </c>
      <c r="F21" s="69" t="s">
        <v>99</v>
      </c>
      <c r="G21" s="82" t="s">
        <v>98</v>
      </c>
      <c r="H21" s="158" t="s">
        <v>13</v>
      </c>
      <c r="I21" s="159"/>
      <c r="J21" s="160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4"/>
      <c r="B22" s="46" t="s">
        <v>104</v>
      </c>
      <c r="C22" s="10"/>
      <c r="D22" s="48">
        <f t="shared" si="1"/>
        <v>0</v>
      </c>
      <c r="F22" s="77"/>
      <c r="G22" s="73"/>
      <c r="H22" s="161"/>
      <c r="I22" s="161"/>
      <c r="J22" s="161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4"/>
      <c r="B23" s="14" t="s">
        <v>107</v>
      </c>
      <c r="C23" s="10"/>
      <c r="D23" s="48">
        <f t="shared" si="1"/>
        <v>0</v>
      </c>
      <c r="F23" s="78"/>
      <c r="G23" s="79"/>
      <c r="H23" s="162"/>
      <c r="I23" s="131"/>
      <c r="J23" s="131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4"/>
      <c r="B24" s="14" t="s">
        <v>101</v>
      </c>
      <c r="C24" s="10"/>
      <c r="D24" s="48">
        <f t="shared" si="1"/>
        <v>0</v>
      </c>
      <c r="F24" s="38"/>
      <c r="G24" s="37"/>
      <c r="H24" s="162"/>
      <c r="I24" s="131"/>
      <c r="J24" s="131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4"/>
      <c r="B25" s="14" t="s">
        <v>115</v>
      </c>
      <c r="C25" s="10"/>
      <c r="D25" s="48">
        <f t="shared" si="1"/>
        <v>0</v>
      </c>
      <c r="F25" s="60" t="s">
        <v>100</v>
      </c>
      <c r="G25" s="55" t="s">
        <v>98</v>
      </c>
      <c r="H25" s="163" t="s">
        <v>13</v>
      </c>
      <c r="I25" s="164"/>
      <c r="J25" s="165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4"/>
      <c r="B26" s="14" t="s">
        <v>105</v>
      </c>
      <c r="C26" s="10"/>
      <c r="D26" s="48">
        <f t="shared" si="1"/>
        <v>0</v>
      </c>
      <c r="F26" s="64"/>
      <c r="G26" s="59"/>
      <c r="H26" s="166"/>
      <c r="I26" s="167"/>
      <c r="J26" s="168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4"/>
      <c r="B27" s="14" t="s">
        <v>109</v>
      </c>
      <c r="C27" s="10"/>
      <c r="D27" s="44">
        <f t="shared" si="1"/>
        <v>0</v>
      </c>
      <c r="F27" s="25"/>
      <c r="G27" s="80"/>
      <c r="H27" s="169"/>
      <c r="I27" s="170"/>
      <c r="J27" s="171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5"/>
      <c r="B28" s="46" t="s">
        <v>97</v>
      </c>
      <c r="C28" s="10"/>
      <c r="D28" s="48">
        <f t="shared" si="1"/>
        <v>0</v>
      </c>
      <c r="F28" s="86"/>
      <c r="G28" s="61"/>
      <c r="H28" s="172"/>
      <c r="I28" s="173"/>
      <c r="J28" s="174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46" t="s">
        <v>36</v>
      </c>
      <c r="B29" s="147"/>
      <c r="C29" s="148"/>
      <c r="D29" s="152">
        <f>SUM(D6:D28)</f>
        <v>0</v>
      </c>
      <c r="F29" s="92" t="s">
        <v>55</v>
      </c>
      <c r="G29" s="154"/>
      <c r="H29" s="114">
        <f>H15-H16-H17-H18-H19-H20-H22-H23-H24+H26+H27</f>
        <v>0</v>
      </c>
      <c r="I29" s="115"/>
      <c r="J29" s="116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49"/>
      <c r="B30" s="150"/>
      <c r="C30" s="151"/>
      <c r="D30" s="153"/>
      <c r="F30" s="95"/>
      <c r="G30" s="155"/>
      <c r="H30" s="117"/>
      <c r="I30" s="118"/>
      <c r="J30" s="119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39" t="s">
        <v>58</v>
      </c>
      <c r="B32" s="140"/>
      <c r="C32" s="140"/>
      <c r="D32" s="141"/>
      <c r="F32" s="142" t="s">
        <v>59</v>
      </c>
      <c r="G32" s="143"/>
      <c r="H32" s="143"/>
      <c r="I32" s="143"/>
      <c r="J32" s="144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142" t="s">
        <v>13</v>
      </c>
      <c r="I33" s="143"/>
      <c r="J33" s="144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3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36">
        <f>F34*G34</f>
        <v>0</v>
      </c>
      <c r="I34" s="137"/>
      <c r="J34" s="138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4"/>
      <c r="B35" s="27" t="s">
        <v>68</v>
      </c>
      <c r="C35" s="52"/>
      <c r="D35" s="30">
        <f>C35*84</f>
        <v>0</v>
      </c>
      <c r="F35" s="58">
        <v>500</v>
      </c>
      <c r="G35" s="41"/>
      <c r="H35" s="136">
        <f>F35*G35</f>
        <v>0</v>
      </c>
      <c r="I35" s="137"/>
      <c r="J35" s="138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5"/>
      <c r="B36" s="26" t="s">
        <v>70</v>
      </c>
      <c r="C36" s="10"/>
      <c r="D36" s="12">
        <f>C36*1.5</f>
        <v>0</v>
      </c>
      <c r="F36" s="12">
        <v>200</v>
      </c>
      <c r="G36" s="37"/>
      <c r="H36" s="136">
        <f t="shared" ref="H36:H39" si="2">F36*G36</f>
        <v>0</v>
      </c>
      <c r="I36" s="137"/>
      <c r="J36" s="138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3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36">
        <f t="shared" si="2"/>
        <v>0</v>
      </c>
      <c r="I37" s="137"/>
      <c r="J37" s="138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4"/>
      <c r="B38" s="29" t="s">
        <v>68</v>
      </c>
      <c r="C38" s="54"/>
      <c r="D38" s="12">
        <f>C38*84</f>
        <v>0</v>
      </c>
      <c r="F38" s="30">
        <v>50</v>
      </c>
      <c r="G38" s="39"/>
      <c r="H38" s="136">
        <f t="shared" si="2"/>
        <v>0</v>
      </c>
      <c r="I38" s="137"/>
      <c r="J38" s="138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5"/>
      <c r="B39" s="29" t="s">
        <v>70</v>
      </c>
      <c r="C39" s="52"/>
      <c r="D39" s="31">
        <f>C39*4.5</f>
        <v>0</v>
      </c>
      <c r="F39" s="12">
        <v>20</v>
      </c>
      <c r="G39" s="37"/>
      <c r="H39" s="136">
        <f t="shared" si="2"/>
        <v>0</v>
      </c>
      <c r="I39" s="137"/>
      <c r="J39" s="138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3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36"/>
      <c r="I40" s="137"/>
      <c r="J40" s="138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4"/>
      <c r="B41" s="27" t="s">
        <v>68</v>
      </c>
      <c r="C41" s="10"/>
      <c r="D41" s="12">
        <f>C41*84</f>
        <v>0</v>
      </c>
      <c r="F41" s="12">
        <v>5</v>
      </c>
      <c r="G41" s="42"/>
      <c r="H41" s="136"/>
      <c r="I41" s="137"/>
      <c r="J41" s="138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5"/>
      <c r="B42" s="27" t="s">
        <v>70</v>
      </c>
      <c r="C42" s="11"/>
      <c r="D42" s="12">
        <f>C42*2.25</f>
        <v>0</v>
      </c>
      <c r="F42" s="39" t="s">
        <v>79</v>
      </c>
      <c r="G42" s="136"/>
      <c r="H42" s="137"/>
      <c r="I42" s="137"/>
      <c r="J42" s="138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06" t="s">
        <v>81</v>
      </c>
      <c r="C43" s="11"/>
      <c r="D43" s="12"/>
      <c r="F43" s="59" t="s">
        <v>82</v>
      </c>
      <c r="G43" s="89" t="s">
        <v>83</v>
      </c>
      <c r="H43" s="128" t="s">
        <v>13</v>
      </c>
      <c r="I43" s="129"/>
      <c r="J43" s="130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07"/>
      <c r="B44" s="27" t="s">
        <v>66</v>
      </c>
      <c r="C44" s="10"/>
      <c r="D44" s="12">
        <f>C44*120</f>
        <v>0</v>
      </c>
      <c r="F44" s="37"/>
      <c r="G44" s="76"/>
      <c r="H44" s="131"/>
      <c r="I44" s="131"/>
      <c r="J44" s="131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07"/>
      <c r="B45" s="27" t="s">
        <v>68</v>
      </c>
      <c r="C45" s="33"/>
      <c r="D45" s="12">
        <f>C45*84</f>
        <v>0</v>
      </c>
      <c r="F45" s="37"/>
      <c r="G45" s="76"/>
      <c r="H45" s="131"/>
      <c r="I45" s="131"/>
      <c r="J45" s="131"/>
      <c r="K45" s="21"/>
      <c r="P45" s="4"/>
      <c r="Q45" s="4"/>
      <c r="R45" s="5"/>
    </row>
    <row r="46" spans="1:18" ht="15.75" x14ac:dyDescent="0.25">
      <c r="A46" s="107"/>
      <c r="B46" s="49" t="s">
        <v>70</v>
      </c>
      <c r="C46" s="81"/>
      <c r="D46" s="12">
        <f>C46*1.5</f>
        <v>0</v>
      </c>
      <c r="F46" s="37"/>
      <c r="G46" s="62"/>
      <c r="H46" s="132"/>
      <c r="I46" s="132"/>
      <c r="J46" s="132"/>
      <c r="K46" s="21"/>
      <c r="P46" s="4"/>
      <c r="Q46" s="4"/>
      <c r="R46" s="5"/>
    </row>
    <row r="47" spans="1:18" ht="15.75" x14ac:dyDescent="0.25">
      <c r="A47" s="108"/>
      <c r="B47" s="27"/>
      <c r="C47" s="11"/>
      <c r="D47" s="12"/>
      <c r="F47" s="59"/>
      <c r="G47" s="59"/>
      <c r="H47" s="109"/>
      <c r="I47" s="110"/>
      <c r="J47" s="111"/>
      <c r="K47" s="21"/>
      <c r="P47" s="4"/>
      <c r="Q47" s="4"/>
      <c r="R47" s="5"/>
    </row>
    <row r="48" spans="1:18" ht="15" customHeight="1" x14ac:dyDescent="0.25">
      <c r="A48" s="106" t="s">
        <v>32</v>
      </c>
      <c r="B48" s="27" t="s">
        <v>66</v>
      </c>
      <c r="C48" s="10"/>
      <c r="D48" s="12">
        <f>C48*78</f>
        <v>0</v>
      </c>
      <c r="F48" s="59"/>
      <c r="G48" s="59"/>
      <c r="H48" s="109"/>
      <c r="I48" s="110"/>
      <c r="J48" s="111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07"/>
      <c r="B49" s="29" t="s">
        <v>68</v>
      </c>
      <c r="C49" s="33"/>
      <c r="D49" s="12">
        <f>C49*42</f>
        <v>0</v>
      </c>
      <c r="F49" s="112" t="s">
        <v>86</v>
      </c>
      <c r="G49" s="114">
        <f>H34+H35+H36+H37+H38+H39+H40+H41+G42+H44+H45+H46</f>
        <v>0</v>
      </c>
      <c r="H49" s="115"/>
      <c r="I49" s="115"/>
      <c r="J49" s="116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07"/>
      <c r="B50" s="32" t="s">
        <v>70</v>
      </c>
      <c r="C50" s="11"/>
      <c r="D50" s="12">
        <f>C50*1.5</f>
        <v>0</v>
      </c>
      <c r="F50" s="113"/>
      <c r="G50" s="117"/>
      <c r="H50" s="118"/>
      <c r="I50" s="118"/>
      <c r="J50" s="119"/>
      <c r="O50" t="s">
        <v>137</v>
      </c>
      <c r="P50" s="4">
        <v>1204</v>
      </c>
      <c r="Q50" s="4"/>
      <c r="R50" s="5"/>
    </row>
    <row r="51" spans="1:18" ht="15" customHeight="1" x14ac:dyDescent="0.25">
      <c r="A51" s="107"/>
      <c r="B51" s="27"/>
      <c r="C51" s="10"/>
      <c r="D51" s="31"/>
      <c r="F51" s="120" t="s">
        <v>138</v>
      </c>
      <c r="G51" s="122">
        <f>G49-H29</f>
        <v>0</v>
      </c>
      <c r="H51" s="123"/>
      <c r="I51" s="123"/>
      <c r="J51" s="124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07"/>
      <c r="B52" s="29"/>
      <c r="C52" s="33"/>
      <c r="D52" s="45"/>
      <c r="F52" s="121"/>
      <c r="G52" s="125"/>
      <c r="H52" s="126"/>
      <c r="I52" s="126"/>
      <c r="J52" s="127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08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92" t="s">
        <v>90</v>
      </c>
      <c r="B54" s="93"/>
      <c r="C54" s="94"/>
      <c r="D54" s="98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95"/>
      <c r="B55" s="96"/>
      <c r="C55" s="97"/>
      <c r="D55" s="9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100" t="s">
        <v>91</v>
      </c>
      <c r="B58" s="101"/>
      <c r="C58" s="101"/>
      <c r="D58" s="102"/>
      <c r="F58" s="100" t="s">
        <v>92</v>
      </c>
      <c r="G58" s="101"/>
      <c r="H58" s="101"/>
      <c r="I58" s="101"/>
      <c r="J58" s="102"/>
    </row>
    <row r="59" spans="1:18" x14ac:dyDescent="0.25">
      <c r="A59" s="103"/>
      <c r="B59" s="104"/>
      <c r="C59" s="104"/>
      <c r="D59" s="105"/>
      <c r="F59" s="103"/>
      <c r="G59" s="104"/>
      <c r="H59" s="104"/>
      <c r="I59" s="104"/>
      <c r="J59" s="105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E66B91-60C6-4FC9-ABF5-980F6DC0E64F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88" t="s">
        <v>1</v>
      </c>
      <c r="O1" s="188"/>
      <c r="P1" s="85" t="s">
        <v>2</v>
      </c>
      <c r="Q1" s="85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39" t="s">
        <v>7</v>
      </c>
      <c r="B4" s="140"/>
      <c r="C4" s="140"/>
      <c r="D4" s="141"/>
      <c r="F4" s="189" t="s">
        <v>8</v>
      </c>
      <c r="G4" s="191"/>
      <c r="H4" s="193" t="s">
        <v>9</v>
      </c>
      <c r="I4" s="195"/>
      <c r="J4" s="19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33" t="s">
        <v>7</v>
      </c>
      <c r="B5" s="15" t="s">
        <v>11</v>
      </c>
      <c r="C5" s="9" t="s">
        <v>12</v>
      </c>
      <c r="D5" s="25" t="s">
        <v>13</v>
      </c>
      <c r="F5" s="190"/>
      <c r="G5" s="192"/>
      <c r="H5" s="194"/>
      <c r="I5" s="197"/>
      <c r="J5" s="19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34"/>
      <c r="B6" s="16"/>
      <c r="C6" s="10"/>
      <c r="D6" s="13">
        <f t="shared" ref="D6:D28" si="1">C6*L6</f>
        <v>0</v>
      </c>
      <c r="F6" s="199" t="s">
        <v>16</v>
      </c>
      <c r="G6" s="201"/>
      <c r="H6" s="202"/>
      <c r="I6" s="202"/>
      <c r="J6" s="203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34"/>
      <c r="B7" s="16"/>
      <c r="C7" s="10"/>
      <c r="D7" s="13">
        <f t="shared" si="1"/>
        <v>0</v>
      </c>
      <c r="F7" s="200"/>
      <c r="G7" s="204"/>
      <c r="H7" s="205"/>
      <c r="I7" s="205"/>
      <c r="J7" s="206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34"/>
      <c r="B8" s="16"/>
      <c r="C8" s="10"/>
      <c r="D8" s="13">
        <f t="shared" si="1"/>
        <v>0</v>
      </c>
      <c r="F8" s="207" t="s">
        <v>21</v>
      </c>
      <c r="G8" s="208"/>
      <c r="H8" s="209"/>
      <c r="I8" s="209"/>
      <c r="J8" s="210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34"/>
      <c r="B9" s="16"/>
      <c r="C9" s="10"/>
      <c r="D9" s="13">
        <f t="shared" si="1"/>
        <v>0</v>
      </c>
      <c r="F9" s="200"/>
      <c r="G9" s="211"/>
      <c r="H9" s="212"/>
      <c r="I9" s="212"/>
      <c r="J9" s="213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34"/>
      <c r="C10" s="10"/>
      <c r="D10" s="13">
        <f t="shared" si="1"/>
        <v>0</v>
      </c>
      <c r="F10" s="199" t="s">
        <v>26</v>
      </c>
      <c r="G10" s="214"/>
      <c r="H10" s="215"/>
      <c r="I10" s="215"/>
      <c r="J10" s="216"/>
      <c r="K10" s="8"/>
      <c r="L10" s="6">
        <f>R36</f>
        <v>972</v>
      </c>
      <c r="P10" s="4"/>
      <c r="Q10" s="4"/>
      <c r="R10" s="5"/>
    </row>
    <row r="11" spans="1:19" ht="15.75" x14ac:dyDescent="0.25">
      <c r="A11" s="134"/>
      <c r="B11" s="17"/>
      <c r="C11" s="10"/>
      <c r="D11" s="13">
        <f t="shared" si="1"/>
        <v>0</v>
      </c>
      <c r="F11" s="200"/>
      <c r="G11" s="211"/>
      <c r="H11" s="212"/>
      <c r="I11" s="212"/>
      <c r="J11" s="213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34"/>
      <c r="B12" s="17"/>
      <c r="C12" s="10"/>
      <c r="D12" s="48">
        <f t="shared" si="1"/>
        <v>0</v>
      </c>
      <c r="F12" s="217" t="s">
        <v>33</v>
      </c>
      <c r="G12" s="218"/>
      <c r="H12" s="218"/>
      <c r="I12" s="218"/>
      <c r="J12" s="219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34"/>
      <c r="B13" s="17"/>
      <c r="C13" s="10"/>
      <c r="D13" s="48">
        <f t="shared" si="1"/>
        <v>0</v>
      </c>
      <c r="F13" s="220" t="s">
        <v>36</v>
      </c>
      <c r="G13" s="184"/>
      <c r="H13" s="175">
        <f>D29</f>
        <v>0</v>
      </c>
      <c r="I13" s="176"/>
      <c r="J13" s="17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34"/>
      <c r="B14" s="14"/>
      <c r="C14" s="10"/>
      <c r="D14" s="31">
        <f t="shared" si="1"/>
        <v>0</v>
      </c>
      <c r="F14" s="178" t="s">
        <v>39</v>
      </c>
      <c r="G14" s="179"/>
      <c r="H14" s="180">
        <f>D54</f>
        <v>0</v>
      </c>
      <c r="I14" s="181"/>
      <c r="J14" s="18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34"/>
      <c r="B15" s="14"/>
      <c r="C15" s="10"/>
      <c r="D15" s="31">
        <f t="shared" si="1"/>
        <v>0</v>
      </c>
      <c r="F15" s="183" t="s">
        <v>40</v>
      </c>
      <c r="G15" s="184"/>
      <c r="H15" s="185">
        <f>H13-H14</f>
        <v>0</v>
      </c>
      <c r="I15" s="186"/>
      <c r="J15" s="187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34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45"/>
      <c r="I16" s="145"/>
      <c r="J16" s="145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4"/>
      <c r="C17" s="10"/>
      <c r="D17" s="48">
        <f t="shared" si="1"/>
        <v>0</v>
      </c>
      <c r="F17" s="56"/>
      <c r="G17" s="66" t="s">
        <v>45</v>
      </c>
      <c r="H17" s="156"/>
      <c r="I17" s="156"/>
      <c r="J17" s="156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4"/>
      <c r="B18" s="19"/>
      <c r="C18" s="10"/>
      <c r="D18" s="48">
        <f t="shared" si="1"/>
        <v>0</v>
      </c>
      <c r="F18" s="56"/>
      <c r="G18" s="66" t="s">
        <v>47</v>
      </c>
      <c r="H18" s="156"/>
      <c r="I18" s="156"/>
      <c r="J18" s="156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4"/>
      <c r="B19" s="14"/>
      <c r="C19" s="10"/>
      <c r="D19" s="48">
        <f t="shared" si="1"/>
        <v>0</v>
      </c>
      <c r="F19" s="56"/>
      <c r="G19" s="68" t="s">
        <v>50</v>
      </c>
      <c r="H19" s="157"/>
      <c r="I19" s="157"/>
      <c r="J19" s="157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4"/>
      <c r="B20" s="46"/>
      <c r="C20" s="10"/>
      <c r="D20" s="13">
        <f t="shared" si="1"/>
        <v>0</v>
      </c>
      <c r="F20" s="57"/>
      <c r="G20" s="70" t="s">
        <v>117</v>
      </c>
      <c r="H20" s="145"/>
      <c r="I20" s="145"/>
      <c r="J20" s="145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4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58" t="s">
        <v>13</v>
      </c>
      <c r="I21" s="159"/>
      <c r="J21" s="160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4"/>
      <c r="B22" s="46"/>
      <c r="C22" s="10"/>
      <c r="D22" s="48">
        <f t="shared" si="1"/>
        <v>0</v>
      </c>
      <c r="F22" s="77"/>
      <c r="G22" s="73"/>
      <c r="H22" s="161"/>
      <c r="I22" s="161"/>
      <c r="J22" s="161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4"/>
      <c r="B23" s="14"/>
      <c r="C23" s="10"/>
      <c r="D23" s="48">
        <f t="shared" si="1"/>
        <v>0</v>
      </c>
      <c r="F23" s="78"/>
      <c r="G23" s="79"/>
      <c r="H23" s="162"/>
      <c r="I23" s="131"/>
      <c r="J23" s="131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4"/>
      <c r="B24" s="14"/>
      <c r="C24" s="10"/>
      <c r="D24" s="48">
        <f t="shared" si="1"/>
        <v>0</v>
      </c>
      <c r="F24" s="38"/>
      <c r="G24" s="37"/>
      <c r="H24" s="162"/>
      <c r="I24" s="131"/>
      <c r="J24" s="131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4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63" t="s">
        <v>13</v>
      </c>
      <c r="I25" s="164"/>
      <c r="J25" s="165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4"/>
      <c r="B26" s="14"/>
      <c r="C26" s="10"/>
      <c r="D26" s="48">
        <f t="shared" si="1"/>
        <v>0</v>
      </c>
      <c r="F26" s="64"/>
      <c r="G26" s="59"/>
      <c r="H26" s="166"/>
      <c r="I26" s="167"/>
      <c r="J26" s="168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4"/>
      <c r="B27" s="14"/>
      <c r="C27" s="10"/>
      <c r="D27" s="44">
        <f t="shared" si="1"/>
        <v>0</v>
      </c>
      <c r="F27" s="25"/>
      <c r="G27" s="80"/>
      <c r="H27" s="169"/>
      <c r="I27" s="170"/>
      <c r="J27" s="171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5"/>
      <c r="B28" s="46"/>
      <c r="C28" s="10"/>
      <c r="D28" s="48">
        <f t="shared" si="1"/>
        <v>0</v>
      </c>
      <c r="F28" s="86"/>
      <c r="G28" s="61"/>
      <c r="H28" s="172"/>
      <c r="I28" s="173"/>
      <c r="J28" s="174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46" t="s">
        <v>36</v>
      </c>
      <c r="B29" s="147"/>
      <c r="C29" s="148"/>
      <c r="D29" s="152">
        <f>SUM(D6:D28)</f>
        <v>0</v>
      </c>
      <c r="F29" s="92" t="s">
        <v>55</v>
      </c>
      <c r="G29" s="154"/>
      <c r="H29" s="114">
        <f>H15-H16-H17-H18-H19-H20-H22-H23-H24+H26+H27</f>
        <v>0</v>
      </c>
      <c r="I29" s="115"/>
      <c r="J29" s="116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49"/>
      <c r="B30" s="150"/>
      <c r="C30" s="151"/>
      <c r="D30" s="153"/>
      <c r="F30" s="95"/>
      <c r="G30" s="155"/>
      <c r="H30" s="117"/>
      <c r="I30" s="118"/>
      <c r="J30" s="119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39" t="s">
        <v>58</v>
      </c>
      <c r="B32" s="140"/>
      <c r="C32" s="140"/>
      <c r="D32" s="141"/>
      <c r="F32" s="142" t="s">
        <v>59</v>
      </c>
      <c r="G32" s="143"/>
      <c r="H32" s="143"/>
      <c r="I32" s="143"/>
      <c r="J32" s="144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142" t="s">
        <v>13</v>
      </c>
      <c r="I33" s="143"/>
      <c r="J33" s="144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3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36"/>
      <c r="I34" s="137"/>
      <c r="J34" s="138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4"/>
      <c r="B35" s="27" t="s">
        <v>68</v>
      </c>
      <c r="C35" s="52"/>
      <c r="D35" s="30">
        <f>C35*84</f>
        <v>0</v>
      </c>
      <c r="F35" s="58">
        <v>500</v>
      </c>
      <c r="G35" s="41"/>
      <c r="H35" s="136"/>
      <c r="I35" s="137"/>
      <c r="J35" s="138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5"/>
      <c r="B36" s="26" t="s">
        <v>70</v>
      </c>
      <c r="C36" s="10"/>
      <c r="D36" s="12">
        <f>C36*1.5</f>
        <v>0</v>
      </c>
      <c r="F36" s="12">
        <v>200</v>
      </c>
      <c r="G36" s="37"/>
      <c r="H36" s="136"/>
      <c r="I36" s="137"/>
      <c r="J36" s="138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3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36"/>
      <c r="I37" s="137"/>
      <c r="J37" s="138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4"/>
      <c r="B38" s="29" t="s">
        <v>68</v>
      </c>
      <c r="C38" s="54"/>
      <c r="D38" s="12">
        <f>C38*84</f>
        <v>0</v>
      </c>
      <c r="F38" s="30">
        <v>50</v>
      </c>
      <c r="G38" s="39"/>
      <c r="H38" s="136"/>
      <c r="I38" s="137"/>
      <c r="J38" s="138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5"/>
      <c r="B39" s="29" t="s">
        <v>70</v>
      </c>
      <c r="C39" s="52"/>
      <c r="D39" s="31">
        <f>C39*4.5</f>
        <v>0</v>
      </c>
      <c r="F39" s="12">
        <v>20</v>
      </c>
      <c r="G39" s="37"/>
      <c r="H39" s="136"/>
      <c r="I39" s="137"/>
      <c r="J39" s="138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3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36"/>
      <c r="I40" s="137"/>
      <c r="J40" s="138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4"/>
      <c r="B41" s="27" t="s">
        <v>68</v>
      </c>
      <c r="C41" s="10"/>
      <c r="D41" s="12">
        <f>C41*84</f>
        <v>0</v>
      </c>
      <c r="F41" s="12">
        <v>5</v>
      </c>
      <c r="G41" s="42"/>
      <c r="H41" s="136"/>
      <c r="I41" s="137"/>
      <c r="J41" s="138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5"/>
      <c r="B42" s="27" t="s">
        <v>70</v>
      </c>
      <c r="C42" s="11"/>
      <c r="D42" s="12">
        <f>C42*2.25</f>
        <v>0</v>
      </c>
      <c r="F42" s="39" t="s">
        <v>79</v>
      </c>
      <c r="G42" s="136"/>
      <c r="H42" s="137"/>
      <c r="I42" s="137"/>
      <c r="J42" s="138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06" t="s">
        <v>81</v>
      </c>
      <c r="C43" s="11"/>
      <c r="D43" s="12"/>
      <c r="F43" s="59" t="s">
        <v>82</v>
      </c>
      <c r="G43" s="89" t="s">
        <v>83</v>
      </c>
      <c r="H43" s="128" t="s">
        <v>13</v>
      </c>
      <c r="I43" s="129"/>
      <c r="J43" s="130"/>
      <c r="K43" s="21"/>
      <c r="P43" s="4"/>
      <c r="Q43" s="4"/>
      <c r="R43" s="5"/>
    </row>
    <row r="44" spans="1:18" ht="15.75" x14ac:dyDescent="0.25">
      <c r="A44" s="107"/>
      <c r="B44" s="27" t="s">
        <v>66</v>
      </c>
      <c r="C44" s="10"/>
      <c r="D44" s="12">
        <f>C44*120</f>
        <v>0</v>
      </c>
      <c r="F44" s="37"/>
      <c r="G44" s="76"/>
      <c r="H44" s="131"/>
      <c r="I44" s="131"/>
      <c r="J44" s="131"/>
      <c r="K44" s="21"/>
      <c r="P44" s="4"/>
      <c r="Q44" s="4"/>
      <c r="R44" s="5"/>
    </row>
    <row r="45" spans="1:18" ht="15.75" x14ac:dyDescent="0.25">
      <c r="A45" s="107"/>
      <c r="B45" s="27" t="s">
        <v>68</v>
      </c>
      <c r="C45" s="33"/>
      <c r="D45" s="12">
        <f>C45*84</f>
        <v>0</v>
      </c>
      <c r="F45" s="37"/>
      <c r="G45" s="76"/>
      <c r="H45" s="131"/>
      <c r="I45" s="131"/>
      <c r="J45" s="131"/>
      <c r="K45" s="21"/>
      <c r="P45" s="4"/>
      <c r="Q45" s="4"/>
      <c r="R45" s="5"/>
    </row>
    <row r="46" spans="1:18" ht="15.75" x14ac:dyDescent="0.25">
      <c r="A46" s="107"/>
      <c r="B46" s="49" t="s">
        <v>70</v>
      </c>
      <c r="C46" s="81"/>
      <c r="D46" s="12">
        <f>C46*1.5</f>
        <v>0</v>
      </c>
      <c r="F46" s="37"/>
      <c r="G46" s="62"/>
      <c r="H46" s="132"/>
      <c r="I46" s="132"/>
      <c r="J46" s="132"/>
      <c r="K46" s="21"/>
      <c r="P46" s="4"/>
      <c r="Q46" s="4"/>
      <c r="R46" s="5"/>
    </row>
    <row r="47" spans="1:18" ht="15.75" x14ac:dyDescent="0.25">
      <c r="A47" s="108"/>
      <c r="B47" s="27"/>
      <c r="C47" s="11"/>
      <c r="D47" s="12"/>
      <c r="F47" s="59"/>
      <c r="G47" s="59"/>
      <c r="H47" s="109"/>
      <c r="I47" s="110"/>
      <c r="J47" s="111"/>
      <c r="K47" s="21"/>
      <c r="P47" s="4"/>
      <c r="Q47" s="4"/>
      <c r="R47" s="5"/>
    </row>
    <row r="48" spans="1:18" ht="15" customHeight="1" x14ac:dyDescent="0.25">
      <c r="A48" s="106" t="s">
        <v>32</v>
      </c>
      <c r="B48" s="27" t="s">
        <v>66</v>
      </c>
      <c r="C48" s="10"/>
      <c r="D48" s="12">
        <f>C48*78</f>
        <v>0</v>
      </c>
      <c r="F48" s="59"/>
      <c r="G48" s="59"/>
      <c r="H48" s="109"/>
      <c r="I48" s="110"/>
      <c r="J48" s="111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07"/>
      <c r="B49" s="29" t="s">
        <v>68</v>
      </c>
      <c r="C49" s="33"/>
      <c r="D49" s="12">
        <f>C49*42</f>
        <v>0</v>
      </c>
      <c r="F49" s="112" t="s">
        <v>86</v>
      </c>
      <c r="G49" s="114">
        <f>H34+H35+H36+H37+H38+H39+H40+H41+G42+H44+H45+H46</f>
        <v>0</v>
      </c>
      <c r="H49" s="115"/>
      <c r="I49" s="115"/>
      <c r="J49" s="116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07"/>
      <c r="B50" s="32" t="s">
        <v>70</v>
      </c>
      <c r="C50" s="11"/>
      <c r="D50" s="12">
        <f>C50*1.5</f>
        <v>0</v>
      </c>
      <c r="F50" s="113"/>
      <c r="G50" s="117"/>
      <c r="H50" s="118"/>
      <c r="I50" s="118"/>
      <c r="J50" s="119"/>
      <c r="P50" s="4"/>
      <c r="Q50" s="4"/>
      <c r="R50" s="5"/>
    </row>
    <row r="51" spans="1:18" ht="15" customHeight="1" x14ac:dyDescent="0.25">
      <c r="A51" s="107"/>
      <c r="B51" s="27"/>
      <c r="C51" s="10"/>
      <c r="D51" s="31"/>
      <c r="F51" s="120" t="s">
        <v>125</v>
      </c>
      <c r="G51" s="122">
        <f>G49-H29</f>
        <v>0</v>
      </c>
      <c r="H51" s="123"/>
      <c r="I51" s="123"/>
      <c r="J51" s="124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07"/>
      <c r="B52" s="29"/>
      <c r="C52" s="33"/>
      <c r="D52" s="45"/>
      <c r="F52" s="121"/>
      <c r="G52" s="125"/>
      <c r="H52" s="126"/>
      <c r="I52" s="126"/>
      <c r="J52" s="127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08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92" t="s">
        <v>90</v>
      </c>
      <c r="B54" s="93"/>
      <c r="C54" s="94"/>
      <c r="D54" s="98">
        <f>SUM(D34:D53)</f>
        <v>0</v>
      </c>
      <c r="F54" s="21"/>
      <c r="J54" s="34"/>
    </row>
    <row r="55" spans="1:18" x14ac:dyDescent="0.25">
      <c r="A55" s="95"/>
      <c r="B55" s="96"/>
      <c r="C55" s="97"/>
      <c r="D55" s="9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00" t="s">
        <v>91</v>
      </c>
      <c r="B58" s="101"/>
      <c r="C58" s="101"/>
      <c r="D58" s="102"/>
      <c r="F58" s="100" t="s">
        <v>92</v>
      </c>
      <c r="G58" s="101"/>
      <c r="H58" s="101"/>
      <c r="I58" s="101"/>
      <c r="J58" s="102"/>
    </row>
    <row r="59" spans="1:18" x14ac:dyDescent="0.25">
      <c r="A59" s="103"/>
      <c r="B59" s="104"/>
      <c r="C59" s="104"/>
      <c r="D59" s="105"/>
      <c r="F59" s="103"/>
      <c r="G59" s="104"/>
      <c r="H59" s="104"/>
      <c r="I59" s="104"/>
      <c r="J59" s="105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0B7D8E-6125-4379-B998-ACC6043B7462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88" t="s">
        <v>1</v>
      </c>
      <c r="O1" s="188"/>
      <c r="P1" s="85" t="s">
        <v>2</v>
      </c>
      <c r="Q1" s="8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9" t="s">
        <v>7</v>
      </c>
      <c r="B4" s="140"/>
      <c r="C4" s="140"/>
      <c r="D4" s="141"/>
      <c r="F4" s="189" t="s">
        <v>8</v>
      </c>
      <c r="G4" s="191">
        <v>1</v>
      </c>
      <c r="H4" s="193" t="s">
        <v>9</v>
      </c>
      <c r="I4" s="195">
        <v>46094</v>
      </c>
      <c r="J4" s="19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3" t="s">
        <v>7</v>
      </c>
      <c r="B5" s="15" t="s">
        <v>11</v>
      </c>
      <c r="C5" s="9" t="s">
        <v>12</v>
      </c>
      <c r="D5" s="25" t="s">
        <v>13</v>
      </c>
      <c r="F5" s="190"/>
      <c r="G5" s="192"/>
      <c r="H5" s="194"/>
      <c r="I5" s="197"/>
      <c r="J5" s="19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4"/>
      <c r="B6" s="16" t="s">
        <v>15</v>
      </c>
      <c r="C6" s="10"/>
      <c r="D6" s="13">
        <f t="shared" ref="D6:D28" si="1">C6*L6</f>
        <v>0</v>
      </c>
      <c r="F6" s="199" t="s">
        <v>16</v>
      </c>
      <c r="G6" s="201" t="s">
        <v>111</v>
      </c>
      <c r="H6" s="202"/>
      <c r="I6" s="202"/>
      <c r="J6" s="203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4"/>
      <c r="B7" s="16" t="s">
        <v>18</v>
      </c>
      <c r="C7" s="10"/>
      <c r="D7" s="13">
        <f t="shared" si="1"/>
        <v>0</v>
      </c>
      <c r="F7" s="200"/>
      <c r="G7" s="204"/>
      <c r="H7" s="205"/>
      <c r="I7" s="205"/>
      <c r="J7" s="206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4"/>
      <c r="B8" s="16" t="s">
        <v>20</v>
      </c>
      <c r="C8" s="10"/>
      <c r="D8" s="13">
        <f t="shared" si="1"/>
        <v>0</v>
      </c>
      <c r="F8" s="207" t="s">
        <v>21</v>
      </c>
      <c r="G8" s="208" t="s">
        <v>144</v>
      </c>
      <c r="H8" s="209"/>
      <c r="I8" s="209"/>
      <c r="J8" s="210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4"/>
      <c r="B9" s="16" t="s">
        <v>23</v>
      </c>
      <c r="C9" s="10"/>
      <c r="D9" s="13">
        <f t="shared" si="1"/>
        <v>0</v>
      </c>
      <c r="F9" s="200"/>
      <c r="G9" s="211"/>
      <c r="H9" s="212"/>
      <c r="I9" s="212"/>
      <c r="J9" s="213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4"/>
      <c r="B10" t="s">
        <v>25</v>
      </c>
      <c r="C10" s="10"/>
      <c r="D10" s="13">
        <f t="shared" si="1"/>
        <v>0</v>
      </c>
      <c r="F10" s="199" t="s">
        <v>26</v>
      </c>
      <c r="G10" s="214" t="s">
        <v>139</v>
      </c>
      <c r="H10" s="215"/>
      <c r="I10" s="215"/>
      <c r="J10" s="216"/>
      <c r="K10" s="8"/>
      <c r="L10" s="6">
        <f>R36</f>
        <v>1032</v>
      </c>
      <c r="P10" s="4"/>
      <c r="Q10" s="4"/>
      <c r="R10" s="5"/>
    </row>
    <row r="11" spans="1:18" ht="15.75" x14ac:dyDescent="0.25">
      <c r="A11" s="134"/>
      <c r="B11" s="17" t="s">
        <v>28</v>
      </c>
      <c r="C11" s="10"/>
      <c r="D11" s="13">
        <f t="shared" si="1"/>
        <v>0</v>
      </c>
      <c r="F11" s="200"/>
      <c r="G11" s="211"/>
      <c r="H11" s="212"/>
      <c r="I11" s="212"/>
      <c r="J11" s="213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4"/>
      <c r="B12" s="17" t="s">
        <v>30</v>
      </c>
      <c r="C12" s="10"/>
      <c r="D12" s="48">
        <f t="shared" si="1"/>
        <v>0</v>
      </c>
      <c r="F12" s="217" t="s">
        <v>33</v>
      </c>
      <c r="G12" s="218"/>
      <c r="H12" s="218"/>
      <c r="I12" s="218"/>
      <c r="J12" s="219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4"/>
      <c r="B13" s="17" t="s">
        <v>32</v>
      </c>
      <c r="C13" s="10"/>
      <c r="D13" s="48">
        <f t="shared" si="1"/>
        <v>0</v>
      </c>
      <c r="F13" s="220" t="s">
        <v>36</v>
      </c>
      <c r="G13" s="184"/>
      <c r="H13" s="175">
        <f>D29</f>
        <v>0</v>
      </c>
      <c r="I13" s="176"/>
      <c r="J13" s="17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4"/>
      <c r="B14" s="14" t="s">
        <v>35</v>
      </c>
      <c r="C14" s="10"/>
      <c r="D14" s="31">
        <f t="shared" si="1"/>
        <v>0</v>
      </c>
      <c r="F14" s="178" t="s">
        <v>39</v>
      </c>
      <c r="G14" s="179"/>
      <c r="H14" s="180">
        <f>D54</f>
        <v>0</v>
      </c>
      <c r="I14" s="181"/>
      <c r="J14" s="18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4"/>
      <c r="B15" s="14" t="s">
        <v>38</v>
      </c>
      <c r="C15" s="10"/>
      <c r="D15" s="31">
        <f t="shared" si="1"/>
        <v>0</v>
      </c>
      <c r="F15" s="183" t="s">
        <v>40</v>
      </c>
      <c r="G15" s="184"/>
      <c r="H15" s="185">
        <f>H13-H14</f>
        <v>0</v>
      </c>
      <c r="I15" s="186"/>
      <c r="J15" s="187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4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45"/>
      <c r="I16" s="145"/>
      <c r="J16" s="145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4"/>
      <c r="B17" t="s">
        <v>133</v>
      </c>
      <c r="C17" s="10"/>
      <c r="D17" s="48">
        <f t="shared" si="1"/>
        <v>0</v>
      </c>
      <c r="F17" s="56"/>
      <c r="G17" s="66" t="s">
        <v>45</v>
      </c>
      <c r="H17" s="156"/>
      <c r="I17" s="156"/>
      <c r="J17" s="156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4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56"/>
      <c r="I18" s="156"/>
      <c r="J18" s="156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4"/>
      <c r="B19" s="14" t="s">
        <v>129</v>
      </c>
      <c r="C19" s="10"/>
      <c r="D19" s="48">
        <f t="shared" si="1"/>
        <v>0</v>
      </c>
      <c r="F19" s="56"/>
      <c r="G19" s="68" t="s">
        <v>50</v>
      </c>
      <c r="H19" s="156"/>
      <c r="I19" s="156"/>
      <c r="J19" s="156"/>
      <c r="L19" s="6">
        <v>1102</v>
      </c>
      <c r="Q19" s="4"/>
      <c r="R19" s="5">
        <f t="shared" si="0"/>
        <v>0</v>
      </c>
    </row>
    <row r="20" spans="1:18" ht="15.75" x14ac:dyDescent="0.25">
      <c r="A20" s="134"/>
      <c r="B20" s="83" t="s">
        <v>122</v>
      </c>
      <c r="C20" s="10"/>
      <c r="D20" s="13">
        <f t="shared" si="1"/>
        <v>0</v>
      </c>
      <c r="F20" s="57"/>
      <c r="G20" s="70" t="s">
        <v>117</v>
      </c>
      <c r="H20" s="145"/>
      <c r="I20" s="145"/>
      <c r="J20" s="145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4"/>
      <c r="B21" s="14" t="s">
        <v>131</v>
      </c>
      <c r="C21" s="10"/>
      <c r="D21" s="48">
        <f t="shared" si="1"/>
        <v>0</v>
      </c>
      <c r="F21" s="69" t="s">
        <v>99</v>
      </c>
      <c r="G21" s="82" t="s">
        <v>98</v>
      </c>
      <c r="H21" s="158" t="s">
        <v>13</v>
      </c>
      <c r="I21" s="159"/>
      <c r="J21" s="160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4"/>
      <c r="B22" s="46" t="s">
        <v>124</v>
      </c>
      <c r="C22" s="10"/>
      <c r="D22" s="48">
        <f t="shared" si="1"/>
        <v>0</v>
      </c>
      <c r="F22" s="77"/>
      <c r="G22" s="73"/>
      <c r="H22" s="161"/>
      <c r="I22" s="161"/>
      <c r="J22" s="161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4"/>
      <c r="B23" s="14" t="s">
        <v>101</v>
      </c>
      <c r="C23" s="10"/>
      <c r="D23" s="48">
        <f t="shared" si="1"/>
        <v>0</v>
      </c>
      <c r="F23" s="77"/>
      <c r="G23" s="79"/>
      <c r="H23" s="227"/>
      <c r="I23" s="228"/>
      <c r="J23" s="228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4"/>
      <c r="B24" s="14" t="s">
        <v>118</v>
      </c>
      <c r="C24" s="10"/>
      <c r="D24" s="48">
        <f t="shared" si="1"/>
        <v>0</v>
      </c>
      <c r="F24" s="77"/>
      <c r="G24" s="79"/>
      <c r="H24" s="227"/>
      <c r="I24" s="228"/>
      <c r="J24" s="228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4"/>
      <c r="B25" s="14" t="s">
        <v>134</v>
      </c>
      <c r="C25" s="10"/>
      <c r="D25" s="48">
        <f t="shared" si="1"/>
        <v>0</v>
      </c>
      <c r="F25" s="60" t="s">
        <v>100</v>
      </c>
      <c r="G25" s="55" t="s">
        <v>98</v>
      </c>
      <c r="H25" s="163" t="s">
        <v>13</v>
      </c>
      <c r="I25" s="164"/>
      <c r="J25" s="165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4"/>
      <c r="B26" s="14" t="s">
        <v>132</v>
      </c>
      <c r="C26" s="10"/>
      <c r="D26" s="48">
        <f t="shared" si="1"/>
        <v>0</v>
      </c>
      <c r="F26" s="75"/>
      <c r="G26" s="65"/>
      <c r="H26" s="131"/>
      <c r="I26" s="131"/>
      <c r="J26" s="131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4"/>
      <c r="B27" s="14" t="s">
        <v>110</v>
      </c>
      <c r="C27" s="10"/>
      <c r="D27" s="44">
        <f t="shared" si="1"/>
        <v>0</v>
      </c>
      <c r="F27" s="71"/>
      <c r="G27" s="89"/>
      <c r="H27" s="229"/>
      <c r="I27" s="230"/>
      <c r="J27" s="230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5"/>
      <c r="B28" s="46" t="s">
        <v>97</v>
      </c>
      <c r="C28" s="10"/>
      <c r="D28" s="48">
        <f t="shared" si="1"/>
        <v>0</v>
      </c>
      <c r="F28" s="86"/>
      <c r="G28" s="61"/>
      <c r="H28" s="172"/>
      <c r="I28" s="173"/>
      <c r="J28" s="174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46" t="s">
        <v>36</v>
      </c>
      <c r="B29" s="147"/>
      <c r="C29" s="148"/>
      <c r="D29" s="152">
        <f>SUM(D6:D28)</f>
        <v>0</v>
      </c>
      <c r="F29" s="92" t="s">
        <v>55</v>
      </c>
      <c r="G29" s="154"/>
      <c r="H29" s="114">
        <f>H15-H16-H17-H18-H19-H20-H22-H23-H24+H26+H27+H28</f>
        <v>0</v>
      </c>
      <c r="I29" s="115"/>
      <c r="J29" s="116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49"/>
      <c r="B30" s="150"/>
      <c r="C30" s="151"/>
      <c r="D30" s="153"/>
      <c r="F30" s="95"/>
      <c r="G30" s="155"/>
      <c r="H30" s="117"/>
      <c r="I30" s="118"/>
      <c r="J30" s="119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39" t="s">
        <v>58</v>
      </c>
      <c r="B32" s="140"/>
      <c r="C32" s="140"/>
      <c r="D32" s="141"/>
      <c r="F32" s="142" t="s">
        <v>59</v>
      </c>
      <c r="G32" s="143"/>
      <c r="H32" s="143"/>
      <c r="I32" s="143"/>
      <c r="J32" s="144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142" t="s">
        <v>13</v>
      </c>
      <c r="I33" s="143"/>
      <c r="J33" s="144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3" t="s">
        <v>65</v>
      </c>
      <c r="B34" s="26" t="s">
        <v>66</v>
      </c>
      <c r="C34" s="51"/>
      <c r="D34" s="30">
        <f>C34*120</f>
        <v>0</v>
      </c>
      <c r="F34" s="12">
        <v>1000</v>
      </c>
      <c r="G34" s="40"/>
      <c r="H34" s="136">
        <f t="shared" ref="H34:H39" si="2">F34*G34</f>
        <v>0</v>
      </c>
      <c r="I34" s="137"/>
      <c r="J34" s="138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4"/>
      <c r="B35" s="27" t="s">
        <v>68</v>
      </c>
      <c r="C35" s="52"/>
      <c r="D35" s="30">
        <f>C35*84</f>
        <v>0</v>
      </c>
      <c r="F35" s="58">
        <v>500</v>
      </c>
      <c r="G35" s="41"/>
      <c r="H35" s="136">
        <f t="shared" si="2"/>
        <v>0</v>
      </c>
      <c r="I35" s="137"/>
      <c r="J35" s="138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5"/>
      <c r="B36" s="26" t="s">
        <v>70</v>
      </c>
      <c r="C36" s="10"/>
      <c r="D36" s="12">
        <f>C36*1.5</f>
        <v>0</v>
      </c>
      <c r="F36" s="12">
        <v>200</v>
      </c>
      <c r="G36" s="37"/>
      <c r="H36" s="136">
        <f t="shared" si="2"/>
        <v>0</v>
      </c>
      <c r="I36" s="137"/>
      <c r="J36" s="138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3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36">
        <f t="shared" si="2"/>
        <v>0</v>
      </c>
      <c r="I37" s="137"/>
      <c r="J37" s="138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4"/>
      <c r="B38" s="29" t="s">
        <v>68</v>
      </c>
      <c r="C38" s="54"/>
      <c r="D38" s="12">
        <f>C38*84</f>
        <v>0</v>
      </c>
      <c r="F38" s="30">
        <v>50</v>
      </c>
      <c r="G38" s="39"/>
      <c r="H38" s="136">
        <f t="shared" si="2"/>
        <v>0</v>
      </c>
      <c r="I38" s="137"/>
      <c r="J38" s="138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5"/>
      <c r="B39" s="29" t="s">
        <v>70</v>
      </c>
      <c r="C39" s="52"/>
      <c r="D39" s="31">
        <f>C39*4.5</f>
        <v>0</v>
      </c>
      <c r="F39" s="12">
        <v>20</v>
      </c>
      <c r="G39" s="37"/>
      <c r="H39" s="136">
        <f t="shared" si="2"/>
        <v>0</v>
      </c>
      <c r="I39" s="137"/>
      <c r="J39" s="138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3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36"/>
      <c r="I40" s="137"/>
      <c r="J40" s="138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4"/>
      <c r="B41" s="27" t="s">
        <v>68</v>
      </c>
      <c r="C41" s="10"/>
      <c r="D41" s="12">
        <f>C41*84</f>
        <v>0</v>
      </c>
      <c r="F41" s="12">
        <v>5</v>
      </c>
      <c r="G41" s="42"/>
      <c r="H41" s="136"/>
      <c r="I41" s="137"/>
      <c r="J41" s="138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5"/>
      <c r="B42" s="27" t="s">
        <v>70</v>
      </c>
      <c r="C42" s="11"/>
      <c r="D42" s="12">
        <f>C42*2.25</f>
        <v>0</v>
      </c>
      <c r="F42" s="39" t="s">
        <v>79</v>
      </c>
      <c r="G42" s="136"/>
      <c r="H42" s="137"/>
      <c r="I42" s="137"/>
      <c r="J42" s="138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06" t="s">
        <v>81</v>
      </c>
      <c r="C43" s="11"/>
      <c r="D43" s="12"/>
      <c r="F43" s="59" t="s">
        <v>82</v>
      </c>
      <c r="G43" s="89" t="s">
        <v>83</v>
      </c>
      <c r="H43" s="128" t="s">
        <v>13</v>
      </c>
      <c r="I43" s="129"/>
      <c r="J43" s="130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07"/>
      <c r="B44" s="27" t="s">
        <v>66</v>
      </c>
      <c r="C44" s="10"/>
      <c r="D44" s="12">
        <f>C44*120</f>
        <v>0</v>
      </c>
      <c r="F44" s="37"/>
      <c r="G44" s="84"/>
      <c r="H44" s="131"/>
      <c r="I44" s="131"/>
      <c r="J44" s="131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07"/>
      <c r="B45" s="27" t="s">
        <v>68</v>
      </c>
      <c r="C45" s="33"/>
      <c r="D45" s="12">
        <f>C45*84</f>
        <v>0</v>
      </c>
      <c r="F45" s="37"/>
      <c r="G45" s="62"/>
      <c r="H45" s="131"/>
      <c r="I45" s="131"/>
      <c r="J45" s="131"/>
      <c r="K45" s="21"/>
      <c r="P45" s="4"/>
      <c r="Q45" s="4"/>
      <c r="R45" s="5"/>
    </row>
    <row r="46" spans="1:18" ht="15.75" x14ac:dyDescent="0.25">
      <c r="A46" s="107"/>
      <c r="B46" s="49" t="s">
        <v>70</v>
      </c>
      <c r="C46" s="81"/>
      <c r="D46" s="12">
        <f>C46*1.5</f>
        <v>0</v>
      </c>
      <c r="F46" s="37"/>
      <c r="G46" s="62"/>
      <c r="H46" s="131"/>
      <c r="I46" s="131"/>
      <c r="J46" s="131"/>
      <c r="K46" s="21"/>
      <c r="P46" s="4"/>
      <c r="Q46" s="4"/>
      <c r="R46" s="5"/>
    </row>
    <row r="47" spans="1:18" ht="15.75" x14ac:dyDescent="0.25">
      <c r="A47" s="108"/>
      <c r="B47" s="27"/>
      <c r="C47" s="11"/>
      <c r="D47" s="12"/>
      <c r="F47" s="59"/>
      <c r="G47" s="59"/>
      <c r="H47" s="109"/>
      <c r="I47" s="110"/>
      <c r="J47" s="111"/>
      <c r="K47" s="21"/>
      <c r="P47" s="4"/>
      <c r="Q47" s="4"/>
      <c r="R47" s="5"/>
    </row>
    <row r="48" spans="1:18" ht="15" customHeight="1" x14ac:dyDescent="0.25">
      <c r="A48" s="106" t="s">
        <v>32</v>
      </c>
      <c r="B48" s="27" t="s">
        <v>66</v>
      </c>
      <c r="C48" s="10"/>
      <c r="D48" s="12">
        <f>C48*78</f>
        <v>0</v>
      </c>
      <c r="F48" s="59"/>
      <c r="G48" s="59"/>
      <c r="H48" s="109"/>
      <c r="I48" s="110"/>
      <c r="J48" s="111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07"/>
      <c r="B49" s="29" t="s">
        <v>68</v>
      </c>
      <c r="C49" s="33"/>
      <c r="D49" s="12">
        <f>C49*42</f>
        <v>0</v>
      </c>
      <c r="F49" s="112" t="s">
        <v>86</v>
      </c>
      <c r="G49" s="114">
        <f>H34+H35+H36+H37+H38+H39+H40+H41+G42+H44+H45+H46</f>
        <v>0</v>
      </c>
      <c r="H49" s="115"/>
      <c r="I49" s="115"/>
      <c r="J49" s="116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07"/>
      <c r="B50" s="32" t="s">
        <v>70</v>
      </c>
      <c r="C50" s="11"/>
      <c r="D50" s="12">
        <f>C50*1.5</f>
        <v>0</v>
      </c>
      <c r="F50" s="113"/>
      <c r="G50" s="117"/>
      <c r="H50" s="118"/>
      <c r="I50" s="118"/>
      <c r="J50" s="119"/>
      <c r="O50" t="s">
        <v>137</v>
      </c>
      <c r="P50" s="4">
        <v>1204</v>
      </c>
      <c r="Q50" s="4"/>
      <c r="R50" s="5"/>
    </row>
    <row r="51" spans="1:18" ht="15" customHeight="1" x14ac:dyDescent="0.25">
      <c r="A51" s="107"/>
      <c r="B51" s="27"/>
      <c r="C51" s="10"/>
      <c r="D51" s="31"/>
      <c r="F51" s="120" t="s">
        <v>128</v>
      </c>
      <c r="G51" s="221">
        <f>G49-H29</f>
        <v>0</v>
      </c>
      <c r="H51" s="222"/>
      <c r="I51" s="222"/>
      <c r="J51" s="223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07"/>
      <c r="B52" s="29"/>
      <c r="C52" s="33"/>
      <c r="D52" s="45"/>
      <c r="F52" s="121"/>
      <c r="G52" s="224"/>
      <c r="H52" s="225"/>
      <c r="I52" s="225"/>
      <c r="J52" s="226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08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92" t="s">
        <v>90</v>
      </c>
      <c r="B54" s="93"/>
      <c r="C54" s="94"/>
      <c r="D54" s="98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95"/>
      <c r="B55" s="96"/>
      <c r="C55" s="97"/>
      <c r="D55" s="9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140</v>
      </c>
      <c r="D57" s="34"/>
      <c r="F57" s="36"/>
      <c r="G57" s="50"/>
      <c r="H57" s="50"/>
      <c r="I57" s="50"/>
      <c r="J57" s="43"/>
    </row>
    <row r="58" spans="1:18" x14ac:dyDescent="0.25">
      <c r="A58" s="100" t="s">
        <v>91</v>
      </c>
      <c r="B58" s="101"/>
      <c r="C58" s="101"/>
      <c r="D58" s="102"/>
      <c r="F58" s="100" t="s">
        <v>92</v>
      </c>
      <c r="G58" s="101"/>
      <c r="H58" s="101"/>
      <c r="I58" s="101"/>
      <c r="J58" s="102"/>
    </row>
    <row r="59" spans="1:18" x14ac:dyDescent="0.25">
      <c r="A59" s="103"/>
      <c r="B59" s="104"/>
      <c r="C59" s="104"/>
      <c r="D59" s="105"/>
      <c r="F59" s="103"/>
      <c r="G59" s="104"/>
      <c r="H59" s="104"/>
      <c r="I59" s="104"/>
      <c r="J59" s="105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F6A28D-DC5A-4423-9A96-80D21D4B8CC6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88" t="s">
        <v>1</v>
      </c>
      <c r="O1" s="188"/>
      <c r="P1" s="85" t="s">
        <v>2</v>
      </c>
      <c r="Q1" s="8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9" t="s">
        <v>7</v>
      </c>
      <c r="B4" s="140"/>
      <c r="C4" s="140"/>
      <c r="D4" s="141"/>
      <c r="F4" s="189" t="s">
        <v>8</v>
      </c>
      <c r="G4" s="191">
        <v>2</v>
      </c>
      <c r="H4" s="193" t="s">
        <v>9</v>
      </c>
      <c r="I4" s="195">
        <v>46094</v>
      </c>
      <c r="J4" s="19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3" t="s">
        <v>7</v>
      </c>
      <c r="B5" s="15" t="s">
        <v>11</v>
      </c>
      <c r="C5" s="9" t="s">
        <v>12</v>
      </c>
      <c r="D5" s="25" t="s">
        <v>13</v>
      </c>
      <c r="F5" s="190"/>
      <c r="G5" s="192"/>
      <c r="H5" s="194"/>
      <c r="I5" s="197"/>
      <c r="J5" s="19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4"/>
      <c r="B6" s="16" t="s">
        <v>15</v>
      </c>
      <c r="C6" s="10"/>
      <c r="D6" s="13">
        <f t="shared" ref="D6:D28" si="1">C6*L6</f>
        <v>0</v>
      </c>
      <c r="F6" s="199" t="s">
        <v>16</v>
      </c>
      <c r="G6" s="201" t="s">
        <v>126</v>
      </c>
      <c r="H6" s="202"/>
      <c r="I6" s="202"/>
      <c r="J6" s="203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4"/>
      <c r="B7" s="16" t="s">
        <v>18</v>
      </c>
      <c r="C7" s="10"/>
      <c r="D7" s="13">
        <f t="shared" si="1"/>
        <v>0</v>
      </c>
      <c r="F7" s="200"/>
      <c r="G7" s="204"/>
      <c r="H7" s="205"/>
      <c r="I7" s="205"/>
      <c r="J7" s="206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4"/>
      <c r="B8" s="16" t="s">
        <v>20</v>
      </c>
      <c r="C8" s="10"/>
      <c r="D8" s="13">
        <f t="shared" si="1"/>
        <v>0</v>
      </c>
      <c r="F8" s="207" t="s">
        <v>21</v>
      </c>
      <c r="G8" s="208" t="s">
        <v>113</v>
      </c>
      <c r="H8" s="209"/>
      <c r="I8" s="209"/>
      <c r="J8" s="210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4"/>
      <c r="B9" s="16" t="s">
        <v>23</v>
      </c>
      <c r="C9" s="10"/>
      <c r="D9" s="13">
        <f t="shared" si="1"/>
        <v>0</v>
      </c>
      <c r="F9" s="200"/>
      <c r="G9" s="211"/>
      <c r="H9" s="212"/>
      <c r="I9" s="212"/>
      <c r="J9" s="213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4"/>
      <c r="B10" t="s">
        <v>25</v>
      </c>
      <c r="C10" s="10"/>
      <c r="D10" s="13">
        <f t="shared" si="1"/>
        <v>0</v>
      </c>
      <c r="F10" s="199" t="s">
        <v>26</v>
      </c>
      <c r="G10" s="214" t="s">
        <v>114</v>
      </c>
      <c r="H10" s="215"/>
      <c r="I10" s="215"/>
      <c r="J10" s="216"/>
      <c r="K10" s="8"/>
      <c r="L10" s="6">
        <f>R36</f>
        <v>1032</v>
      </c>
      <c r="P10" s="4"/>
      <c r="Q10" s="4"/>
      <c r="R10" s="5"/>
    </row>
    <row r="11" spans="1:18" ht="15.75" x14ac:dyDescent="0.25">
      <c r="A11" s="134"/>
      <c r="B11" s="17" t="s">
        <v>28</v>
      </c>
      <c r="C11" s="10"/>
      <c r="D11" s="13">
        <f t="shared" si="1"/>
        <v>0</v>
      </c>
      <c r="F11" s="200"/>
      <c r="G11" s="211"/>
      <c r="H11" s="212"/>
      <c r="I11" s="212"/>
      <c r="J11" s="213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4"/>
      <c r="B12" s="17" t="s">
        <v>30</v>
      </c>
      <c r="C12" s="10"/>
      <c r="D12" s="48">
        <f t="shared" si="1"/>
        <v>0</v>
      </c>
      <c r="F12" s="217" t="s">
        <v>33</v>
      </c>
      <c r="G12" s="218"/>
      <c r="H12" s="218"/>
      <c r="I12" s="218"/>
      <c r="J12" s="219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4"/>
      <c r="B13" s="17" t="s">
        <v>32</v>
      </c>
      <c r="C13" s="10"/>
      <c r="D13" s="48">
        <f t="shared" si="1"/>
        <v>0</v>
      </c>
      <c r="F13" s="220" t="s">
        <v>36</v>
      </c>
      <c r="G13" s="184"/>
      <c r="H13" s="175">
        <f>D29</f>
        <v>0</v>
      </c>
      <c r="I13" s="176"/>
      <c r="J13" s="17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4"/>
      <c r="B14" s="14" t="s">
        <v>35</v>
      </c>
      <c r="C14" s="10"/>
      <c r="D14" s="31">
        <f t="shared" si="1"/>
        <v>0</v>
      </c>
      <c r="F14" s="178" t="s">
        <v>39</v>
      </c>
      <c r="G14" s="179"/>
      <c r="H14" s="180">
        <f>D54</f>
        <v>0</v>
      </c>
      <c r="I14" s="181"/>
      <c r="J14" s="18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4"/>
      <c r="B15" s="14" t="s">
        <v>38</v>
      </c>
      <c r="C15" s="10"/>
      <c r="D15" s="31">
        <f t="shared" si="1"/>
        <v>0</v>
      </c>
      <c r="F15" s="183" t="s">
        <v>40</v>
      </c>
      <c r="G15" s="184"/>
      <c r="H15" s="185">
        <f>H13-H14</f>
        <v>0</v>
      </c>
      <c r="I15" s="186"/>
      <c r="J15" s="187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4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45"/>
      <c r="I16" s="145"/>
      <c r="J16" s="145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4"/>
      <c r="B17" t="s">
        <v>93</v>
      </c>
      <c r="C17" s="10"/>
      <c r="D17" s="48">
        <f t="shared" si="1"/>
        <v>0</v>
      </c>
      <c r="F17" s="56"/>
      <c r="G17" s="66" t="s">
        <v>45</v>
      </c>
      <c r="H17" s="156"/>
      <c r="I17" s="156"/>
      <c r="J17" s="156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4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56"/>
      <c r="I18" s="156"/>
      <c r="J18" s="156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4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31"/>
      <c r="I19" s="231"/>
      <c r="J19" s="231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4"/>
      <c r="B20" s="46" t="s">
        <v>119</v>
      </c>
      <c r="C20" s="10"/>
      <c r="D20" s="13">
        <f t="shared" si="1"/>
        <v>0</v>
      </c>
      <c r="F20" s="57"/>
      <c r="G20" s="70" t="s">
        <v>117</v>
      </c>
      <c r="H20" s="156"/>
      <c r="I20" s="156"/>
      <c r="J20" s="156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4"/>
      <c r="B21" s="14" t="s">
        <v>131</v>
      </c>
      <c r="C21" s="10"/>
      <c r="D21" s="48">
        <f t="shared" si="1"/>
        <v>0</v>
      </c>
      <c r="F21" s="69" t="s">
        <v>99</v>
      </c>
      <c r="G21" s="82" t="s">
        <v>98</v>
      </c>
      <c r="H21" s="158" t="s">
        <v>13</v>
      </c>
      <c r="I21" s="159"/>
      <c r="J21" s="160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4"/>
      <c r="B22" s="46" t="s">
        <v>104</v>
      </c>
      <c r="C22" s="10"/>
      <c r="D22" s="48">
        <f t="shared" si="1"/>
        <v>0</v>
      </c>
      <c r="F22" s="72"/>
      <c r="G22" s="73"/>
      <c r="H22" s="161"/>
      <c r="I22" s="161"/>
      <c r="J22" s="161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4"/>
      <c r="B23" s="14" t="s">
        <v>107</v>
      </c>
      <c r="C23" s="10"/>
      <c r="D23" s="48">
        <f t="shared" si="1"/>
        <v>0</v>
      </c>
      <c r="F23" s="25"/>
      <c r="G23" s="37"/>
      <c r="H23" s="162"/>
      <c r="I23" s="131"/>
      <c r="J23" s="131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4"/>
      <c r="B24" s="14" t="s">
        <v>120</v>
      </c>
      <c r="C24" s="10"/>
      <c r="D24" s="48">
        <f t="shared" si="1"/>
        <v>0</v>
      </c>
      <c r="F24" s="38"/>
      <c r="G24" s="37"/>
      <c r="H24" s="162"/>
      <c r="I24" s="131"/>
      <c r="J24" s="131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4"/>
      <c r="B25" s="14" t="s">
        <v>121</v>
      </c>
      <c r="C25" s="10"/>
      <c r="D25" s="48">
        <f t="shared" si="1"/>
        <v>0</v>
      </c>
      <c r="F25" s="60" t="s">
        <v>100</v>
      </c>
      <c r="G25" s="55" t="s">
        <v>98</v>
      </c>
      <c r="H25" s="163" t="s">
        <v>13</v>
      </c>
      <c r="I25" s="164"/>
      <c r="J25" s="165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4"/>
      <c r="B26" s="14" t="s">
        <v>105</v>
      </c>
      <c r="C26" s="10"/>
      <c r="D26" s="48">
        <f t="shared" si="1"/>
        <v>0</v>
      </c>
      <c r="F26" s="64"/>
      <c r="G26" s="10"/>
      <c r="H26" s="166"/>
      <c r="I26" s="167"/>
      <c r="J26" s="168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4"/>
      <c r="B27" s="14" t="s">
        <v>109</v>
      </c>
      <c r="C27" s="10"/>
      <c r="D27" s="44">
        <f t="shared" si="1"/>
        <v>0</v>
      </c>
      <c r="F27" s="14"/>
      <c r="G27" s="14"/>
      <c r="H27" s="169"/>
      <c r="I27" s="170"/>
      <c r="J27" s="171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5"/>
      <c r="B28" s="46" t="s">
        <v>97</v>
      </c>
      <c r="C28" s="10"/>
      <c r="D28" s="48">
        <f t="shared" si="1"/>
        <v>0</v>
      </c>
      <c r="F28" s="86"/>
      <c r="G28" s="61"/>
      <c r="H28" s="172"/>
      <c r="I28" s="173"/>
      <c r="J28" s="174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46" t="s">
        <v>36</v>
      </c>
      <c r="B29" s="147"/>
      <c r="C29" s="148"/>
      <c r="D29" s="152">
        <f>SUM(D6:D28)</f>
        <v>0</v>
      </c>
      <c r="F29" s="92" t="s">
        <v>55</v>
      </c>
      <c r="G29" s="154"/>
      <c r="H29" s="114">
        <f>H15-H16-H17-H18-H19-H20-H22-H23-H24+H26+H27</f>
        <v>0</v>
      </c>
      <c r="I29" s="115"/>
      <c r="J29" s="116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49"/>
      <c r="B30" s="150"/>
      <c r="C30" s="151"/>
      <c r="D30" s="153"/>
      <c r="F30" s="95"/>
      <c r="G30" s="155"/>
      <c r="H30" s="117"/>
      <c r="I30" s="118"/>
      <c r="J30" s="119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39" t="s">
        <v>58</v>
      </c>
      <c r="B32" s="140"/>
      <c r="C32" s="140"/>
      <c r="D32" s="141"/>
      <c r="F32" s="142" t="s">
        <v>59</v>
      </c>
      <c r="G32" s="143"/>
      <c r="H32" s="143"/>
      <c r="I32" s="143"/>
      <c r="J32" s="144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142" t="s">
        <v>13</v>
      </c>
      <c r="I33" s="143"/>
      <c r="J33" s="144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3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36">
        <f>F34*G34</f>
        <v>0</v>
      </c>
      <c r="I34" s="137"/>
      <c r="J34" s="138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4"/>
      <c r="B35" s="27" t="s">
        <v>68</v>
      </c>
      <c r="C35" s="52"/>
      <c r="D35" s="30">
        <f>C35*84</f>
        <v>0</v>
      </c>
      <c r="F35" s="58">
        <v>500</v>
      </c>
      <c r="G35" s="41"/>
      <c r="H35" s="136">
        <f t="shared" ref="H35:H39" si="2">F35*G35</f>
        <v>0</v>
      </c>
      <c r="I35" s="137"/>
      <c r="J35" s="138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5"/>
      <c r="B36" s="26" t="s">
        <v>70</v>
      </c>
      <c r="C36" s="10"/>
      <c r="D36" s="12">
        <f>C36*1.5</f>
        <v>0</v>
      </c>
      <c r="F36" s="12">
        <v>200</v>
      </c>
      <c r="G36" s="37"/>
      <c r="H36" s="136">
        <f>F36*G36</f>
        <v>0</v>
      </c>
      <c r="I36" s="137"/>
      <c r="J36" s="138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3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36">
        <f t="shared" si="2"/>
        <v>0</v>
      </c>
      <c r="I37" s="137"/>
      <c r="J37" s="138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4"/>
      <c r="B38" s="29" t="s">
        <v>68</v>
      </c>
      <c r="C38" s="54"/>
      <c r="D38" s="12">
        <f>C38*84</f>
        <v>0</v>
      </c>
      <c r="F38" s="30">
        <v>50</v>
      </c>
      <c r="G38" s="39"/>
      <c r="H38" s="136">
        <f t="shared" si="2"/>
        <v>0</v>
      </c>
      <c r="I38" s="137"/>
      <c r="J38" s="138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5"/>
      <c r="B39" s="29" t="s">
        <v>70</v>
      </c>
      <c r="C39" s="52"/>
      <c r="D39" s="31">
        <f>C39*4.5</f>
        <v>0</v>
      </c>
      <c r="F39" s="12">
        <v>20</v>
      </c>
      <c r="G39" s="37"/>
      <c r="H39" s="136">
        <f t="shared" si="2"/>
        <v>0</v>
      </c>
      <c r="I39" s="137"/>
      <c r="J39" s="138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3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36"/>
      <c r="I40" s="137"/>
      <c r="J40" s="138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4"/>
      <c r="B41" s="27" t="s">
        <v>68</v>
      </c>
      <c r="C41" s="10"/>
      <c r="D41" s="12">
        <f>C41*84</f>
        <v>0</v>
      </c>
      <c r="F41" s="12">
        <v>5</v>
      </c>
      <c r="G41" s="42"/>
      <c r="H41" s="136"/>
      <c r="I41" s="137"/>
      <c r="J41" s="138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5"/>
      <c r="B42" s="27" t="s">
        <v>70</v>
      </c>
      <c r="C42" s="11"/>
      <c r="D42" s="12">
        <f>C42*2.25</f>
        <v>0</v>
      </c>
      <c r="F42" s="39" t="s">
        <v>79</v>
      </c>
      <c r="G42" s="136"/>
      <c r="H42" s="137"/>
      <c r="I42" s="137"/>
      <c r="J42" s="138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06" t="s">
        <v>81</v>
      </c>
      <c r="C43" s="11"/>
      <c r="D43" s="12"/>
      <c r="F43" s="59" t="s">
        <v>82</v>
      </c>
      <c r="G43" s="89" t="s">
        <v>83</v>
      </c>
      <c r="H43" s="128" t="s">
        <v>13</v>
      </c>
      <c r="I43" s="129"/>
      <c r="J43" s="130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07"/>
      <c r="B44" s="27" t="s">
        <v>66</v>
      </c>
      <c r="C44" s="10"/>
      <c r="D44" s="12">
        <f>C44*120</f>
        <v>0</v>
      </c>
      <c r="F44" s="37"/>
      <c r="G44" s="62"/>
      <c r="H44" s="131"/>
      <c r="I44" s="131"/>
      <c r="J44" s="131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07"/>
      <c r="B45" s="27" t="s">
        <v>68</v>
      </c>
      <c r="C45" s="33"/>
      <c r="D45" s="12">
        <f>C45*84</f>
        <v>0</v>
      </c>
      <c r="F45" s="37"/>
      <c r="G45" s="62"/>
      <c r="H45" s="131"/>
      <c r="I45" s="131"/>
      <c r="J45" s="131"/>
      <c r="K45" s="21"/>
      <c r="P45" s="4"/>
      <c r="Q45" s="4"/>
      <c r="R45" s="5"/>
    </row>
    <row r="46" spans="1:18" ht="15.75" x14ac:dyDescent="0.25">
      <c r="A46" s="107"/>
      <c r="B46" s="49" t="s">
        <v>70</v>
      </c>
      <c r="C46" s="81"/>
      <c r="D46" s="12">
        <f>C46*1.5</f>
        <v>0</v>
      </c>
      <c r="F46" s="37"/>
      <c r="G46" s="88"/>
      <c r="H46" s="132"/>
      <c r="I46" s="132"/>
      <c r="J46" s="132"/>
      <c r="K46" s="21"/>
      <c r="P46" s="4"/>
      <c r="Q46" s="4"/>
      <c r="R46" s="5"/>
    </row>
    <row r="47" spans="1:18" ht="15.75" x14ac:dyDescent="0.25">
      <c r="A47" s="108"/>
      <c r="B47" s="27"/>
      <c r="C47" s="11"/>
      <c r="D47" s="12"/>
      <c r="F47" s="59"/>
      <c r="G47" s="59"/>
      <c r="H47" s="109"/>
      <c r="I47" s="110"/>
      <c r="J47" s="111"/>
      <c r="K47" s="21"/>
      <c r="P47" s="4"/>
      <c r="Q47" s="4"/>
      <c r="R47" s="5"/>
    </row>
    <row r="48" spans="1:18" ht="15" customHeight="1" x14ac:dyDescent="0.25">
      <c r="A48" s="106" t="s">
        <v>32</v>
      </c>
      <c r="B48" s="27" t="s">
        <v>66</v>
      </c>
      <c r="C48" s="10"/>
      <c r="D48" s="12">
        <f>C48*78</f>
        <v>0</v>
      </c>
      <c r="F48" s="59"/>
      <c r="G48" s="59"/>
      <c r="H48" s="109"/>
      <c r="I48" s="110"/>
      <c r="J48" s="111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07"/>
      <c r="B49" s="29" t="s">
        <v>68</v>
      </c>
      <c r="C49" s="33"/>
      <c r="D49" s="12">
        <f>C49*42</f>
        <v>0</v>
      </c>
      <c r="F49" s="112" t="s">
        <v>86</v>
      </c>
      <c r="G49" s="114">
        <f>H34+H35+H36+H37+H38+H39+H40+H41+G42+H44+H45+H46</f>
        <v>0</v>
      </c>
      <c r="H49" s="115"/>
      <c r="I49" s="115"/>
      <c r="J49" s="116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07"/>
      <c r="B50" s="32" t="s">
        <v>70</v>
      </c>
      <c r="C50" s="11"/>
      <c r="D50" s="12">
        <f>C50*1.5</f>
        <v>0</v>
      </c>
      <c r="F50" s="113"/>
      <c r="G50" s="117"/>
      <c r="H50" s="118"/>
      <c r="I50" s="118"/>
      <c r="J50" s="119"/>
      <c r="O50" t="s">
        <v>137</v>
      </c>
      <c r="P50" s="4">
        <v>1204</v>
      </c>
      <c r="Q50" s="4"/>
      <c r="R50" s="5"/>
    </row>
    <row r="51" spans="1:18" ht="15" customHeight="1" x14ac:dyDescent="0.25">
      <c r="A51" s="107"/>
      <c r="B51" s="27"/>
      <c r="C51" s="10"/>
      <c r="D51" s="31"/>
      <c r="F51" s="120" t="s">
        <v>135</v>
      </c>
      <c r="G51" s="122">
        <f>G49-H29</f>
        <v>0</v>
      </c>
      <c r="H51" s="123"/>
      <c r="I51" s="123"/>
      <c r="J51" s="124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07"/>
      <c r="B52" s="29"/>
      <c r="C52" s="33"/>
      <c r="D52" s="45"/>
      <c r="F52" s="121"/>
      <c r="G52" s="125"/>
      <c r="H52" s="126"/>
      <c r="I52" s="126"/>
      <c r="J52" s="127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08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92" t="s">
        <v>90</v>
      </c>
      <c r="B54" s="93"/>
      <c r="C54" s="94"/>
      <c r="D54" s="98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95"/>
      <c r="B55" s="96"/>
      <c r="C55" s="97"/>
      <c r="D55" s="9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100" t="s">
        <v>91</v>
      </c>
      <c r="B58" s="101"/>
      <c r="C58" s="101"/>
      <c r="D58" s="102"/>
      <c r="F58" s="100" t="s">
        <v>92</v>
      </c>
      <c r="G58" s="101"/>
      <c r="H58" s="101"/>
      <c r="I58" s="101"/>
      <c r="J58" s="102"/>
    </row>
    <row r="59" spans="1:18" x14ac:dyDescent="0.25">
      <c r="A59" s="103"/>
      <c r="B59" s="104"/>
      <c r="C59" s="104"/>
      <c r="D59" s="105"/>
      <c r="F59" s="103"/>
      <c r="G59" s="104"/>
      <c r="H59" s="104"/>
      <c r="I59" s="104"/>
      <c r="J59" s="105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2B6276-AA9C-4F9D-BD25-C09F4A7A3C6E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88" t="s">
        <v>1</v>
      </c>
      <c r="O1" s="188"/>
      <c r="P1" s="85" t="s">
        <v>2</v>
      </c>
      <c r="Q1" s="8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9" t="s">
        <v>7</v>
      </c>
      <c r="B4" s="140"/>
      <c r="C4" s="140"/>
      <c r="D4" s="141"/>
      <c r="F4" s="189" t="s">
        <v>8</v>
      </c>
      <c r="G4" s="191">
        <v>3</v>
      </c>
      <c r="H4" s="193" t="s">
        <v>9</v>
      </c>
      <c r="I4" s="195">
        <v>46094</v>
      </c>
      <c r="J4" s="19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3" t="s">
        <v>7</v>
      </c>
      <c r="B5" s="15" t="s">
        <v>11</v>
      </c>
      <c r="C5" s="9" t="s">
        <v>12</v>
      </c>
      <c r="D5" s="25" t="s">
        <v>13</v>
      </c>
      <c r="F5" s="190"/>
      <c r="G5" s="192"/>
      <c r="H5" s="194"/>
      <c r="I5" s="197"/>
      <c r="J5" s="19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4"/>
      <c r="B6" s="16" t="s">
        <v>15</v>
      </c>
      <c r="C6" s="10"/>
      <c r="D6" s="13">
        <f t="shared" ref="D6:D28" si="1">C6*L6</f>
        <v>0</v>
      </c>
      <c r="F6" s="199" t="s">
        <v>16</v>
      </c>
      <c r="G6" s="201" t="s">
        <v>141</v>
      </c>
      <c r="H6" s="202"/>
      <c r="I6" s="202"/>
      <c r="J6" s="203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4"/>
      <c r="B7" s="16" t="s">
        <v>18</v>
      </c>
      <c r="C7" s="10"/>
      <c r="D7" s="13">
        <f t="shared" si="1"/>
        <v>0</v>
      </c>
      <c r="F7" s="200"/>
      <c r="G7" s="204"/>
      <c r="H7" s="205"/>
      <c r="I7" s="205"/>
      <c r="J7" s="206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4"/>
      <c r="B8" s="16" t="s">
        <v>20</v>
      </c>
      <c r="C8" s="10"/>
      <c r="D8" s="13">
        <f t="shared" si="1"/>
        <v>0</v>
      </c>
      <c r="F8" s="207" t="s">
        <v>21</v>
      </c>
      <c r="G8" s="208" t="s">
        <v>130</v>
      </c>
      <c r="H8" s="209"/>
      <c r="I8" s="209"/>
      <c r="J8" s="210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4"/>
      <c r="B9" s="16" t="s">
        <v>23</v>
      </c>
      <c r="C9" s="10"/>
      <c r="D9" s="13">
        <f t="shared" si="1"/>
        <v>0</v>
      </c>
      <c r="F9" s="200"/>
      <c r="G9" s="211"/>
      <c r="H9" s="212"/>
      <c r="I9" s="212"/>
      <c r="J9" s="213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4"/>
      <c r="B10" t="s">
        <v>25</v>
      </c>
      <c r="C10" s="10"/>
      <c r="D10" s="13">
        <f t="shared" si="1"/>
        <v>0</v>
      </c>
      <c r="F10" s="199" t="s">
        <v>26</v>
      </c>
      <c r="G10" s="214" t="s">
        <v>127</v>
      </c>
      <c r="H10" s="215"/>
      <c r="I10" s="215"/>
      <c r="J10" s="216"/>
      <c r="K10" s="8"/>
      <c r="L10" s="6">
        <f>R36</f>
        <v>1032</v>
      </c>
      <c r="P10" s="4"/>
      <c r="Q10" s="4"/>
      <c r="R10" s="5"/>
    </row>
    <row r="11" spans="1:18" ht="15.75" x14ac:dyDescent="0.25">
      <c r="A11" s="134"/>
      <c r="B11" s="17" t="s">
        <v>28</v>
      </c>
      <c r="C11" s="10"/>
      <c r="D11" s="13">
        <f t="shared" si="1"/>
        <v>0</v>
      </c>
      <c r="F11" s="200"/>
      <c r="G11" s="211"/>
      <c r="H11" s="212"/>
      <c r="I11" s="212"/>
      <c r="J11" s="213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4"/>
      <c r="B12" s="17" t="s">
        <v>30</v>
      </c>
      <c r="C12" s="10"/>
      <c r="D12" s="48">
        <f t="shared" si="1"/>
        <v>0</v>
      </c>
      <c r="F12" s="217" t="s">
        <v>33</v>
      </c>
      <c r="G12" s="218"/>
      <c r="H12" s="218"/>
      <c r="I12" s="218"/>
      <c r="J12" s="219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4"/>
      <c r="B13" s="17" t="s">
        <v>32</v>
      </c>
      <c r="C13" s="10"/>
      <c r="D13" s="48">
        <f t="shared" si="1"/>
        <v>0</v>
      </c>
      <c r="F13" s="220" t="s">
        <v>36</v>
      </c>
      <c r="G13" s="184"/>
      <c r="H13" s="175">
        <f>D29</f>
        <v>0</v>
      </c>
      <c r="I13" s="176"/>
      <c r="J13" s="17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4"/>
      <c r="B14" s="14" t="s">
        <v>35</v>
      </c>
      <c r="C14" s="10"/>
      <c r="D14" s="31">
        <f t="shared" si="1"/>
        <v>0</v>
      </c>
      <c r="F14" s="178" t="s">
        <v>39</v>
      </c>
      <c r="G14" s="179"/>
      <c r="H14" s="180">
        <f>D54</f>
        <v>0</v>
      </c>
      <c r="I14" s="181"/>
      <c r="J14" s="18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4"/>
      <c r="B15" s="14" t="s">
        <v>38</v>
      </c>
      <c r="C15" s="10"/>
      <c r="D15" s="31">
        <f t="shared" si="1"/>
        <v>0</v>
      </c>
      <c r="F15" s="183" t="s">
        <v>40</v>
      </c>
      <c r="G15" s="184"/>
      <c r="H15" s="185">
        <f>H13-H14</f>
        <v>0</v>
      </c>
      <c r="I15" s="186"/>
      <c r="J15" s="187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4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45"/>
      <c r="I16" s="145"/>
      <c r="J16" s="145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4"/>
      <c r="B17" t="s">
        <v>112</v>
      </c>
      <c r="C17" s="10"/>
      <c r="D17" s="48">
        <f t="shared" si="1"/>
        <v>0</v>
      </c>
      <c r="F17" s="56"/>
      <c r="G17" s="66" t="s">
        <v>45</v>
      </c>
      <c r="H17" s="156"/>
      <c r="I17" s="156"/>
      <c r="J17" s="156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4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56"/>
      <c r="I18" s="156"/>
      <c r="J18" s="156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4"/>
      <c r="B19" s="14" t="s">
        <v>116</v>
      </c>
      <c r="C19" s="10"/>
      <c r="D19" s="48">
        <f t="shared" si="1"/>
        <v>0</v>
      </c>
      <c r="F19" s="56"/>
      <c r="G19" s="68" t="s">
        <v>50</v>
      </c>
      <c r="H19" s="232"/>
      <c r="I19" s="232"/>
      <c r="J19" s="232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4"/>
      <c r="B20" s="46" t="s">
        <v>108</v>
      </c>
      <c r="C20" s="10"/>
      <c r="D20" s="13">
        <f t="shared" si="1"/>
        <v>0</v>
      </c>
      <c r="F20" s="57"/>
      <c r="G20" s="70" t="s">
        <v>117</v>
      </c>
      <c r="H20" s="145"/>
      <c r="I20" s="145"/>
      <c r="J20" s="145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4"/>
      <c r="B21" s="14" t="s">
        <v>123</v>
      </c>
      <c r="C21" s="10"/>
      <c r="D21" s="48">
        <f t="shared" si="1"/>
        <v>0</v>
      </c>
      <c r="F21" s="69" t="s">
        <v>99</v>
      </c>
      <c r="G21" s="82" t="s">
        <v>98</v>
      </c>
      <c r="H21" s="158" t="s">
        <v>13</v>
      </c>
      <c r="I21" s="159"/>
      <c r="J21" s="160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4"/>
      <c r="B22" s="46" t="s">
        <v>104</v>
      </c>
      <c r="C22" s="10"/>
      <c r="D22" s="48">
        <f t="shared" si="1"/>
        <v>0</v>
      </c>
      <c r="F22" s="77"/>
      <c r="G22" s="73"/>
      <c r="H22" s="161"/>
      <c r="I22" s="161"/>
      <c r="J22" s="161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4"/>
      <c r="B23" s="14" t="s">
        <v>107</v>
      </c>
      <c r="C23" s="10"/>
      <c r="D23" s="48">
        <f t="shared" si="1"/>
        <v>0</v>
      </c>
      <c r="F23" s="78"/>
      <c r="G23" s="79"/>
      <c r="H23" s="162"/>
      <c r="I23" s="131"/>
      <c r="J23" s="131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4"/>
      <c r="B24" s="14" t="s">
        <v>101</v>
      </c>
      <c r="C24" s="10"/>
      <c r="D24" s="48">
        <f t="shared" si="1"/>
        <v>0</v>
      </c>
      <c r="F24" s="38"/>
      <c r="G24" s="37"/>
      <c r="H24" s="162"/>
      <c r="I24" s="131"/>
      <c r="J24" s="131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4"/>
      <c r="B25" s="14" t="s">
        <v>115</v>
      </c>
      <c r="C25" s="10"/>
      <c r="D25" s="48">
        <f t="shared" si="1"/>
        <v>0</v>
      </c>
      <c r="F25" s="60" t="s">
        <v>100</v>
      </c>
      <c r="G25" s="55" t="s">
        <v>98</v>
      </c>
      <c r="H25" s="163" t="s">
        <v>13</v>
      </c>
      <c r="I25" s="164"/>
      <c r="J25" s="165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4"/>
      <c r="B26" s="14" t="s">
        <v>105</v>
      </c>
      <c r="C26" s="10"/>
      <c r="D26" s="48">
        <f t="shared" si="1"/>
        <v>0</v>
      </c>
      <c r="F26" s="64"/>
      <c r="G26" s="59"/>
      <c r="H26" s="166"/>
      <c r="I26" s="167"/>
      <c r="J26" s="168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4"/>
      <c r="B27" s="14" t="s">
        <v>109</v>
      </c>
      <c r="C27" s="10"/>
      <c r="D27" s="44">
        <f t="shared" si="1"/>
        <v>0</v>
      </c>
      <c r="F27" s="25"/>
      <c r="G27" s="80"/>
      <c r="H27" s="169"/>
      <c r="I27" s="170"/>
      <c r="J27" s="171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5"/>
      <c r="B28" s="46" t="s">
        <v>97</v>
      </c>
      <c r="C28" s="10"/>
      <c r="D28" s="48">
        <f t="shared" si="1"/>
        <v>0</v>
      </c>
      <c r="F28" s="86"/>
      <c r="G28" s="61"/>
      <c r="H28" s="172"/>
      <c r="I28" s="173"/>
      <c r="J28" s="174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46" t="s">
        <v>36</v>
      </c>
      <c r="B29" s="147"/>
      <c r="C29" s="148"/>
      <c r="D29" s="152">
        <f>SUM(D6:D28)</f>
        <v>0</v>
      </c>
      <c r="F29" s="92" t="s">
        <v>55</v>
      </c>
      <c r="G29" s="154"/>
      <c r="H29" s="114">
        <f>H15-H16-H17-H18-H19-H20-H22-H23-H24+H26+H27</f>
        <v>0</v>
      </c>
      <c r="I29" s="115"/>
      <c r="J29" s="116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49"/>
      <c r="B30" s="150"/>
      <c r="C30" s="151"/>
      <c r="D30" s="153"/>
      <c r="F30" s="95"/>
      <c r="G30" s="155"/>
      <c r="H30" s="117"/>
      <c r="I30" s="118"/>
      <c r="J30" s="119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39" t="s">
        <v>58</v>
      </c>
      <c r="B32" s="140"/>
      <c r="C32" s="140"/>
      <c r="D32" s="141"/>
      <c r="F32" s="142" t="s">
        <v>59</v>
      </c>
      <c r="G32" s="143"/>
      <c r="H32" s="143"/>
      <c r="I32" s="143"/>
      <c r="J32" s="144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142" t="s">
        <v>13</v>
      </c>
      <c r="I33" s="143"/>
      <c r="J33" s="144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3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36">
        <f>F34*G34</f>
        <v>0</v>
      </c>
      <c r="I34" s="137"/>
      <c r="J34" s="138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4"/>
      <c r="B35" s="27" t="s">
        <v>68</v>
      </c>
      <c r="C35" s="52"/>
      <c r="D35" s="30">
        <f>C35*84</f>
        <v>0</v>
      </c>
      <c r="F35" s="58">
        <v>500</v>
      </c>
      <c r="G35" s="41"/>
      <c r="H35" s="136">
        <f>F35*G35</f>
        <v>0</v>
      </c>
      <c r="I35" s="137"/>
      <c r="J35" s="138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5"/>
      <c r="B36" s="26" t="s">
        <v>70</v>
      </c>
      <c r="C36" s="10"/>
      <c r="D36" s="12">
        <f>C36*1.5</f>
        <v>0</v>
      </c>
      <c r="F36" s="12">
        <v>200</v>
      </c>
      <c r="G36" s="37"/>
      <c r="H36" s="136">
        <f t="shared" ref="H36:H39" si="2">F36*G36</f>
        <v>0</v>
      </c>
      <c r="I36" s="137"/>
      <c r="J36" s="138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3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36">
        <f t="shared" si="2"/>
        <v>0</v>
      </c>
      <c r="I37" s="137"/>
      <c r="J37" s="138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4"/>
      <c r="B38" s="29" t="s">
        <v>68</v>
      </c>
      <c r="C38" s="54"/>
      <c r="D38" s="12">
        <f>C38*84</f>
        <v>0</v>
      </c>
      <c r="F38" s="30">
        <v>50</v>
      </c>
      <c r="G38" s="39"/>
      <c r="H38" s="136">
        <f t="shared" si="2"/>
        <v>0</v>
      </c>
      <c r="I38" s="137"/>
      <c r="J38" s="138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5"/>
      <c r="B39" s="29" t="s">
        <v>70</v>
      </c>
      <c r="C39" s="52"/>
      <c r="D39" s="31">
        <f>C39*4.5</f>
        <v>0</v>
      </c>
      <c r="F39" s="12">
        <v>20</v>
      </c>
      <c r="G39" s="37"/>
      <c r="H39" s="136">
        <f t="shared" si="2"/>
        <v>0</v>
      </c>
      <c r="I39" s="137"/>
      <c r="J39" s="138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3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36"/>
      <c r="I40" s="137"/>
      <c r="J40" s="138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4"/>
      <c r="B41" s="27" t="s">
        <v>68</v>
      </c>
      <c r="C41" s="10"/>
      <c r="D41" s="12">
        <f>C41*84</f>
        <v>0</v>
      </c>
      <c r="F41" s="12">
        <v>5</v>
      </c>
      <c r="G41" s="42"/>
      <c r="H41" s="136"/>
      <c r="I41" s="137"/>
      <c r="J41" s="138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5"/>
      <c r="B42" s="27" t="s">
        <v>70</v>
      </c>
      <c r="C42" s="11"/>
      <c r="D42" s="12">
        <f>C42*2.25</f>
        <v>0</v>
      </c>
      <c r="F42" s="39" t="s">
        <v>79</v>
      </c>
      <c r="G42" s="136"/>
      <c r="H42" s="137"/>
      <c r="I42" s="137"/>
      <c r="J42" s="138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06" t="s">
        <v>81</v>
      </c>
      <c r="C43" s="11"/>
      <c r="D43" s="12"/>
      <c r="F43" s="59" t="s">
        <v>82</v>
      </c>
      <c r="G43" s="89" t="s">
        <v>83</v>
      </c>
      <c r="H43" s="128" t="s">
        <v>13</v>
      </c>
      <c r="I43" s="129"/>
      <c r="J43" s="130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07"/>
      <c r="B44" s="27" t="s">
        <v>66</v>
      </c>
      <c r="C44" s="10"/>
      <c r="D44" s="12">
        <f>C44*120</f>
        <v>0</v>
      </c>
      <c r="F44" s="37"/>
      <c r="G44" s="76"/>
      <c r="H44" s="131"/>
      <c r="I44" s="131"/>
      <c r="J44" s="131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07"/>
      <c r="B45" s="27" t="s">
        <v>68</v>
      </c>
      <c r="C45" s="33"/>
      <c r="D45" s="12">
        <f>C45*84</f>
        <v>0</v>
      </c>
      <c r="F45" s="37"/>
      <c r="G45" s="76"/>
      <c r="H45" s="131"/>
      <c r="I45" s="131"/>
      <c r="J45" s="131"/>
      <c r="K45" s="21"/>
      <c r="P45" s="4"/>
      <c r="Q45" s="4"/>
      <c r="R45" s="5"/>
    </row>
    <row r="46" spans="1:18" ht="15.75" x14ac:dyDescent="0.25">
      <c r="A46" s="107"/>
      <c r="B46" s="49" t="s">
        <v>70</v>
      </c>
      <c r="C46" s="81"/>
      <c r="D46" s="12">
        <f>C46*1.5</f>
        <v>0</v>
      </c>
      <c r="F46" s="37"/>
      <c r="G46" s="62"/>
      <c r="H46" s="132"/>
      <c r="I46" s="132"/>
      <c r="J46" s="132"/>
      <c r="K46" s="21"/>
      <c r="P46" s="4"/>
      <c r="Q46" s="4"/>
      <c r="R46" s="5"/>
    </row>
    <row r="47" spans="1:18" ht="15.75" x14ac:dyDescent="0.25">
      <c r="A47" s="108"/>
      <c r="B47" s="27"/>
      <c r="C47" s="11"/>
      <c r="D47" s="12"/>
      <c r="F47" s="59"/>
      <c r="G47" s="59"/>
      <c r="H47" s="109"/>
      <c r="I47" s="110"/>
      <c r="J47" s="111"/>
      <c r="K47" s="21"/>
      <c r="P47" s="4"/>
      <c r="Q47" s="4"/>
      <c r="R47" s="5"/>
    </row>
    <row r="48" spans="1:18" ht="15" customHeight="1" x14ac:dyDescent="0.25">
      <c r="A48" s="106" t="s">
        <v>32</v>
      </c>
      <c r="B48" s="27" t="s">
        <v>66</v>
      </c>
      <c r="C48" s="10"/>
      <c r="D48" s="12">
        <f>C48*78</f>
        <v>0</v>
      </c>
      <c r="F48" s="59"/>
      <c r="G48" s="59"/>
      <c r="H48" s="109"/>
      <c r="I48" s="110"/>
      <c r="J48" s="111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07"/>
      <c r="B49" s="29" t="s">
        <v>68</v>
      </c>
      <c r="C49" s="33"/>
      <c r="D49" s="12">
        <f>C49*42</f>
        <v>0</v>
      </c>
      <c r="F49" s="112" t="s">
        <v>86</v>
      </c>
      <c r="G49" s="114">
        <f>H34+H35+H36+H37+H38+H39+H40+H41+G42+H44+H45+H46</f>
        <v>0</v>
      </c>
      <c r="H49" s="115"/>
      <c r="I49" s="115"/>
      <c r="J49" s="116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07"/>
      <c r="B50" s="32" t="s">
        <v>70</v>
      </c>
      <c r="C50" s="11"/>
      <c r="D50" s="12">
        <f>C50*1.5</f>
        <v>0</v>
      </c>
      <c r="F50" s="113"/>
      <c r="G50" s="117"/>
      <c r="H50" s="118"/>
      <c r="I50" s="118"/>
      <c r="J50" s="119"/>
      <c r="O50" t="s">
        <v>137</v>
      </c>
      <c r="P50" s="4">
        <v>1204</v>
      </c>
      <c r="Q50" s="4"/>
      <c r="R50" s="5"/>
    </row>
    <row r="51" spans="1:18" ht="15" customHeight="1" x14ac:dyDescent="0.25">
      <c r="A51" s="107"/>
      <c r="B51" s="27"/>
      <c r="C51" s="10"/>
      <c r="D51" s="31"/>
      <c r="F51" s="120" t="s">
        <v>138</v>
      </c>
      <c r="G51" s="122">
        <f>G49-H29</f>
        <v>0</v>
      </c>
      <c r="H51" s="123"/>
      <c r="I51" s="123"/>
      <c r="J51" s="124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07"/>
      <c r="B52" s="29"/>
      <c r="C52" s="33"/>
      <c r="D52" s="45"/>
      <c r="F52" s="121"/>
      <c r="G52" s="125"/>
      <c r="H52" s="126"/>
      <c r="I52" s="126"/>
      <c r="J52" s="127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08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92" t="s">
        <v>90</v>
      </c>
      <c r="B54" s="93"/>
      <c r="C54" s="94"/>
      <c r="D54" s="98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95"/>
      <c r="B55" s="96"/>
      <c r="C55" s="97"/>
      <c r="D55" s="9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100" t="s">
        <v>91</v>
      </c>
      <c r="B58" s="101"/>
      <c r="C58" s="101"/>
      <c r="D58" s="102"/>
      <c r="F58" s="100" t="s">
        <v>92</v>
      </c>
      <c r="G58" s="101"/>
      <c r="H58" s="101"/>
      <c r="I58" s="101"/>
      <c r="J58" s="102"/>
    </row>
    <row r="59" spans="1:18" x14ac:dyDescent="0.25">
      <c r="A59" s="103"/>
      <c r="B59" s="104"/>
      <c r="C59" s="104"/>
      <c r="D59" s="105"/>
      <c r="F59" s="103"/>
      <c r="G59" s="104"/>
      <c r="H59" s="104"/>
      <c r="I59" s="104"/>
      <c r="J59" s="105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230651-B1BD-4DFD-87A3-9C9150885C50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88" t="s">
        <v>1</v>
      </c>
      <c r="O1" s="188"/>
      <c r="P1" s="85" t="s">
        <v>2</v>
      </c>
      <c r="Q1" s="85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39" t="s">
        <v>7</v>
      </c>
      <c r="B4" s="140"/>
      <c r="C4" s="140"/>
      <c r="D4" s="141"/>
      <c r="F4" s="189" t="s">
        <v>8</v>
      </c>
      <c r="G4" s="191"/>
      <c r="H4" s="193" t="s">
        <v>9</v>
      </c>
      <c r="I4" s="195"/>
      <c r="J4" s="19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33" t="s">
        <v>7</v>
      </c>
      <c r="B5" s="15" t="s">
        <v>11</v>
      </c>
      <c r="C5" s="9" t="s">
        <v>12</v>
      </c>
      <c r="D5" s="25" t="s">
        <v>13</v>
      </c>
      <c r="F5" s="190"/>
      <c r="G5" s="192"/>
      <c r="H5" s="194"/>
      <c r="I5" s="197"/>
      <c r="J5" s="19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34"/>
      <c r="B6" s="16"/>
      <c r="C6" s="10"/>
      <c r="D6" s="13">
        <f t="shared" ref="D6:D28" si="1">C6*L6</f>
        <v>0</v>
      </c>
      <c r="F6" s="199" t="s">
        <v>16</v>
      </c>
      <c r="G6" s="201"/>
      <c r="H6" s="202"/>
      <c r="I6" s="202"/>
      <c r="J6" s="203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34"/>
      <c r="B7" s="16"/>
      <c r="C7" s="10"/>
      <c r="D7" s="13">
        <f t="shared" si="1"/>
        <v>0</v>
      </c>
      <c r="F7" s="200"/>
      <c r="G7" s="204"/>
      <c r="H7" s="205"/>
      <c r="I7" s="205"/>
      <c r="J7" s="206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34"/>
      <c r="B8" s="16"/>
      <c r="C8" s="10"/>
      <c r="D8" s="13">
        <f t="shared" si="1"/>
        <v>0</v>
      </c>
      <c r="F8" s="207" t="s">
        <v>21</v>
      </c>
      <c r="G8" s="208"/>
      <c r="H8" s="209"/>
      <c r="I8" s="209"/>
      <c r="J8" s="210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34"/>
      <c r="B9" s="16"/>
      <c r="C9" s="10"/>
      <c r="D9" s="13">
        <f t="shared" si="1"/>
        <v>0</v>
      </c>
      <c r="F9" s="200"/>
      <c r="G9" s="211"/>
      <c r="H9" s="212"/>
      <c r="I9" s="212"/>
      <c r="J9" s="213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34"/>
      <c r="C10" s="10"/>
      <c r="D10" s="13">
        <f t="shared" si="1"/>
        <v>0</v>
      </c>
      <c r="F10" s="199" t="s">
        <v>26</v>
      </c>
      <c r="G10" s="214"/>
      <c r="H10" s="215"/>
      <c r="I10" s="215"/>
      <c r="J10" s="216"/>
      <c r="K10" s="8"/>
      <c r="L10" s="6">
        <f>R36</f>
        <v>972</v>
      </c>
      <c r="P10" s="4"/>
      <c r="Q10" s="4"/>
      <c r="R10" s="5"/>
    </row>
    <row r="11" spans="1:19" ht="15.75" x14ac:dyDescent="0.25">
      <c r="A11" s="134"/>
      <c r="B11" s="17"/>
      <c r="C11" s="10"/>
      <c r="D11" s="13">
        <f t="shared" si="1"/>
        <v>0</v>
      </c>
      <c r="F11" s="200"/>
      <c r="G11" s="211"/>
      <c r="H11" s="212"/>
      <c r="I11" s="212"/>
      <c r="J11" s="213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34"/>
      <c r="B12" s="17"/>
      <c r="C12" s="10"/>
      <c r="D12" s="48">
        <f t="shared" si="1"/>
        <v>0</v>
      </c>
      <c r="F12" s="217" t="s">
        <v>33</v>
      </c>
      <c r="G12" s="218"/>
      <c r="H12" s="218"/>
      <c r="I12" s="218"/>
      <c r="J12" s="219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34"/>
      <c r="B13" s="17"/>
      <c r="C13" s="10"/>
      <c r="D13" s="48">
        <f t="shared" si="1"/>
        <v>0</v>
      </c>
      <c r="F13" s="220" t="s">
        <v>36</v>
      </c>
      <c r="G13" s="184"/>
      <c r="H13" s="175">
        <f>D29</f>
        <v>0</v>
      </c>
      <c r="I13" s="176"/>
      <c r="J13" s="17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34"/>
      <c r="B14" s="14"/>
      <c r="C14" s="10"/>
      <c r="D14" s="31">
        <f t="shared" si="1"/>
        <v>0</v>
      </c>
      <c r="F14" s="178" t="s">
        <v>39</v>
      </c>
      <c r="G14" s="179"/>
      <c r="H14" s="180">
        <f>D54</f>
        <v>0</v>
      </c>
      <c r="I14" s="181"/>
      <c r="J14" s="18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34"/>
      <c r="B15" s="14"/>
      <c r="C15" s="10"/>
      <c r="D15" s="31">
        <f t="shared" si="1"/>
        <v>0</v>
      </c>
      <c r="F15" s="183" t="s">
        <v>40</v>
      </c>
      <c r="G15" s="184"/>
      <c r="H15" s="185">
        <f>H13-H14</f>
        <v>0</v>
      </c>
      <c r="I15" s="186"/>
      <c r="J15" s="187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34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45"/>
      <c r="I16" s="145"/>
      <c r="J16" s="145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4"/>
      <c r="C17" s="10"/>
      <c r="D17" s="48">
        <f t="shared" si="1"/>
        <v>0</v>
      </c>
      <c r="F17" s="56"/>
      <c r="G17" s="66" t="s">
        <v>45</v>
      </c>
      <c r="H17" s="156"/>
      <c r="I17" s="156"/>
      <c r="J17" s="156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4"/>
      <c r="B18" s="19"/>
      <c r="C18" s="10"/>
      <c r="D18" s="48">
        <f t="shared" si="1"/>
        <v>0</v>
      </c>
      <c r="F18" s="56"/>
      <c r="G18" s="66" t="s">
        <v>47</v>
      </c>
      <c r="H18" s="156"/>
      <c r="I18" s="156"/>
      <c r="J18" s="156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4"/>
      <c r="B19" s="14"/>
      <c r="C19" s="10"/>
      <c r="D19" s="48">
        <f t="shared" si="1"/>
        <v>0</v>
      </c>
      <c r="F19" s="56"/>
      <c r="G19" s="68" t="s">
        <v>50</v>
      </c>
      <c r="H19" s="157"/>
      <c r="I19" s="157"/>
      <c r="J19" s="157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4"/>
      <c r="B20" s="46"/>
      <c r="C20" s="10"/>
      <c r="D20" s="13">
        <f t="shared" si="1"/>
        <v>0</v>
      </c>
      <c r="F20" s="57"/>
      <c r="G20" s="70" t="s">
        <v>117</v>
      </c>
      <c r="H20" s="145"/>
      <c r="I20" s="145"/>
      <c r="J20" s="145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4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58" t="s">
        <v>13</v>
      </c>
      <c r="I21" s="159"/>
      <c r="J21" s="160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4"/>
      <c r="B22" s="46"/>
      <c r="C22" s="10"/>
      <c r="D22" s="48">
        <f t="shared" si="1"/>
        <v>0</v>
      </c>
      <c r="F22" s="77"/>
      <c r="G22" s="73"/>
      <c r="H22" s="161"/>
      <c r="I22" s="161"/>
      <c r="J22" s="161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4"/>
      <c r="B23" s="14"/>
      <c r="C23" s="10"/>
      <c r="D23" s="48">
        <f t="shared" si="1"/>
        <v>0</v>
      </c>
      <c r="F23" s="78"/>
      <c r="G23" s="79"/>
      <c r="H23" s="162"/>
      <c r="I23" s="131"/>
      <c r="J23" s="131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4"/>
      <c r="B24" s="14"/>
      <c r="C24" s="10"/>
      <c r="D24" s="48">
        <f t="shared" si="1"/>
        <v>0</v>
      </c>
      <c r="F24" s="38"/>
      <c r="G24" s="37"/>
      <c r="H24" s="162"/>
      <c r="I24" s="131"/>
      <c r="J24" s="131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4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63" t="s">
        <v>13</v>
      </c>
      <c r="I25" s="164"/>
      <c r="J25" s="165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4"/>
      <c r="B26" s="14"/>
      <c r="C26" s="10"/>
      <c r="D26" s="48">
        <f t="shared" si="1"/>
        <v>0</v>
      </c>
      <c r="F26" s="64"/>
      <c r="G26" s="59"/>
      <c r="H26" s="166"/>
      <c r="I26" s="167"/>
      <c r="J26" s="168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4"/>
      <c r="B27" s="14"/>
      <c r="C27" s="10"/>
      <c r="D27" s="44">
        <f t="shared" si="1"/>
        <v>0</v>
      </c>
      <c r="F27" s="25"/>
      <c r="G27" s="80"/>
      <c r="H27" s="169"/>
      <c r="I27" s="170"/>
      <c r="J27" s="171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5"/>
      <c r="B28" s="46"/>
      <c r="C28" s="10"/>
      <c r="D28" s="48">
        <f t="shared" si="1"/>
        <v>0</v>
      </c>
      <c r="F28" s="86"/>
      <c r="G28" s="61"/>
      <c r="H28" s="172"/>
      <c r="I28" s="173"/>
      <c r="J28" s="174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46" t="s">
        <v>36</v>
      </c>
      <c r="B29" s="147"/>
      <c r="C29" s="148"/>
      <c r="D29" s="152">
        <f>SUM(D6:D28)</f>
        <v>0</v>
      </c>
      <c r="F29" s="92" t="s">
        <v>55</v>
      </c>
      <c r="G29" s="154"/>
      <c r="H29" s="114">
        <f>H15-H16-H17-H18-H19-H20-H22-H23-H24+H26+H27</f>
        <v>0</v>
      </c>
      <c r="I29" s="115"/>
      <c r="J29" s="116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49"/>
      <c r="B30" s="150"/>
      <c r="C30" s="151"/>
      <c r="D30" s="153"/>
      <c r="F30" s="95"/>
      <c r="G30" s="155"/>
      <c r="H30" s="117"/>
      <c r="I30" s="118"/>
      <c r="J30" s="119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39" t="s">
        <v>58</v>
      </c>
      <c r="B32" s="140"/>
      <c r="C32" s="140"/>
      <c r="D32" s="141"/>
      <c r="F32" s="142" t="s">
        <v>59</v>
      </c>
      <c r="G32" s="143"/>
      <c r="H32" s="143"/>
      <c r="I32" s="143"/>
      <c r="J32" s="144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142" t="s">
        <v>13</v>
      </c>
      <c r="I33" s="143"/>
      <c r="J33" s="144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3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36"/>
      <c r="I34" s="137"/>
      <c r="J34" s="138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4"/>
      <c r="B35" s="27" t="s">
        <v>68</v>
      </c>
      <c r="C35" s="52"/>
      <c r="D35" s="30">
        <f>C35*84</f>
        <v>0</v>
      </c>
      <c r="F35" s="58">
        <v>500</v>
      </c>
      <c r="G35" s="41"/>
      <c r="H35" s="136"/>
      <c r="I35" s="137"/>
      <c r="J35" s="138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5"/>
      <c r="B36" s="26" t="s">
        <v>70</v>
      </c>
      <c r="C36" s="10"/>
      <c r="D36" s="12">
        <f>C36*1.5</f>
        <v>0</v>
      </c>
      <c r="F36" s="12">
        <v>200</v>
      </c>
      <c r="G36" s="37"/>
      <c r="H36" s="136"/>
      <c r="I36" s="137"/>
      <c r="J36" s="138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3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36"/>
      <c r="I37" s="137"/>
      <c r="J37" s="138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4"/>
      <c r="B38" s="29" t="s">
        <v>68</v>
      </c>
      <c r="C38" s="54"/>
      <c r="D38" s="12">
        <f>C38*84</f>
        <v>0</v>
      </c>
      <c r="F38" s="30">
        <v>50</v>
      </c>
      <c r="G38" s="39"/>
      <c r="H38" s="136"/>
      <c r="I38" s="137"/>
      <c r="J38" s="138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5"/>
      <c r="B39" s="29" t="s">
        <v>70</v>
      </c>
      <c r="C39" s="52"/>
      <c r="D39" s="31">
        <f>C39*4.5</f>
        <v>0</v>
      </c>
      <c r="F39" s="12">
        <v>20</v>
      </c>
      <c r="G39" s="37"/>
      <c r="H39" s="136"/>
      <c r="I39" s="137"/>
      <c r="J39" s="138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3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36"/>
      <c r="I40" s="137"/>
      <c r="J40" s="138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4"/>
      <c r="B41" s="27" t="s">
        <v>68</v>
      </c>
      <c r="C41" s="10"/>
      <c r="D41" s="12">
        <f>C41*84</f>
        <v>0</v>
      </c>
      <c r="F41" s="12">
        <v>5</v>
      </c>
      <c r="G41" s="42"/>
      <c r="H41" s="136"/>
      <c r="I41" s="137"/>
      <c r="J41" s="138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5"/>
      <c r="B42" s="27" t="s">
        <v>70</v>
      </c>
      <c r="C42" s="11"/>
      <c r="D42" s="12">
        <f>C42*2.25</f>
        <v>0</v>
      </c>
      <c r="F42" s="39" t="s">
        <v>79</v>
      </c>
      <c r="G42" s="136"/>
      <c r="H42" s="137"/>
      <c r="I42" s="137"/>
      <c r="J42" s="138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06" t="s">
        <v>81</v>
      </c>
      <c r="C43" s="11"/>
      <c r="D43" s="12"/>
      <c r="F43" s="59" t="s">
        <v>82</v>
      </c>
      <c r="G43" s="89" t="s">
        <v>83</v>
      </c>
      <c r="H43" s="128" t="s">
        <v>13</v>
      </c>
      <c r="I43" s="129"/>
      <c r="J43" s="130"/>
      <c r="K43" s="21"/>
      <c r="P43" s="4"/>
      <c r="Q43" s="4"/>
      <c r="R43" s="5"/>
    </row>
    <row r="44" spans="1:18" ht="15.75" x14ac:dyDescent="0.25">
      <c r="A44" s="107"/>
      <c r="B44" s="27" t="s">
        <v>66</v>
      </c>
      <c r="C44" s="10"/>
      <c r="D44" s="12">
        <f>C44*120</f>
        <v>0</v>
      </c>
      <c r="F44" s="37"/>
      <c r="G44" s="76"/>
      <c r="H44" s="131"/>
      <c r="I44" s="131"/>
      <c r="J44" s="131"/>
      <c r="K44" s="21"/>
      <c r="P44" s="4"/>
      <c r="Q44" s="4"/>
      <c r="R44" s="5"/>
    </row>
    <row r="45" spans="1:18" ht="15.75" x14ac:dyDescent="0.25">
      <c r="A45" s="107"/>
      <c r="B45" s="27" t="s">
        <v>68</v>
      </c>
      <c r="C45" s="33"/>
      <c r="D45" s="12">
        <f>C45*84</f>
        <v>0</v>
      </c>
      <c r="F45" s="37"/>
      <c r="G45" s="76"/>
      <c r="H45" s="131"/>
      <c r="I45" s="131"/>
      <c r="J45" s="131"/>
      <c r="K45" s="21"/>
      <c r="P45" s="4"/>
      <c r="Q45" s="4"/>
      <c r="R45" s="5"/>
    </row>
    <row r="46" spans="1:18" ht="15.75" x14ac:dyDescent="0.25">
      <c r="A46" s="107"/>
      <c r="B46" s="49" t="s">
        <v>70</v>
      </c>
      <c r="C46" s="81"/>
      <c r="D46" s="12">
        <f>C46*1.5</f>
        <v>0</v>
      </c>
      <c r="F46" s="37"/>
      <c r="G46" s="62"/>
      <c r="H46" s="132"/>
      <c r="I46" s="132"/>
      <c r="J46" s="132"/>
      <c r="K46" s="21"/>
      <c r="P46" s="4"/>
      <c r="Q46" s="4"/>
      <c r="R46" s="5"/>
    </row>
    <row r="47" spans="1:18" ht="15.75" x14ac:dyDescent="0.25">
      <c r="A47" s="108"/>
      <c r="B47" s="27"/>
      <c r="C47" s="11"/>
      <c r="D47" s="12"/>
      <c r="F47" s="59"/>
      <c r="G47" s="59"/>
      <c r="H47" s="109"/>
      <c r="I47" s="110"/>
      <c r="J47" s="111"/>
      <c r="K47" s="21"/>
      <c r="P47" s="4"/>
      <c r="Q47" s="4"/>
      <c r="R47" s="5"/>
    </row>
    <row r="48" spans="1:18" ht="15" customHeight="1" x14ac:dyDescent="0.25">
      <c r="A48" s="106" t="s">
        <v>32</v>
      </c>
      <c r="B48" s="27" t="s">
        <v>66</v>
      </c>
      <c r="C48" s="10"/>
      <c r="D48" s="12">
        <f>C48*78</f>
        <v>0</v>
      </c>
      <c r="F48" s="59"/>
      <c r="G48" s="59"/>
      <c r="H48" s="109"/>
      <c r="I48" s="110"/>
      <c r="J48" s="111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07"/>
      <c r="B49" s="29" t="s">
        <v>68</v>
      </c>
      <c r="C49" s="33"/>
      <c r="D49" s="12">
        <f>C49*42</f>
        <v>0</v>
      </c>
      <c r="F49" s="112" t="s">
        <v>86</v>
      </c>
      <c r="G49" s="114">
        <f>H34+H35+H36+H37+H38+H39+H40+H41+G42+H44+H45+H46</f>
        <v>0</v>
      </c>
      <c r="H49" s="115"/>
      <c r="I49" s="115"/>
      <c r="J49" s="116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07"/>
      <c r="B50" s="32" t="s">
        <v>70</v>
      </c>
      <c r="C50" s="11"/>
      <c r="D50" s="12">
        <f>C50*1.5</f>
        <v>0</v>
      </c>
      <c r="F50" s="113"/>
      <c r="G50" s="117"/>
      <c r="H50" s="118"/>
      <c r="I50" s="118"/>
      <c r="J50" s="119"/>
      <c r="P50" s="4"/>
      <c r="Q50" s="4"/>
      <c r="R50" s="5"/>
    </row>
    <row r="51" spans="1:18" ht="15" customHeight="1" x14ac:dyDescent="0.25">
      <c r="A51" s="107"/>
      <c r="B51" s="27"/>
      <c r="C51" s="10"/>
      <c r="D51" s="31"/>
      <c r="F51" s="120" t="s">
        <v>125</v>
      </c>
      <c r="G51" s="122">
        <f>G49-H29</f>
        <v>0</v>
      </c>
      <c r="H51" s="123"/>
      <c r="I51" s="123"/>
      <c r="J51" s="124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07"/>
      <c r="B52" s="29"/>
      <c r="C52" s="33"/>
      <c r="D52" s="45"/>
      <c r="F52" s="121"/>
      <c r="G52" s="125"/>
      <c r="H52" s="126"/>
      <c r="I52" s="126"/>
      <c r="J52" s="127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08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92" t="s">
        <v>90</v>
      </c>
      <c r="B54" s="93"/>
      <c r="C54" s="94"/>
      <c r="D54" s="98">
        <f>SUM(D34:D53)</f>
        <v>0</v>
      </c>
      <c r="F54" s="21"/>
      <c r="J54" s="34"/>
    </row>
    <row r="55" spans="1:18" x14ac:dyDescent="0.25">
      <c r="A55" s="95"/>
      <c r="B55" s="96"/>
      <c r="C55" s="97"/>
      <c r="D55" s="9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00" t="s">
        <v>91</v>
      </c>
      <c r="B58" s="101"/>
      <c r="C58" s="101"/>
      <c r="D58" s="102"/>
      <c r="F58" s="100" t="s">
        <v>92</v>
      </c>
      <c r="G58" s="101"/>
      <c r="H58" s="101"/>
      <c r="I58" s="101"/>
      <c r="J58" s="102"/>
    </row>
    <row r="59" spans="1:18" x14ac:dyDescent="0.25">
      <c r="A59" s="103"/>
      <c r="B59" s="104"/>
      <c r="C59" s="104"/>
      <c r="D59" s="105"/>
      <c r="F59" s="103"/>
      <c r="G59" s="104"/>
      <c r="H59" s="104"/>
      <c r="I59" s="104"/>
      <c r="J59" s="105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94A807-025A-4B3D-A8F4-41B69BD3AC8D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88" t="s">
        <v>1</v>
      </c>
      <c r="O1" s="188"/>
      <c r="P1" s="85" t="s">
        <v>2</v>
      </c>
      <c r="Q1" s="8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9" t="s">
        <v>7</v>
      </c>
      <c r="B4" s="140"/>
      <c r="C4" s="140"/>
      <c r="D4" s="141"/>
      <c r="F4" s="189" t="s">
        <v>8</v>
      </c>
      <c r="G4" s="191">
        <v>1</v>
      </c>
      <c r="H4" s="193" t="s">
        <v>9</v>
      </c>
      <c r="I4" s="195">
        <v>46095</v>
      </c>
      <c r="J4" s="19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3" t="s">
        <v>7</v>
      </c>
      <c r="B5" s="15" t="s">
        <v>11</v>
      </c>
      <c r="C5" s="9" t="s">
        <v>12</v>
      </c>
      <c r="D5" s="25" t="s">
        <v>13</v>
      </c>
      <c r="F5" s="190"/>
      <c r="G5" s="192"/>
      <c r="H5" s="194"/>
      <c r="I5" s="197"/>
      <c r="J5" s="19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4"/>
      <c r="B6" s="16" t="s">
        <v>15</v>
      </c>
      <c r="C6" s="10"/>
      <c r="D6" s="13">
        <f t="shared" ref="D6:D28" si="1">C6*L6</f>
        <v>0</v>
      </c>
      <c r="F6" s="199" t="s">
        <v>16</v>
      </c>
      <c r="G6" s="201" t="s">
        <v>111</v>
      </c>
      <c r="H6" s="202"/>
      <c r="I6" s="202"/>
      <c r="J6" s="203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4"/>
      <c r="B7" s="16" t="s">
        <v>18</v>
      </c>
      <c r="C7" s="10"/>
      <c r="D7" s="13">
        <f t="shared" si="1"/>
        <v>0</v>
      </c>
      <c r="F7" s="200"/>
      <c r="G7" s="204"/>
      <c r="H7" s="205"/>
      <c r="I7" s="205"/>
      <c r="J7" s="206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4"/>
      <c r="B8" s="16" t="s">
        <v>20</v>
      </c>
      <c r="C8" s="10"/>
      <c r="D8" s="13">
        <f t="shared" si="1"/>
        <v>0</v>
      </c>
      <c r="F8" s="207" t="s">
        <v>21</v>
      </c>
      <c r="G8" s="208" t="s">
        <v>144</v>
      </c>
      <c r="H8" s="209"/>
      <c r="I8" s="209"/>
      <c r="J8" s="210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4"/>
      <c r="B9" s="16" t="s">
        <v>23</v>
      </c>
      <c r="C9" s="10"/>
      <c r="D9" s="13">
        <f t="shared" si="1"/>
        <v>0</v>
      </c>
      <c r="F9" s="200"/>
      <c r="G9" s="211"/>
      <c r="H9" s="212"/>
      <c r="I9" s="212"/>
      <c r="J9" s="213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4"/>
      <c r="B10" t="s">
        <v>25</v>
      </c>
      <c r="C10" s="10"/>
      <c r="D10" s="13">
        <f t="shared" si="1"/>
        <v>0</v>
      </c>
      <c r="F10" s="199" t="s">
        <v>26</v>
      </c>
      <c r="G10" s="214" t="s">
        <v>139</v>
      </c>
      <c r="H10" s="215"/>
      <c r="I10" s="215"/>
      <c r="J10" s="216"/>
      <c r="K10" s="8"/>
      <c r="L10" s="6">
        <f>R36</f>
        <v>1032</v>
      </c>
      <c r="P10" s="4"/>
      <c r="Q10" s="4"/>
      <c r="R10" s="5"/>
    </row>
    <row r="11" spans="1:18" ht="15.75" x14ac:dyDescent="0.25">
      <c r="A11" s="134"/>
      <c r="B11" s="17" t="s">
        <v>28</v>
      </c>
      <c r="C11" s="10"/>
      <c r="D11" s="13">
        <f t="shared" si="1"/>
        <v>0</v>
      </c>
      <c r="F11" s="200"/>
      <c r="G11" s="211"/>
      <c r="H11" s="212"/>
      <c r="I11" s="212"/>
      <c r="J11" s="213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4"/>
      <c r="B12" s="17" t="s">
        <v>30</v>
      </c>
      <c r="C12" s="10"/>
      <c r="D12" s="48">
        <f t="shared" si="1"/>
        <v>0</v>
      </c>
      <c r="F12" s="217" t="s">
        <v>33</v>
      </c>
      <c r="G12" s="218"/>
      <c r="H12" s="218"/>
      <c r="I12" s="218"/>
      <c r="J12" s="219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4"/>
      <c r="B13" s="17" t="s">
        <v>32</v>
      </c>
      <c r="C13" s="10"/>
      <c r="D13" s="48">
        <f t="shared" si="1"/>
        <v>0</v>
      </c>
      <c r="F13" s="220" t="s">
        <v>36</v>
      </c>
      <c r="G13" s="184"/>
      <c r="H13" s="175">
        <f>D29</f>
        <v>0</v>
      </c>
      <c r="I13" s="176"/>
      <c r="J13" s="17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4"/>
      <c r="B14" s="14" t="s">
        <v>35</v>
      </c>
      <c r="C14" s="10"/>
      <c r="D14" s="31">
        <f t="shared" si="1"/>
        <v>0</v>
      </c>
      <c r="F14" s="178" t="s">
        <v>39</v>
      </c>
      <c r="G14" s="179"/>
      <c r="H14" s="180">
        <f>D54</f>
        <v>0</v>
      </c>
      <c r="I14" s="181"/>
      <c r="J14" s="18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4"/>
      <c r="B15" s="14" t="s">
        <v>38</v>
      </c>
      <c r="C15" s="10"/>
      <c r="D15" s="31">
        <f t="shared" si="1"/>
        <v>0</v>
      </c>
      <c r="F15" s="183" t="s">
        <v>40</v>
      </c>
      <c r="G15" s="184"/>
      <c r="H15" s="185">
        <f>H13-H14</f>
        <v>0</v>
      </c>
      <c r="I15" s="186"/>
      <c r="J15" s="187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4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45"/>
      <c r="I16" s="145"/>
      <c r="J16" s="145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4"/>
      <c r="B17" t="s">
        <v>133</v>
      </c>
      <c r="C17" s="10"/>
      <c r="D17" s="48">
        <f t="shared" si="1"/>
        <v>0</v>
      </c>
      <c r="F17" s="56"/>
      <c r="G17" s="66" t="s">
        <v>45</v>
      </c>
      <c r="H17" s="156"/>
      <c r="I17" s="156"/>
      <c r="J17" s="156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4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56"/>
      <c r="I18" s="156"/>
      <c r="J18" s="156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4"/>
      <c r="B19" s="14" t="s">
        <v>129</v>
      </c>
      <c r="C19" s="10"/>
      <c r="D19" s="48">
        <f t="shared" si="1"/>
        <v>0</v>
      </c>
      <c r="F19" s="56"/>
      <c r="G19" s="68" t="s">
        <v>50</v>
      </c>
      <c r="H19" s="156"/>
      <c r="I19" s="156"/>
      <c r="J19" s="156"/>
      <c r="L19" s="6">
        <v>1102</v>
      </c>
      <c r="Q19" s="4"/>
      <c r="R19" s="5">
        <f t="shared" si="0"/>
        <v>0</v>
      </c>
    </row>
    <row r="20" spans="1:18" ht="15.75" x14ac:dyDescent="0.25">
      <c r="A20" s="134"/>
      <c r="B20" s="83" t="s">
        <v>122</v>
      </c>
      <c r="C20" s="10"/>
      <c r="D20" s="13">
        <f t="shared" si="1"/>
        <v>0</v>
      </c>
      <c r="F20" s="57"/>
      <c r="G20" s="70" t="s">
        <v>117</v>
      </c>
      <c r="H20" s="145"/>
      <c r="I20" s="145"/>
      <c r="J20" s="145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4"/>
      <c r="B21" s="14" t="s">
        <v>131</v>
      </c>
      <c r="C21" s="10"/>
      <c r="D21" s="48">
        <f t="shared" si="1"/>
        <v>0</v>
      </c>
      <c r="F21" s="69" t="s">
        <v>99</v>
      </c>
      <c r="G21" s="82" t="s">
        <v>98</v>
      </c>
      <c r="H21" s="158" t="s">
        <v>13</v>
      </c>
      <c r="I21" s="159"/>
      <c r="J21" s="160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4"/>
      <c r="B22" s="46" t="s">
        <v>124</v>
      </c>
      <c r="C22" s="10"/>
      <c r="D22" s="48">
        <f t="shared" si="1"/>
        <v>0</v>
      </c>
      <c r="F22" s="77"/>
      <c r="G22" s="73"/>
      <c r="H22" s="161"/>
      <c r="I22" s="161"/>
      <c r="J22" s="161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4"/>
      <c r="B23" s="14" t="s">
        <v>101</v>
      </c>
      <c r="C23" s="10"/>
      <c r="D23" s="48">
        <f t="shared" si="1"/>
        <v>0</v>
      </c>
      <c r="F23" s="77"/>
      <c r="G23" s="79"/>
      <c r="H23" s="227"/>
      <c r="I23" s="228"/>
      <c r="J23" s="228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4"/>
      <c r="B24" s="14" t="s">
        <v>118</v>
      </c>
      <c r="C24" s="10"/>
      <c r="D24" s="48">
        <f t="shared" si="1"/>
        <v>0</v>
      </c>
      <c r="F24" s="77"/>
      <c r="G24" s="79"/>
      <c r="H24" s="227"/>
      <c r="I24" s="228"/>
      <c r="J24" s="228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4"/>
      <c r="B25" s="14" t="s">
        <v>134</v>
      </c>
      <c r="C25" s="10"/>
      <c r="D25" s="48">
        <f t="shared" si="1"/>
        <v>0</v>
      </c>
      <c r="F25" s="60" t="s">
        <v>100</v>
      </c>
      <c r="G25" s="55" t="s">
        <v>98</v>
      </c>
      <c r="H25" s="163" t="s">
        <v>13</v>
      </c>
      <c r="I25" s="164"/>
      <c r="J25" s="165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4"/>
      <c r="B26" s="14" t="s">
        <v>132</v>
      </c>
      <c r="C26" s="10"/>
      <c r="D26" s="48">
        <f t="shared" si="1"/>
        <v>0</v>
      </c>
      <c r="F26" s="75"/>
      <c r="G26" s="65"/>
      <c r="H26" s="131"/>
      <c r="I26" s="131"/>
      <c r="J26" s="131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4"/>
      <c r="B27" s="14" t="s">
        <v>110</v>
      </c>
      <c r="C27" s="10"/>
      <c r="D27" s="44">
        <f t="shared" si="1"/>
        <v>0</v>
      </c>
      <c r="F27" s="71"/>
      <c r="G27" s="89"/>
      <c r="H27" s="229"/>
      <c r="I27" s="230"/>
      <c r="J27" s="230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5"/>
      <c r="B28" s="46" t="s">
        <v>97</v>
      </c>
      <c r="C28" s="10"/>
      <c r="D28" s="48">
        <f t="shared" si="1"/>
        <v>0</v>
      </c>
      <c r="F28" s="86"/>
      <c r="G28" s="61"/>
      <c r="H28" s="172"/>
      <c r="I28" s="173"/>
      <c r="J28" s="174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46" t="s">
        <v>36</v>
      </c>
      <c r="B29" s="147"/>
      <c r="C29" s="148"/>
      <c r="D29" s="152">
        <f>SUM(D6:D28)</f>
        <v>0</v>
      </c>
      <c r="F29" s="92" t="s">
        <v>55</v>
      </c>
      <c r="G29" s="154"/>
      <c r="H29" s="114">
        <f>H15-H16-H17-H18-H19-H20-H22-H23-H24+H26+H27+H28</f>
        <v>0</v>
      </c>
      <c r="I29" s="115"/>
      <c r="J29" s="116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49"/>
      <c r="B30" s="150"/>
      <c r="C30" s="151"/>
      <c r="D30" s="153"/>
      <c r="F30" s="95"/>
      <c r="G30" s="155"/>
      <c r="H30" s="117"/>
      <c r="I30" s="118"/>
      <c r="J30" s="119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39" t="s">
        <v>58</v>
      </c>
      <c r="B32" s="140"/>
      <c r="C32" s="140"/>
      <c r="D32" s="141"/>
      <c r="F32" s="142" t="s">
        <v>59</v>
      </c>
      <c r="G32" s="143"/>
      <c r="H32" s="143"/>
      <c r="I32" s="143"/>
      <c r="J32" s="144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142" t="s">
        <v>13</v>
      </c>
      <c r="I33" s="143"/>
      <c r="J33" s="144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3" t="s">
        <v>65</v>
      </c>
      <c r="B34" s="26" t="s">
        <v>66</v>
      </c>
      <c r="C34" s="51"/>
      <c r="D34" s="30">
        <f>C34*120</f>
        <v>0</v>
      </c>
      <c r="F34" s="12">
        <v>1000</v>
      </c>
      <c r="G34" s="40"/>
      <c r="H34" s="136">
        <f t="shared" ref="H34:H39" si="2">F34*G34</f>
        <v>0</v>
      </c>
      <c r="I34" s="137"/>
      <c r="J34" s="138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4"/>
      <c r="B35" s="27" t="s">
        <v>68</v>
      </c>
      <c r="C35" s="52"/>
      <c r="D35" s="30">
        <f>C35*84</f>
        <v>0</v>
      </c>
      <c r="F35" s="58">
        <v>500</v>
      </c>
      <c r="G35" s="41"/>
      <c r="H35" s="136">
        <f t="shared" si="2"/>
        <v>0</v>
      </c>
      <c r="I35" s="137"/>
      <c r="J35" s="138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5"/>
      <c r="B36" s="26" t="s">
        <v>70</v>
      </c>
      <c r="C36" s="10"/>
      <c r="D36" s="12">
        <f>C36*1.5</f>
        <v>0</v>
      </c>
      <c r="F36" s="12">
        <v>200</v>
      </c>
      <c r="G36" s="37"/>
      <c r="H36" s="136">
        <f t="shared" si="2"/>
        <v>0</v>
      </c>
      <c r="I36" s="137"/>
      <c r="J36" s="138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3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36">
        <f t="shared" si="2"/>
        <v>0</v>
      </c>
      <c r="I37" s="137"/>
      <c r="J37" s="138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4"/>
      <c r="B38" s="29" t="s">
        <v>68</v>
      </c>
      <c r="C38" s="54"/>
      <c r="D38" s="12">
        <f>C38*84</f>
        <v>0</v>
      </c>
      <c r="F38" s="30">
        <v>50</v>
      </c>
      <c r="G38" s="39"/>
      <c r="H38" s="136">
        <f t="shared" si="2"/>
        <v>0</v>
      </c>
      <c r="I38" s="137"/>
      <c r="J38" s="138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5"/>
      <c r="B39" s="29" t="s">
        <v>70</v>
      </c>
      <c r="C39" s="52"/>
      <c r="D39" s="31">
        <f>C39*4.5</f>
        <v>0</v>
      </c>
      <c r="F39" s="12">
        <v>20</v>
      </c>
      <c r="G39" s="37"/>
      <c r="H39" s="136">
        <f t="shared" si="2"/>
        <v>0</v>
      </c>
      <c r="I39" s="137"/>
      <c r="J39" s="138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3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36"/>
      <c r="I40" s="137"/>
      <c r="J40" s="138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4"/>
      <c r="B41" s="27" t="s">
        <v>68</v>
      </c>
      <c r="C41" s="10"/>
      <c r="D41" s="12">
        <f>C41*84</f>
        <v>0</v>
      </c>
      <c r="F41" s="12">
        <v>5</v>
      </c>
      <c r="G41" s="42"/>
      <c r="H41" s="136"/>
      <c r="I41" s="137"/>
      <c r="J41" s="138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5"/>
      <c r="B42" s="27" t="s">
        <v>70</v>
      </c>
      <c r="C42" s="11"/>
      <c r="D42" s="12">
        <f>C42*2.25</f>
        <v>0</v>
      </c>
      <c r="F42" s="39" t="s">
        <v>79</v>
      </c>
      <c r="G42" s="136"/>
      <c r="H42" s="137"/>
      <c r="I42" s="137"/>
      <c r="J42" s="138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06" t="s">
        <v>81</v>
      </c>
      <c r="C43" s="11"/>
      <c r="D43" s="12"/>
      <c r="F43" s="59" t="s">
        <v>82</v>
      </c>
      <c r="G43" s="89" t="s">
        <v>83</v>
      </c>
      <c r="H43" s="128" t="s">
        <v>13</v>
      </c>
      <c r="I43" s="129"/>
      <c r="J43" s="130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07"/>
      <c r="B44" s="27" t="s">
        <v>66</v>
      </c>
      <c r="C44" s="10"/>
      <c r="D44" s="12">
        <f>C44*120</f>
        <v>0</v>
      </c>
      <c r="F44" s="37"/>
      <c r="G44" s="84"/>
      <c r="H44" s="131"/>
      <c r="I44" s="131"/>
      <c r="J44" s="131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07"/>
      <c r="B45" s="27" t="s">
        <v>68</v>
      </c>
      <c r="C45" s="33"/>
      <c r="D45" s="12">
        <f>C45*84</f>
        <v>0</v>
      </c>
      <c r="F45" s="37"/>
      <c r="G45" s="62"/>
      <c r="H45" s="131"/>
      <c r="I45" s="131"/>
      <c r="J45" s="131"/>
      <c r="K45" s="21"/>
      <c r="P45" s="4"/>
      <c r="Q45" s="4"/>
      <c r="R45" s="5"/>
    </row>
    <row r="46" spans="1:18" ht="15.75" x14ac:dyDescent="0.25">
      <c r="A46" s="107"/>
      <c r="B46" s="49" t="s">
        <v>70</v>
      </c>
      <c r="C46" s="81"/>
      <c r="D46" s="12">
        <f>C46*1.5</f>
        <v>0</v>
      </c>
      <c r="F46" s="37"/>
      <c r="G46" s="62"/>
      <c r="H46" s="131"/>
      <c r="I46" s="131"/>
      <c r="J46" s="131"/>
      <c r="K46" s="21"/>
      <c r="P46" s="4"/>
      <c r="Q46" s="4"/>
      <c r="R46" s="5"/>
    </row>
    <row r="47" spans="1:18" ht="15.75" x14ac:dyDescent="0.25">
      <c r="A47" s="108"/>
      <c r="B47" s="27"/>
      <c r="C47" s="11"/>
      <c r="D47" s="12"/>
      <c r="F47" s="59"/>
      <c r="G47" s="59"/>
      <c r="H47" s="109"/>
      <c r="I47" s="110"/>
      <c r="J47" s="111"/>
      <c r="K47" s="21"/>
      <c r="P47" s="4"/>
      <c r="Q47" s="4"/>
      <c r="R47" s="5"/>
    </row>
    <row r="48" spans="1:18" ht="15" customHeight="1" x14ac:dyDescent="0.25">
      <c r="A48" s="106" t="s">
        <v>32</v>
      </c>
      <c r="B48" s="27" t="s">
        <v>66</v>
      </c>
      <c r="C48" s="10"/>
      <c r="D48" s="12">
        <f>C48*78</f>
        <v>0</v>
      </c>
      <c r="F48" s="59"/>
      <c r="G48" s="59"/>
      <c r="H48" s="109"/>
      <c r="I48" s="110"/>
      <c r="J48" s="111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07"/>
      <c r="B49" s="29" t="s">
        <v>68</v>
      </c>
      <c r="C49" s="33"/>
      <c r="D49" s="12">
        <f>C49*42</f>
        <v>0</v>
      </c>
      <c r="F49" s="112" t="s">
        <v>86</v>
      </c>
      <c r="G49" s="114">
        <f>H34+H35+H36+H37+H38+H39+H40+H41+G42+H44+H45+H46</f>
        <v>0</v>
      </c>
      <c r="H49" s="115"/>
      <c r="I49" s="115"/>
      <c r="J49" s="116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07"/>
      <c r="B50" s="32" t="s">
        <v>70</v>
      </c>
      <c r="C50" s="11"/>
      <c r="D50" s="12">
        <f>C50*1.5</f>
        <v>0</v>
      </c>
      <c r="F50" s="113"/>
      <c r="G50" s="117"/>
      <c r="H50" s="118"/>
      <c r="I50" s="118"/>
      <c r="J50" s="119"/>
      <c r="O50" t="s">
        <v>137</v>
      </c>
      <c r="P50" s="4">
        <v>1204</v>
      </c>
      <c r="Q50" s="4"/>
      <c r="R50" s="5"/>
    </row>
    <row r="51" spans="1:18" ht="15" customHeight="1" x14ac:dyDescent="0.25">
      <c r="A51" s="107"/>
      <c r="B51" s="27"/>
      <c r="C51" s="10"/>
      <c r="D51" s="31"/>
      <c r="F51" s="120" t="s">
        <v>128</v>
      </c>
      <c r="G51" s="221">
        <f>G49-H29</f>
        <v>0</v>
      </c>
      <c r="H51" s="222"/>
      <c r="I51" s="222"/>
      <c r="J51" s="223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07"/>
      <c r="B52" s="29"/>
      <c r="C52" s="33"/>
      <c r="D52" s="45"/>
      <c r="F52" s="121"/>
      <c r="G52" s="224"/>
      <c r="H52" s="225"/>
      <c r="I52" s="225"/>
      <c r="J52" s="226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08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92" t="s">
        <v>90</v>
      </c>
      <c r="B54" s="93"/>
      <c r="C54" s="94"/>
      <c r="D54" s="98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95"/>
      <c r="B55" s="96"/>
      <c r="C55" s="97"/>
      <c r="D55" s="9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140</v>
      </c>
      <c r="D57" s="34"/>
      <c r="F57" s="36"/>
      <c r="G57" s="50"/>
      <c r="H57" s="50"/>
      <c r="I57" s="50"/>
      <c r="J57" s="43"/>
    </row>
    <row r="58" spans="1:18" x14ac:dyDescent="0.25">
      <c r="A58" s="100" t="s">
        <v>91</v>
      </c>
      <c r="B58" s="101"/>
      <c r="C58" s="101"/>
      <c r="D58" s="102"/>
      <c r="F58" s="100" t="s">
        <v>92</v>
      </c>
      <c r="G58" s="101"/>
      <c r="H58" s="101"/>
      <c r="I58" s="101"/>
      <c r="J58" s="102"/>
    </row>
    <row r="59" spans="1:18" x14ac:dyDescent="0.25">
      <c r="A59" s="103"/>
      <c r="B59" s="104"/>
      <c r="C59" s="104"/>
      <c r="D59" s="105"/>
      <c r="F59" s="103"/>
      <c r="G59" s="104"/>
      <c r="H59" s="104"/>
      <c r="I59" s="104"/>
      <c r="J59" s="105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F0F815-87C9-4A9A-8DD1-55CD61AA8844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88" t="s">
        <v>1</v>
      </c>
      <c r="O1" s="188"/>
      <c r="P1" s="85" t="s">
        <v>2</v>
      </c>
      <c r="Q1" s="8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9" t="s">
        <v>7</v>
      </c>
      <c r="B4" s="140"/>
      <c r="C4" s="140"/>
      <c r="D4" s="141"/>
      <c r="F4" s="189" t="s">
        <v>8</v>
      </c>
      <c r="G4" s="191">
        <v>2</v>
      </c>
      <c r="H4" s="193" t="s">
        <v>9</v>
      </c>
      <c r="I4" s="195">
        <v>46095</v>
      </c>
      <c r="J4" s="19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3" t="s">
        <v>7</v>
      </c>
      <c r="B5" s="15" t="s">
        <v>11</v>
      </c>
      <c r="C5" s="9" t="s">
        <v>12</v>
      </c>
      <c r="D5" s="25" t="s">
        <v>13</v>
      </c>
      <c r="F5" s="190"/>
      <c r="G5" s="192"/>
      <c r="H5" s="194"/>
      <c r="I5" s="197"/>
      <c r="J5" s="19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4"/>
      <c r="B6" s="16" t="s">
        <v>15</v>
      </c>
      <c r="C6" s="10"/>
      <c r="D6" s="13">
        <f t="shared" ref="D6:D28" si="1">C6*L6</f>
        <v>0</v>
      </c>
      <c r="F6" s="199" t="s">
        <v>16</v>
      </c>
      <c r="G6" s="201" t="s">
        <v>126</v>
      </c>
      <c r="H6" s="202"/>
      <c r="I6" s="202"/>
      <c r="J6" s="203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4"/>
      <c r="B7" s="16" t="s">
        <v>18</v>
      </c>
      <c r="C7" s="10"/>
      <c r="D7" s="13">
        <f t="shared" si="1"/>
        <v>0</v>
      </c>
      <c r="F7" s="200"/>
      <c r="G7" s="204"/>
      <c r="H7" s="205"/>
      <c r="I7" s="205"/>
      <c r="J7" s="206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4"/>
      <c r="B8" s="16" t="s">
        <v>20</v>
      </c>
      <c r="C8" s="10"/>
      <c r="D8" s="13">
        <f t="shared" si="1"/>
        <v>0</v>
      </c>
      <c r="F8" s="207" t="s">
        <v>21</v>
      </c>
      <c r="G8" s="208" t="s">
        <v>113</v>
      </c>
      <c r="H8" s="209"/>
      <c r="I8" s="209"/>
      <c r="J8" s="210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4"/>
      <c r="B9" s="16" t="s">
        <v>23</v>
      </c>
      <c r="C9" s="10"/>
      <c r="D9" s="13">
        <f t="shared" si="1"/>
        <v>0</v>
      </c>
      <c r="F9" s="200"/>
      <c r="G9" s="211"/>
      <c r="H9" s="212"/>
      <c r="I9" s="212"/>
      <c r="J9" s="213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4"/>
      <c r="B10" t="s">
        <v>25</v>
      </c>
      <c r="C10" s="10"/>
      <c r="D10" s="13">
        <f t="shared" si="1"/>
        <v>0</v>
      </c>
      <c r="F10" s="199" t="s">
        <v>26</v>
      </c>
      <c r="G10" s="214" t="s">
        <v>114</v>
      </c>
      <c r="H10" s="215"/>
      <c r="I10" s="215"/>
      <c r="J10" s="216"/>
      <c r="K10" s="8"/>
      <c r="L10" s="6">
        <f>R36</f>
        <v>1032</v>
      </c>
      <c r="P10" s="4"/>
      <c r="Q10" s="4"/>
      <c r="R10" s="5"/>
    </row>
    <row r="11" spans="1:18" ht="15.75" x14ac:dyDescent="0.25">
      <c r="A11" s="134"/>
      <c r="B11" s="17" t="s">
        <v>28</v>
      </c>
      <c r="C11" s="10"/>
      <c r="D11" s="13">
        <f t="shared" si="1"/>
        <v>0</v>
      </c>
      <c r="F11" s="200"/>
      <c r="G11" s="211"/>
      <c r="H11" s="212"/>
      <c r="I11" s="212"/>
      <c r="J11" s="213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4"/>
      <c r="B12" s="17" t="s">
        <v>30</v>
      </c>
      <c r="C12" s="10"/>
      <c r="D12" s="48">
        <f t="shared" si="1"/>
        <v>0</v>
      </c>
      <c r="F12" s="217" t="s">
        <v>33</v>
      </c>
      <c r="G12" s="218"/>
      <c r="H12" s="218"/>
      <c r="I12" s="218"/>
      <c r="J12" s="219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4"/>
      <c r="B13" s="17" t="s">
        <v>32</v>
      </c>
      <c r="C13" s="10"/>
      <c r="D13" s="48">
        <f t="shared" si="1"/>
        <v>0</v>
      </c>
      <c r="F13" s="220" t="s">
        <v>36</v>
      </c>
      <c r="G13" s="184"/>
      <c r="H13" s="175">
        <f>D29</f>
        <v>0</v>
      </c>
      <c r="I13" s="176"/>
      <c r="J13" s="17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4"/>
      <c r="B14" s="14" t="s">
        <v>35</v>
      </c>
      <c r="C14" s="10"/>
      <c r="D14" s="31">
        <f t="shared" si="1"/>
        <v>0</v>
      </c>
      <c r="F14" s="178" t="s">
        <v>39</v>
      </c>
      <c r="G14" s="179"/>
      <c r="H14" s="180">
        <f>D54</f>
        <v>0</v>
      </c>
      <c r="I14" s="181"/>
      <c r="J14" s="18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4"/>
      <c r="B15" s="14" t="s">
        <v>38</v>
      </c>
      <c r="C15" s="10"/>
      <c r="D15" s="31">
        <f t="shared" si="1"/>
        <v>0</v>
      </c>
      <c r="F15" s="183" t="s">
        <v>40</v>
      </c>
      <c r="G15" s="184"/>
      <c r="H15" s="185">
        <f>H13-H14</f>
        <v>0</v>
      </c>
      <c r="I15" s="186"/>
      <c r="J15" s="187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4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45"/>
      <c r="I16" s="145"/>
      <c r="J16" s="145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4"/>
      <c r="B17" t="s">
        <v>93</v>
      </c>
      <c r="C17" s="10"/>
      <c r="D17" s="48">
        <f t="shared" si="1"/>
        <v>0</v>
      </c>
      <c r="F17" s="56"/>
      <c r="G17" s="66" t="s">
        <v>45</v>
      </c>
      <c r="H17" s="156"/>
      <c r="I17" s="156"/>
      <c r="J17" s="156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4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56"/>
      <c r="I18" s="156"/>
      <c r="J18" s="156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4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31"/>
      <c r="I19" s="231"/>
      <c r="J19" s="231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4"/>
      <c r="B20" s="46" t="s">
        <v>119</v>
      </c>
      <c r="C20" s="10"/>
      <c r="D20" s="13">
        <f t="shared" si="1"/>
        <v>0</v>
      </c>
      <c r="F20" s="57"/>
      <c r="G20" s="70" t="s">
        <v>117</v>
      </c>
      <c r="H20" s="156"/>
      <c r="I20" s="156"/>
      <c r="J20" s="156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4"/>
      <c r="B21" s="14" t="s">
        <v>131</v>
      </c>
      <c r="C21" s="10"/>
      <c r="D21" s="48">
        <f t="shared" si="1"/>
        <v>0</v>
      </c>
      <c r="F21" s="69" t="s">
        <v>99</v>
      </c>
      <c r="G21" s="82" t="s">
        <v>98</v>
      </c>
      <c r="H21" s="158" t="s">
        <v>13</v>
      </c>
      <c r="I21" s="159"/>
      <c r="J21" s="160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4"/>
      <c r="B22" s="46" t="s">
        <v>104</v>
      </c>
      <c r="C22" s="10"/>
      <c r="D22" s="48">
        <f t="shared" si="1"/>
        <v>0</v>
      </c>
      <c r="F22" s="72"/>
      <c r="G22" s="73"/>
      <c r="H22" s="161"/>
      <c r="I22" s="161"/>
      <c r="J22" s="161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4"/>
      <c r="B23" s="14" t="s">
        <v>107</v>
      </c>
      <c r="C23" s="10"/>
      <c r="D23" s="48">
        <f t="shared" si="1"/>
        <v>0</v>
      </c>
      <c r="F23" s="25"/>
      <c r="G23" s="37"/>
      <c r="H23" s="162"/>
      <c r="I23" s="131"/>
      <c r="J23" s="131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4"/>
      <c r="B24" s="14" t="s">
        <v>120</v>
      </c>
      <c r="C24" s="10"/>
      <c r="D24" s="48">
        <f t="shared" si="1"/>
        <v>0</v>
      </c>
      <c r="F24" s="38"/>
      <c r="G24" s="37"/>
      <c r="H24" s="162"/>
      <c r="I24" s="131"/>
      <c r="J24" s="131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4"/>
      <c r="B25" s="14" t="s">
        <v>121</v>
      </c>
      <c r="C25" s="10"/>
      <c r="D25" s="48">
        <f t="shared" si="1"/>
        <v>0</v>
      </c>
      <c r="F25" s="60" t="s">
        <v>100</v>
      </c>
      <c r="G25" s="55" t="s">
        <v>98</v>
      </c>
      <c r="H25" s="163" t="s">
        <v>13</v>
      </c>
      <c r="I25" s="164"/>
      <c r="J25" s="165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4"/>
      <c r="B26" s="14" t="s">
        <v>105</v>
      </c>
      <c r="C26" s="10"/>
      <c r="D26" s="48">
        <f t="shared" si="1"/>
        <v>0</v>
      </c>
      <c r="F26" s="64"/>
      <c r="G26" s="10"/>
      <c r="H26" s="166"/>
      <c r="I26" s="167"/>
      <c r="J26" s="168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4"/>
      <c r="B27" s="14" t="s">
        <v>109</v>
      </c>
      <c r="C27" s="10"/>
      <c r="D27" s="44">
        <f t="shared" si="1"/>
        <v>0</v>
      </c>
      <c r="F27" s="14"/>
      <c r="G27" s="14"/>
      <c r="H27" s="169"/>
      <c r="I27" s="170"/>
      <c r="J27" s="171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5"/>
      <c r="B28" s="46" t="s">
        <v>97</v>
      </c>
      <c r="C28" s="10"/>
      <c r="D28" s="48">
        <f t="shared" si="1"/>
        <v>0</v>
      </c>
      <c r="F28" s="86"/>
      <c r="G28" s="61"/>
      <c r="H28" s="172"/>
      <c r="I28" s="173"/>
      <c r="J28" s="174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46" t="s">
        <v>36</v>
      </c>
      <c r="B29" s="147"/>
      <c r="C29" s="148"/>
      <c r="D29" s="152">
        <f>SUM(D6:D28)</f>
        <v>0</v>
      </c>
      <c r="F29" s="92" t="s">
        <v>55</v>
      </c>
      <c r="G29" s="154"/>
      <c r="H29" s="114">
        <f>H15-H16-H17-H18-H19-H20-H22-H23-H24+H26+H27</f>
        <v>0</v>
      </c>
      <c r="I29" s="115"/>
      <c r="J29" s="116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49"/>
      <c r="B30" s="150"/>
      <c r="C30" s="151"/>
      <c r="D30" s="153"/>
      <c r="F30" s="95"/>
      <c r="G30" s="155"/>
      <c r="H30" s="117"/>
      <c r="I30" s="118"/>
      <c r="J30" s="119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39" t="s">
        <v>58</v>
      </c>
      <c r="B32" s="140"/>
      <c r="C32" s="140"/>
      <c r="D32" s="141"/>
      <c r="F32" s="142" t="s">
        <v>59</v>
      </c>
      <c r="G32" s="143"/>
      <c r="H32" s="143"/>
      <c r="I32" s="143"/>
      <c r="J32" s="144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142" t="s">
        <v>13</v>
      </c>
      <c r="I33" s="143"/>
      <c r="J33" s="144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3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36">
        <f>F34*G34</f>
        <v>0</v>
      </c>
      <c r="I34" s="137"/>
      <c r="J34" s="138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4"/>
      <c r="B35" s="27" t="s">
        <v>68</v>
      </c>
      <c r="C35" s="52"/>
      <c r="D35" s="30">
        <f>C35*84</f>
        <v>0</v>
      </c>
      <c r="F35" s="58">
        <v>500</v>
      </c>
      <c r="G35" s="41"/>
      <c r="H35" s="136">
        <f t="shared" ref="H35:H39" si="2">F35*G35</f>
        <v>0</v>
      </c>
      <c r="I35" s="137"/>
      <c r="J35" s="138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5"/>
      <c r="B36" s="26" t="s">
        <v>70</v>
      </c>
      <c r="C36" s="10"/>
      <c r="D36" s="12">
        <f>C36*1.5</f>
        <v>0</v>
      </c>
      <c r="F36" s="12">
        <v>200</v>
      </c>
      <c r="G36" s="37"/>
      <c r="H36" s="136">
        <f>F36*G36</f>
        <v>0</v>
      </c>
      <c r="I36" s="137"/>
      <c r="J36" s="138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3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36">
        <f t="shared" si="2"/>
        <v>0</v>
      </c>
      <c r="I37" s="137"/>
      <c r="J37" s="138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4"/>
      <c r="B38" s="29" t="s">
        <v>68</v>
      </c>
      <c r="C38" s="54"/>
      <c r="D38" s="12">
        <f>C38*84</f>
        <v>0</v>
      </c>
      <c r="F38" s="30">
        <v>50</v>
      </c>
      <c r="G38" s="39"/>
      <c r="H38" s="136">
        <f t="shared" si="2"/>
        <v>0</v>
      </c>
      <c r="I38" s="137"/>
      <c r="J38" s="138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5"/>
      <c r="B39" s="29" t="s">
        <v>70</v>
      </c>
      <c r="C39" s="52"/>
      <c r="D39" s="31">
        <f>C39*4.5</f>
        <v>0</v>
      </c>
      <c r="F39" s="12">
        <v>20</v>
      </c>
      <c r="G39" s="37"/>
      <c r="H39" s="136">
        <f t="shared" si="2"/>
        <v>0</v>
      </c>
      <c r="I39" s="137"/>
      <c r="J39" s="138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3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36"/>
      <c r="I40" s="137"/>
      <c r="J40" s="138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4"/>
      <c r="B41" s="27" t="s">
        <v>68</v>
      </c>
      <c r="C41" s="10"/>
      <c r="D41" s="12">
        <f>C41*84</f>
        <v>0</v>
      </c>
      <c r="F41" s="12">
        <v>5</v>
      </c>
      <c r="G41" s="42"/>
      <c r="H41" s="136"/>
      <c r="I41" s="137"/>
      <c r="J41" s="138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5"/>
      <c r="B42" s="27" t="s">
        <v>70</v>
      </c>
      <c r="C42" s="11"/>
      <c r="D42" s="12">
        <f>C42*2.25</f>
        <v>0</v>
      </c>
      <c r="F42" s="39" t="s">
        <v>79</v>
      </c>
      <c r="G42" s="136"/>
      <c r="H42" s="137"/>
      <c r="I42" s="137"/>
      <c r="J42" s="138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06" t="s">
        <v>81</v>
      </c>
      <c r="C43" s="11"/>
      <c r="D43" s="12"/>
      <c r="F43" s="59" t="s">
        <v>82</v>
      </c>
      <c r="G43" s="89" t="s">
        <v>83</v>
      </c>
      <c r="H43" s="128" t="s">
        <v>13</v>
      </c>
      <c r="I43" s="129"/>
      <c r="J43" s="130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07"/>
      <c r="B44" s="27" t="s">
        <v>66</v>
      </c>
      <c r="C44" s="10"/>
      <c r="D44" s="12">
        <f>C44*120</f>
        <v>0</v>
      </c>
      <c r="F44" s="37"/>
      <c r="G44" s="62"/>
      <c r="H44" s="131"/>
      <c r="I44" s="131"/>
      <c r="J44" s="131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07"/>
      <c r="B45" s="27" t="s">
        <v>68</v>
      </c>
      <c r="C45" s="33"/>
      <c r="D45" s="12">
        <f>C45*84</f>
        <v>0</v>
      </c>
      <c r="F45" s="37"/>
      <c r="G45" s="62"/>
      <c r="H45" s="131"/>
      <c r="I45" s="131"/>
      <c r="J45" s="131"/>
      <c r="K45" s="21"/>
      <c r="P45" s="4"/>
      <c r="Q45" s="4"/>
      <c r="R45" s="5"/>
    </row>
    <row r="46" spans="1:18" ht="15.75" x14ac:dyDescent="0.25">
      <c r="A46" s="107"/>
      <c r="B46" s="49" t="s">
        <v>70</v>
      </c>
      <c r="C46" s="81"/>
      <c r="D46" s="12">
        <f>C46*1.5</f>
        <v>0</v>
      </c>
      <c r="F46" s="37"/>
      <c r="G46" s="88"/>
      <c r="H46" s="132"/>
      <c r="I46" s="132"/>
      <c r="J46" s="132"/>
      <c r="K46" s="21"/>
      <c r="P46" s="4"/>
      <c r="Q46" s="4"/>
      <c r="R46" s="5"/>
    </row>
    <row r="47" spans="1:18" ht="15.75" x14ac:dyDescent="0.25">
      <c r="A47" s="108"/>
      <c r="B47" s="27"/>
      <c r="C47" s="11"/>
      <c r="D47" s="12"/>
      <c r="F47" s="59"/>
      <c r="G47" s="59"/>
      <c r="H47" s="109"/>
      <c r="I47" s="110"/>
      <c r="J47" s="111"/>
      <c r="K47" s="21"/>
      <c r="P47" s="4"/>
      <c r="Q47" s="4"/>
      <c r="R47" s="5"/>
    </row>
    <row r="48" spans="1:18" ht="15" customHeight="1" x14ac:dyDescent="0.25">
      <c r="A48" s="106" t="s">
        <v>32</v>
      </c>
      <c r="B48" s="27" t="s">
        <v>66</v>
      </c>
      <c r="C48" s="10"/>
      <c r="D48" s="12">
        <f>C48*78</f>
        <v>0</v>
      </c>
      <c r="F48" s="59"/>
      <c r="G48" s="59"/>
      <c r="H48" s="109"/>
      <c r="I48" s="110"/>
      <c r="J48" s="111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07"/>
      <c r="B49" s="29" t="s">
        <v>68</v>
      </c>
      <c r="C49" s="33"/>
      <c r="D49" s="12">
        <f>C49*42</f>
        <v>0</v>
      </c>
      <c r="F49" s="112" t="s">
        <v>86</v>
      </c>
      <c r="G49" s="114">
        <f>H34+H35+H36+H37+H38+H39+H40+H41+G42+H44+H45+H46</f>
        <v>0</v>
      </c>
      <c r="H49" s="115"/>
      <c r="I49" s="115"/>
      <c r="J49" s="116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07"/>
      <c r="B50" s="32" t="s">
        <v>70</v>
      </c>
      <c r="C50" s="11"/>
      <c r="D50" s="12">
        <f>C50*1.5</f>
        <v>0</v>
      </c>
      <c r="F50" s="113"/>
      <c r="G50" s="117"/>
      <c r="H50" s="118"/>
      <c r="I50" s="118"/>
      <c r="J50" s="119"/>
      <c r="O50" t="s">
        <v>137</v>
      </c>
      <c r="P50" s="4">
        <v>1204</v>
      </c>
      <c r="Q50" s="4"/>
      <c r="R50" s="5"/>
    </row>
    <row r="51" spans="1:18" ht="15" customHeight="1" x14ac:dyDescent="0.25">
      <c r="A51" s="107"/>
      <c r="B51" s="27"/>
      <c r="C51" s="10"/>
      <c r="D51" s="31"/>
      <c r="F51" s="120" t="s">
        <v>135</v>
      </c>
      <c r="G51" s="122">
        <f>G49-H29</f>
        <v>0</v>
      </c>
      <c r="H51" s="123"/>
      <c r="I51" s="123"/>
      <c r="J51" s="124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07"/>
      <c r="B52" s="29"/>
      <c r="C52" s="33"/>
      <c r="D52" s="45"/>
      <c r="F52" s="121"/>
      <c r="G52" s="125"/>
      <c r="H52" s="126"/>
      <c r="I52" s="126"/>
      <c r="J52" s="127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08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92" t="s">
        <v>90</v>
      </c>
      <c r="B54" s="93"/>
      <c r="C54" s="94"/>
      <c r="D54" s="98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95"/>
      <c r="B55" s="96"/>
      <c r="C55" s="97"/>
      <c r="D55" s="9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100" t="s">
        <v>91</v>
      </c>
      <c r="B58" s="101"/>
      <c r="C58" s="101"/>
      <c r="D58" s="102"/>
      <c r="F58" s="100" t="s">
        <v>92</v>
      </c>
      <c r="G58" s="101"/>
      <c r="H58" s="101"/>
      <c r="I58" s="101"/>
      <c r="J58" s="102"/>
    </row>
    <row r="59" spans="1:18" x14ac:dyDescent="0.25">
      <c r="A59" s="103"/>
      <c r="B59" s="104"/>
      <c r="C59" s="104"/>
      <c r="D59" s="105"/>
      <c r="F59" s="103"/>
      <c r="G59" s="104"/>
      <c r="H59" s="104"/>
      <c r="I59" s="104"/>
      <c r="J59" s="105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AF56D8-7E5F-4327-A580-E9E7E229FC35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88" t="s">
        <v>1</v>
      </c>
      <c r="O1" s="188"/>
      <c r="P1" s="85" t="s">
        <v>2</v>
      </c>
      <c r="Q1" s="8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9" t="s">
        <v>7</v>
      </c>
      <c r="B4" s="140"/>
      <c r="C4" s="140"/>
      <c r="D4" s="141"/>
      <c r="F4" s="189" t="s">
        <v>8</v>
      </c>
      <c r="G4" s="191">
        <v>3</v>
      </c>
      <c r="H4" s="193" t="s">
        <v>9</v>
      </c>
      <c r="I4" s="195">
        <v>46095</v>
      </c>
      <c r="J4" s="19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3" t="s">
        <v>7</v>
      </c>
      <c r="B5" s="15" t="s">
        <v>11</v>
      </c>
      <c r="C5" s="9" t="s">
        <v>12</v>
      </c>
      <c r="D5" s="25" t="s">
        <v>13</v>
      </c>
      <c r="F5" s="190"/>
      <c r="G5" s="192"/>
      <c r="H5" s="194"/>
      <c r="I5" s="197"/>
      <c r="J5" s="19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4"/>
      <c r="B6" s="16" t="s">
        <v>15</v>
      </c>
      <c r="C6" s="10"/>
      <c r="D6" s="13">
        <f t="shared" ref="D6:D28" si="1">C6*L6</f>
        <v>0</v>
      </c>
      <c r="F6" s="199" t="s">
        <v>16</v>
      </c>
      <c r="G6" s="201" t="s">
        <v>141</v>
      </c>
      <c r="H6" s="202"/>
      <c r="I6" s="202"/>
      <c r="J6" s="203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4"/>
      <c r="B7" s="16" t="s">
        <v>18</v>
      </c>
      <c r="C7" s="10"/>
      <c r="D7" s="13">
        <f t="shared" si="1"/>
        <v>0</v>
      </c>
      <c r="F7" s="200"/>
      <c r="G7" s="204"/>
      <c r="H7" s="205"/>
      <c r="I7" s="205"/>
      <c r="J7" s="206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4"/>
      <c r="B8" s="16" t="s">
        <v>20</v>
      </c>
      <c r="C8" s="10"/>
      <c r="D8" s="13">
        <f t="shared" si="1"/>
        <v>0</v>
      </c>
      <c r="F8" s="207" t="s">
        <v>21</v>
      </c>
      <c r="G8" s="208" t="s">
        <v>130</v>
      </c>
      <c r="H8" s="209"/>
      <c r="I8" s="209"/>
      <c r="J8" s="210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4"/>
      <c r="B9" s="16" t="s">
        <v>23</v>
      </c>
      <c r="C9" s="10"/>
      <c r="D9" s="13">
        <f t="shared" si="1"/>
        <v>0</v>
      </c>
      <c r="F9" s="200"/>
      <c r="G9" s="211"/>
      <c r="H9" s="212"/>
      <c r="I9" s="212"/>
      <c r="J9" s="213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4"/>
      <c r="B10" t="s">
        <v>25</v>
      </c>
      <c r="C10" s="10"/>
      <c r="D10" s="13">
        <f t="shared" si="1"/>
        <v>0</v>
      </c>
      <c r="F10" s="199" t="s">
        <v>26</v>
      </c>
      <c r="G10" s="214" t="s">
        <v>127</v>
      </c>
      <c r="H10" s="215"/>
      <c r="I10" s="215"/>
      <c r="J10" s="216"/>
      <c r="K10" s="8"/>
      <c r="L10" s="6">
        <f>R36</f>
        <v>1032</v>
      </c>
      <c r="P10" s="4"/>
      <c r="Q10" s="4"/>
      <c r="R10" s="5"/>
    </row>
    <row r="11" spans="1:18" ht="15.75" x14ac:dyDescent="0.25">
      <c r="A11" s="134"/>
      <c r="B11" s="17" t="s">
        <v>28</v>
      </c>
      <c r="C11" s="10"/>
      <c r="D11" s="13">
        <f t="shared" si="1"/>
        <v>0</v>
      </c>
      <c r="F11" s="200"/>
      <c r="G11" s="211"/>
      <c r="H11" s="212"/>
      <c r="I11" s="212"/>
      <c r="J11" s="213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4"/>
      <c r="B12" s="17" t="s">
        <v>30</v>
      </c>
      <c r="C12" s="10"/>
      <c r="D12" s="48">
        <f t="shared" si="1"/>
        <v>0</v>
      </c>
      <c r="F12" s="217" t="s">
        <v>33</v>
      </c>
      <c r="G12" s="218"/>
      <c r="H12" s="218"/>
      <c r="I12" s="218"/>
      <c r="J12" s="219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4"/>
      <c r="B13" s="17" t="s">
        <v>32</v>
      </c>
      <c r="C13" s="10"/>
      <c r="D13" s="48">
        <f t="shared" si="1"/>
        <v>0</v>
      </c>
      <c r="F13" s="220" t="s">
        <v>36</v>
      </c>
      <c r="G13" s="184"/>
      <c r="H13" s="175">
        <f>D29</f>
        <v>0</v>
      </c>
      <c r="I13" s="176"/>
      <c r="J13" s="17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4"/>
      <c r="B14" s="14" t="s">
        <v>35</v>
      </c>
      <c r="C14" s="10"/>
      <c r="D14" s="31">
        <f t="shared" si="1"/>
        <v>0</v>
      </c>
      <c r="F14" s="178" t="s">
        <v>39</v>
      </c>
      <c r="G14" s="179"/>
      <c r="H14" s="180">
        <f>D54</f>
        <v>0</v>
      </c>
      <c r="I14" s="181"/>
      <c r="J14" s="18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4"/>
      <c r="B15" s="14" t="s">
        <v>38</v>
      </c>
      <c r="C15" s="10"/>
      <c r="D15" s="31">
        <f t="shared" si="1"/>
        <v>0</v>
      </c>
      <c r="F15" s="183" t="s">
        <v>40</v>
      </c>
      <c r="G15" s="184"/>
      <c r="H15" s="185">
        <f>H13-H14</f>
        <v>0</v>
      </c>
      <c r="I15" s="186"/>
      <c r="J15" s="187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4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45"/>
      <c r="I16" s="145"/>
      <c r="J16" s="145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4"/>
      <c r="B17" t="s">
        <v>112</v>
      </c>
      <c r="C17" s="10"/>
      <c r="D17" s="48">
        <f t="shared" si="1"/>
        <v>0</v>
      </c>
      <c r="F17" s="56"/>
      <c r="G17" s="66" t="s">
        <v>45</v>
      </c>
      <c r="H17" s="156"/>
      <c r="I17" s="156"/>
      <c r="J17" s="156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4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56"/>
      <c r="I18" s="156"/>
      <c r="J18" s="156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4"/>
      <c r="B19" s="14" t="s">
        <v>116</v>
      </c>
      <c r="C19" s="10"/>
      <c r="D19" s="48">
        <f t="shared" si="1"/>
        <v>0</v>
      </c>
      <c r="F19" s="56"/>
      <c r="G19" s="68" t="s">
        <v>50</v>
      </c>
      <c r="H19" s="232"/>
      <c r="I19" s="232"/>
      <c r="J19" s="232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4"/>
      <c r="B20" s="46" t="s">
        <v>108</v>
      </c>
      <c r="C20" s="10"/>
      <c r="D20" s="13">
        <f t="shared" si="1"/>
        <v>0</v>
      </c>
      <c r="F20" s="57"/>
      <c r="G20" s="70" t="s">
        <v>117</v>
      </c>
      <c r="H20" s="145"/>
      <c r="I20" s="145"/>
      <c r="J20" s="145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4"/>
      <c r="B21" s="14" t="s">
        <v>123</v>
      </c>
      <c r="C21" s="10"/>
      <c r="D21" s="48">
        <f t="shared" si="1"/>
        <v>0</v>
      </c>
      <c r="F21" s="69" t="s">
        <v>99</v>
      </c>
      <c r="G21" s="82" t="s">
        <v>98</v>
      </c>
      <c r="H21" s="158" t="s">
        <v>13</v>
      </c>
      <c r="I21" s="159"/>
      <c r="J21" s="160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4"/>
      <c r="B22" s="46" t="s">
        <v>104</v>
      </c>
      <c r="C22" s="10"/>
      <c r="D22" s="48">
        <f t="shared" si="1"/>
        <v>0</v>
      </c>
      <c r="F22" s="77"/>
      <c r="G22" s="73"/>
      <c r="H22" s="161"/>
      <c r="I22" s="161"/>
      <c r="J22" s="161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4"/>
      <c r="B23" s="14" t="s">
        <v>107</v>
      </c>
      <c r="C23" s="10"/>
      <c r="D23" s="48">
        <f t="shared" si="1"/>
        <v>0</v>
      </c>
      <c r="F23" s="78"/>
      <c r="G23" s="79"/>
      <c r="H23" s="162"/>
      <c r="I23" s="131"/>
      <c r="J23" s="131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4"/>
      <c r="B24" s="14" t="s">
        <v>101</v>
      </c>
      <c r="C24" s="10"/>
      <c r="D24" s="48">
        <f t="shared" si="1"/>
        <v>0</v>
      </c>
      <c r="F24" s="38"/>
      <c r="G24" s="37"/>
      <c r="H24" s="162"/>
      <c r="I24" s="131"/>
      <c r="J24" s="131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4"/>
      <c r="B25" s="14" t="s">
        <v>115</v>
      </c>
      <c r="C25" s="10"/>
      <c r="D25" s="48">
        <f t="shared" si="1"/>
        <v>0</v>
      </c>
      <c r="F25" s="60" t="s">
        <v>100</v>
      </c>
      <c r="G25" s="55" t="s">
        <v>98</v>
      </c>
      <c r="H25" s="163" t="s">
        <v>13</v>
      </c>
      <c r="I25" s="164"/>
      <c r="J25" s="165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4"/>
      <c r="B26" s="14" t="s">
        <v>105</v>
      </c>
      <c r="C26" s="10"/>
      <c r="D26" s="48">
        <f t="shared" si="1"/>
        <v>0</v>
      </c>
      <c r="F26" s="64"/>
      <c r="G26" s="59"/>
      <c r="H26" s="166"/>
      <c r="I26" s="167"/>
      <c r="J26" s="168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4"/>
      <c r="B27" s="14" t="s">
        <v>109</v>
      </c>
      <c r="C27" s="10"/>
      <c r="D27" s="44">
        <f t="shared" si="1"/>
        <v>0</v>
      </c>
      <c r="F27" s="25"/>
      <c r="G27" s="80"/>
      <c r="H27" s="169"/>
      <c r="I27" s="170"/>
      <c r="J27" s="171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5"/>
      <c r="B28" s="46" t="s">
        <v>97</v>
      </c>
      <c r="C28" s="10"/>
      <c r="D28" s="48">
        <f t="shared" si="1"/>
        <v>0</v>
      </c>
      <c r="F28" s="86"/>
      <c r="G28" s="61"/>
      <c r="H28" s="172"/>
      <c r="I28" s="173"/>
      <c r="J28" s="174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46" t="s">
        <v>36</v>
      </c>
      <c r="B29" s="147"/>
      <c r="C29" s="148"/>
      <c r="D29" s="152">
        <f>SUM(D6:D28)</f>
        <v>0</v>
      </c>
      <c r="F29" s="92" t="s">
        <v>55</v>
      </c>
      <c r="G29" s="154"/>
      <c r="H29" s="114">
        <f>H15-H16-H17-H18-H19-H20-H22-H23-H24+H26+H27</f>
        <v>0</v>
      </c>
      <c r="I29" s="115"/>
      <c r="J29" s="116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49"/>
      <c r="B30" s="150"/>
      <c r="C30" s="151"/>
      <c r="D30" s="153"/>
      <c r="F30" s="95"/>
      <c r="G30" s="155"/>
      <c r="H30" s="117"/>
      <c r="I30" s="118"/>
      <c r="J30" s="119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39" t="s">
        <v>58</v>
      </c>
      <c r="B32" s="140"/>
      <c r="C32" s="140"/>
      <c r="D32" s="141"/>
      <c r="F32" s="142" t="s">
        <v>59</v>
      </c>
      <c r="G32" s="143"/>
      <c r="H32" s="143"/>
      <c r="I32" s="143"/>
      <c r="J32" s="144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142" t="s">
        <v>13</v>
      </c>
      <c r="I33" s="143"/>
      <c r="J33" s="144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3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36">
        <f>F34*G34</f>
        <v>0</v>
      </c>
      <c r="I34" s="137"/>
      <c r="J34" s="138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4"/>
      <c r="B35" s="27" t="s">
        <v>68</v>
      </c>
      <c r="C35" s="52"/>
      <c r="D35" s="30">
        <f>C35*84</f>
        <v>0</v>
      </c>
      <c r="F35" s="58">
        <v>500</v>
      </c>
      <c r="G35" s="41"/>
      <c r="H35" s="136">
        <f>F35*G35</f>
        <v>0</v>
      </c>
      <c r="I35" s="137"/>
      <c r="J35" s="138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5"/>
      <c r="B36" s="26" t="s">
        <v>70</v>
      </c>
      <c r="C36" s="10"/>
      <c r="D36" s="12">
        <f>C36*1.5</f>
        <v>0</v>
      </c>
      <c r="F36" s="12">
        <v>200</v>
      </c>
      <c r="G36" s="37"/>
      <c r="H36" s="136">
        <f t="shared" ref="H36:H39" si="2">F36*G36</f>
        <v>0</v>
      </c>
      <c r="I36" s="137"/>
      <c r="J36" s="138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3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36">
        <f t="shared" si="2"/>
        <v>0</v>
      </c>
      <c r="I37" s="137"/>
      <c r="J37" s="138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4"/>
      <c r="B38" s="29" t="s">
        <v>68</v>
      </c>
      <c r="C38" s="54"/>
      <c r="D38" s="12">
        <f>C38*84</f>
        <v>0</v>
      </c>
      <c r="F38" s="30">
        <v>50</v>
      </c>
      <c r="G38" s="39"/>
      <c r="H38" s="136">
        <f t="shared" si="2"/>
        <v>0</v>
      </c>
      <c r="I38" s="137"/>
      <c r="J38" s="138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5"/>
      <c r="B39" s="29" t="s">
        <v>70</v>
      </c>
      <c r="C39" s="52"/>
      <c r="D39" s="31">
        <f>C39*4.5</f>
        <v>0</v>
      </c>
      <c r="F39" s="12">
        <v>20</v>
      </c>
      <c r="G39" s="37"/>
      <c r="H39" s="136">
        <f t="shared" si="2"/>
        <v>0</v>
      </c>
      <c r="I39" s="137"/>
      <c r="J39" s="138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3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36"/>
      <c r="I40" s="137"/>
      <c r="J40" s="138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4"/>
      <c r="B41" s="27" t="s">
        <v>68</v>
      </c>
      <c r="C41" s="10"/>
      <c r="D41" s="12">
        <f>C41*84</f>
        <v>0</v>
      </c>
      <c r="F41" s="12">
        <v>5</v>
      </c>
      <c r="G41" s="42"/>
      <c r="H41" s="136"/>
      <c r="I41" s="137"/>
      <c r="J41" s="138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5"/>
      <c r="B42" s="27" t="s">
        <v>70</v>
      </c>
      <c r="C42" s="11"/>
      <c r="D42" s="12">
        <f>C42*2.25</f>
        <v>0</v>
      </c>
      <c r="F42" s="39" t="s">
        <v>79</v>
      </c>
      <c r="G42" s="136"/>
      <c r="H42" s="137"/>
      <c r="I42" s="137"/>
      <c r="J42" s="138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06" t="s">
        <v>81</v>
      </c>
      <c r="C43" s="11"/>
      <c r="D43" s="12"/>
      <c r="F43" s="59" t="s">
        <v>82</v>
      </c>
      <c r="G43" s="89" t="s">
        <v>83</v>
      </c>
      <c r="H43" s="128" t="s">
        <v>13</v>
      </c>
      <c r="I43" s="129"/>
      <c r="J43" s="130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07"/>
      <c r="B44" s="27" t="s">
        <v>66</v>
      </c>
      <c r="C44" s="10"/>
      <c r="D44" s="12">
        <f>C44*120</f>
        <v>0</v>
      </c>
      <c r="F44" s="37"/>
      <c r="G44" s="76"/>
      <c r="H44" s="131"/>
      <c r="I44" s="131"/>
      <c r="J44" s="131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07"/>
      <c r="B45" s="27" t="s">
        <v>68</v>
      </c>
      <c r="C45" s="33"/>
      <c r="D45" s="12">
        <f>C45*84</f>
        <v>0</v>
      </c>
      <c r="F45" s="37"/>
      <c r="G45" s="76"/>
      <c r="H45" s="131"/>
      <c r="I45" s="131"/>
      <c r="J45" s="131"/>
      <c r="K45" s="21"/>
      <c r="P45" s="4"/>
      <c r="Q45" s="4"/>
      <c r="R45" s="5"/>
    </row>
    <row r="46" spans="1:18" ht="15.75" x14ac:dyDescent="0.25">
      <c r="A46" s="107"/>
      <c r="B46" s="49" t="s">
        <v>70</v>
      </c>
      <c r="C46" s="81"/>
      <c r="D46" s="12">
        <f>C46*1.5</f>
        <v>0</v>
      </c>
      <c r="F46" s="37"/>
      <c r="G46" s="62"/>
      <c r="H46" s="132"/>
      <c r="I46" s="132"/>
      <c r="J46" s="132"/>
      <c r="K46" s="21"/>
      <c r="P46" s="4"/>
      <c r="Q46" s="4"/>
      <c r="R46" s="5"/>
    </row>
    <row r="47" spans="1:18" ht="15.75" x14ac:dyDescent="0.25">
      <c r="A47" s="108"/>
      <c r="B47" s="27"/>
      <c r="C47" s="11"/>
      <c r="D47" s="12"/>
      <c r="F47" s="59"/>
      <c r="G47" s="59"/>
      <c r="H47" s="109"/>
      <c r="I47" s="110"/>
      <c r="J47" s="111"/>
      <c r="K47" s="21"/>
      <c r="P47" s="4"/>
      <c r="Q47" s="4"/>
      <c r="R47" s="5"/>
    </row>
    <row r="48" spans="1:18" ht="15" customHeight="1" x14ac:dyDescent="0.25">
      <c r="A48" s="106" t="s">
        <v>32</v>
      </c>
      <c r="B48" s="27" t="s">
        <v>66</v>
      </c>
      <c r="C48" s="10"/>
      <c r="D48" s="12">
        <f>C48*78</f>
        <v>0</v>
      </c>
      <c r="F48" s="59"/>
      <c r="G48" s="59"/>
      <c r="H48" s="109"/>
      <c r="I48" s="110"/>
      <c r="J48" s="111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07"/>
      <c r="B49" s="29" t="s">
        <v>68</v>
      </c>
      <c r="C49" s="33"/>
      <c r="D49" s="12">
        <f>C49*42</f>
        <v>0</v>
      </c>
      <c r="F49" s="112" t="s">
        <v>86</v>
      </c>
      <c r="G49" s="114">
        <f>H34+H35+H36+H37+H38+H39+H40+H41+G42+H44+H45+H46</f>
        <v>0</v>
      </c>
      <c r="H49" s="115"/>
      <c r="I49" s="115"/>
      <c r="J49" s="116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07"/>
      <c r="B50" s="32" t="s">
        <v>70</v>
      </c>
      <c r="C50" s="11"/>
      <c r="D50" s="12">
        <f>C50*1.5</f>
        <v>0</v>
      </c>
      <c r="F50" s="113"/>
      <c r="G50" s="117"/>
      <c r="H50" s="118"/>
      <c r="I50" s="118"/>
      <c r="J50" s="119"/>
      <c r="O50" t="s">
        <v>137</v>
      </c>
      <c r="P50" s="4">
        <v>1204</v>
      </c>
      <c r="Q50" s="4"/>
      <c r="R50" s="5"/>
    </row>
    <row r="51" spans="1:18" ht="15" customHeight="1" x14ac:dyDescent="0.25">
      <c r="A51" s="107"/>
      <c r="B51" s="27"/>
      <c r="C51" s="10"/>
      <c r="D51" s="31"/>
      <c r="F51" s="120" t="s">
        <v>138</v>
      </c>
      <c r="G51" s="122">
        <f>G49-H29</f>
        <v>0</v>
      </c>
      <c r="H51" s="123"/>
      <c r="I51" s="123"/>
      <c r="J51" s="124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07"/>
      <c r="B52" s="29"/>
      <c r="C52" s="33"/>
      <c r="D52" s="45"/>
      <c r="F52" s="121"/>
      <c r="G52" s="125"/>
      <c r="H52" s="126"/>
      <c r="I52" s="126"/>
      <c r="J52" s="127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08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92" t="s">
        <v>90</v>
      </c>
      <c r="B54" s="93"/>
      <c r="C54" s="94"/>
      <c r="D54" s="98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95"/>
      <c r="B55" s="96"/>
      <c r="C55" s="97"/>
      <c r="D55" s="9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100" t="s">
        <v>91</v>
      </c>
      <c r="B58" s="101"/>
      <c r="C58" s="101"/>
      <c r="D58" s="102"/>
      <c r="F58" s="100" t="s">
        <v>92</v>
      </c>
      <c r="G58" s="101"/>
      <c r="H58" s="101"/>
      <c r="I58" s="101"/>
      <c r="J58" s="102"/>
    </row>
    <row r="59" spans="1:18" x14ac:dyDescent="0.25">
      <c r="A59" s="103"/>
      <c r="B59" s="104"/>
      <c r="C59" s="104"/>
      <c r="D59" s="105"/>
      <c r="F59" s="103"/>
      <c r="G59" s="104"/>
      <c r="H59" s="104"/>
      <c r="I59" s="104"/>
      <c r="J59" s="105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C2CCC7-CD65-4A01-A24E-C339BC978E9C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88" t="s">
        <v>1</v>
      </c>
      <c r="O1" s="188"/>
      <c r="P1" s="85" t="s">
        <v>2</v>
      </c>
      <c r="Q1" s="85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39" t="s">
        <v>7</v>
      </c>
      <c r="B4" s="140"/>
      <c r="C4" s="140"/>
      <c r="D4" s="141"/>
      <c r="F4" s="189" t="s">
        <v>8</v>
      </c>
      <c r="G4" s="191"/>
      <c r="H4" s="193" t="s">
        <v>9</v>
      </c>
      <c r="I4" s="195"/>
      <c r="J4" s="19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33" t="s">
        <v>7</v>
      </c>
      <c r="B5" s="15" t="s">
        <v>11</v>
      </c>
      <c r="C5" s="9" t="s">
        <v>12</v>
      </c>
      <c r="D5" s="25" t="s">
        <v>13</v>
      </c>
      <c r="F5" s="190"/>
      <c r="G5" s="192"/>
      <c r="H5" s="194"/>
      <c r="I5" s="197"/>
      <c r="J5" s="19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34"/>
      <c r="B6" s="16"/>
      <c r="C6" s="10"/>
      <c r="D6" s="13">
        <f t="shared" ref="D6:D28" si="1">C6*L6</f>
        <v>0</v>
      </c>
      <c r="F6" s="199" t="s">
        <v>16</v>
      </c>
      <c r="G6" s="201"/>
      <c r="H6" s="202"/>
      <c r="I6" s="202"/>
      <c r="J6" s="203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34"/>
      <c r="B7" s="16"/>
      <c r="C7" s="10"/>
      <c r="D7" s="13">
        <f t="shared" si="1"/>
        <v>0</v>
      </c>
      <c r="F7" s="200"/>
      <c r="G7" s="204"/>
      <c r="H7" s="205"/>
      <c r="I7" s="205"/>
      <c r="J7" s="206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34"/>
      <c r="B8" s="16"/>
      <c r="C8" s="10"/>
      <c r="D8" s="13">
        <f t="shared" si="1"/>
        <v>0</v>
      </c>
      <c r="F8" s="207" t="s">
        <v>21</v>
      </c>
      <c r="G8" s="208"/>
      <c r="H8" s="209"/>
      <c r="I8" s="209"/>
      <c r="J8" s="210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34"/>
      <c r="B9" s="16"/>
      <c r="C9" s="10"/>
      <c r="D9" s="13">
        <f t="shared" si="1"/>
        <v>0</v>
      </c>
      <c r="F9" s="200"/>
      <c r="G9" s="211"/>
      <c r="H9" s="212"/>
      <c r="I9" s="212"/>
      <c r="J9" s="213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34"/>
      <c r="C10" s="10"/>
      <c r="D10" s="13">
        <f t="shared" si="1"/>
        <v>0</v>
      </c>
      <c r="F10" s="199" t="s">
        <v>26</v>
      </c>
      <c r="G10" s="214"/>
      <c r="H10" s="215"/>
      <c r="I10" s="215"/>
      <c r="J10" s="216"/>
      <c r="K10" s="8"/>
      <c r="L10" s="6">
        <f>R36</f>
        <v>972</v>
      </c>
      <c r="P10" s="4"/>
      <c r="Q10" s="4"/>
      <c r="R10" s="5"/>
    </row>
    <row r="11" spans="1:19" ht="15.75" x14ac:dyDescent="0.25">
      <c r="A11" s="134"/>
      <c r="B11" s="17"/>
      <c r="C11" s="10"/>
      <c r="D11" s="13">
        <f t="shared" si="1"/>
        <v>0</v>
      </c>
      <c r="F11" s="200"/>
      <c r="G11" s="211"/>
      <c r="H11" s="212"/>
      <c r="I11" s="212"/>
      <c r="J11" s="213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34"/>
      <c r="B12" s="17"/>
      <c r="C12" s="10"/>
      <c r="D12" s="48">
        <f t="shared" si="1"/>
        <v>0</v>
      </c>
      <c r="F12" s="217" t="s">
        <v>33</v>
      </c>
      <c r="G12" s="218"/>
      <c r="H12" s="218"/>
      <c r="I12" s="218"/>
      <c r="J12" s="219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34"/>
      <c r="B13" s="17"/>
      <c r="C13" s="10"/>
      <c r="D13" s="48">
        <f t="shared" si="1"/>
        <v>0</v>
      </c>
      <c r="F13" s="220" t="s">
        <v>36</v>
      </c>
      <c r="G13" s="184"/>
      <c r="H13" s="175">
        <f>D29</f>
        <v>0</v>
      </c>
      <c r="I13" s="176"/>
      <c r="J13" s="17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34"/>
      <c r="B14" s="14"/>
      <c r="C14" s="10"/>
      <c r="D14" s="31">
        <f t="shared" si="1"/>
        <v>0</v>
      </c>
      <c r="F14" s="178" t="s">
        <v>39</v>
      </c>
      <c r="G14" s="179"/>
      <c r="H14" s="180">
        <f>D54</f>
        <v>0</v>
      </c>
      <c r="I14" s="181"/>
      <c r="J14" s="18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34"/>
      <c r="B15" s="14"/>
      <c r="C15" s="10"/>
      <c r="D15" s="31">
        <f t="shared" si="1"/>
        <v>0</v>
      </c>
      <c r="F15" s="183" t="s">
        <v>40</v>
      </c>
      <c r="G15" s="184"/>
      <c r="H15" s="185">
        <f>H13-H14</f>
        <v>0</v>
      </c>
      <c r="I15" s="186"/>
      <c r="J15" s="187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34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45"/>
      <c r="I16" s="145"/>
      <c r="J16" s="145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4"/>
      <c r="C17" s="10"/>
      <c r="D17" s="48">
        <f t="shared" si="1"/>
        <v>0</v>
      </c>
      <c r="F17" s="56"/>
      <c r="G17" s="66" t="s">
        <v>45</v>
      </c>
      <c r="H17" s="156"/>
      <c r="I17" s="156"/>
      <c r="J17" s="156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4"/>
      <c r="B18" s="19"/>
      <c r="C18" s="10"/>
      <c r="D18" s="48">
        <f t="shared" si="1"/>
        <v>0</v>
      </c>
      <c r="F18" s="56"/>
      <c r="G18" s="66" t="s">
        <v>47</v>
      </c>
      <c r="H18" s="156"/>
      <c r="I18" s="156"/>
      <c r="J18" s="156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4"/>
      <c r="B19" s="14"/>
      <c r="C19" s="10"/>
      <c r="D19" s="48">
        <f t="shared" si="1"/>
        <v>0</v>
      </c>
      <c r="F19" s="56"/>
      <c r="G19" s="68" t="s">
        <v>50</v>
      </c>
      <c r="H19" s="157"/>
      <c r="I19" s="157"/>
      <c r="J19" s="157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4"/>
      <c r="B20" s="46"/>
      <c r="C20" s="10"/>
      <c r="D20" s="13">
        <f t="shared" si="1"/>
        <v>0</v>
      </c>
      <c r="F20" s="57"/>
      <c r="G20" s="70" t="s">
        <v>117</v>
      </c>
      <c r="H20" s="145"/>
      <c r="I20" s="145"/>
      <c r="J20" s="145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4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58" t="s">
        <v>13</v>
      </c>
      <c r="I21" s="159"/>
      <c r="J21" s="160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4"/>
      <c r="B22" s="46"/>
      <c r="C22" s="10"/>
      <c r="D22" s="48">
        <f t="shared" si="1"/>
        <v>0</v>
      </c>
      <c r="F22" s="77"/>
      <c r="G22" s="73"/>
      <c r="H22" s="161"/>
      <c r="I22" s="161"/>
      <c r="J22" s="161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4"/>
      <c r="B23" s="14"/>
      <c r="C23" s="10"/>
      <c r="D23" s="48">
        <f t="shared" si="1"/>
        <v>0</v>
      </c>
      <c r="F23" s="78"/>
      <c r="G23" s="79"/>
      <c r="H23" s="162"/>
      <c r="I23" s="131"/>
      <c r="J23" s="131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4"/>
      <c r="B24" s="14"/>
      <c r="C24" s="10"/>
      <c r="D24" s="48">
        <f t="shared" si="1"/>
        <v>0</v>
      </c>
      <c r="F24" s="38"/>
      <c r="G24" s="37"/>
      <c r="H24" s="162"/>
      <c r="I24" s="131"/>
      <c r="J24" s="131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4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63" t="s">
        <v>13</v>
      </c>
      <c r="I25" s="164"/>
      <c r="J25" s="165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4"/>
      <c r="B26" s="14"/>
      <c r="C26" s="10"/>
      <c r="D26" s="48">
        <f t="shared" si="1"/>
        <v>0</v>
      </c>
      <c r="F26" s="64"/>
      <c r="G26" s="59"/>
      <c r="H26" s="166"/>
      <c r="I26" s="167"/>
      <c r="J26" s="168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4"/>
      <c r="B27" s="14"/>
      <c r="C27" s="10"/>
      <c r="D27" s="44">
        <f t="shared" si="1"/>
        <v>0</v>
      </c>
      <c r="F27" s="25"/>
      <c r="G27" s="80"/>
      <c r="H27" s="169"/>
      <c r="I27" s="170"/>
      <c r="J27" s="171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5"/>
      <c r="B28" s="46"/>
      <c r="C28" s="10"/>
      <c r="D28" s="48">
        <f t="shared" si="1"/>
        <v>0</v>
      </c>
      <c r="F28" s="86"/>
      <c r="G28" s="61"/>
      <c r="H28" s="172"/>
      <c r="I28" s="173"/>
      <c r="J28" s="174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46" t="s">
        <v>36</v>
      </c>
      <c r="B29" s="147"/>
      <c r="C29" s="148"/>
      <c r="D29" s="152">
        <f>SUM(D6:D28)</f>
        <v>0</v>
      </c>
      <c r="F29" s="92" t="s">
        <v>55</v>
      </c>
      <c r="G29" s="154"/>
      <c r="H29" s="114">
        <f>H15-H16-H17-H18-H19-H20-H22-H23-H24+H26+H27</f>
        <v>0</v>
      </c>
      <c r="I29" s="115"/>
      <c r="J29" s="116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49"/>
      <c r="B30" s="150"/>
      <c r="C30" s="151"/>
      <c r="D30" s="153"/>
      <c r="F30" s="95"/>
      <c r="G30" s="155"/>
      <c r="H30" s="117"/>
      <c r="I30" s="118"/>
      <c r="J30" s="119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39" t="s">
        <v>58</v>
      </c>
      <c r="B32" s="140"/>
      <c r="C32" s="140"/>
      <c r="D32" s="141"/>
      <c r="F32" s="142" t="s">
        <v>59</v>
      </c>
      <c r="G32" s="143"/>
      <c r="H32" s="143"/>
      <c r="I32" s="143"/>
      <c r="J32" s="144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142" t="s">
        <v>13</v>
      </c>
      <c r="I33" s="143"/>
      <c r="J33" s="144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3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36"/>
      <c r="I34" s="137"/>
      <c r="J34" s="138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4"/>
      <c r="B35" s="27" t="s">
        <v>68</v>
      </c>
      <c r="C35" s="52"/>
      <c r="D35" s="30">
        <f>C35*84</f>
        <v>0</v>
      </c>
      <c r="F35" s="58">
        <v>500</v>
      </c>
      <c r="G35" s="41"/>
      <c r="H35" s="136"/>
      <c r="I35" s="137"/>
      <c r="J35" s="138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5"/>
      <c r="B36" s="26" t="s">
        <v>70</v>
      </c>
      <c r="C36" s="10"/>
      <c r="D36" s="12">
        <f>C36*1.5</f>
        <v>0</v>
      </c>
      <c r="F36" s="12">
        <v>200</v>
      </c>
      <c r="G36" s="37"/>
      <c r="H36" s="136"/>
      <c r="I36" s="137"/>
      <c r="J36" s="138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3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36"/>
      <c r="I37" s="137"/>
      <c r="J37" s="138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4"/>
      <c r="B38" s="29" t="s">
        <v>68</v>
      </c>
      <c r="C38" s="54"/>
      <c r="D38" s="12">
        <f>C38*84</f>
        <v>0</v>
      </c>
      <c r="F38" s="30">
        <v>50</v>
      </c>
      <c r="G38" s="39"/>
      <c r="H38" s="136"/>
      <c r="I38" s="137"/>
      <c r="J38" s="138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5"/>
      <c r="B39" s="29" t="s">
        <v>70</v>
      </c>
      <c r="C39" s="52"/>
      <c r="D39" s="31">
        <f>C39*4.5</f>
        <v>0</v>
      </c>
      <c r="F39" s="12">
        <v>20</v>
      </c>
      <c r="G39" s="37"/>
      <c r="H39" s="136"/>
      <c r="I39" s="137"/>
      <c r="J39" s="138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3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36"/>
      <c r="I40" s="137"/>
      <c r="J40" s="138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4"/>
      <c r="B41" s="27" t="s">
        <v>68</v>
      </c>
      <c r="C41" s="10"/>
      <c r="D41" s="12">
        <f>C41*84</f>
        <v>0</v>
      </c>
      <c r="F41" s="12">
        <v>5</v>
      </c>
      <c r="G41" s="42"/>
      <c r="H41" s="136"/>
      <c r="I41" s="137"/>
      <c r="J41" s="138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5"/>
      <c r="B42" s="27" t="s">
        <v>70</v>
      </c>
      <c r="C42" s="11"/>
      <c r="D42" s="12">
        <f>C42*2.25</f>
        <v>0</v>
      </c>
      <c r="F42" s="39" t="s">
        <v>79</v>
      </c>
      <c r="G42" s="136"/>
      <c r="H42" s="137"/>
      <c r="I42" s="137"/>
      <c r="J42" s="138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06" t="s">
        <v>81</v>
      </c>
      <c r="C43" s="11"/>
      <c r="D43" s="12"/>
      <c r="F43" s="59" t="s">
        <v>82</v>
      </c>
      <c r="G43" s="89" t="s">
        <v>83</v>
      </c>
      <c r="H43" s="128" t="s">
        <v>13</v>
      </c>
      <c r="I43" s="129"/>
      <c r="J43" s="130"/>
      <c r="K43" s="21"/>
      <c r="P43" s="4"/>
      <c r="Q43" s="4"/>
      <c r="R43" s="5"/>
    </row>
    <row r="44" spans="1:18" ht="15.75" x14ac:dyDescent="0.25">
      <c r="A44" s="107"/>
      <c r="B44" s="27" t="s">
        <v>66</v>
      </c>
      <c r="C44" s="10"/>
      <c r="D44" s="12">
        <f>C44*120</f>
        <v>0</v>
      </c>
      <c r="F44" s="37"/>
      <c r="G44" s="76"/>
      <c r="H44" s="131"/>
      <c r="I44" s="131"/>
      <c r="J44" s="131"/>
      <c r="K44" s="21"/>
      <c r="P44" s="4"/>
      <c r="Q44" s="4"/>
      <c r="R44" s="5"/>
    </row>
    <row r="45" spans="1:18" ht="15.75" x14ac:dyDescent="0.25">
      <c r="A45" s="107"/>
      <c r="B45" s="27" t="s">
        <v>68</v>
      </c>
      <c r="C45" s="33"/>
      <c r="D45" s="12">
        <f>C45*84</f>
        <v>0</v>
      </c>
      <c r="F45" s="37"/>
      <c r="G45" s="76"/>
      <c r="H45" s="131"/>
      <c r="I45" s="131"/>
      <c r="J45" s="131"/>
      <c r="K45" s="21"/>
      <c r="P45" s="4"/>
      <c r="Q45" s="4"/>
      <c r="R45" s="5"/>
    </row>
    <row r="46" spans="1:18" ht="15.75" x14ac:dyDescent="0.25">
      <c r="A46" s="107"/>
      <c r="B46" s="49" t="s">
        <v>70</v>
      </c>
      <c r="C46" s="81"/>
      <c r="D46" s="12">
        <f>C46*1.5</f>
        <v>0</v>
      </c>
      <c r="F46" s="37"/>
      <c r="G46" s="62"/>
      <c r="H46" s="132"/>
      <c r="I46" s="132"/>
      <c r="J46" s="132"/>
      <c r="K46" s="21"/>
      <c r="P46" s="4"/>
      <c r="Q46" s="4"/>
      <c r="R46" s="5"/>
    </row>
    <row r="47" spans="1:18" ht="15.75" x14ac:dyDescent="0.25">
      <c r="A47" s="108"/>
      <c r="B47" s="27"/>
      <c r="C47" s="11"/>
      <c r="D47" s="12"/>
      <c r="F47" s="59"/>
      <c r="G47" s="59"/>
      <c r="H47" s="109"/>
      <c r="I47" s="110"/>
      <c r="J47" s="111"/>
      <c r="K47" s="21"/>
      <c r="P47" s="4"/>
      <c r="Q47" s="4"/>
      <c r="R47" s="5"/>
    </row>
    <row r="48" spans="1:18" ht="15" customHeight="1" x14ac:dyDescent="0.25">
      <c r="A48" s="106" t="s">
        <v>32</v>
      </c>
      <c r="B48" s="27" t="s">
        <v>66</v>
      </c>
      <c r="C48" s="10"/>
      <c r="D48" s="12">
        <f>C48*78</f>
        <v>0</v>
      </c>
      <c r="F48" s="59"/>
      <c r="G48" s="59"/>
      <c r="H48" s="109"/>
      <c r="I48" s="110"/>
      <c r="J48" s="111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07"/>
      <c r="B49" s="29" t="s">
        <v>68</v>
      </c>
      <c r="C49" s="33"/>
      <c r="D49" s="12">
        <f>C49*42</f>
        <v>0</v>
      </c>
      <c r="F49" s="112" t="s">
        <v>86</v>
      </c>
      <c r="G49" s="114">
        <f>H34+H35+H36+H37+H38+H39+H40+H41+G42+H44+H45+H46</f>
        <v>0</v>
      </c>
      <c r="H49" s="115"/>
      <c r="I49" s="115"/>
      <c r="J49" s="116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07"/>
      <c r="B50" s="32" t="s">
        <v>70</v>
      </c>
      <c r="C50" s="11"/>
      <c r="D50" s="12">
        <f>C50*1.5</f>
        <v>0</v>
      </c>
      <c r="F50" s="113"/>
      <c r="G50" s="117"/>
      <c r="H50" s="118"/>
      <c r="I50" s="118"/>
      <c r="J50" s="119"/>
      <c r="P50" s="4"/>
      <c r="Q50" s="4"/>
      <c r="R50" s="5"/>
    </row>
    <row r="51" spans="1:18" ht="15" customHeight="1" x14ac:dyDescent="0.25">
      <c r="A51" s="107"/>
      <c r="B51" s="27"/>
      <c r="C51" s="10"/>
      <c r="D51" s="31"/>
      <c r="F51" s="120" t="s">
        <v>125</v>
      </c>
      <c r="G51" s="122">
        <f>G49-H29</f>
        <v>0</v>
      </c>
      <c r="H51" s="123"/>
      <c r="I51" s="123"/>
      <c r="J51" s="124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07"/>
      <c r="B52" s="29"/>
      <c r="C52" s="33"/>
      <c r="D52" s="45"/>
      <c r="F52" s="121"/>
      <c r="G52" s="125"/>
      <c r="H52" s="126"/>
      <c r="I52" s="126"/>
      <c r="J52" s="127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08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92" t="s">
        <v>90</v>
      </c>
      <c r="B54" s="93"/>
      <c r="C54" s="94"/>
      <c r="D54" s="98">
        <f>SUM(D34:D53)</f>
        <v>0</v>
      </c>
      <c r="F54" s="21"/>
      <c r="J54" s="34"/>
    </row>
    <row r="55" spans="1:18" x14ac:dyDescent="0.25">
      <c r="A55" s="95"/>
      <c r="B55" s="96"/>
      <c r="C55" s="97"/>
      <c r="D55" s="9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00" t="s">
        <v>91</v>
      </c>
      <c r="B58" s="101"/>
      <c r="C58" s="101"/>
      <c r="D58" s="102"/>
      <c r="F58" s="100" t="s">
        <v>92</v>
      </c>
      <c r="G58" s="101"/>
      <c r="H58" s="101"/>
      <c r="I58" s="101"/>
      <c r="J58" s="102"/>
    </row>
    <row r="59" spans="1:18" x14ac:dyDescent="0.25">
      <c r="A59" s="103"/>
      <c r="B59" s="104"/>
      <c r="C59" s="104"/>
      <c r="D59" s="105"/>
      <c r="F59" s="103"/>
      <c r="G59" s="104"/>
      <c r="H59" s="104"/>
      <c r="I59" s="104"/>
      <c r="J59" s="105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9DE1CE-E9AC-404E-BB7B-78E7FCA450F3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88" t="s">
        <v>1</v>
      </c>
      <c r="O1" s="188"/>
      <c r="P1" s="85" t="s">
        <v>2</v>
      </c>
      <c r="Q1" s="8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9" t="s">
        <v>7</v>
      </c>
      <c r="B4" s="140"/>
      <c r="C4" s="140"/>
      <c r="D4" s="141"/>
      <c r="F4" s="189" t="s">
        <v>8</v>
      </c>
      <c r="G4" s="191">
        <v>1</v>
      </c>
      <c r="H4" s="193" t="s">
        <v>9</v>
      </c>
      <c r="I4" s="195">
        <v>46097</v>
      </c>
      <c r="J4" s="19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3" t="s">
        <v>7</v>
      </c>
      <c r="B5" s="15" t="s">
        <v>11</v>
      </c>
      <c r="C5" s="9" t="s">
        <v>12</v>
      </c>
      <c r="D5" s="25" t="s">
        <v>13</v>
      </c>
      <c r="F5" s="190"/>
      <c r="G5" s="192"/>
      <c r="H5" s="194"/>
      <c r="I5" s="197"/>
      <c r="J5" s="19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4"/>
      <c r="B6" s="16" t="s">
        <v>15</v>
      </c>
      <c r="C6" s="10"/>
      <c r="D6" s="13">
        <f t="shared" ref="D6:D28" si="1">C6*L6</f>
        <v>0</v>
      </c>
      <c r="F6" s="199" t="s">
        <v>16</v>
      </c>
      <c r="G6" s="201" t="s">
        <v>111</v>
      </c>
      <c r="H6" s="202"/>
      <c r="I6" s="202"/>
      <c r="J6" s="203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4"/>
      <c r="B7" s="16" t="s">
        <v>18</v>
      </c>
      <c r="C7" s="10"/>
      <c r="D7" s="13">
        <f t="shared" si="1"/>
        <v>0</v>
      </c>
      <c r="F7" s="200"/>
      <c r="G7" s="204"/>
      <c r="H7" s="205"/>
      <c r="I7" s="205"/>
      <c r="J7" s="206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4"/>
      <c r="B8" s="16" t="s">
        <v>20</v>
      </c>
      <c r="C8" s="10"/>
      <c r="D8" s="13">
        <f t="shared" si="1"/>
        <v>0</v>
      </c>
      <c r="F8" s="207" t="s">
        <v>21</v>
      </c>
      <c r="G8" s="208" t="s">
        <v>144</v>
      </c>
      <c r="H8" s="209"/>
      <c r="I8" s="209"/>
      <c r="J8" s="210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4"/>
      <c r="B9" s="16" t="s">
        <v>23</v>
      </c>
      <c r="C9" s="10"/>
      <c r="D9" s="13">
        <f t="shared" si="1"/>
        <v>0</v>
      </c>
      <c r="F9" s="200"/>
      <c r="G9" s="211"/>
      <c r="H9" s="212"/>
      <c r="I9" s="212"/>
      <c r="J9" s="213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4"/>
      <c r="B10" t="s">
        <v>25</v>
      </c>
      <c r="C10" s="10"/>
      <c r="D10" s="13">
        <f t="shared" si="1"/>
        <v>0</v>
      </c>
      <c r="F10" s="199" t="s">
        <v>26</v>
      </c>
      <c r="G10" s="214" t="s">
        <v>139</v>
      </c>
      <c r="H10" s="215"/>
      <c r="I10" s="215"/>
      <c r="J10" s="216"/>
      <c r="K10" s="8"/>
      <c r="L10" s="6">
        <f>R36</f>
        <v>1032</v>
      </c>
      <c r="P10" s="4"/>
      <c r="Q10" s="4"/>
      <c r="R10" s="5"/>
    </row>
    <row r="11" spans="1:18" ht="15.75" x14ac:dyDescent="0.25">
      <c r="A11" s="134"/>
      <c r="B11" s="17" t="s">
        <v>28</v>
      </c>
      <c r="C11" s="10"/>
      <c r="D11" s="13">
        <f t="shared" si="1"/>
        <v>0</v>
      </c>
      <c r="F11" s="200"/>
      <c r="G11" s="211"/>
      <c r="H11" s="212"/>
      <c r="I11" s="212"/>
      <c r="J11" s="213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4"/>
      <c r="B12" s="17" t="s">
        <v>30</v>
      </c>
      <c r="C12" s="10"/>
      <c r="D12" s="48">
        <f t="shared" si="1"/>
        <v>0</v>
      </c>
      <c r="F12" s="217" t="s">
        <v>33</v>
      </c>
      <c r="G12" s="218"/>
      <c r="H12" s="218"/>
      <c r="I12" s="218"/>
      <c r="J12" s="219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4"/>
      <c r="B13" s="17" t="s">
        <v>32</v>
      </c>
      <c r="C13" s="10"/>
      <c r="D13" s="48">
        <f t="shared" si="1"/>
        <v>0</v>
      </c>
      <c r="F13" s="220" t="s">
        <v>36</v>
      </c>
      <c r="G13" s="184"/>
      <c r="H13" s="175">
        <f>D29</f>
        <v>0</v>
      </c>
      <c r="I13" s="176"/>
      <c r="J13" s="17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4"/>
      <c r="B14" s="14" t="s">
        <v>35</v>
      </c>
      <c r="C14" s="10"/>
      <c r="D14" s="31">
        <f t="shared" si="1"/>
        <v>0</v>
      </c>
      <c r="F14" s="178" t="s">
        <v>39</v>
      </c>
      <c r="G14" s="179"/>
      <c r="H14" s="180">
        <f>D54</f>
        <v>0</v>
      </c>
      <c r="I14" s="181"/>
      <c r="J14" s="18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4"/>
      <c r="B15" s="14" t="s">
        <v>38</v>
      </c>
      <c r="C15" s="10"/>
      <c r="D15" s="31">
        <f t="shared" si="1"/>
        <v>0</v>
      </c>
      <c r="F15" s="183" t="s">
        <v>40</v>
      </c>
      <c r="G15" s="184"/>
      <c r="H15" s="185">
        <f>H13-H14</f>
        <v>0</v>
      </c>
      <c r="I15" s="186"/>
      <c r="J15" s="187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4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45"/>
      <c r="I16" s="145"/>
      <c r="J16" s="145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4"/>
      <c r="B17" t="s">
        <v>133</v>
      </c>
      <c r="C17" s="10"/>
      <c r="D17" s="48">
        <f t="shared" si="1"/>
        <v>0</v>
      </c>
      <c r="F17" s="56"/>
      <c r="G17" s="66" t="s">
        <v>45</v>
      </c>
      <c r="H17" s="156"/>
      <c r="I17" s="156"/>
      <c r="J17" s="156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4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56"/>
      <c r="I18" s="156"/>
      <c r="J18" s="156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4"/>
      <c r="B19" s="14" t="s">
        <v>129</v>
      </c>
      <c r="C19" s="10"/>
      <c r="D19" s="48">
        <f t="shared" si="1"/>
        <v>0</v>
      </c>
      <c r="F19" s="56"/>
      <c r="G19" s="68" t="s">
        <v>50</v>
      </c>
      <c r="H19" s="156"/>
      <c r="I19" s="156"/>
      <c r="J19" s="156"/>
      <c r="L19" s="6">
        <v>1102</v>
      </c>
      <c r="Q19" s="4"/>
      <c r="R19" s="5">
        <f t="shared" si="0"/>
        <v>0</v>
      </c>
    </row>
    <row r="20" spans="1:18" ht="15.75" x14ac:dyDescent="0.25">
      <c r="A20" s="134"/>
      <c r="B20" s="83" t="s">
        <v>122</v>
      </c>
      <c r="C20" s="10"/>
      <c r="D20" s="13">
        <f t="shared" si="1"/>
        <v>0</v>
      </c>
      <c r="F20" s="57"/>
      <c r="G20" s="70" t="s">
        <v>117</v>
      </c>
      <c r="H20" s="145"/>
      <c r="I20" s="145"/>
      <c r="J20" s="145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4"/>
      <c r="B21" s="14" t="s">
        <v>131</v>
      </c>
      <c r="C21" s="10"/>
      <c r="D21" s="48">
        <f t="shared" si="1"/>
        <v>0</v>
      </c>
      <c r="F21" s="69" t="s">
        <v>99</v>
      </c>
      <c r="G21" s="82" t="s">
        <v>98</v>
      </c>
      <c r="H21" s="158" t="s">
        <v>13</v>
      </c>
      <c r="I21" s="159"/>
      <c r="J21" s="160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4"/>
      <c r="B22" s="46" t="s">
        <v>124</v>
      </c>
      <c r="C22" s="10"/>
      <c r="D22" s="48">
        <f t="shared" si="1"/>
        <v>0</v>
      </c>
      <c r="F22" s="77"/>
      <c r="G22" s="73"/>
      <c r="H22" s="161"/>
      <c r="I22" s="161"/>
      <c r="J22" s="161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4"/>
      <c r="B23" s="14" t="s">
        <v>101</v>
      </c>
      <c r="C23" s="10"/>
      <c r="D23" s="48">
        <f t="shared" si="1"/>
        <v>0</v>
      </c>
      <c r="F23" s="77"/>
      <c r="G23" s="79"/>
      <c r="H23" s="227"/>
      <c r="I23" s="228"/>
      <c r="J23" s="228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4"/>
      <c r="B24" s="14" t="s">
        <v>118</v>
      </c>
      <c r="C24" s="10"/>
      <c r="D24" s="48">
        <f t="shared" si="1"/>
        <v>0</v>
      </c>
      <c r="F24" s="77"/>
      <c r="G24" s="79"/>
      <c r="H24" s="227"/>
      <c r="I24" s="228"/>
      <c r="J24" s="228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4"/>
      <c r="B25" s="14" t="s">
        <v>134</v>
      </c>
      <c r="C25" s="10"/>
      <c r="D25" s="48">
        <f t="shared" si="1"/>
        <v>0</v>
      </c>
      <c r="F25" s="60" t="s">
        <v>100</v>
      </c>
      <c r="G25" s="55" t="s">
        <v>98</v>
      </c>
      <c r="H25" s="163" t="s">
        <v>13</v>
      </c>
      <c r="I25" s="164"/>
      <c r="J25" s="165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4"/>
      <c r="B26" s="14" t="s">
        <v>132</v>
      </c>
      <c r="C26" s="10"/>
      <c r="D26" s="48">
        <f t="shared" si="1"/>
        <v>0</v>
      </c>
      <c r="F26" s="75"/>
      <c r="G26" s="65"/>
      <c r="H26" s="131"/>
      <c r="I26" s="131"/>
      <c r="J26" s="131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4"/>
      <c r="B27" s="14" t="s">
        <v>110</v>
      </c>
      <c r="C27" s="10"/>
      <c r="D27" s="44">
        <f t="shared" si="1"/>
        <v>0</v>
      </c>
      <c r="F27" s="71"/>
      <c r="G27" s="89"/>
      <c r="H27" s="229"/>
      <c r="I27" s="230"/>
      <c r="J27" s="230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5"/>
      <c r="B28" s="46" t="s">
        <v>97</v>
      </c>
      <c r="C28" s="10"/>
      <c r="D28" s="48">
        <f t="shared" si="1"/>
        <v>0</v>
      </c>
      <c r="F28" s="86"/>
      <c r="G28" s="61"/>
      <c r="H28" s="172"/>
      <c r="I28" s="173"/>
      <c r="J28" s="174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46" t="s">
        <v>36</v>
      </c>
      <c r="B29" s="147"/>
      <c r="C29" s="148"/>
      <c r="D29" s="152">
        <f>SUM(D6:D28)</f>
        <v>0</v>
      </c>
      <c r="F29" s="92" t="s">
        <v>55</v>
      </c>
      <c r="G29" s="154"/>
      <c r="H29" s="114">
        <f>H15-H16-H17-H18-H19-H20-H22-H23-H24+H26+H27+H28</f>
        <v>0</v>
      </c>
      <c r="I29" s="115"/>
      <c r="J29" s="116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49"/>
      <c r="B30" s="150"/>
      <c r="C30" s="151"/>
      <c r="D30" s="153"/>
      <c r="F30" s="95"/>
      <c r="G30" s="155"/>
      <c r="H30" s="117"/>
      <c r="I30" s="118"/>
      <c r="J30" s="119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39" t="s">
        <v>58</v>
      </c>
      <c r="B32" s="140"/>
      <c r="C32" s="140"/>
      <c r="D32" s="141"/>
      <c r="F32" s="142" t="s">
        <v>59</v>
      </c>
      <c r="G32" s="143"/>
      <c r="H32" s="143"/>
      <c r="I32" s="143"/>
      <c r="J32" s="144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142" t="s">
        <v>13</v>
      </c>
      <c r="I33" s="143"/>
      <c r="J33" s="144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3" t="s">
        <v>65</v>
      </c>
      <c r="B34" s="26" t="s">
        <v>66</v>
      </c>
      <c r="C34" s="51"/>
      <c r="D34" s="30">
        <f>C34*120</f>
        <v>0</v>
      </c>
      <c r="F34" s="12">
        <v>1000</v>
      </c>
      <c r="G34" s="40"/>
      <c r="H34" s="136">
        <f t="shared" ref="H34:H39" si="2">F34*G34</f>
        <v>0</v>
      </c>
      <c r="I34" s="137"/>
      <c r="J34" s="138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4"/>
      <c r="B35" s="27" t="s">
        <v>68</v>
      </c>
      <c r="C35" s="52"/>
      <c r="D35" s="30">
        <f>C35*84</f>
        <v>0</v>
      </c>
      <c r="F35" s="58">
        <v>500</v>
      </c>
      <c r="G35" s="41"/>
      <c r="H35" s="136">
        <f t="shared" si="2"/>
        <v>0</v>
      </c>
      <c r="I35" s="137"/>
      <c r="J35" s="138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5"/>
      <c r="B36" s="26" t="s">
        <v>70</v>
      </c>
      <c r="C36" s="10"/>
      <c r="D36" s="12">
        <f>C36*1.5</f>
        <v>0</v>
      </c>
      <c r="F36" s="12">
        <v>200</v>
      </c>
      <c r="G36" s="37"/>
      <c r="H36" s="136">
        <f t="shared" si="2"/>
        <v>0</v>
      </c>
      <c r="I36" s="137"/>
      <c r="J36" s="138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3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36">
        <f t="shared" si="2"/>
        <v>0</v>
      </c>
      <c r="I37" s="137"/>
      <c r="J37" s="138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4"/>
      <c r="B38" s="29" t="s">
        <v>68</v>
      </c>
      <c r="C38" s="54"/>
      <c r="D38" s="12">
        <f>C38*84</f>
        <v>0</v>
      </c>
      <c r="F38" s="30">
        <v>50</v>
      </c>
      <c r="G38" s="39"/>
      <c r="H38" s="136">
        <f t="shared" si="2"/>
        <v>0</v>
      </c>
      <c r="I38" s="137"/>
      <c r="J38" s="138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5"/>
      <c r="B39" s="29" t="s">
        <v>70</v>
      </c>
      <c r="C39" s="52"/>
      <c r="D39" s="31">
        <f>C39*4.5</f>
        <v>0</v>
      </c>
      <c r="F39" s="12">
        <v>20</v>
      </c>
      <c r="G39" s="37"/>
      <c r="H39" s="136">
        <f t="shared" si="2"/>
        <v>0</v>
      </c>
      <c r="I39" s="137"/>
      <c r="J39" s="138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3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36"/>
      <c r="I40" s="137"/>
      <c r="J40" s="138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4"/>
      <c r="B41" s="27" t="s">
        <v>68</v>
      </c>
      <c r="C41" s="10"/>
      <c r="D41" s="12">
        <f>C41*84</f>
        <v>0</v>
      </c>
      <c r="F41" s="12">
        <v>5</v>
      </c>
      <c r="G41" s="42"/>
      <c r="H41" s="136"/>
      <c r="I41" s="137"/>
      <c r="J41" s="138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5"/>
      <c r="B42" s="27" t="s">
        <v>70</v>
      </c>
      <c r="C42" s="11"/>
      <c r="D42" s="12">
        <f>C42*2.25</f>
        <v>0</v>
      </c>
      <c r="F42" s="39" t="s">
        <v>79</v>
      </c>
      <c r="G42" s="136"/>
      <c r="H42" s="137"/>
      <c r="I42" s="137"/>
      <c r="J42" s="138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06" t="s">
        <v>81</v>
      </c>
      <c r="C43" s="11"/>
      <c r="D43" s="12"/>
      <c r="F43" s="59" t="s">
        <v>82</v>
      </c>
      <c r="G43" s="89" t="s">
        <v>83</v>
      </c>
      <c r="H43" s="128" t="s">
        <v>13</v>
      </c>
      <c r="I43" s="129"/>
      <c r="J43" s="130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07"/>
      <c r="B44" s="27" t="s">
        <v>66</v>
      </c>
      <c r="C44" s="10"/>
      <c r="D44" s="12">
        <f>C44*120</f>
        <v>0</v>
      </c>
      <c r="F44" s="37"/>
      <c r="G44" s="84"/>
      <c r="H44" s="131"/>
      <c r="I44" s="131"/>
      <c r="J44" s="131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07"/>
      <c r="B45" s="27" t="s">
        <v>68</v>
      </c>
      <c r="C45" s="33"/>
      <c r="D45" s="12">
        <f>C45*84</f>
        <v>0</v>
      </c>
      <c r="F45" s="37"/>
      <c r="G45" s="62"/>
      <c r="H45" s="131"/>
      <c r="I45" s="131"/>
      <c r="J45" s="131"/>
      <c r="K45" s="21"/>
      <c r="P45" s="4"/>
      <c r="Q45" s="4"/>
      <c r="R45" s="5"/>
    </row>
    <row r="46" spans="1:18" ht="15.75" x14ac:dyDescent="0.25">
      <c r="A46" s="107"/>
      <c r="B46" s="49" t="s">
        <v>70</v>
      </c>
      <c r="C46" s="81"/>
      <c r="D46" s="12">
        <f>C46*1.5</f>
        <v>0</v>
      </c>
      <c r="F46" s="37"/>
      <c r="G46" s="62"/>
      <c r="H46" s="131"/>
      <c r="I46" s="131"/>
      <c r="J46" s="131"/>
      <c r="K46" s="21"/>
      <c r="P46" s="4"/>
      <c r="Q46" s="4"/>
      <c r="R46" s="5"/>
    </row>
    <row r="47" spans="1:18" ht="15.75" x14ac:dyDescent="0.25">
      <c r="A47" s="108"/>
      <c r="B47" s="27"/>
      <c r="C47" s="11"/>
      <c r="D47" s="12"/>
      <c r="F47" s="59"/>
      <c r="G47" s="59"/>
      <c r="H47" s="109"/>
      <c r="I47" s="110"/>
      <c r="J47" s="111"/>
      <c r="K47" s="21"/>
      <c r="P47" s="4"/>
      <c r="Q47" s="4"/>
      <c r="R47" s="5"/>
    </row>
    <row r="48" spans="1:18" ht="15" customHeight="1" x14ac:dyDescent="0.25">
      <c r="A48" s="106" t="s">
        <v>32</v>
      </c>
      <c r="B48" s="27" t="s">
        <v>66</v>
      </c>
      <c r="C48" s="10"/>
      <c r="D48" s="12">
        <f>C48*78</f>
        <v>0</v>
      </c>
      <c r="F48" s="59"/>
      <c r="G48" s="59"/>
      <c r="H48" s="109"/>
      <c r="I48" s="110"/>
      <c r="J48" s="111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07"/>
      <c r="B49" s="29" t="s">
        <v>68</v>
      </c>
      <c r="C49" s="33"/>
      <c r="D49" s="12">
        <f>C49*42</f>
        <v>0</v>
      </c>
      <c r="F49" s="112" t="s">
        <v>86</v>
      </c>
      <c r="G49" s="114">
        <f>H34+H35+H36+H37+H38+H39+H40+H41+G42+H44+H45+H46</f>
        <v>0</v>
      </c>
      <c r="H49" s="115"/>
      <c r="I49" s="115"/>
      <c r="J49" s="116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07"/>
      <c r="B50" s="32" t="s">
        <v>70</v>
      </c>
      <c r="C50" s="11"/>
      <c r="D50" s="12">
        <f>C50*1.5</f>
        <v>0</v>
      </c>
      <c r="F50" s="113"/>
      <c r="G50" s="117"/>
      <c r="H50" s="118"/>
      <c r="I50" s="118"/>
      <c r="J50" s="119"/>
      <c r="O50" t="s">
        <v>137</v>
      </c>
      <c r="P50" s="4">
        <v>1204</v>
      </c>
      <c r="Q50" s="4"/>
      <c r="R50" s="5"/>
    </row>
    <row r="51" spans="1:18" ht="15" customHeight="1" x14ac:dyDescent="0.25">
      <c r="A51" s="107"/>
      <c r="B51" s="27"/>
      <c r="C51" s="10"/>
      <c r="D51" s="31"/>
      <c r="F51" s="120" t="s">
        <v>128</v>
      </c>
      <c r="G51" s="221">
        <f>G49-H29</f>
        <v>0</v>
      </c>
      <c r="H51" s="222"/>
      <c r="I51" s="222"/>
      <c r="J51" s="223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07"/>
      <c r="B52" s="29"/>
      <c r="C52" s="33"/>
      <c r="D52" s="45"/>
      <c r="F52" s="121"/>
      <c r="G52" s="224"/>
      <c r="H52" s="225"/>
      <c r="I52" s="225"/>
      <c r="J52" s="226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08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92" t="s">
        <v>90</v>
      </c>
      <c r="B54" s="93"/>
      <c r="C54" s="94"/>
      <c r="D54" s="98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95"/>
      <c r="B55" s="96"/>
      <c r="C55" s="97"/>
      <c r="D55" s="9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140</v>
      </c>
      <c r="D57" s="34"/>
      <c r="F57" s="36"/>
      <c r="G57" s="50"/>
      <c r="H57" s="50"/>
      <c r="I57" s="50"/>
      <c r="J57" s="43"/>
    </row>
    <row r="58" spans="1:18" x14ac:dyDescent="0.25">
      <c r="A58" s="100" t="s">
        <v>91</v>
      </c>
      <c r="B58" s="101"/>
      <c r="C58" s="101"/>
      <c r="D58" s="102"/>
      <c r="F58" s="100" t="s">
        <v>92</v>
      </c>
      <c r="G58" s="101"/>
      <c r="H58" s="101"/>
      <c r="I58" s="101"/>
      <c r="J58" s="102"/>
    </row>
    <row r="59" spans="1:18" x14ac:dyDescent="0.25">
      <c r="A59" s="103"/>
      <c r="B59" s="104"/>
      <c r="C59" s="104"/>
      <c r="D59" s="105"/>
      <c r="F59" s="103"/>
      <c r="G59" s="104"/>
      <c r="H59" s="104"/>
      <c r="I59" s="104"/>
      <c r="J59" s="105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1AF55B-6D3C-4BE2-B507-D17BBE4DC8EE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88" t="s">
        <v>1</v>
      </c>
      <c r="O1" s="188"/>
      <c r="P1" s="85" t="s">
        <v>2</v>
      </c>
      <c r="Q1" s="8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9" t="s">
        <v>7</v>
      </c>
      <c r="B4" s="140"/>
      <c r="C4" s="140"/>
      <c r="D4" s="141"/>
      <c r="F4" s="189" t="s">
        <v>8</v>
      </c>
      <c r="G4" s="191">
        <v>2</v>
      </c>
      <c r="H4" s="193" t="s">
        <v>9</v>
      </c>
      <c r="I4" s="195">
        <v>46097</v>
      </c>
      <c r="J4" s="19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3" t="s">
        <v>7</v>
      </c>
      <c r="B5" s="15" t="s">
        <v>11</v>
      </c>
      <c r="C5" s="9" t="s">
        <v>12</v>
      </c>
      <c r="D5" s="25" t="s">
        <v>13</v>
      </c>
      <c r="F5" s="190"/>
      <c r="G5" s="192"/>
      <c r="H5" s="194"/>
      <c r="I5" s="197"/>
      <c r="J5" s="19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4"/>
      <c r="B6" s="16" t="s">
        <v>15</v>
      </c>
      <c r="C6" s="10"/>
      <c r="D6" s="13">
        <f t="shared" ref="D6:D28" si="1">C6*L6</f>
        <v>0</v>
      </c>
      <c r="F6" s="199" t="s">
        <v>16</v>
      </c>
      <c r="G6" s="201" t="s">
        <v>126</v>
      </c>
      <c r="H6" s="202"/>
      <c r="I6" s="202"/>
      <c r="J6" s="203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4"/>
      <c r="B7" s="16" t="s">
        <v>18</v>
      </c>
      <c r="C7" s="10"/>
      <c r="D7" s="13">
        <f t="shared" si="1"/>
        <v>0</v>
      </c>
      <c r="F7" s="200"/>
      <c r="G7" s="204"/>
      <c r="H7" s="205"/>
      <c r="I7" s="205"/>
      <c r="J7" s="206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4"/>
      <c r="B8" s="16" t="s">
        <v>20</v>
      </c>
      <c r="C8" s="10"/>
      <c r="D8" s="13">
        <f t="shared" si="1"/>
        <v>0</v>
      </c>
      <c r="F8" s="207" t="s">
        <v>21</v>
      </c>
      <c r="G8" s="208" t="s">
        <v>113</v>
      </c>
      <c r="H8" s="209"/>
      <c r="I8" s="209"/>
      <c r="J8" s="210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4"/>
      <c r="B9" s="16" t="s">
        <v>23</v>
      </c>
      <c r="C9" s="10"/>
      <c r="D9" s="13">
        <f t="shared" si="1"/>
        <v>0</v>
      </c>
      <c r="F9" s="200"/>
      <c r="G9" s="211"/>
      <c r="H9" s="212"/>
      <c r="I9" s="212"/>
      <c r="J9" s="213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4"/>
      <c r="B10" t="s">
        <v>25</v>
      </c>
      <c r="C10" s="10"/>
      <c r="D10" s="13">
        <f t="shared" si="1"/>
        <v>0</v>
      </c>
      <c r="F10" s="199" t="s">
        <v>26</v>
      </c>
      <c r="G10" s="214" t="s">
        <v>114</v>
      </c>
      <c r="H10" s="215"/>
      <c r="I10" s="215"/>
      <c r="J10" s="216"/>
      <c r="K10" s="8"/>
      <c r="L10" s="6">
        <f>R36</f>
        <v>1032</v>
      </c>
      <c r="P10" s="4"/>
      <c r="Q10" s="4"/>
      <c r="R10" s="5"/>
    </row>
    <row r="11" spans="1:18" ht="15.75" x14ac:dyDescent="0.25">
      <c r="A11" s="134"/>
      <c r="B11" s="17" t="s">
        <v>28</v>
      </c>
      <c r="C11" s="10"/>
      <c r="D11" s="13">
        <f t="shared" si="1"/>
        <v>0</v>
      </c>
      <c r="F11" s="200"/>
      <c r="G11" s="211"/>
      <c r="H11" s="212"/>
      <c r="I11" s="212"/>
      <c r="J11" s="213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4"/>
      <c r="B12" s="17" t="s">
        <v>30</v>
      </c>
      <c r="C12" s="10"/>
      <c r="D12" s="48">
        <f t="shared" si="1"/>
        <v>0</v>
      </c>
      <c r="F12" s="217" t="s">
        <v>33</v>
      </c>
      <c r="G12" s="218"/>
      <c r="H12" s="218"/>
      <c r="I12" s="218"/>
      <c r="J12" s="219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4"/>
      <c r="B13" s="17" t="s">
        <v>32</v>
      </c>
      <c r="C13" s="10"/>
      <c r="D13" s="48">
        <f t="shared" si="1"/>
        <v>0</v>
      </c>
      <c r="F13" s="220" t="s">
        <v>36</v>
      </c>
      <c r="G13" s="184"/>
      <c r="H13" s="175">
        <f>D29</f>
        <v>0</v>
      </c>
      <c r="I13" s="176"/>
      <c r="J13" s="17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4"/>
      <c r="B14" s="14" t="s">
        <v>35</v>
      </c>
      <c r="C14" s="10"/>
      <c r="D14" s="31">
        <f t="shared" si="1"/>
        <v>0</v>
      </c>
      <c r="F14" s="178" t="s">
        <v>39</v>
      </c>
      <c r="G14" s="179"/>
      <c r="H14" s="180">
        <f>D54</f>
        <v>0</v>
      </c>
      <c r="I14" s="181"/>
      <c r="J14" s="18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4"/>
      <c r="B15" s="14" t="s">
        <v>38</v>
      </c>
      <c r="C15" s="10"/>
      <c r="D15" s="31">
        <f t="shared" si="1"/>
        <v>0</v>
      </c>
      <c r="F15" s="183" t="s">
        <v>40</v>
      </c>
      <c r="G15" s="184"/>
      <c r="H15" s="185">
        <f>H13-H14</f>
        <v>0</v>
      </c>
      <c r="I15" s="186"/>
      <c r="J15" s="187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4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45"/>
      <c r="I16" s="145"/>
      <c r="J16" s="145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4"/>
      <c r="B17" t="s">
        <v>93</v>
      </c>
      <c r="C17" s="10"/>
      <c r="D17" s="48">
        <f t="shared" si="1"/>
        <v>0</v>
      </c>
      <c r="F17" s="56"/>
      <c r="G17" s="66" t="s">
        <v>45</v>
      </c>
      <c r="H17" s="156"/>
      <c r="I17" s="156"/>
      <c r="J17" s="156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4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56"/>
      <c r="I18" s="156"/>
      <c r="J18" s="156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4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31"/>
      <c r="I19" s="231"/>
      <c r="J19" s="231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4"/>
      <c r="B20" s="46" t="s">
        <v>119</v>
      </c>
      <c r="C20" s="10"/>
      <c r="D20" s="13">
        <f t="shared" si="1"/>
        <v>0</v>
      </c>
      <c r="F20" s="57"/>
      <c r="G20" s="70" t="s">
        <v>117</v>
      </c>
      <c r="H20" s="156"/>
      <c r="I20" s="156"/>
      <c r="J20" s="156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4"/>
      <c r="B21" s="14" t="s">
        <v>131</v>
      </c>
      <c r="C21" s="10"/>
      <c r="D21" s="48">
        <f t="shared" si="1"/>
        <v>0</v>
      </c>
      <c r="F21" s="69" t="s">
        <v>99</v>
      </c>
      <c r="G21" s="82" t="s">
        <v>98</v>
      </c>
      <c r="H21" s="158" t="s">
        <v>13</v>
      </c>
      <c r="I21" s="159"/>
      <c r="J21" s="160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4"/>
      <c r="B22" s="46" t="s">
        <v>104</v>
      </c>
      <c r="C22" s="10"/>
      <c r="D22" s="48">
        <f t="shared" si="1"/>
        <v>0</v>
      </c>
      <c r="F22" s="72"/>
      <c r="G22" s="73"/>
      <c r="H22" s="161"/>
      <c r="I22" s="161"/>
      <c r="J22" s="161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4"/>
      <c r="B23" s="14" t="s">
        <v>107</v>
      </c>
      <c r="C23" s="10"/>
      <c r="D23" s="48">
        <f t="shared" si="1"/>
        <v>0</v>
      </c>
      <c r="F23" s="25"/>
      <c r="G23" s="37"/>
      <c r="H23" s="162"/>
      <c r="I23" s="131"/>
      <c r="J23" s="131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4"/>
      <c r="B24" s="14" t="s">
        <v>120</v>
      </c>
      <c r="C24" s="10"/>
      <c r="D24" s="48">
        <f t="shared" si="1"/>
        <v>0</v>
      </c>
      <c r="F24" s="38"/>
      <c r="G24" s="37"/>
      <c r="H24" s="162"/>
      <c r="I24" s="131"/>
      <c r="J24" s="131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4"/>
      <c r="B25" s="14" t="s">
        <v>121</v>
      </c>
      <c r="C25" s="10"/>
      <c r="D25" s="48">
        <f t="shared" si="1"/>
        <v>0</v>
      </c>
      <c r="F25" s="60" t="s">
        <v>100</v>
      </c>
      <c r="G25" s="55" t="s">
        <v>98</v>
      </c>
      <c r="H25" s="163" t="s">
        <v>13</v>
      </c>
      <c r="I25" s="164"/>
      <c r="J25" s="165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4"/>
      <c r="B26" s="14" t="s">
        <v>105</v>
      </c>
      <c r="C26" s="10"/>
      <c r="D26" s="48">
        <f t="shared" si="1"/>
        <v>0</v>
      </c>
      <c r="F26" s="64"/>
      <c r="G26" s="10"/>
      <c r="H26" s="166"/>
      <c r="I26" s="167"/>
      <c r="J26" s="168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4"/>
      <c r="B27" s="14" t="s">
        <v>109</v>
      </c>
      <c r="C27" s="10"/>
      <c r="D27" s="44">
        <f t="shared" si="1"/>
        <v>0</v>
      </c>
      <c r="F27" s="14"/>
      <c r="G27" s="14"/>
      <c r="H27" s="169"/>
      <c r="I27" s="170"/>
      <c r="J27" s="171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5"/>
      <c r="B28" s="46" t="s">
        <v>97</v>
      </c>
      <c r="C28" s="10"/>
      <c r="D28" s="48">
        <f t="shared" si="1"/>
        <v>0</v>
      </c>
      <c r="F28" s="86"/>
      <c r="G28" s="61"/>
      <c r="H28" s="172"/>
      <c r="I28" s="173"/>
      <c r="J28" s="174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46" t="s">
        <v>36</v>
      </c>
      <c r="B29" s="147"/>
      <c r="C29" s="148"/>
      <c r="D29" s="152">
        <f>SUM(D6:D28)</f>
        <v>0</v>
      </c>
      <c r="F29" s="92" t="s">
        <v>55</v>
      </c>
      <c r="G29" s="154"/>
      <c r="H29" s="114">
        <f>H15-H16-H17-H18-H19-H20-H22-H23-H24+H26+H27</f>
        <v>0</v>
      </c>
      <c r="I29" s="115"/>
      <c r="J29" s="116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49"/>
      <c r="B30" s="150"/>
      <c r="C30" s="151"/>
      <c r="D30" s="153"/>
      <c r="F30" s="95"/>
      <c r="G30" s="155"/>
      <c r="H30" s="117"/>
      <c r="I30" s="118"/>
      <c r="J30" s="119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39" t="s">
        <v>58</v>
      </c>
      <c r="B32" s="140"/>
      <c r="C32" s="140"/>
      <c r="D32" s="141"/>
      <c r="F32" s="142" t="s">
        <v>59</v>
      </c>
      <c r="G32" s="143"/>
      <c r="H32" s="143"/>
      <c r="I32" s="143"/>
      <c r="J32" s="144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142" t="s">
        <v>13</v>
      </c>
      <c r="I33" s="143"/>
      <c r="J33" s="144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3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36">
        <f>F34*G34</f>
        <v>0</v>
      </c>
      <c r="I34" s="137"/>
      <c r="J34" s="138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4"/>
      <c r="B35" s="27" t="s">
        <v>68</v>
      </c>
      <c r="C35" s="52"/>
      <c r="D35" s="30">
        <f>C35*84</f>
        <v>0</v>
      </c>
      <c r="F35" s="58">
        <v>500</v>
      </c>
      <c r="G35" s="41"/>
      <c r="H35" s="136">
        <f t="shared" ref="H35:H39" si="2">F35*G35</f>
        <v>0</v>
      </c>
      <c r="I35" s="137"/>
      <c r="J35" s="138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5"/>
      <c r="B36" s="26" t="s">
        <v>70</v>
      </c>
      <c r="C36" s="10"/>
      <c r="D36" s="12">
        <f>C36*1.5</f>
        <v>0</v>
      </c>
      <c r="F36" s="12">
        <v>200</v>
      </c>
      <c r="G36" s="37"/>
      <c r="H36" s="136">
        <f>F36*G36</f>
        <v>0</v>
      </c>
      <c r="I36" s="137"/>
      <c r="J36" s="138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3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36">
        <f t="shared" si="2"/>
        <v>0</v>
      </c>
      <c r="I37" s="137"/>
      <c r="J37" s="138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4"/>
      <c r="B38" s="29" t="s">
        <v>68</v>
      </c>
      <c r="C38" s="54"/>
      <c r="D38" s="12">
        <f>C38*84</f>
        <v>0</v>
      </c>
      <c r="F38" s="30">
        <v>50</v>
      </c>
      <c r="G38" s="39"/>
      <c r="H38" s="136">
        <f t="shared" si="2"/>
        <v>0</v>
      </c>
      <c r="I38" s="137"/>
      <c r="J38" s="138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5"/>
      <c r="B39" s="29" t="s">
        <v>70</v>
      </c>
      <c r="C39" s="52"/>
      <c r="D39" s="31">
        <f>C39*4.5</f>
        <v>0</v>
      </c>
      <c r="F39" s="12">
        <v>20</v>
      </c>
      <c r="G39" s="37"/>
      <c r="H39" s="136">
        <f t="shared" si="2"/>
        <v>0</v>
      </c>
      <c r="I39" s="137"/>
      <c r="J39" s="138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3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36"/>
      <c r="I40" s="137"/>
      <c r="J40" s="138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4"/>
      <c r="B41" s="27" t="s">
        <v>68</v>
      </c>
      <c r="C41" s="10"/>
      <c r="D41" s="12">
        <f>C41*84</f>
        <v>0</v>
      </c>
      <c r="F41" s="12">
        <v>5</v>
      </c>
      <c r="G41" s="42"/>
      <c r="H41" s="136"/>
      <c r="I41" s="137"/>
      <c r="J41" s="138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5"/>
      <c r="B42" s="27" t="s">
        <v>70</v>
      </c>
      <c r="C42" s="11"/>
      <c r="D42" s="12">
        <f>C42*2.25</f>
        <v>0</v>
      </c>
      <c r="F42" s="39" t="s">
        <v>79</v>
      </c>
      <c r="G42" s="136"/>
      <c r="H42" s="137"/>
      <c r="I42" s="137"/>
      <c r="J42" s="138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06" t="s">
        <v>81</v>
      </c>
      <c r="C43" s="11"/>
      <c r="D43" s="12"/>
      <c r="F43" s="59" t="s">
        <v>82</v>
      </c>
      <c r="G43" s="89" t="s">
        <v>83</v>
      </c>
      <c r="H43" s="128" t="s">
        <v>13</v>
      </c>
      <c r="I43" s="129"/>
      <c r="J43" s="130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07"/>
      <c r="B44" s="27" t="s">
        <v>66</v>
      </c>
      <c r="C44" s="10"/>
      <c r="D44" s="12">
        <f>C44*120</f>
        <v>0</v>
      </c>
      <c r="F44" s="37"/>
      <c r="G44" s="62"/>
      <c r="H44" s="131"/>
      <c r="I44" s="131"/>
      <c r="J44" s="131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07"/>
      <c r="B45" s="27" t="s">
        <v>68</v>
      </c>
      <c r="C45" s="33"/>
      <c r="D45" s="12">
        <f>C45*84</f>
        <v>0</v>
      </c>
      <c r="F45" s="37"/>
      <c r="G45" s="62"/>
      <c r="H45" s="131"/>
      <c r="I45" s="131"/>
      <c r="J45" s="131"/>
      <c r="K45" s="21"/>
      <c r="P45" s="4"/>
      <c r="Q45" s="4"/>
      <c r="R45" s="5"/>
    </row>
    <row r="46" spans="1:18" ht="15.75" x14ac:dyDescent="0.25">
      <c r="A46" s="107"/>
      <c r="B46" s="49" t="s">
        <v>70</v>
      </c>
      <c r="C46" s="81"/>
      <c r="D46" s="12">
        <f>C46*1.5</f>
        <v>0</v>
      </c>
      <c r="F46" s="37"/>
      <c r="G46" s="88"/>
      <c r="H46" s="132"/>
      <c r="I46" s="132"/>
      <c r="J46" s="132"/>
      <c r="K46" s="21"/>
      <c r="P46" s="4"/>
      <c r="Q46" s="4"/>
      <c r="R46" s="5"/>
    </row>
    <row r="47" spans="1:18" ht="15.75" x14ac:dyDescent="0.25">
      <c r="A47" s="108"/>
      <c r="B47" s="27"/>
      <c r="C47" s="11"/>
      <c r="D47" s="12"/>
      <c r="F47" s="59"/>
      <c r="G47" s="59"/>
      <c r="H47" s="109"/>
      <c r="I47" s="110"/>
      <c r="J47" s="111"/>
      <c r="K47" s="21"/>
      <c r="P47" s="4"/>
      <c r="Q47" s="4"/>
      <c r="R47" s="5"/>
    </row>
    <row r="48" spans="1:18" ht="15" customHeight="1" x14ac:dyDescent="0.25">
      <c r="A48" s="106" t="s">
        <v>32</v>
      </c>
      <c r="B48" s="27" t="s">
        <v>66</v>
      </c>
      <c r="C48" s="10"/>
      <c r="D48" s="12">
        <f>C48*78</f>
        <v>0</v>
      </c>
      <c r="F48" s="59"/>
      <c r="G48" s="59"/>
      <c r="H48" s="109"/>
      <c r="I48" s="110"/>
      <c r="J48" s="111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07"/>
      <c r="B49" s="29" t="s">
        <v>68</v>
      </c>
      <c r="C49" s="33"/>
      <c r="D49" s="12">
        <f>C49*42</f>
        <v>0</v>
      </c>
      <c r="F49" s="112" t="s">
        <v>86</v>
      </c>
      <c r="G49" s="114">
        <f>H34+H35+H36+H37+H38+H39+H40+H41+G42+H44+H45+H46</f>
        <v>0</v>
      </c>
      <c r="H49" s="115"/>
      <c r="I49" s="115"/>
      <c r="J49" s="116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07"/>
      <c r="B50" s="32" t="s">
        <v>70</v>
      </c>
      <c r="C50" s="11"/>
      <c r="D50" s="12">
        <f>C50*1.5</f>
        <v>0</v>
      </c>
      <c r="F50" s="113"/>
      <c r="G50" s="117"/>
      <c r="H50" s="118"/>
      <c r="I50" s="118"/>
      <c r="J50" s="119"/>
      <c r="O50" t="s">
        <v>137</v>
      </c>
      <c r="P50" s="4">
        <v>1204</v>
      </c>
      <c r="Q50" s="4"/>
      <c r="R50" s="5"/>
    </row>
    <row r="51" spans="1:18" ht="15" customHeight="1" x14ac:dyDescent="0.25">
      <c r="A51" s="107"/>
      <c r="B51" s="27"/>
      <c r="C51" s="10"/>
      <c r="D51" s="31"/>
      <c r="F51" s="120" t="s">
        <v>135</v>
      </c>
      <c r="G51" s="122">
        <f>G49-H29</f>
        <v>0</v>
      </c>
      <c r="H51" s="123"/>
      <c r="I51" s="123"/>
      <c r="J51" s="124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07"/>
      <c r="B52" s="29"/>
      <c r="C52" s="33"/>
      <c r="D52" s="45"/>
      <c r="F52" s="121"/>
      <c r="G52" s="125"/>
      <c r="H52" s="126"/>
      <c r="I52" s="126"/>
      <c r="J52" s="127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08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92" t="s">
        <v>90</v>
      </c>
      <c r="B54" s="93"/>
      <c r="C54" s="94"/>
      <c r="D54" s="98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95"/>
      <c r="B55" s="96"/>
      <c r="C55" s="97"/>
      <c r="D55" s="9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100" t="s">
        <v>91</v>
      </c>
      <c r="B58" s="101"/>
      <c r="C58" s="101"/>
      <c r="D58" s="102"/>
      <c r="F58" s="100" t="s">
        <v>92</v>
      </c>
      <c r="G58" s="101"/>
      <c r="H58" s="101"/>
      <c r="I58" s="101"/>
      <c r="J58" s="102"/>
    </row>
    <row r="59" spans="1:18" x14ac:dyDescent="0.25">
      <c r="A59" s="103"/>
      <c r="B59" s="104"/>
      <c r="C59" s="104"/>
      <c r="D59" s="105"/>
      <c r="F59" s="103"/>
      <c r="G59" s="104"/>
      <c r="H59" s="104"/>
      <c r="I59" s="104"/>
      <c r="J59" s="105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0E74D2-4AB2-494E-A68B-7D3A91DE6DC3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88" t="s">
        <v>1</v>
      </c>
      <c r="O1" s="188"/>
      <c r="P1" s="85" t="s">
        <v>2</v>
      </c>
      <c r="Q1" s="8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9" t="s">
        <v>7</v>
      </c>
      <c r="B4" s="140"/>
      <c r="C4" s="140"/>
      <c r="D4" s="141"/>
      <c r="F4" s="189" t="s">
        <v>8</v>
      </c>
      <c r="G4" s="191">
        <v>3</v>
      </c>
      <c r="H4" s="193" t="s">
        <v>9</v>
      </c>
      <c r="I4" s="195">
        <v>46097</v>
      </c>
      <c r="J4" s="19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3" t="s">
        <v>7</v>
      </c>
      <c r="B5" s="15" t="s">
        <v>11</v>
      </c>
      <c r="C5" s="9" t="s">
        <v>12</v>
      </c>
      <c r="D5" s="25" t="s">
        <v>13</v>
      </c>
      <c r="F5" s="190"/>
      <c r="G5" s="192"/>
      <c r="H5" s="194"/>
      <c r="I5" s="197"/>
      <c r="J5" s="19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4"/>
      <c r="B6" s="16" t="s">
        <v>15</v>
      </c>
      <c r="C6" s="10"/>
      <c r="D6" s="13">
        <f t="shared" ref="D6:D28" si="1">C6*L6</f>
        <v>0</v>
      </c>
      <c r="F6" s="199" t="s">
        <v>16</v>
      </c>
      <c r="G6" s="201" t="s">
        <v>141</v>
      </c>
      <c r="H6" s="202"/>
      <c r="I6" s="202"/>
      <c r="J6" s="203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4"/>
      <c r="B7" s="16" t="s">
        <v>18</v>
      </c>
      <c r="C7" s="10"/>
      <c r="D7" s="13">
        <f t="shared" si="1"/>
        <v>0</v>
      </c>
      <c r="F7" s="200"/>
      <c r="G7" s="204"/>
      <c r="H7" s="205"/>
      <c r="I7" s="205"/>
      <c r="J7" s="206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4"/>
      <c r="B8" s="16" t="s">
        <v>20</v>
      </c>
      <c r="C8" s="10"/>
      <c r="D8" s="13">
        <f t="shared" si="1"/>
        <v>0</v>
      </c>
      <c r="F8" s="207" t="s">
        <v>21</v>
      </c>
      <c r="G8" s="208" t="s">
        <v>130</v>
      </c>
      <c r="H8" s="209"/>
      <c r="I8" s="209"/>
      <c r="J8" s="210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4"/>
      <c r="B9" s="16" t="s">
        <v>23</v>
      </c>
      <c r="C9" s="10"/>
      <c r="D9" s="13">
        <f t="shared" si="1"/>
        <v>0</v>
      </c>
      <c r="F9" s="200"/>
      <c r="G9" s="211"/>
      <c r="H9" s="212"/>
      <c r="I9" s="212"/>
      <c r="J9" s="213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4"/>
      <c r="B10" t="s">
        <v>25</v>
      </c>
      <c r="C10" s="10"/>
      <c r="D10" s="13">
        <f t="shared" si="1"/>
        <v>0</v>
      </c>
      <c r="F10" s="199" t="s">
        <v>26</v>
      </c>
      <c r="G10" s="214" t="s">
        <v>127</v>
      </c>
      <c r="H10" s="215"/>
      <c r="I10" s="215"/>
      <c r="J10" s="216"/>
      <c r="K10" s="8"/>
      <c r="L10" s="6">
        <f>R36</f>
        <v>1032</v>
      </c>
      <c r="P10" s="4"/>
      <c r="Q10" s="4"/>
      <c r="R10" s="5"/>
    </row>
    <row r="11" spans="1:18" ht="15.75" x14ac:dyDescent="0.25">
      <c r="A11" s="134"/>
      <c r="B11" s="17" t="s">
        <v>28</v>
      </c>
      <c r="C11" s="10"/>
      <c r="D11" s="13">
        <f t="shared" si="1"/>
        <v>0</v>
      </c>
      <c r="F11" s="200"/>
      <c r="G11" s="211"/>
      <c r="H11" s="212"/>
      <c r="I11" s="212"/>
      <c r="J11" s="213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4"/>
      <c r="B12" s="17" t="s">
        <v>30</v>
      </c>
      <c r="C12" s="10"/>
      <c r="D12" s="48">
        <f t="shared" si="1"/>
        <v>0</v>
      </c>
      <c r="F12" s="217" t="s">
        <v>33</v>
      </c>
      <c r="G12" s="218"/>
      <c r="H12" s="218"/>
      <c r="I12" s="218"/>
      <c r="J12" s="219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4"/>
      <c r="B13" s="17" t="s">
        <v>32</v>
      </c>
      <c r="C13" s="10"/>
      <c r="D13" s="48">
        <f t="shared" si="1"/>
        <v>0</v>
      </c>
      <c r="F13" s="220" t="s">
        <v>36</v>
      </c>
      <c r="G13" s="184"/>
      <c r="H13" s="175">
        <f>D29</f>
        <v>0</v>
      </c>
      <c r="I13" s="176"/>
      <c r="J13" s="17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4"/>
      <c r="B14" s="14" t="s">
        <v>35</v>
      </c>
      <c r="C14" s="10"/>
      <c r="D14" s="31">
        <f t="shared" si="1"/>
        <v>0</v>
      </c>
      <c r="F14" s="178" t="s">
        <v>39</v>
      </c>
      <c r="G14" s="179"/>
      <c r="H14" s="180">
        <f>D54</f>
        <v>0</v>
      </c>
      <c r="I14" s="181"/>
      <c r="J14" s="18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4"/>
      <c r="B15" s="14" t="s">
        <v>38</v>
      </c>
      <c r="C15" s="10"/>
      <c r="D15" s="31">
        <f t="shared" si="1"/>
        <v>0</v>
      </c>
      <c r="F15" s="183" t="s">
        <v>40</v>
      </c>
      <c r="G15" s="184"/>
      <c r="H15" s="185">
        <f>H13-H14</f>
        <v>0</v>
      </c>
      <c r="I15" s="186"/>
      <c r="J15" s="187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4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45"/>
      <c r="I16" s="145"/>
      <c r="J16" s="145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4"/>
      <c r="B17" t="s">
        <v>112</v>
      </c>
      <c r="C17" s="10"/>
      <c r="D17" s="48">
        <f t="shared" si="1"/>
        <v>0</v>
      </c>
      <c r="F17" s="56"/>
      <c r="G17" s="66" t="s">
        <v>45</v>
      </c>
      <c r="H17" s="156"/>
      <c r="I17" s="156"/>
      <c r="J17" s="156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4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56"/>
      <c r="I18" s="156"/>
      <c r="J18" s="156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4"/>
      <c r="B19" s="14" t="s">
        <v>116</v>
      </c>
      <c r="C19" s="10"/>
      <c r="D19" s="48">
        <f t="shared" si="1"/>
        <v>0</v>
      </c>
      <c r="F19" s="56"/>
      <c r="G19" s="68" t="s">
        <v>50</v>
      </c>
      <c r="H19" s="232"/>
      <c r="I19" s="232"/>
      <c r="J19" s="232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4"/>
      <c r="B20" s="46" t="s">
        <v>108</v>
      </c>
      <c r="C20" s="10"/>
      <c r="D20" s="13">
        <f t="shared" si="1"/>
        <v>0</v>
      </c>
      <c r="F20" s="57"/>
      <c r="G20" s="70" t="s">
        <v>117</v>
      </c>
      <c r="H20" s="145"/>
      <c r="I20" s="145"/>
      <c r="J20" s="145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4"/>
      <c r="B21" s="14" t="s">
        <v>123</v>
      </c>
      <c r="C21" s="10"/>
      <c r="D21" s="48">
        <f t="shared" si="1"/>
        <v>0</v>
      </c>
      <c r="F21" s="69" t="s">
        <v>99</v>
      </c>
      <c r="G21" s="82" t="s">
        <v>98</v>
      </c>
      <c r="H21" s="158" t="s">
        <v>13</v>
      </c>
      <c r="I21" s="159"/>
      <c r="J21" s="160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4"/>
      <c r="B22" s="46" t="s">
        <v>104</v>
      </c>
      <c r="C22" s="10"/>
      <c r="D22" s="48">
        <f t="shared" si="1"/>
        <v>0</v>
      </c>
      <c r="F22" s="77"/>
      <c r="G22" s="73"/>
      <c r="H22" s="161"/>
      <c r="I22" s="161"/>
      <c r="J22" s="161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4"/>
      <c r="B23" s="14" t="s">
        <v>107</v>
      </c>
      <c r="C23" s="10"/>
      <c r="D23" s="48">
        <f t="shared" si="1"/>
        <v>0</v>
      </c>
      <c r="F23" s="78"/>
      <c r="G23" s="79"/>
      <c r="H23" s="162"/>
      <c r="I23" s="131"/>
      <c r="J23" s="131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4"/>
      <c r="B24" s="14" t="s">
        <v>101</v>
      </c>
      <c r="C24" s="10"/>
      <c r="D24" s="48">
        <f t="shared" si="1"/>
        <v>0</v>
      </c>
      <c r="F24" s="38"/>
      <c r="G24" s="37"/>
      <c r="H24" s="162"/>
      <c r="I24" s="131"/>
      <c r="J24" s="131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4"/>
      <c r="B25" s="14" t="s">
        <v>115</v>
      </c>
      <c r="C25" s="10"/>
      <c r="D25" s="48">
        <f t="shared" si="1"/>
        <v>0</v>
      </c>
      <c r="F25" s="60" t="s">
        <v>100</v>
      </c>
      <c r="G25" s="55" t="s">
        <v>98</v>
      </c>
      <c r="H25" s="163" t="s">
        <v>13</v>
      </c>
      <c r="I25" s="164"/>
      <c r="J25" s="165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4"/>
      <c r="B26" s="14" t="s">
        <v>105</v>
      </c>
      <c r="C26" s="10"/>
      <c r="D26" s="48">
        <f t="shared" si="1"/>
        <v>0</v>
      </c>
      <c r="F26" s="64"/>
      <c r="G26" s="59"/>
      <c r="H26" s="166"/>
      <c r="I26" s="167"/>
      <c r="J26" s="168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4"/>
      <c r="B27" s="14" t="s">
        <v>109</v>
      </c>
      <c r="C27" s="10"/>
      <c r="D27" s="44">
        <f t="shared" si="1"/>
        <v>0</v>
      </c>
      <c r="F27" s="25"/>
      <c r="G27" s="80"/>
      <c r="H27" s="169"/>
      <c r="I27" s="170"/>
      <c r="J27" s="171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5"/>
      <c r="B28" s="46" t="s">
        <v>97</v>
      </c>
      <c r="C28" s="10"/>
      <c r="D28" s="48">
        <f t="shared" si="1"/>
        <v>0</v>
      </c>
      <c r="F28" s="86"/>
      <c r="G28" s="61"/>
      <c r="H28" s="172"/>
      <c r="I28" s="173"/>
      <c r="J28" s="174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46" t="s">
        <v>36</v>
      </c>
      <c r="B29" s="147"/>
      <c r="C29" s="148"/>
      <c r="D29" s="152">
        <f>SUM(D6:D28)</f>
        <v>0</v>
      </c>
      <c r="F29" s="92" t="s">
        <v>55</v>
      </c>
      <c r="G29" s="154"/>
      <c r="H29" s="114">
        <f>H15-H16-H17-H18-H19-H20-H22-H23-H24+H26+H27</f>
        <v>0</v>
      </c>
      <c r="I29" s="115"/>
      <c r="J29" s="116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49"/>
      <c r="B30" s="150"/>
      <c r="C30" s="151"/>
      <c r="D30" s="153"/>
      <c r="F30" s="95"/>
      <c r="G30" s="155"/>
      <c r="H30" s="117"/>
      <c r="I30" s="118"/>
      <c r="J30" s="119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39" t="s">
        <v>58</v>
      </c>
      <c r="B32" s="140"/>
      <c r="C32" s="140"/>
      <c r="D32" s="141"/>
      <c r="F32" s="142" t="s">
        <v>59</v>
      </c>
      <c r="G32" s="143"/>
      <c r="H32" s="143"/>
      <c r="I32" s="143"/>
      <c r="J32" s="144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142" t="s">
        <v>13</v>
      </c>
      <c r="I33" s="143"/>
      <c r="J33" s="144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3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36">
        <f>F34*G34</f>
        <v>0</v>
      </c>
      <c r="I34" s="137"/>
      <c r="J34" s="138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4"/>
      <c r="B35" s="27" t="s">
        <v>68</v>
      </c>
      <c r="C35" s="52"/>
      <c r="D35" s="30">
        <f>C35*84</f>
        <v>0</v>
      </c>
      <c r="F35" s="58">
        <v>500</v>
      </c>
      <c r="G35" s="41"/>
      <c r="H35" s="136">
        <f>F35*G35</f>
        <v>0</v>
      </c>
      <c r="I35" s="137"/>
      <c r="J35" s="138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5"/>
      <c r="B36" s="26" t="s">
        <v>70</v>
      </c>
      <c r="C36" s="10"/>
      <c r="D36" s="12">
        <f>C36*1.5</f>
        <v>0</v>
      </c>
      <c r="F36" s="12">
        <v>200</v>
      </c>
      <c r="G36" s="37"/>
      <c r="H36" s="136">
        <f t="shared" ref="H36:H39" si="2">F36*G36</f>
        <v>0</v>
      </c>
      <c r="I36" s="137"/>
      <c r="J36" s="138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3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36">
        <f t="shared" si="2"/>
        <v>0</v>
      </c>
      <c r="I37" s="137"/>
      <c r="J37" s="138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4"/>
      <c r="B38" s="29" t="s">
        <v>68</v>
      </c>
      <c r="C38" s="54"/>
      <c r="D38" s="12">
        <f>C38*84</f>
        <v>0</v>
      </c>
      <c r="F38" s="30">
        <v>50</v>
      </c>
      <c r="G38" s="39"/>
      <c r="H38" s="136">
        <f t="shared" si="2"/>
        <v>0</v>
      </c>
      <c r="I38" s="137"/>
      <c r="J38" s="138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5"/>
      <c r="B39" s="29" t="s">
        <v>70</v>
      </c>
      <c r="C39" s="52"/>
      <c r="D39" s="31">
        <f>C39*4.5</f>
        <v>0</v>
      </c>
      <c r="F39" s="12">
        <v>20</v>
      </c>
      <c r="G39" s="37"/>
      <c r="H39" s="136">
        <f t="shared" si="2"/>
        <v>0</v>
      </c>
      <c r="I39" s="137"/>
      <c r="J39" s="138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3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36"/>
      <c r="I40" s="137"/>
      <c r="J40" s="138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4"/>
      <c r="B41" s="27" t="s">
        <v>68</v>
      </c>
      <c r="C41" s="10"/>
      <c r="D41" s="12">
        <f>C41*84</f>
        <v>0</v>
      </c>
      <c r="F41" s="12">
        <v>5</v>
      </c>
      <c r="G41" s="42"/>
      <c r="H41" s="136"/>
      <c r="I41" s="137"/>
      <c r="J41" s="138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5"/>
      <c r="B42" s="27" t="s">
        <v>70</v>
      </c>
      <c r="C42" s="11"/>
      <c r="D42" s="12">
        <f>C42*2.25</f>
        <v>0</v>
      </c>
      <c r="F42" s="39" t="s">
        <v>79</v>
      </c>
      <c r="G42" s="136"/>
      <c r="H42" s="137"/>
      <c r="I42" s="137"/>
      <c r="J42" s="138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06" t="s">
        <v>81</v>
      </c>
      <c r="C43" s="11"/>
      <c r="D43" s="12"/>
      <c r="F43" s="59" t="s">
        <v>82</v>
      </c>
      <c r="G43" s="89" t="s">
        <v>83</v>
      </c>
      <c r="H43" s="128" t="s">
        <v>13</v>
      </c>
      <c r="I43" s="129"/>
      <c r="J43" s="130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07"/>
      <c r="B44" s="27" t="s">
        <v>66</v>
      </c>
      <c r="C44" s="10"/>
      <c r="D44" s="12">
        <f>C44*120</f>
        <v>0</v>
      </c>
      <c r="F44" s="37"/>
      <c r="G44" s="76"/>
      <c r="H44" s="131"/>
      <c r="I44" s="131"/>
      <c r="J44" s="131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07"/>
      <c r="B45" s="27" t="s">
        <v>68</v>
      </c>
      <c r="C45" s="33"/>
      <c r="D45" s="12">
        <f>C45*84</f>
        <v>0</v>
      </c>
      <c r="F45" s="37"/>
      <c r="G45" s="76"/>
      <c r="H45" s="131"/>
      <c r="I45" s="131"/>
      <c r="J45" s="131"/>
      <c r="K45" s="21"/>
      <c r="P45" s="4"/>
      <c r="Q45" s="4"/>
      <c r="R45" s="5"/>
    </row>
    <row r="46" spans="1:18" ht="15.75" x14ac:dyDescent="0.25">
      <c r="A46" s="107"/>
      <c r="B46" s="49" t="s">
        <v>70</v>
      </c>
      <c r="C46" s="81"/>
      <c r="D46" s="12">
        <f>C46*1.5</f>
        <v>0</v>
      </c>
      <c r="F46" s="37"/>
      <c r="G46" s="62"/>
      <c r="H46" s="132"/>
      <c r="I46" s="132"/>
      <c r="J46" s="132"/>
      <c r="K46" s="21"/>
      <c r="P46" s="4"/>
      <c r="Q46" s="4"/>
      <c r="R46" s="5"/>
    </row>
    <row r="47" spans="1:18" ht="15.75" x14ac:dyDescent="0.25">
      <c r="A47" s="108"/>
      <c r="B47" s="27"/>
      <c r="C47" s="11"/>
      <c r="D47" s="12"/>
      <c r="F47" s="59"/>
      <c r="G47" s="59"/>
      <c r="H47" s="109"/>
      <c r="I47" s="110"/>
      <c r="J47" s="111"/>
      <c r="K47" s="21"/>
      <c r="P47" s="4"/>
      <c r="Q47" s="4"/>
      <c r="R47" s="5"/>
    </row>
    <row r="48" spans="1:18" ht="15" customHeight="1" x14ac:dyDescent="0.25">
      <c r="A48" s="106" t="s">
        <v>32</v>
      </c>
      <c r="B48" s="27" t="s">
        <v>66</v>
      </c>
      <c r="C48" s="10"/>
      <c r="D48" s="12">
        <f>C48*78</f>
        <v>0</v>
      </c>
      <c r="F48" s="59"/>
      <c r="G48" s="59"/>
      <c r="H48" s="109"/>
      <c r="I48" s="110"/>
      <c r="J48" s="111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07"/>
      <c r="B49" s="29" t="s">
        <v>68</v>
      </c>
      <c r="C49" s="33"/>
      <c r="D49" s="12">
        <f>C49*42</f>
        <v>0</v>
      </c>
      <c r="F49" s="112" t="s">
        <v>86</v>
      </c>
      <c r="G49" s="114">
        <f>H34+H35+H36+H37+H38+H39+H40+H41+G42+H44+H45+H46</f>
        <v>0</v>
      </c>
      <c r="H49" s="115"/>
      <c r="I49" s="115"/>
      <c r="J49" s="116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07"/>
      <c r="B50" s="32" t="s">
        <v>70</v>
      </c>
      <c r="C50" s="11"/>
      <c r="D50" s="12">
        <f>C50*1.5</f>
        <v>0</v>
      </c>
      <c r="F50" s="113"/>
      <c r="G50" s="117"/>
      <c r="H50" s="118"/>
      <c r="I50" s="118"/>
      <c r="J50" s="119"/>
      <c r="O50" t="s">
        <v>137</v>
      </c>
      <c r="P50" s="4">
        <v>1204</v>
      </c>
      <c r="Q50" s="4"/>
      <c r="R50" s="5"/>
    </row>
    <row r="51" spans="1:18" ht="15" customHeight="1" x14ac:dyDescent="0.25">
      <c r="A51" s="107"/>
      <c r="B51" s="27"/>
      <c r="C51" s="10"/>
      <c r="D51" s="31"/>
      <c r="F51" s="120" t="s">
        <v>138</v>
      </c>
      <c r="G51" s="122">
        <f>G49-H29</f>
        <v>0</v>
      </c>
      <c r="H51" s="123"/>
      <c r="I51" s="123"/>
      <c r="J51" s="124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07"/>
      <c r="B52" s="29"/>
      <c r="C52" s="33"/>
      <c r="D52" s="45"/>
      <c r="F52" s="121"/>
      <c r="G52" s="125"/>
      <c r="H52" s="126"/>
      <c r="I52" s="126"/>
      <c r="J52" s="127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08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92" t="s">
        <v>90</v>
      </c>
      <c r="B54" s="93"/>
      <c r="C54" s="94"/>
      <c r="D54" s="98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95"/>
      <c r="B55" s="96"/>
      <c r="C55" s="97"/>
      <c r="D55" s="9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100" t="s">
        <v>91</v>
      </c>
      <c r="B58" s="101"/>
      <c r="C58" s="101"/>
      <c r="D58" s="102"/>
      <c r="F58" s="100" t="s">
        <v>92</v>
      </c>
      <c r="G58" s="101"/>
      <c r="H58" s="101"/>
      <c r="I58" s="101"/>
      <c r="J58" s="102"/>
    </row>
    <row r="59" spans="1:18" x14ac:dyDescent="0.25">
      <c r="A59" s="103"/>
      <c r="B59" s="104"/>
      <c r="C59" s="104"/>
      <c r="D59" s="105"/>
      <c r="F59" s="103"/>
      <c r="G59" s="104"/>
      <c r="H59" s="104"/>
      <c r="I59" s="104"/>
      <c r="J59" s="105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53</vt:i4>
      </vt:variant>
      <vt:variant>
        <vt:lpstr>Named Ranges</vt:lpstr>
      </vt:variant>
      <vt:variant>
        <vt:i4>52</vt:i4>
      </vt:variant>
    </vt:vector>
  </HeadingPairs>
  <TitlesOfParts>
    <vt:vector size="105" baseType="lpstr">
      <vt:lpstr>(March 2026)</vt:lpstr>
      <vt:lpstr>(2)</vt:lpstr>
      <vt:lpstr>03,02 R1</vt:lpstr>
      <vt:lpstr>03,02 R2</vt:lpstr>
      <vt:lpstr>03,02 R3</vt:lpstr>
      <vt:lpstr>(3)</vt:lpstr>
      <vt:lpstr>03,03 R1</vt:lpstr>
      <vt:lpstr>03,03 R2</vt:lpstr>
      <vt:lpstr>03,03 R3</vt:lpstr>
      <vt:lpstr>(4)</vt:lpstr>
      <vt:lpstr>04,03 R1</vt:lpstr>
      <vt:lpstr>04,03 R2</vt:lpstr>
      <vt:lpstr>04,03 R3</vt:lpstr>
      <vt:lpstr>(5)</vt:lpstr>
      <vt:lpstr>05,03 R1</vt:lpstr>
      <vt:lpstr>05,03 R2</vt:lpstr>
      <vt:lpstr>05,03 R3 NO TRIP</vt:lpstr>
      <vt:lpstr>(6)</vt:lpstr>
      <vt:lpstr>06,03 R1 NO TRIP</vt:lpstr>
      <vt:lpstr>06,03 R2 NO TRIP</vt:lpstr>
      <vt:lpstr>06,03 R3</vt:lpstr>
      <vt:lpstr>(7)</vt:lpstr>
      <vt:lpstr>07,03 R1</vt:lpstr>
      <vt:lpstr>07,03 R2</vt:lpstr>
      <vt:lpstr>07,03 R3</vt:lpstr>
      <vt:lpstr>(9)</vt:lpstr>
      <vt:lpstr>09,03 R1</vt:lpstr>
      <vt:lpstr>09,03 R2</vt:lpstr>
      <vt:lpstr>09,03 R3</vt:lpstr>
      <vt:lpstr>(10)</vt:lpstr>
      <vt:lpstr>10,03 R1</vt:lpstr>
      <vt:lpstr>10,03 R2</vt:lpstr>
      <vt:lpstr>10,03 R3</vt:lpstr>
      <vt:lpstr>(11)</vt:lpstr>
      <vt:lpstr>11,03 R1</vt:lpstr>
      <vt:lpstr>11,03 R2</vt:lpstr>
      <vt:lpstr>11,03 R3</vt:lpstr>
      <vt:lpstr>(12)</vt:lpstr>
      <vt:lpstr>12,03 R1</vt:lpstr>
      <vt:lpstr>12,03 R2</vt:lpstr>
      <vt:lpstr>12,03 R3</vt:lpstr>
      <vt:lpstr>(13)</vt:lpstr>
      <vt:lpstr>13,03 R1</vt:lpstr>
      <vt:lpstr>13,03 R2</vt:lpstr>
      <vt:lpstr>13,03 R3</vt:lpstr>
      <vt:lpstr>(14)</vt:lpstr>
      <vt:lpstr>14,03 R1</vt:lpstr>
      <vt:lpstr>14,03 R2</vt:lpstr>
      <vt:lpstr>14,03 R3</vt:lpstr>
      <vt:lpstr>(16)</vt:lpstr>
      <vt:lpstr>16,03 R1</vt:lpstr>
      <vt:lpstr>16,03 R2</vt:lpstr>
      <vt:lpstr>16,03 R3</vt:lpstr>
      <vt:lpstr>'(10)'!Print_Area</vt:lpstr>
      <vt:lpstr>'(11)'!Print_Area</vt:lpstr>
      <vt:lpstr>'(12)'!Print_Area</vt:lpstr>
      <vt:lpstr>'(13)'!Print_Area</vt:lpstr>
      <vt:lpstr>'(14)'!Print_Area</vt:lpstr>
      <vt:lpstr>'(16)'!Print_Area</vt:lpstr>
      <vt:lpstr>'(2)'!Print_Area</vt:lpstr>
      <vt:lpstr>'(3)'!Print_Area</vt:lpstr>
      <vt:lpstr>'(4)'!Print_Area</vt:lpstr>
      <vt:lpstr>'(5)'!Print_Area</vt:lpstr>
      <vt:lpstr>'(6)'!Print_Area</vt:lpstr>
      <vt:lpstr>'(7)'!Print_Area</vt:lpstr>
      <vt:lpstr>'(9)'!Print_Area</vt:lpstr>
      <vt:lpstr>'03,02 R1'!Print_Area</vt:lpstr>
      <vt:lpstr>'03,02 R2'!Print_Area</vt:lpstr>
      <vt:lpstr>'03,02 R3'!Print_Area</vt:lpstr>
      <vt:lpstr>'03,03 R1'!Print_Area</vt:lpstr>
      <vt:lpstr>'03,03 R2'!Print_Area</vt:lpstr>
      <vt:lpstr>'03,03 R3'!Print_Area</vt:lpstr>
      <vt:lpstr>'04,03 R1'!Print_Area</vt:lpstr>
      <vt:lpstr>'04,03 R2'!Print_Area</vt:lpstr>
      <vt:lpstr>'04,03 R3'!Print_Area</vt:lpstr>
      <vt:lpstr>'05,03 R1'!Print_Area</vt:lpstr>
      <vt:lpstr>'05,03 R2'!Print_Area</vt:lpstr>
      <vt:lpstr>'05,03 R3 NO TRIP'!Print_Area</vt:lpstr>
      <vt:lpstr>'06,03 R1 NO TRIP'!Print_Area</vt:lpstr>
      <vt:lpstr>'06,03 R2 NO TRIP'!Print_Area</vt:lpstr>
      <vt:lpstr>'06,03 R3'!Print_Area</vt:lpstr>
      <vt:lpstr>'07,03 R1'!Print_Area</vt:lpstr>
      <vt:lpstr>'07,03 R2'!Print_Area</vt:lpstr>
      <vt:lpstr>'07,03 R3'!Print_Area</vt:lpstr>
      <vt:lpstr>'09,03 R1'!Print_Area</vt:lpstr>
      <vt:lpstr>'09,03 R2'!Print_Area</vt:lpstr>
      <vt:lpstr>'09,03 R3'!Print_Area</vt:lpstr>
      <vt:lpstr>'10,03 R1'!Print_Area</vt:lpstr>
      <vt:lpstr>'10,03 R2'!Print_Area</vt:lpstr>
      <vt:lpstr>'10,03 R3'!Print_Area</vt:lpstr>
      <vt:lpstr>'11,03 R1'!Print_Area</vt:lpstr>
      <vt:lpstr>'11,03 R2'!Print_Area</vt:lpstr>
      <vt:lpstr>'11,03 R3'!Print_Area</vt:lpstr>
      <vt:lpstr>'12,03 R1'!Print_Area</vt:lpstr>
      <vt:lpstr>'12,03 R2'!Print_Area</vt:lpstr>
      <vt:lpstr>'12,03 R3'!Print_Area</vt:lpstr>
      <vt:lpstr>'13,03 R1'!Print_Area</vt:lpstr>
      <vt:lpstr>'13,03 R2'!Print_Area</vt:lpstr>
      <vt:lpstr>'13,03 R3'!Print_Area</vt:lpstr>
      <vt:lpstr>'14,03 R1'!Print_Area</vt:lpstr>
      <vt:lpstr>'14,03 R2'!Print_Area</vt:lpstr>
      <vt:lpstr>'14,03 R3'!Print_Area</vt:lpstr>
      <vt:lpstr>'16,03 R1'!Print_Area</vt:lpstr>
      <vt:lpstr>'16,03 R2'!Print_Area</vt:lpstr>
      <vt:lpstr>'16,03 R3'!Print_Area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2026-03-11T00:35:15Z</cp:lastPrinted>
  <dcterms:created xsi:type="dcterms:W3CDTF">2024-09-01T23:36:50Z</dcterms:created>
  <dcterms:modified xsi:type="dcterms:W3CDTF">2026-03-11T00:38:43Z</dcterms:modified>
</cp:coreProperties>
</file>