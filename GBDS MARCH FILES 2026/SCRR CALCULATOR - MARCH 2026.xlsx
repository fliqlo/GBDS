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73F3A99-B782-4105-9043-CA2E684EEEAD}" xr6:coauthVersionLast="45" xr6:coauthVersionMax="47" xr10:uidLastSave="{00000000-0000-0000-0000-000000000000}"/>
  <bookViews>
    <workbookView xWindow="-120" yWindow="-120" windowWidth="29040" windowHeight="15840" firstSheet="37" activeTab="38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877" l="1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76" l="1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<sst xmlns="http://schemas.openxmlformats.org/spreadsheetml/2006/main" count="7034" uniqueCount="192">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</sst>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308</v>
      </c>
      <c r="D6" s="13">
        <f t="shared" ref="D6:D28" si="1">C6*L6</f>
        <v>234388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18</v>
      </c>
      <c r="D9" s="13">
        <f t="shared" si="1"/>
        <v>13194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6</v>
      </c>
      <c r="D13" s="48">
        <f t="shared" si="1"/>
        <v>1842</v>
      </c>
      <c r="F13" s="130" t="s">
        <v>36</v>
      </c>
      <c r="G13" s="131"/>
      <c r="H13" s="132">
        <f>D29</f>
        <v>265882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30599.25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235282.75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153" t="s">
        <v>55</v>
      </c>
      <c r="G29" s="154"/>
      <c r="H29" s="157">
        <f>H15-H16-H17-H18-H19-H20-H22-H23-H24+H26+H27+H28</f>
        <v>233926.75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85">
        <f t="shared" ref="H34:H39" si="2">F34*G34</f>
        <v>64000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85">
        <f t="shared" si="2"/>
        <v>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85">
        <f t="shared" si="2"/>
        <v>1100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30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69">
        <v>150017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69">
        <v>7564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11</v>
      </c>
      <c r="D46" s="12">
        <f>C46*1.5</f>
        <v>16.5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233911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</v>
      </c>
      <c r="D50" s="12">
        <f>C50*1.5</f>
        <v>4.5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-15.75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351</v>
      </c>
      <c r="D6" s="13">
        <f t="shared" ref="D6:D28" si="1">C6*L6</f>
        <v>267111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40</v>
      </c>
      <c r="D9" s="13">
        <f t="shared" si="1"/>
        <v>29320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9</v>
      </c>
      <c r="D13" s="48">
        <f t="shared" si="1"/>
        <v>2763</v>
      </c>
      <c r="F13" s="130" t="s">
        <v>36</v>
      </c>
      <c r="G13" s="131"/>
      <c r="H13" s="132">
        <f>D29</f>
        <v>313708.5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3</v>
      </c>
      <c r="D14" s="31">
        <f t="shared" si="1"/>
        <v>33</v>
      </c>
      <c r="F14" s="135" t="s">
        <v>39</v>
      </c>
      <c r="G14" s="136"/>
      <c r="H14" s="137">
        <f>D54</f>
        <v>55225.5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258483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150</v>
      </c>
      <c r="C24" s="10">
        <v>12</v>
      </c>
      <c r="D24" s="48">
        <f t="shared" si="1"/>
        <v>474</v>
      </c>
      <c r="F24" s="38"/>
      <c r="G24" s="37"/>
      <c r="H24" s="168"/>
      <c r="I24" s="169"/>
      <c r="J24" s="169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153" t="s">
        <v>55</v>
      </c>
      <c r="G29" s="154"/>
      <c r="H29" s="157">
        <f>H15-H16-H17-H18-H19-H20-H22-H23-H24+H26+H27</f>
        <v>257103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85">
        <f>F34*G34</f>
        <v>101000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85">
        <f t="shared" ref="H35:H39" si="2">F35*G35</f>
        <v>11000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136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69">
        <v>144193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36</v>
      </c>
      <c r="D46" s="12">
        <f>C46*1.5</f>
        <v>54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22</v>
      </c>
      <c r="D49" s="12">
        <f>C49*42</f>
        <v>924</v>
      </c>
      <c r="F49" s="210" t="s">
        <v>86</v>
      </c>
      <c r="G49" s="157">
        <f>H34+H35+H36+H37+H38+H39+H40+H41+G42+H44+H45+H46</f>
        <v>256479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5</v>
      </c>
      <c r="D50" s="12">
        <f>C50*1.5</f>
        <v>7.5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153</v>
      </c>
      <c r="G51" s="224">
        <f>G49-H29</f>
        <v>-624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266</v>
      </c>
      <c r="D6" s="13">
        <f t="shared" ref="D6:D28" si="1">C6*L6</f>
        <v>202426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9</v>
      </c>
      <c r="D7" s="13">
        <f t="shared" si="1"/>
        <v>7029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57</v>
      </c>
      <c r="D9" s="13">
        <f t="shared" si="1"/>
        <v>41781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12</v>
      </c>
      <c r="D13" s="48">
        <f t="shared" si="1"/>
        <v>3684</v>
      </c>
      <c r="F13" s="130" t="s">
        <v>36</v>
      </c>
      <c r="G13" s="131"/>
      <c r="H13" s="132">
        <f>D29</f>
        <v>259606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36129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223477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153" t="s">
        <v>55</v>
      </c>
      <c r="G29" s="154"/>
      <c r="H29" s="157">
        <f>H15-H16-H17-H18-H19-H20-H22-H23-H24+H26+H27</f>
        <v>222737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85">
        <f>F34*G34</f>
        <v>41000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85">
        <f>F35*G35</f>
        <v>3500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5">
        <v>88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69">
        <v>75280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69">
        <v>101194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4">
        <v>1582</v>
      </c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222844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107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382</v>
      </c>
      <c r="D6" s="13">
        <f t="shared" ref="D6:D28" si="1">C6*L6</f>
        <v>290702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7</v>
      </c>
      <c r="D7" s="13">
        <f t="shared" si="1"/>
        <v>5467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31</v>
      </c>
      <c r="D9" s="13">
        <f t="shared" si="1"/>
        <v>22723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322724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9</v>
      </c>
      <c r="D14" s="31">
        <f t="shared" si="1"/>
        <v>99</v>
      </c>
      <c r="F14" s="135" t="s">
        <v>39</v>
      </c>
      <c r="G14" s="136"/>
      <c r="H14" s="137">
        <f>D54</f>
        <v>44362.5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278361.5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153" t="s">
        <v>55</v>
      </c>
      <c r="G29" s="154"/>
      <c r="H29" s="157">
        <f>H15-H16-H17-H18-H19-H20-H22-H23-H24+H26+H27+H28</f>
        <v>278361.5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85">
        <f t="shared" ref="H34:H39" si="2">F34*G34</f>
        <v>212000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85">
        <f t="shared" si="2"/>
        <v>18000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 t="shared" si="2"/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85">
        <f t="shared" si="2"/>
        <v>2700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5">
        <f t="shared" si="2"/>
        <v>1150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69">
        <v>10000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69">
        <v>35000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279290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928.5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224</v>
      </c>
      <c r="D6" s="13">
        <f t="shared" ref="D6:D28" si="1">C6*L6</f>
        <v>170464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71</v>
      </c>
      <c r="D9" s="13">
        <f t="shared" si="1"/>
        <v>52043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228774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35040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193734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7">
        <v>265</v>
      </c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153" t="s">
        <v>55</v>
      </c>
      <c r="G29" s="154"/>
      <c r="H29" s="157">
        <f>H15-H16-H17-H18-H19-H20-H22-H23-H24+H26+H27</f>
        <v>192737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85">
        <f>F34*G34</f>
        <v>140000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85">
        <f t="shared" ref="H35:H39" si="2">F35*G35</f>
        <v>46500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85">
        <f>F36*G36</f>
        <v>400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85">
        <f t="shared" si="2"/>
        <v>4300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85">
        <f t="shared" si="2"/>
        <v>1350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45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</v>
      </c>
      <c r="D46" s="12">
        <f>C46*1.5</f>
        <v>1.5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192595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-142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291</v>
      </c>
      <c r="D6" s="13">
        <f t="shared" ref="D6:D28" si="1">C6*L6</f>
        <v>221451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20</v>
      </c>
      <c r="D7" s="13">
        <f t="shared" si="1"/>
        <v>15620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36</v>
      </c>
      <c r="D9" s="13">
        <f t="shared" si="1"/>
        <v>26388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273403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40279.5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233123.5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153" t="s">
        <v>55</v>
      </c>
      <c r="G29" s="154"/>
      <c r="H29" s="157">
        <f>H15-H16-H17-H18-H19-H20-H22-H23-H24+H26+H27</f>
        <v>232205.5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85">
        <f>F34*G34</f>
        <v>75000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85">
        <f>F35*G35</f>
        <v>48500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85">
        <f t="shared" si="2"/>
        <v>6000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85">
        <f t="shared" si="2"/>
        <v>2150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74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69">
        <v>100483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64</v>
      </c>
      <c r="D46" s="12">
        <f>C46*1.5</f>
        <v>96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232207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22</v>
      </c>
      <c r="D50" s="12">
        <f>C50*1.5</f>
        <v>33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359</v>
      </c>
      <c r="D6" s="13">
        <f t="shared" ref="D6:D28" si="1">C6*L6</f>
        <v>273199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117</v>
      </c>
      <c r="D9" s="13">
        <f t="shared" si="1"/>
        <v>85761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18</v>
      </c>
      <c r="D13" s="48">
        <f t="shared" si="1"/>
        <v>5526</v>
      </c>
      <c r="F13" s="130" t="s">
        <v>36</v>
      </c>
      <c r="G13" s="131"/>
      <c r="H13" s="132">
        <f>D29</f>
        <v>387395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43563.75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343831.25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7">
        <v>100339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69">
        <v>98532</v>
      </c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3</v>
      </c>
      <c r="D28" s="48">
        <f t="shared" si="1"/>
        <v>2433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153" t="s">
        <v>55</v>
      </c>
      <c r="G29" s="154"/>
      <c r="H29" s="157">
        <f>H15-H16-H17-H18-H19-H20-H22-H23-H24+H26+H27+H28</f>
        <v>340020.25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85">
        <f t="shared" ref="H34:H39" si="2">F34*G34</f>
        <v>10000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5">
        <f t="shared" si="2"/>
        <v>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10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69">
        <v>230441.5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69">
        <v>98532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7</v>
      </c>
      <c r="D49" s="12">
        <f>C49*42</f>
        <v>294</v>
      </c>
      <c r="F49" s="210" t="s">
        <v>86</v>
      </c>
      <c r="G49" s="157">
        <f>H34+H35+H36+H37+H38+H39+H40+H41+G42+H44+H45+H46</f>
        <v>339183.5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17</v>
      </c>
      <c r="D50" s="12">
        <f>C50*1.5</f>
        <v>25.5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-836.75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326</v>
      </c>
      <c r="D6" s="13">
        <f t="shared" ref="D6:D28" si="1">C6*L6</f>
        <v>248086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253739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36819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216920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153" t="s">
        <v>55</v>
      </c>
      <c r="G29" s="154"/>
      <c r="H29" s="157">
        <f>H15-H16-H17-H18-H19-H20-H22-H23-H24+H26+H27</f>
        <v>214926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85">
        <f>F34*G34</f>
        <v>214000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85">
        <f t="shared" si="2"/>
        <v>300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32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214882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</v>
      </c>
      <c r="D50" s="12">
        <f>C50*1.5</f>
        <v>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-44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270</v>
      </c>
      <c r="D6" s="13">
        <f t="shared" ref="D6:D28" si="1">C6*L6</f>
        <v>205470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8</v>
      </c>
      <c r="D13" s="48">
        <f t="shared" si="1"/>
        <v>2456</v>
      </c>
      <c r="F13" s="130" t="s">
        <v>36</v>
      </c>
      <c r="G13" s="131"/>
      <c r="H13" s="132">
        <f>D29</f>
        <v>236285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33749.25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202535.75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>
        <v>1</v>
      </c>
      <c r="D23" s="48">
        <f t="shared" si="1"/>
        <v>1175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153" t="s">
        <v>55</v>
      </c>
      <c r="G29" s="154"/>
      <c r="H29" s="157">
        <f>H15-H16-H17-H18-H19-H20-H22-H23-H24+H26+H27</f>
        <v>201327.75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85">
        <f>F34*G34</f>
        <v>94000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85">
        <f>F35*G35</f>
        <v>54000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85">
        <f t="shared" si="2"/>
        <v>12400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85">
        <f t="shared" si="2"/>
        <v>100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85">
        <v>94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69">
        <v>40666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201260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6</v>
      </c>
      <c r="D50" s="12">
        <f>C50*1.5</f>
        <v>9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-67.75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377</v>
      </c>
      <c r="D6" s="13">
        <f t="shared" ref="D6:D28" si="1">C6*L6</f>
        <v>286897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10</v>
      </c>
      <c r="D9" s="13">
        <f t="shared" si="1"/>
        <v>7330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1</v>
      </c>
      <c r="D11" s="13">
        <f t="shared" si="1"/>
        <v>1170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301631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55843.5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245787.5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90" t="s">
        <v>167</v>
      </c>
      <c r="C22" s="10">
        <v>2</v>
      </c>
      <c r="D22" s="48">
        <f t="shared" si="1"/>
        <v>3164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153" t="s">
        <v>55</v>
      </c>
      <c r="G29" s="154"/>
      <c r="H29" s="157">
        <f>H15-H16-H17-H18-H19-H20-H22-H23-H24+H26+H27+H28</f>
        <v>243837.5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85">
        <f t="shared" ref="H34:H39" si="2">F34*G34</f>
        <v>34000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85">
        <f t="shared" si="2"/>
        <v>209500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26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6</v>
      </c>
      <c r="D46" s="12">
        <f>C46*1.5</f>
        <v>9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243746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18</v>
      </c>
      <c r="D50" s="12">
        <f>C50*1.5</f>
        <v>27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-91.5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246</v>
      </c>
      <c r="D6" s="13">
        <f t="shared" ref="D6:D28" si="1">C6*L6</f>
        <v>187206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24</v>
      </c>
      <c r="D9" s="13">
        <f t="shared" si="1"/>
        <v>17592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7</v>
      </c>
      <c r="D13" s="48">
        <f t="shared" si="1"/>
        <v>2149</v>
      </c>
      <c r="F13" s="130" t="s">
        <v>36</v>
      </c>
      <c r="G13" s="131"/>
      <c r="H13" s="132">
        <f>D29</f>
        <v>264640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34920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229720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>
        <v>4</v>
      </c>
      <c r="D23" s="48">
        <f t="shared" si="1"/>
        <v>6668</v>
      </c>
      <c r="F23" s="25"/>
      <c r="G23" s="37"/>
      <c r="H23" s="168"/>
      <c r="I23" s="169"/>
      <c r="J23" s="16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168</v>
      </c>
      <c r="C27" s="10">
        <v>1</v>
      </c>
      <c r="D27" s="44">
        <f t="shared" si="1"/>
        <v>1582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153" t="s">
        <v>55</v>
      </c>
      <c r="G29" s="154"/>
      <c r="H29" s="157">
        <f>H15-H16-H17-H18-H19-H20-H22-H23-H24+H26+H27</f>
        <v>228538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85">
        <f>F34*G34</f>
        <v>44000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85">
        <f t="shared" ref="H35:H39" si="2">F35*G35</f>
        <v>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85">
        <f t="shared" si="2"/>
        <v>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69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69">
        <v>179826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10</v>
      </c>
      <c r="D49" s="12">
        <f>C49*42</f>
        <v>420</v>
      </c>
      <c r="F49" s="210" t="s">
        <v>86</v>
      </c>
      <c r="G49" s="157">
        <f>H34+H35+H36+H37+H38+H39+H40+H41+G42+H44+H45+H46</f>
        <v>224985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-3553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46086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355</v>
      </c>
      <c r="D6" s="13">
        <f t="shared" ref="D6:D28" si="1">C6*L6</f>
        <v>270155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10</v>
      </c>
      <c r="D7" s="13">
        <f t="shared" si="1"/>
        <v>7810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111</v>
      </c>
      <c r="D9" s="13">
        <f t="shared" si="1"/>
        <v>81363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13</v>
      </c>
      <c r="D13" s="48">
        <f t="shared" si="1"/>
        <v>3991</v>
      </c>
      <c r="F13" s="130" t="s">
        <v>36</v>
      </c>
      <c r="G13" s="131"/>
      <c r="H13" s="132">
        <f>D29</f>
        <v>363462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13</v>
      </c>
      <c r="D14" s="31">
        <f t="shared" si="1"/>
        <v>143</v>
      </c>
      <c r="F14" s="135" t="s">
        <v>39</v>
      </c>
      <c r="G14" s="136"/>
      <c r="H14" s="137">
        <f>D54</f>
        <v>54750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308712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153" t="s">
        <v>55</v>
      </c>
      <c r="G29" s="154"/>
      <c r="H29" s="157">
        <f>H15-H16-H17-H18-H19-H20-H22-H23-H24+H26+H27</f>
        <v>306190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85">
        <f>F34*G34</f>
        <v>63000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85">
        <f t="shared" si="2"/>
        <v>300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3162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69">
        <v>225117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307129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9</v>
      </c>
      <c r="D50" s="12">
        <f>C50*1.5</f>
        <v>13.5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939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319</v>
      </c>
      <c r="D6" s="13">
        <f t="shared" ref="D6:D28" si="1">C6*L6</f>
        <v>242759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50</v>
      </c>
      <c r="D8" s="13">
        <f t="shared" si="1"/>
        <v>54650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17</v>
      </c>
      <c r="D9" s="13">
        <f t="shared" si="1"/>
        <v>12461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>
        <v>2</v>
      </c>
      <c r="D11" s="13">
        <f t="shared" si="1"/>
        <v>2340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</v>
      </c>
      <c r="D13" s="48">
        <f t="shared" si="1"/>
        <v>307</v>
      </c>
      <c r="F13" s="130" t="s">
        <v>36</v>
      </c>
      <c r="G13" s="131"/>
      <c r="H13" s="132">
        <f>D29</f>
        <v>319434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42474.75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276959.25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7">
        <v>51622</v>
      </c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153" t="s">
        <v>55</v>
      </c>
      <c r="G29" s="154"/>
      <c r="H29" s="157">
        <f>H15-H16-H17-H18-H19-H20-H22-H23-H24+H26+H27+H28</f>
        <v>225337.25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85">
        <f t="shared" ref="H34:H39" si="2">F34*G34</f>
        <v>82000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85">
        <f t="shared" si="2"/>
        <v>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5">
        <v>106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69">
        <v>141334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</v>
      </c>
      <c r="D46" s="12">
        <f>C46*1.5</f>
        <v>4.5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223690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8</v>
      </c>
      <c r="D50" s="12">
        <f>C50*1.5</f>
        <v>12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-1647.25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385</v>
      </c>
      <c r="D6" s="13">
        <f t="shared" ref="D6:D28" si="1">C6*L6</f>
        <v>292985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4</v>
      </c>
      <c r="D7" s="13">
        <f t="shared" si="1"/>
        <v>3124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68</v>
      </c>
      <c r="D9" s="13">
        <f t="shared" si="1"/>
        <v>49844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351657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33426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318231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153" t="s">
        <v>55</v>
      </c>
      <c r="G29" s="154"/>
      <c r="H29" s="157">
        <f>H15-H16-H17-H18-H19-H20-H22-H23-H24+H26+H27</f>
        <v>317031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85">
        <f>F34*G34</f>
        <v>131000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85">
        <f t="shared" ref="H35:H39" si="2">F35*G35</f>
        <v>40000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85">
        <f t="shared" si="2"/>
        <v>20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12</v>
      </c>
      <c r="D42" s="12">
        <f>C42*2.25</f>
        <v>27</v>
      </c>
      <c r="F42" s="39" t="s">
        <v>79</v>
      </c>
      <c r="G42" s="185">
        <v>18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69">
        <v>145531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2</v>
      </c>
      <c r="D45" s="12">
        <f>C45*84</f>
        <v>168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317019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73</v>
      </c>
      <c r="D50" s="12">
        <f>C50*1.5</f>
        <v>109.5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-12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46088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432</v>
      </c>
      <c r="D6" s="13">
        <f t="shared" ref="D6:D28" si="1">C6*L6</f>
        <v>328752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12</v>
      </c>
      <c r="D7" s="13">
        <f t="shared" si="1"/>
        <v>9372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59</v>
      </c>
      <c r="D9" s="13">
        <f t="shared" si="1"/>
        <v>43247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19</v>
      </c>
      <c r="D13" s="48">
        <f t="shared" si="1"/>
        <v>5833</v>
      </c>
      <c r="F13" s="130" t="s">
        <v>36</v>
      </c>
      <c r="G13" s="131"/>
      <c r="H13" s="132">
        <f>D29</f>
        <v>412474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58906.5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353567.5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153" t="s">
        <v>55</v>
      </c>
      <c r="G29" s="154"/>
      <c r="H29" s="157">
        <f>H15-H16-H17-H18-H19-H20-H22-H23-H24+H26+H27</f>
        <v>350831.5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85">
        <f>F34*G34</f>
        <v>100000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85">
        <f>F35*G35</f>
        <v>15500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85">
        <f t="shared" si="2"/>
        <v>4100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24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69">
        <v>70468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69">
        <v>162086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</v>
      </c>
      <c r="D46" s="12">
        <f>C46*1.5</f>
        <v>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18</v>
      </c>
      <c r="D49" s="12">
        <f>C49*42</f>
        <v>756</v>
      </c>
      <c r="F49" s="210" t="s">
        <v>86</v>
      </c>
      <c r="G49" s="157">
        <f>H34+H35+H36+H37+H38+H39+H40+H41+G42+H44+H45+H46</f>
        <v>352178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1346.5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558</v>
      </c>
      <c r="D6" s="13">
        <f t="shared" ref="D6:D28" si="1">C6*L6</f>
        <v>424638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55</v>
      </c>
      <c r="D7" s="13">
        <f t="shared" si="1"/>
        <v>42955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67</v>
      </c>
      <c r="D9" s="13">
        <f t="shared" si="1"/>
        <v>49111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</v>
      </c>
      <c r="D10" s="13">
        <f t="shared" si="1"/>
        <v>1032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1</v>
      </c>
      <c r="D12" s="48">
        <f t="shared" si="1"/>
        <v>992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529181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5</v>
      </c>
      <c r="D14" s="31">
        <f t="shared" si="1"/>
        <v>55</v>
      </c>
      <c r="F14" s="135" t="s">
        <v>39</v>
      </c>
      <c r="G14" s="136"/>
      <c r="H14" s="137">
        <f>D54</f>
        <v>67908.75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461272.25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179</v>
      </c>
      <c r="C24" s="10">
        <v>12</v>
      </c>
      <c r="D24" s="48">
        <f t="shared" si="1"/>
        <v>474</v>
      </c>
      <c r="F24" s="77"/>
      <c r="G24" s="79"/>
      <c r="H24" s="220"/>
      <c r="I24" s="221"/>
      <c r="J24" s="22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69">
        <v>51622</v>
      </c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153" t="s">
        <v>55</v>
      </c>
      <c r="G29" s="154"/>
      <c r="H29" s="157">
        <f>H15-H16-H17-H18-H19-H20-H22-H23-H24+H26+H27+H28</f>
        <v>509690.25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85">
        <f t="shared" ref="H34:H39" si="2">F34*G34</f>
        <v>129000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85">
        <f t="shared" si="2"/>
        <v>19500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85">
        <f t="shared" si="2"/>
        <v>500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69">
        <v>359981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509031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-659.25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538</v>
      </c>
      <c r="D6" s="13">
        <f t="shared" ref="D6:D28" si="1">C6*L6</f>
        <v>409418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</v>
      </c>
      <c r="D7" s="13">
        <f t="shared" si="1"/>
        <v>781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118</v>
      </c>
      <c r="D9" s="13">
        <f t="shared" si="1"/>
        <v>86494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20</v>
      </c>
      <c r="D13" s="48">
        <f t="shared" si="1"/>
        <v>6140</v>
      </c>
      <c r="F13" s="130" t="s">
        <v>36</v>
      </c>
      <c r="G13" s="131"/>
      <c r="H13" s="132">
        <f>D29</f>
        <v>502921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8</v>
      </c>
      <c r="D14" s="31">
        <f t="shared" si="1"/>
        <v>88</v>
      </c>
      <c r="F14" s="135" t="s">
        <v>39</v>
      </c>
      <c r="G14" s="136"/>
      <c r="H14" s="137">
        <f>D54</f>
        <v>75838.5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427082.5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153" t="s">
        <v>55</v>
      </c>
      <c r="G29" s="154"/>
      <c r="H29" s="157">
        <f>H15-H16-H17-H18-H19-H20-H22-H23-H24+H26+H27</f>
        <v>423710.5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85">
        <f>F34*G34</f>
        <v>340000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85">
        <f t="shared" ref="H35:H39" si="2">F35*G35</f>
        <v>12500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100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69">
        <v>70473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14</v>
      </c>
      <c r="D49" s="12">
        <f>C49*42</f>
        <v>588</v>
      </c>
      <c r="F49" s="210" t="s">
        <v>86</v>
      </c>
      <c r="G49" s="157">
        <f>H34+H35+H36+H37+H38+H39+H40+H41+G42+H44+H45+H46</f>
        <v>423513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21</v>
      </c>
      <c r="D50" s="12">
        <f>C50*1.5</f>
        <v>31.5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-197.5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46090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369</v>
      </c>
      <c r="D6" s="13">
        <f t="shared" ref="D6:D28" si="1">C6*L6</f>
        <v>280809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11</v>
      </c>
      <c r="D7" s="13">
        <f t="shared" si="1"/>
        <v>8591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63</v>
      </c>
      <c r="D9" s="13">
        <f t="shared" si="1"/>
        <v>46179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344843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25784.25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319058.75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1</v>
      </c>
      <c r="D27" s="44">
        <f t="shared" si="1"/>
        <v>1582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153" t="s">
        <v>55</v>
      </c>
      <c r="G29" s="154"/>
      <c r="H29" s="157">
        <f>H15-H16-H17-H18-H19-H20-H22-H23-H24+H26+H27</f>
        <v>318758.75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85">
        <f>F34*G34</f>
        <v>114000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85">
        <f>F35*G35</f>
        <v>33000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85">
        <f t="shared" si="2"/>
        <v>1700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85">
        <f t="shared" si="2"/>
        <v>1550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85">
        <v>43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69">
        <v>168245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318538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9</v>
      </c>
      <c r="D50" s="12">
        <f>C50*1.5</f>
        <v>13.5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-220.75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324</v>
      </c>
      <c r="D6" s="13">
        <f t="shared" ref="D6:D28" si="1">C6*L6</f>
        <v>246564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3</v>
      </c>
      <c r="D7" s="13">
        <f t="shared" si="1"/>
        <v>2343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20</v>
      </c>
      <c r="D9" s="13">
        <f t="shared" si="1"/>
        <v>14660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5</v>
      </c>
      <c r="D13" s="48">
        <f t="shared" si="1"/>
        <v>1535</v>
      </c>
      <c r="F13" s="130" t="s">
        <v>36</v>
      </c>
      <c r="G13" s="131"/>
      <c r="H13" s="132">
        <f>D29</f>
        <v>267570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39540.75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228029.25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4">
        <v>50</v>
      </c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267570</v>
      </c>
      <c r="F29" s="153" t="s">
        <v>55</v>
      </c>
      <c r="G29" s="154"/>
      <c r="H29" s="157">
        <f>H15-H16-H17-H18-H19-H20-H22-H23-H24+H26+H27+H28</f>
        <v>227979.25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85">
        <f t="shared" ref="H34:H39" si="2">F34*G34</f>
        <v>195000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85">
        <f t="shared" si="2"/>
        <v>27000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85">
        <f t="shared" si="2"/>
        <v>800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85">
        <f t="shared" si="2"/>
        <v>4200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85">
        <f t="shared" si="2"/>
        <v>1200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85">
        <f t="shared" si="2"/>
        <v>40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85">
        <v>217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228457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4</v>
      </c>
      <c r="D50" s="12">
        <f>C50*1.5</f>
        <v>6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32" t="s">
        <v>184</v>
      </c>
      <c r="G51" s="234">
        <f>G49-H29</f>
        <v>477.75</v>
      </c>
      <c r="H51" s="235"/>
      <c r="I51" s="235"/>
      <c r="J51" s="23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311</v>
      </c>
      <c r="D6" s="13">
        <f t="shared" ref="D6:D28" si="1">C6*L6</f>
        <v>236671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6</v>
      </c>
      <c r="D7" s="13">
        <f t="shared" si="1"/>
        <v>4686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29</v>
      </c>
      <c r="D9" s="13">
        <f t="shared" si="1"/>
        <v>21257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266386.58333333331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6</v>
      </c>
      <c r="D14" s="31">
        <f t="shared" si="1"/>
        <v>66</v>
      </c>
      <c r="F14" s="135" t="s">
        <v>39</v>
      </c>
      <c r="G14" s="136"/>
      <c r="H14" s="137">
        <f>D54</f>
        <v>52669.5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213717.08333333331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</f>
        <v>648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76"/>
      <c r="I27" s="177"/>
      <c r="J27" s="178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266386.58333333331</v>
      </c>
      <c r="F29" s="153" t="s">
        <v>55</v>
      </c>
      <c r="G29" s="154"/>
      <c r="H29" s="157">
        <f>H15-H16-H17-H18-H19-H20-H22-H23-H24+H26+H27</f>
        <v>213069.08333333331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85">
        <f>F34*G34</f>
        <v>127000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85">
        <f t="shared" ref="H35:H39" si="2">F35*G35</f>
        <v>25500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85">
        <f t="shared" si="2"/>
        <v>3700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85">
        <f t="shared" si="2"/>
        <v>250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85">
        <v>80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69">
        <v>56579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</v>
      </c>
      <c r="D46" s="12">
        <f>C46*1.5</f>
        <v>1.5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213109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22</v>
      </c>
      <c r="D50" s="12">
        <f>C50*1.5</f>
        <v>33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39.916666666686069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46091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329</v>
      </c>
      <c r="D6" s="13">
        <f t="shared" ref="D6:D28" si="1">C6*L6</f>
        <v>250369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5</v>
      </c>
      <c r="D7" s="13">
        <f t="shared" si="1"/>
        <v>3905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1</v>
      </c>
      <c r="D8" s="13">
        <f t="shared" si="1"/>
        <v>1093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21</v>
      </c>
      <c r="D9" s="13">
        <f t="shared" si="1"/>
        <v>15393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2</v>
      </c>
      <c r="D12" s="48">
        <f t="shared" si="1"/>
        <v>1984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281186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20</v>
      </c>
      <c r="D14" s="31">
        <f t="shared" si="1"/>
        <v>220</v>
      </c>
      <c r="F14" s="135" t="s">
        <v>39</v>
      </c>
      <c r="G14" s="136"/>
      <c r="H14" s="137">
        <f>D54</f>
        <v>42842.25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238343.75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108*6+80*6</f>
        <v>1128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281186</v>
      </c>
      <c r="F29" s="153" t="s">
        <v>55</v>
      </c>
      <c r="G29" s="154"/>
      <c r="H29" s="157">
        <f>H15-H16-H17-H18-H19-H20-H22-H23-H24+H26+H27</f>
        <v>237215.75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85">
        <f>F34*G34</f>
        <v>88000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85">
        <f>F35*G35</f>
        <v>16000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85">
        <f t="shared" ref="H36:H39" si="2">F36*G36</f>
        <v>600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85">
        <f t="shared" si="2"/>
        <v>6600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85">
        <f t="shared" si="2"/>
        <v>700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85">
        <f t="shared" si="2"/>
        <v>80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3</v>
      </c>
      <c r="D42" s="12">
        <f>C42*2.25</f>
        <v>6.75</v>
      </c>
      <c r="F42" s="39" t="s">
        <v>79</v>
      </c>
      <c r="G42" s="185">
        <v>911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69">
        <v>71968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69">
        <v>52207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45</v>
      </c>
      <c r="D46" s="12">
        <f>C46*1.5</f>
        <v>67.5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8</v>
      </c>
      <c r="D49" s="12">
        <f>C49*42</f>
        <v>336</v>
      </c>
      <c r="F49" s="210" t="s">
        <v>86</v>
      </c>
      <c r="G49" s="157">
        <f>H34+H35+H36+H37+H38+H39+H40+H41+G42+H44+H45+H46</f>
        <v>237066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16</v>
      </c>
      <c r="D50" s="12">
        <f>C50*1.5</f>
        <v>24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-149.75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411</v>
      </c>
      <c r="D6" s="13">
        <f t="shared" ref="D6:D28" si="1">C6*L6</f>
        <v>312771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2</v>
      </c>
      <c r="D7" s="13">
        <f t="shared" si="1"/>
        <v>1562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320439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21</v>
      </c>
      <c r="D14" s="31">
        <f t="shared" si="1"/>
        <v>231</v>
      </c>
      <c r="F14" s="135" t="s">
        <v>39</v>
      </c>
      <c r="G14" s="136"/>
      <c r="H14" s="137">
        <f>D54</f>
        <v>55105.5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>
        <v>1</v>
      </c>
      <c r="D15" s="31">
        <f t="shared" si="1"/>
        <v>620</v>
      </c>
      <c r="F15" s="140" t="s">
        <v>40</v>
      </c>
      <c r="G15" s="131"/>
      <c r="H15" s="141">
        <f>H13-H14</f>
        <v>265333.5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1938</f>
        <v>1938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320439</v>
      </c>
      <c r="F29" s="153" t="s">
        <v>55</v>
      </c>
      <c r="G29" s="154"/>
      <c r="H29" s="157">
        <f>H15-H16-H17-H18-H19-H20-H22-H23-H24+H26+H27+H28</f>
        <v>263395.5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85">
        <f t="shared" ref="H34:H39" si="2">F34*G34</f>
        <v>55000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85">
        <f t="shared" si="2"/>
        <v>5000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2</v>
      </c>
      <c r="D42" s="12">
        <f>C42*2.25</f>
        <v>4.5</v>
      </c>
      <c r="F42" s="39" t="s">
        <v>79</v>
      </c>
      <c r="G42" s="185">
        <v>13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69">
        <v>203085.5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16</v>
      </c>
      <c r="D46" s="12">
        <f>C46*1.5</f>
        <v>24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263098.5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34</v>
      </c>
      <c r="D50" s="12">
        <f>C50*1.5</f>
        <v>51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-297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348</v>
      </c>
      <c r="D6" s="13">
        <f t="shared" ref="D6:D28" si="1">C6*L6</f>
        <v>264828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10</v>
      </c>
      <c r="D13" s="48">
        <f t="shared" si="1"/>
        <v>3070</v>
      </c>
      <c r="F13" s="130" t="s">
        <v>36</v>
      </c>
      <c r="G13" s="131"/>
      <c r="H13" s="132">
        <f>D29</f>
        <v>268786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7</v>
      </c>
      <c r="D14" s="31">
        <f t="shared" si="1"/>
        <v>77</v>
      </c>
      <c r="F14" s="135" t="s">
        <v>39</v>
      </c>
      <c r="G14" s="136"/>
      <c r="H14" s="137">
        <f>D54</f>
        <v>44764.5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224021.5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1296+480</f>
        <v>1776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>
        <v>1</v>
      </c>
      <c r="D28" s="48">
        <f t="shared" si="1"/>
        <v>811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268786</v>
      </c>
      <c r="F29" s="153" t="s">
        <v>55</v>
      </c>
      <c r="G29" s="154"/>
      <c r="H29" s="157">
        <f>H15-H16-H17-H18-H19-H20-H22-H23-H24+H26+H27</f>
        <v>222195.5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85">
        <f>F34*G34</f>
        <v>142000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85">
        <f t="shared" ref="H35:H39" si="2">F35*G35</f>
        <v>45500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85">
        <f t="shared" si="2"/>
        <v>30000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85">
        <f t="shared" si="2"/>
        <v>3450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72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16</v>
      </c>
      <c r="D49" s="12">
        <f>C49*42</f>
        <v>672</v>
      </c>
      <c r="F49" s="210" t="s">
        <v>86</v>
      </c>
      <c r="G49" s="157">
        <f>H34+H35+H36+H37+H38+H39+H40+H41+G42+H44+H45+H46</f>
        <v>221022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3</v>
      </c>
      <c r="D50" s="12">
        <f>C50*1.5</f>
        <v>4.5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162</v>
      </c>
      <c r="G51" s="224">
        <f>G49-H29</f>
        <v>-1173.5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46092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418</v>
      </c>
      <c r="D6" s="13">
        <f t="shared" ref="D6:D28" si="1">C6*L6</f>
        <v>318098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15</v>
      </c>
      <c r="D7" s="13">
        <f t="shared" si="1"/>
        <v>11715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>
        <v>2</v>
      </c>
      <c r="D8" s="13">
        <f t="shared" si="1"/>
        <v>2186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5</v>
      </c>
      <c r="D9" s="13">
        <f t="shared" si="1"/>
        <v>3665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4</v>
      </c>
      <c r="D10" s="13">
        <f t="shared" si="1"/>
        <v>4128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f>1+2+2</f>
        <v>5</v>
      </c>
      <c r="D12" s="48">
        <f t="shared" si="1"/>
        <v>4960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11</v>
      </c>
      <c r="D13" s="48">
        <f t="shared" si="1"/>
        <v>3377</v>
      </c>
      <c r="F13" s="130" t="s">
        <v>36</v>
      </c>
      <c r="G13" s="131"/>
      <c r="H13" s="132">
        <f>D29</f>
        <v>349583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14</v>
      </c>
      <c r="D14" s="31">
        <f t="shared" si="1"/>
        <v>154</v>
      </c>
      <c r="F14" s="135" t="s">
        <v>39</v>
      </c>
      <c r="G14" s="136"/>
      <c r="H14" s="137">
        <f>D54</f>
        <v>60138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289445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678+1350+360</f>
        <v>2388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349583</v>
      </c>
      <c r="F29" s="153" t="s">
        <v>55</v>
      </c>
      <c r="G29" s="154"/>
      <c r="H29" s="157">
        <f>H15-H16-H17-H18-H19-H20-H22-H23-H24+H26+H27</f>
        <v>287007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85">
        <f>F34*G34</f>
        <v>116000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85">
        <f>F35*G35</f>
        <v>10500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85">
        <f t="shared" si="2"/>
        <v>5900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85">
        <f t="shared" si="2"/>
        <v>1150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6</v>
      </c>
      <c r="D42" s="12">
        <f>C42*2.25</f>
        <v>13.5</v>
      </c>
      <c r="F42" s="39" t="s">
        <v>79</v>
      </c>
      <c r="G42" s="185">
        <v>160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69">
        <v>153409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31</v>
      </c>
      <c r="D46" s="12">
        <f>C46*1.5</f>
        <v>46.5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3</v>
      </c>
      <c r="D49" s="12">
        <f>C49*42</f>
        <v>126</v>
      </c>
      <c r="F49" s="210" t="s">
        <v>86</v>
      </c>
      <c r="G49" s="157">
        <f>H34+H35+H36+H37+H38+H39+H40+H41+G42+H44+H45+H46</f>
        <v>287119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19</v>
      </c>
      <c r="D50" s="12">
        <f>C50*1.5</f>
        <v>28.5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112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431</v>
      </c>
      <c r="D6" s="13">
        <f t="shared" ref="D6:D28" si="1">C6*L6</f>
        <v>327991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4</v>
      </c>
      <c r="D9" s="13">
        <f t="shared" si="1"/>
        <v>2932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15</v>
      </c>
      <c r="D13" s="48">
        <f t="shared" si="1"/>
        <v>4605</v>
      </c>
      <c r="F13" s="130" t="s">
        <v>36</v>
      </c>
      <c r="G13" s="131"/>
      <c r="H13" s="132">
        <f>D29</f>
        <v>335528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78331.5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257196.5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378*6</f>
        <v>2268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335528</v>
      </c>
      <c r="F29" s="153" t="s">
        <v>55</v>
      </c>
      <c r="G29" s="154"/>
      <c r="H29" s="157">
        <f>H15-H16-H17-H18-H19-H20-H22-H23-H24+H26+H27+H28</f>
        <v>254928.5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85">
        <f t="shared" ref="H34:H39" si="2">F34*G34</f>
        <v>191000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85">
        <f t="shared" si="2"/>
        <v>34500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69">
        <v>24050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69">
        <v>5200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4</v>
      </c>
      <c r="D49" s="12">
        <f>C49*42</f>
        <v>168</v>
      </c>
      <c r="F49" s="210" t="s">
        <v>86</v>
      </c>
      <c r="G49" s="157">
        <f>H34+H35+H36+H37+H38+H39+H40+H41+G42+H44+H45+H46</f>
        <v>254750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-178.5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395</v>
      </c>
      <c r="D6" s="13">
        <f t="shared" ref="D6:D28" si="1">C6*L6</f>
        <v>300595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90</v>
      </c>
      <c r="D9" s="13">
        <f t="shared" si="1"/>
        <v>65970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10</v>
      </c>
      <c r="D10" s="13">
        <f t="shared" si="1"/>
        <v>10320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16</v>
      </c>
      <c r="D13" s="48">
        <f t="shared" si="1"/>
        <v>4912</v>
      </c>
      <c r="F13" s="130" t="s">
        <v>36</v>
      </c>
      <c r="G13" s="131"/>
      <c r="H13" s="132">
        <f>D29</f>
        <v>383159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17</v>
      </c>
      <c r="D14" s="31">
        <f t="shared" si="1"/>
        <v>187</v>
      </c>
      <c r="F14" s="135" t="s">
        <v>39</v>
      </c>
      <c r="G14" s="136"/>
      <c r="H14" s="137">
        <f>D54</f>
        <v>38395.5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344763.5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360*6</f>
        <v>2160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383159</v>
      </c>
      <c r="F29" s="153" t="s">
        <v>55</v>
      </c>
      <c r="G29" s="154"/>
      <c r="H29" s="157">
        <f>H15-H16-H17-H18-H19-H20-H22-H23-H24+H26+H27</f>
        <v>342603.5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85">
        <f>F34*G34</f>
        <v>77000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85">
        <f t="shared" ref="H35:H39" si="2">F35*G35</f>
        <v>12500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85">
        <f t="shared" si="2"/>
        <v>400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85">
        <f t="shared" si="2"/>
        <v>50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>
        <v>21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69">
        <v>253213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5</v>
      </c>
      <c r="D45" s="12">
        <f>C45*84</f>
        <v>420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4</v>
      </c>
      <c r="D46" s="12">
        <f>C46*1.5</f>
        <v>6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8</v>
      </c>
      <c r="D49" s="12">
        <f>C49*42</f>
        <v>336</v>
      </c>
      <c r="F49" s="210" t="s">
        <v>86</v>
      </c>
      <c r="G49" s="157">
        <f>H34+H35+H36+H37+H38+H39+H40+H41+G42+H44+H45+H46</f>
        <v>343184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20</v>
      </c>
      <c r="D50" s="12">
        <f>C50*1.5</f>
        <v>30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580.5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46093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>
        <v>363</v>
      </c>
      <c r="D6" s="13">
        <f t="shared" ref="D6:D28" si="1">C6*L6</f>
        <v>276243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>
        <v>15</v>
      </c>
      <c r="D7" s="13">
        <f t="shared" si="1"/>
        <v>11715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>
        <v>30</v>
      </c>
      <c r="D9" s="13">
        <f t="shared" si="1"/>
        <v>21990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>
        <v>2</v>
      </c>
      <c r="D10" s="13">
        <f t="shared" si="1"/>
        <v>2064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>
        <v>3</v>
      </c>
      <c r="D12" s="48">
        <f t="shared" si="1"/>
        <v>2976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>
        <v>14</v>
      </c>
      <c r="D13" s="48">
        <f t="shared" si="1"/>
        <v>4298</v>
      </c>
      <c r="F13" s="130" t="s">
        <v>36</v>
      </c>
      <c r="G13" s="131"/>
      <c r="H13" s="132">
        <f>D29</f>
        <v>320630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>
        <v>4</v>
      </c>
      <c r="D14" s="31">
        <f t="shared" si="1"/>
        <v>44</v>
      </c>
      <c r="F14" s="135" t="s">
        <v>39</v>
      </c>
      <c r="G14" s="136"/>
      <c r="H14" s="137">
        <f>D54</f>
        <v>52599.75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268030.25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942+648+300</f>
        <v>1890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320630</v>
      </c>
      <c r="F29" s="153" t="s">
        <v>55</v>
      </c>
      <c r="G29" s="154"/>
      <c r="H29" s="157">
        <f>H15-H16-H17-H18-H19-H20-H22-H23-H24+H26+H27</f>
        <v>266140.25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85">
        <f>F34*G34</f>
        <v>81000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85">
        <f>F35*G35</f>
        <v>10500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85">
        <f t="shared" ref="H36:H39" si="2">F36*G36</f>
        <v>200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85">
        <f t="shared" si="2"/>
        <v>4900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85">
        <f t="shared" si="2"/>
        <v>300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85">
        <v>19</v>
      </c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69">
        <v>65078</v>
      </c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69">
        <v>103706</v>
      </c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>
        <v>21</v>
      </c>
      <c r="D46" s="12">
        <f>C46*1.5</f>
        <v>31.5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>
        <v>1</v>
      </c>
      <c r="D49" s="12">
        <f>C49*42</f>
        <v>42</v>
      </c>
      <c r="F49" s="210" t="s">
        <v>86</v>
      </c>
      <c r="G49" s="157">
        <f>H34+H35+H36+H37+H38+H39+H40+H41+G42+H44+H45+H46</f>
        <v>265703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>
        <v>4</v>
      </c>
      <c r="D50" s="12">
        <f>C50*1.5</f>
        <v>6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-437.25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46094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46095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2" t="s">
        <v>7</v>
      </c>
      <c r="B4" s="93"/>
      <c r="C4" s="93"/>
      <c r="D4" s="94"/>
      <c r="F4" s="95" t="s">
        <v>8</v>
      </c>
      <c r="G4" s="97"/>
      <c r="H4" s="99" t="s">
        <v>9</v>
      </c>
      <c r="I4" s="101"/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06"/>
      <c r="B6" s="16"/>
      <c r="C6" s="10"/>
      <c r="D6" s="13">
        <f t="shared" ref="D6:D28" si="1">C6*L6</f>
        <v>0</v>
      </c>
      <c r="F6" s="108" t="s">
        <v>16</v>
      </c>
      <c r="G6" s="110"/>
      <c r="H6" s="111"/>
      <c r="I6" s="111"/>
      <c r="J6" s="11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06"/>
      <c r="B7" s="16"/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06"/>
      <c r="B8" s="16"/>
      <c r="C8" s="10"/>
      <c r="D8" s="13">
        <f t="shared" si="1"/>
        <v>0</v>
      </c>
      <c r="F8" s="116" t="s">
        <v>21</v>
      </c>
      <c r="G8" s="118"/>
      <c r="H8" s="119"/>
      <c r="I8" s="119"/>
      <c r="J8" s="1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06"/>
      <c r="B9" s="16"/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06"/>
      <c r="C10" s="10"/>
      <c r="D10" s="13">
        <f t="shared" si="1"/>
        <v>0</v>
      </c>
      <c r="F10" s="108" t="s">
        <v>26</v>
      </c>
      <c r="G10" s="124"/>
      <c r="H10" s="125"/>
      <c r="I10" s="125"/>
      <c r="J10" s="126"/>
      <c r="K10" s="8"/>
      <c r="L10" s="6">
        <f>R36</f>
        <v>972</v>
      </c>
      <c r="P10" s="4"/>
      <c r="Q10" s="4"/>
      <c r="R10" s="5"/>
    </row>
    <row r="11" spans="1:19" ht="15.75" x14ac:dyDescent="0.25">
      <c r="A11" s="106"/>
      <c r="B11" s="17"/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06"/>
      <c r="B12" s="17"/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06"/>
      <c r="B13" s="17"/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06"/>
      <c r="B14" s="14"/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06"/>
      <c r="B15" s="14"/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0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/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/>
      <c r="C19" s="10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06"/>
      <c r="B22" s="46"/>
      <c r="C22" s="10"/>
      <c r="D22" s="48">
        <f t="shared" si="1"/>
        <v>0</v>
      </c>
      <c r="F22" s="77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/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/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06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/>
      <c r="C28" s="10"/>
      <c r="D28" s="48">
        <f t="shared" si="1"/>
        <v>0</v>
      </c>
      <c r="F28" s="86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/>
      <c r="I34" s="186"/>
      <c r="J34" s="18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/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/>
      <c r="I36" s="186"/>
      <c r="J36" s="18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/>
      <c r="I37" s="186"/>
      <c r="J37" s="18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/>
      <c r="I38" s="186"/>
      <c r="J38" s="18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/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P43" s="4"/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P50" s="4"/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1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111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144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139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133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17"/>
      <c r="I19" s="117"/>
      <c r="J19" s="117"/>
      <c r="L19" s="6">
        <v>1102</v>
      </c>
      <c r="Q19" s="4"/>
      <c r="R19" s="5">
        <f t="shared" si="0"/>
        <v>0</v>
      </c>
    </row>
    <row r="20" spans="1:18" ht="15.75" x14ac:dyDescent="0.25">
      <c r="A20" s="106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124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101</v>
      </c>
      <c r="C23" s="10"/>
      <c r="D23" s="48">
        <f t="shared" si="1"/>
        <v>0</v>
      </c>
      <c r="F23" s="77"/>
      <c r="G23" s="79"/>
      <c r="H23" s="220"/>
      <c r="I23" s="221"/>
      <c r="J23" s="22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118</v>
      </c>
      <c r="C24" s="10"/>
      <c r="D24" s="48">
        <f t="shared" si="1"/>
        <v>0</v>
      </c>
      <c r="F24" s="77"/>
      <c r="G24" s="79"/>
      <c r="H24" s="220"/>
      <c r="I24" s="221"/>
      <c r="J24" s="22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132</v>
      </c>
      <c r="C26" s="10"/>
      <c r="D26" s="48">
        <f t="shared" si="1"/>
        <v>0</v>
      </c>
      <c r="F26" s="75"/>
      <c r="G26" s="65"/>
      <c r="H26" s="169"/>
      <c r="I26" s="169"/>
      <c r="J26" s="16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110</v>
      </c>
      <c r="C27" s="10"/>
      <c r="D27" s="44">
        <f t="shared" si="1"/>
        <v>0</v>
      </c>
      <c r="F27" s="71"/>
      <c r="G27" s="89"/>
      <c r="H27" s="222"/>
      <c r="I27" s="223"/>
      <c r="J27" s="22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H15-H16-H17-H18-H19-H20-H22-H23-H24+H26+H27+H28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85">
        <f t="shared" ref="H34:H39" si="2"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si="2"/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si="2"/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84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128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2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126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113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114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93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17"/>
      <c r="I20" s="117"/>
      <c r="J20" s="11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2"/>
      <c r="G22" s="73"/>
      <c r="H22" s="167"/>
      <c r="I22" s="167"/>
      <c r="J22" s="16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25"/>
      <c r="G23" s="37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120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 t="shared" ref="H35:H39" si="2"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88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135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1" t="s">
        <v>1</v>
      </c>
      <c r="O1" s="91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2" t="s">
        <v>7</v>
      </c>
      <c r="B4" s="93"/>
      <c r="C4" s="93"/>
      <c r="D4" s="94"/>
      <c r="F4" s="95" t="s">
        <v>8</v>
      </c>
      <c r="G4" s="97">
        <v>3</v>
      </c>
      <c r="H4" s="99" t="s">
        <v>9</v>
      </c>
      <c r="I4" s="101">
        <v>46097</v>
      </c>
      <c r="J4" s="10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05" t="s">
        <v>7</v>
      </c>
      <c r="B5" s="15" t="s">
        <v>11</v>
      </c>
      <c r="C5" s="9" t="s">
        <v>12</v>
      </c>
      <c r="D5" s="25" t="s">
        <v>13</v>
      </c>
      <c r="F5" s="96"/>
      <c r="G5" s="98"/>
      <c r="H5" s="100"/>
      <c r="I5" s="103"/>
      <c r="J5" s="10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06"/>
      <c r="B6" s="16" t="s">
        <v>15</v>
      </c>
      <c r="C6" s="10"/>
      <c r="D6" s="13">
        <f t="shared" ref="D6:D28" si="1">C6*L6</f>
        <v>0</v>
      </c>
      <c r="F6" s="108" t="s">
        <v>16</v>
      </c>
      <c r="G6" s="110" t="s">
        <v>141</v>
      </c>
      <c r="H6" s="111"/>
      <c r="I6" s="111"/>
      <c r="J6" s="11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06"/>
      <c r="B7" s="16" t="s">
        <v>18</v>
      </c>
      <c r="C7" s="10"/>
      <c r="D7" s="13">
        <f t="shared" si="1"/>
        <v>0</v>
      </c>
      <c r="F7" s="109"/>
      <c r="G7" s="113"/>
      <c r="H7" s="114"/>
      <c r="I7" s="114"/>
      <c r="J7" s="11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06"/>
      <c r="B8" s="16" t="s">
        <v>20</v>
      </c>
      <c r="C8" s="10"/>
      <c r="D8" s="13">
        <f t="shared" si="1"/>
        <v>0</v>
      </c>
      <c r="F8" s="116" t="s">
        <v>21</v>
      </c>
      <c r="G8" s="118" t="s">
        <v>130</v>
      </c>
      <c r="H8" s="119"/>
      <c r="I8" s="119"/>
      <c r="J8" s="1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06"/>
      <c r="B9" s="16" t="s">
        <v>23</v>
      </c>
      <c r="C9" s="10"/>
      <c r="D9" s="13">
        <f t="shared" si="1"/>
        <v>0</v>
      </c>
      <c r="F9" s="109"/>
      <c r="G9" s="121"/>
      <c r="H9" s="122"/>
      <c r="I9" s="122"/>
      <c r="J9" s="1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06"/>
      <c r="B10" t="s">
        <v>25</v>
      </c>
      <c r="C10" s="10"/>
      <c r="D10" s="13">
        <f t="shared" si="1"/>
        <v>0</v>
      </c>
      <c r="F10" s="108" t="s">
        <v>26</v>
      </c>
      <c r="G10" s="124" t="s">
        <v>127</v>
      </c>
      <c r="H10" s="125"/>
      <c r="I10" s="125"/>
      <c r="J10" s="126"/>
      <c r="K10" s="8"/>
      <c r="L10" s="6">
        <f>R36</f>
        <v>1032</v>
      </c>
      <c r="P10" s="4"/>
      <c r="Q10" s="4"/>
      <c r="R10" s="5"/>
    </row>
    <row r="11" spans="1:18" ht="15.75" x14ac:dyDescent="0.25">
      <c r="A11" s="106"/>
      <c r="B11" s="17" t="s">
        <v>28</v>
      </c>
      <c r="C11" s="10"/>
      <c r="D11" s="13">
        <f t="shared" si="1"/>
        <v>0</v>
      </c>
      <c r="F11" s="109"/>
      <c r="G11" s="121"/>
      <c r="H11" s="122"/>
      <c r="I11" s="122"/>
      <c r="J11" s="1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06"/>
      <c r="B12" s="17" t="s">
        <v>30</v>
      </c>
      <c r="C12" s="10"/>
      <c r="D12" s="48">
        <f t="shared" si="1"/>
        <v>0</v>
      </c>
      <c r="F12" s="127" t="s">
        <v>33</v>
      </c>
      <c r="G12" s="128"/>
      <c r="H12" s="128"/>
      <c r="I12" s="128"/>
      <c r="J12" s="1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06"/>
      <c r="B13" s="17" t="s">
        <v>32</v>
      </c>
      <c r="C13" s="10"/>
      <c r="D13" s="48">
        <f t="shared" si="1"/>
        <v>0</v>
      </c>
      <c r="F13" s="130" t="s">
        <v>36</v>
      </c>
      <c r="G13" s="131"/>
      <c r="H13" s="132">
        <f>D29</f>
        <v>0</v>
      </c>
      <c r="I13" s="133"/>
      <c r="J13" s="13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06"/>
      <c r="B14" s="14" t="s">
        <v>35</v>
      </c>
      <c r="C14" s="10"/>
      <c r="D14" s="31">
        <f t="shared" si="1"/>
        <v>0</v>
      </c>
      <c r="F14" s="135" t="s">
        <v>39</v>
      </c>
      <c r="G14" s="136"/>
      <c r="H14" s="137">
        <f>D54</f>
        <v>0</v>
      </c>
      <c r="I14" s="138"/>
      <c r="J14" s="13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06"/>
      <c r="B15" s="14" t="s">
        <v>38</v>
      </c>
      <c r="C15" s="10"/>
      <c r="D15" s="31">
        <f t="shared" si="1"/>
        <v>0</v>
      </c>
      <c r="F15" s="140" t="s">
        <v>40</v>
      </c>
      <c r="G15" s="131"/>
      <c r="H15" s="141">
        <f>H13-H14</f>
        <v>0</v>
      </c>
      <c r="I15" s="142"/>
      <c r="J15" s="14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0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06"/>
      <c r="B17" t="s">
        <v>112</v>
      </c>
      <c r="C17" s="10"/>
      <c r="D17" s="48">
        <f t="shared" si="1"/>
        <v>0</v>
      </c>
      <c r="F17" s="56"/>
      <c r="G17" s="66" t="s">
        <v>45</v>
      </c>
      <c r="H17" s="117"/>
      <c r="I17" s="117"/>
      <c r="J17" s="11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0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17"/>
      <c r="I18" s="117"/>
      <c r="J18" s="11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06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06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06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4" t="s">
        <v>13</v>
      </c>
      <c r="I21" s="165"/>
      <c r="J21" s="16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06"/>
      <c r="B22" s="46" t="s">
        <v>104</v>
      </c>
      <c r="C22" s="10"/>
      <c r="D22" s="48">
        <f t="shared" si="1"/>
        <v>0</v>
      </c>
      <c r="F22" s="77"/>
      <c r="G22" s="73"/>
      <c r="H22" s="167"/>
      <c r="I22" s="167"/>
      <c r="J22" s="16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06"/>
      <c r="B23" s="14" t="s">
        <v>107</v>
      </c>
      <c r="C23" s="10"/>
      <c r="D23" s="48">
        <f t="shared" si="1"/>
        <v>0</v>
      </c>
      <c r="F23" s="78"/>
      <c r="G23" s="79"/>
      <c r="H23" s="168"/>
      <c r="I23" s="169"/>
      <c r="J23" s="16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06"/>
      <c r="B24" s="14" t="s">
        <v>101</v>
      </c>
      <c r="C24" s="10"/>
      <c r="D24" s="48">
        <f t="shared" si="1"/>
        <v>0</v>
      </c>
      <c r="F24" s="38"/>
      <c r="G24" s="37"/>
      <c r="H24" s="168"/>
      <c r="I24" s="169"/>
      <c r="J24" s="16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06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06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06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07"/>
      <c r="B28" s="46" t="s">
        <v>97</v>
      </c>
      <c r="C28" s="10"/>
      <c r="D28" s="48">
        <f t="shared" si="1"/>
        <v>0</v>
      </c>
      <c r="F28" s="86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153" t="s">
        <v>55</v>
      </c>
      <c r="G29" s="154"/>
      <c r="H29" s="157">
        <f>H15-H16-H17-H18-H19-H20-H22-H23-H24+H26+H27</f>
        <v>0</v>
      </c>
      <c r="I29" s="158"/>
      <c r="J29" s="15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155"/>
      <c r="G30" s="156"/>
      <c r="H30" s="160"/>
      <c r="I30" s="161"/>
      <c r="J30" s="162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2" t="s">
        <v>58</v>
      </c>
      <c r="B32" s="93"/>
      <c r="C32" s="93"/>
      <c r="D32" s="94"/>
      <c r="F32" s="182" t="s">
        <v>59</v>
      </c>
      <c r="G32" s="183"/>
      <c r="H32" s="183"/>
      <c r="I32" s="183"/>
      <c r="J32" s="18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2" t="s">
        <v>13</v>
      </c>
      <c r="I33" s="183"/>
      <c r="J33" s="18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0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85">
        <f>F34*G34</f>
        <v>0</v>
      </c>
      <c r="I34" s="186"/>
      <c r="J34" s="18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06"/>
      <c r="B35" s="27" t="s">
        <v>68</v>
      </c>
      <c r="C35" s="52"/>
      <c r="D35" s="30">
        <f>C35*84</f>
        <v>0</v>
      </c>
      <c r="F35" s="58">
        <v>500</v>
      </c>
      <c r="G35" s="41"/>
      <c r="H35" s="185">
        <f>F35*G35</f>
        <v>0</v>
      </c>
      <c r="I35" s="186"/>
      <c r="J35" s="18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07"/>
      <c r="B36" s="26" t="s">
        <v>70</v>
      </c>
      <c r="C36" s="10"/>
      <c r="D36" s="12">
        <f>C36*1.5</f>
        <v>0</v>
      </c>
      <c r="F36" s="12">
        <v>200</v>
      </c>
      <c r="G36" s="37"/>
      <c r="H36" s="185">
        <f t="shared" ref="H36:H39" si="2">F36*G36</f>
        <v>0</v>
      </c>
      <c r="I36" s="186"/>
      <c r="J36" s="18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0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85">
        <f t="shared" si="2"/>
        <v>0</v>
      </c>
      <c r="I37" s="186"/>
      <c r="J37" s="18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06"/>
      <c r="B38" s="29" t="s">
        <v>68</v>
      </c>
      <c r="C38" s="54"/>
      <c r="D38" s="12">
        <f>C38*84</f>
        <v>0</v>
      </c>
      <c r="F38" s="30">
        <v>50</v>
      </c>
      <c r="G38" s="39"/>
      <c r="H38" s="185">
        <f t="shared" si="2"/>
        <v>0</v>
      </c>
      <c r="I38" s="186"/>
      <c r="J38" s="18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07"/>
      <c r="B39" s="29" t="s">
        <v>70</v>
      </c>
      <c r="C39" s="52"/>
      <c r="D39" s="31">
        <f>C39*4.5</f>
        <v>0</v>
      </c>
      <c r="F39" s="12">
        <v>20</v>
      </c>
      <c r="G39" s="37"/>
      <c r="H39" s="185">
        <f t="shared" si="2"/>
        <v>0</v>
      </c>
      <c r="I39" s="186"/>
      <c r="J39" s="18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0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85"/>
      <c r="I40" s="186"/>
      <c r="J40" s="18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06"/>
      <c r="B41" s="27" t="s">
        <v>68</v>
      </c>
      <c r="C41" s="10"/>
      <c r="D41" s="12">
        <f>C41*84</f>
        <v>0</v>
      </c>
      <c r="F41" s="12">
        <v>5</v>
      </c>
      <c r="G41" s="42"/>
      <c r="H41" s="185"/>
      <c r="I41" s="186"/>
      <c r="J41" s="18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07"/>
      <c r="B42" s="27" t="s">
        <v>70</v>
      </c>
      <c r="C42" s="11"/>
      <c r="D42" s="12">
        <f>C42*2.25</f>
        <v>0</v>
      </c>
      <c r="F42" s="39" t="s">
        <v>79</v>
      </c>
      <c r="G42" s="185"/>
      <c r="H42" s="186"/>
      <c r="I42" s="186"/>
      <c r="J42" s="18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88" t="s">
        <v>81</v>
      </c>
      <c r="C43" s="11"/>
      <c r="D43" s="12"/>
      <c r="F43" s="59" t="s">
        <v>82</v>
      </c>
      <c r="G43" s="89" t="s">
        <v>83</v>
      </c>
      <c r="H43" s="191" t="s">
        <v>13</v>
      </c>
      <c r="I43" s="192"/>
      <c r="J43" s="19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89"/>
      <c r="B44" s="27" t="s">
        <v>66</v>
      </c>
      <c r="C44" s="10"/>
      <c r="D44" s="12">
        <f>C44*120</f>
        <v>0</v>
      </c>
      <c r="F44" s="37"/>
      <c r="G44" s="76"/>
      <c r="H44" s="169"/>
      <c r="I44" s="169"/>
      <c r="J44" s="16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89"/>
      <c r="B45" s="27" t="s">
        <v>68</v>
      </c>
      <c r="C45" s="33"/>
      <c r="D45" s="12">
        <f>C45*84</f>
        <v>0</v>
      </c>
      <c r="F45" s="37"/>
      <c r="G45" s="76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89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90"/>
      <c r="B47" s="27"/>
      <c r="C47" s="11"/>
      <c r="D47" s="12"/>
      <c r="F47" s="59"/>
      <c r="G47" s="59"/>
      <c r="H47" s="195"/>
      <c r="I47" s="196"/>
      <c r="J47" s="197"/>
      <c r="K47" s="21"/>
      <c r="P47" s="4"/>
      <c r="Q47" s="4"/>
      <c r="R47" s="5"/>
    </row>
    <row r="48" spans="1:18" ht="15" customHeight="1" x14ac:dyDescent="0.25">
      <c r="A48" s="188" t="s">
        <v>32</v>
      </c>
      <c r="B48" s="27" t="s">
        <v>66</v>
      </c>
      <c r="C48" s="10"/>
      <c r="D48" s="12">
        <f>C48*78</f>
        <v>0</v>
      </c>
      <c r="F48" s="59"/>
      <c r="G48" s="59"/>
      <c r="H48" s="195"/>
      <c r="I48" s="196"/>
      <c r="J48" s="19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89"/>
      <c r="B49" s="29" t="s">
        <v>68</v>
      </c>
      <c r="C49" s="33"/>
      <c r="D49" s="12">
        <f>C49*42</f>
        <v>0</v>
      </c>
      <c r="F49" s="210" t="s">
        <v>86</v>
      </c>
      <c r="G49" s="157">
        <f>H34+H35+H36+H37+H38+H39+H40+H41+G42+H44+H45+H46</f>
        <v>0</v>
      </c>
      <c r="H49" s="158"/>
      <c r="I49" s="158"/>
      <c r="J49" s="15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89"/>
      <c r="B50" s="32" t="s">
        <v>70</v>
      </c>
      <c r="C50" s="11"/>
      <c r="D50" s="12">
        <f>C50*1.5</f>
        <v>0</v>
      </c>
      <c r="F50" s="211"/>
      <c r="G50" s="160"/>
      <c r="H50" s="161"/>
      <c r="I50" s="161"/>
      <c r="J50" s="162"/>
      <c r="O50" t="s">
        <v>137</v>
      </c>
      <c r="P50" s="4">
        <v>1204</v>
      </c>
      <c r="Q50" s="4"/>
      <c r="R50" s="5"/>
    </row>
    <row r="51" spans="1:18" ht="15" customHeight="1" x14ac:dyDescent="0.25">
      <c r="A51" s="189"/>
      <c r="B51" s="27"/>
      <c r="C51" s="10"/>
      <c r="D51" s="31"/>
      <c r="F51" s="212" t="s">
        <v>138</v>
      </c>
      <c r="G51" s="214">
        <f>G49-H29</f>
        <v>0</v>
      </c>
      <c r="H51" s="215"/>
      <c r="I51" s="215"/>
      <c r="J51" s="21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89"/>
      <c r="B52" s="29"/>
      <c r="C52" s="33"/>
      <c r="D52" s="45"/>
      <c r="F52" s="213"/>
      <c r="G52" s="217"/>
      <c r="H52" s="218"/>
      <c r="I52" s="218"/>
      <c r="J52" s="21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3" t="s">
        <v>90</v>
      </c>
      <c r="B54" s="198"/>
      <c r="C54" s="199"/>
      <c r="D54" s="2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55"/>
      <c r="B55" s="200"/>
      <c r="C55" s="201"/>
      <c r="D55" s="2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4" t="s">
        <v>91</v>
      </c>
      <c r="B58" s="205"/>
      <c r="C58" s="205"/>
      <c r="D58" s="206"/>
      <c r="F58" s="204" t="s">
        <v>92</v>
      </c>
      <c r="G58" s="205"/>
      <c r="H58" s="205"/>
      <c r="I58" s="205"/>
      <c r="J58" s="206"/>
    </row>
    <row r="59" spans="1:18" x14ac:dyDescent="0.25">
      <c r="A59" s="207"/>
      <c r="B59" s="208"/>
      <c r="C59" s="208"/>
      <c r="D59" s="209"/>
      <c r="F59" s="207"/>
      <c r="G59" s="208"/>
      <c r="H59" s="208"/>
      <c r="I59" s="208"/>
      <c r="J59" s="2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2026-03-12T23:57:49Z</cp:lastPrinted>
  <dcterms:created xsi:type="dcterms:W3CDTF">2024-09-01T23:36:50Z</dcterms:created>
  <dcterms:modified xsi:type="dcterms:W3CDTF">2026-03-12T23:58:44Z</dcterms:modified>
</cp:coreProperties>
</file>