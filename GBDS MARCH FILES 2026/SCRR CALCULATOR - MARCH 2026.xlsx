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CE62F271-EA8C-4B03-86AF-747D6977ADEA}" xr6:coauthVersionLast="45" xr6:coauthVersionMax="47" xr10:uidLastSave="{00000000-0000-0000-0000-000000000000}"/>
  <bookViews>
    <workbookView xWindow="-120" yWindow="-120" windowWidth="29040" windowHeight="15840" firstSheet="7" activeTab="12" xr2:uid="{00000000-000D-0000-FFFF-FFFF00000000}"/>
  </bookViews>
  <sheets>
    <sheet name="(March 2026)" sheetId="814" r:id="rId1"/>
    <sheet name="(2)" sheetId="1818" r:id="rId2"/>
    <sheet name="03,02 R1" sheetId="1819" r:id="rId3"/>
    <sheet name="03,02 R2" sheetId="1820" r:id="rId4"/>
    <sheet name="03,02 R3" sheetId="1821" r:id="rId5"/>
    <sheet name="(3)" sheetId="1842" r:id="rId6"/>
    <sheet name="03,03 R1" sheetId="1843" r:id="rId7"/>
    <sheet name="03,03 R2" sheetId="1844" r:id="rId8"/>
    <sheet name="03,03 R3" sheetId="1845" r:id="rId9"/>
    <sheet name="(4)" sheetId="1846" r:id="rId10"/>
    <sheet name="04,03 R1" sheetId="1847" r:id="rId11"/>
    <sheet name="04,03 R2" sheetId="1848" r:id="rId12"/>
    <sheet name="04,03 R3" sheetId="1849" r:id="rId13"/>
    <sheet name="(5)" sheetId="1850" r:id="rId14"/>
    <sheet name="05,03 R1" sheetId="1851" r:id="rId15"/>
    <sheet name="05,03 R2" sheetId="1852" r:id="rId16"/>
    <sheet name="05,03 R3" sheetId="1853" r:id="rId17"/>
    <sheet name="(6)" sheetId="1854" r:id="rId18"/>
    <sheet name="06,03 R1" sheetId="1855" r:id="rId19"/>
    <sheet name="06,03 R2" sheetId="1856" r:id="rId20"/>
    <sheet name="06,03 R3" sheetId="1857" r:id="rId21"/>
    <sheet name="(7)" sheetId="1858" r:id="rId22"/>
    <sheet name="07,03 R1" sheetId="1859" r:id="rId23"/>
    <sheet name="07,03 R2" sheetId="1860" r:id="rId24"/>
    <sheet name="07,03 R3" sheetId="1861" r:id="rId25"/>
    <sheet name="(9)" sheetId="1862" r:id="rId26"/>
    <sheet name="09,03 R1" sheetId="1863" r:id="rId27"/>
    <sheet name="09,03 R2" sheetId="1864" r:id="rId28"/>
    <sheet name="09,03 R3" sheetId="1865" r:id="rId29"/>
  </sheets>
  <definedNames>
    <definedName name="_xlnm.Print_Area" localSheetId="1">'(2)'!$A$1:$J$60</definedName>
    <definedName name="_xlnm.Print_Area" localSheetId="5">'(3)'!$A$1:$J$60</definedName>
    <definedName name="_xlnm.Print_Area" localSheetId="9">'(4)'!$A$1:$J$60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5">'(9)'!$A$1:$J$60</definedName>
    <definedName name="_xlnm.Print_Area" localSheetId="2">'03,02 R1'!$A$1:$J$60</definedName>
    <definedName name="_xlnm.Print_Area" localSheetId="3">'03,02 R2'!$A$1:$J$60</definedName>
    <definedName name="_xlnm.Print_Area" localSheetId="4">'03,02 R3'!$A$1:$J$60</definedName>
    <definedName name="_xlnm.Print_Area" localSheetId="6">'03,03 R1'!$A$1:$J$60</definedName>
    <definedName name="_xlnm.Print_Area" localSheetId="7">'03,03 R2'!$A$1:$J$60</definedName>
    <definedName name="_xlnm.Print_Area" localSheetId="8">'03,03 R3'!$A$1:$J$60</definedName>
    <definedName name="_xlnm.Print_Area" localSheetId="10">'04,03 R1'!$A$1:$J$60</definedName>
    <definedName name="_xlnm.Print_Area" localSheetId="11">'04,03 R2'!$A$1:$J$60</definedName>
    <definedName name="_xlnm.Print_Area" localSheetId="12">'04,03 R3'!$A$1:$J$60</definedName>
    <definedName name="_xlnm.Print_Area" localSheetId="14">'05,03 R1'!$A$1:$J$60</definedName>
    <definedName name="_xlnm.Print_Area" localSheetId="15">'05,03 R2'!$A$1:$J$60</definedName>
    <definedName name="_xlnm.Print_Area" localSheetId="16">'05,03 R3'!$A$1:$J$60</definedName>
    <definedName name="_xlnm.Print_Area" localSheetId="18">'06,03 R1'!$A$1:$J$60</definedName>
    <definedName name="_xlnm.Print_Area" localSheetId="19">'06,03 R2'!$A$1:$J$60</definedName>
    <definedName name="_xlnm.Print_Area" localSheetId="20">'06,03 R3'!$A$1:$J$60</definedName>
    <definedName name="_xlnm.Print_Area" localSheetId="22">'07,03 R1'!$A$1:$J$60</definedName>
    <definedName name="_xlnm.Print_Area" localSheetId="23">'07,03 R2'!$A$1:$J$60</definedName>
    <definedName name="_xlnm.Print_Area" localSheetId="24">'07,03 R3'!$A$1:$J$60</definedName>
    <definedName name="_xlnm.Print_Area" localSheetId="26">'09,03 R1'!$A$1:$J$60</definedName>
    <definedName name="_xlnm.Print_Area" localSheetId="27">'09,03 R2'!$A$1:$J$60</definedName>
    <definedName name="_xlnm.Print_Area" localSheetId="28">'09,03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848" l="1"/>
  <c r="H16" i="1847"/>
  <c r="H16" i="1849"/>
  <c r="H16" i="1844" l="1"/>
  <c r="H16" i="1845"/>
  <c r="C21" i="1843"/>
  <c r="H16" i="1821" l="1"/>
  <c r="H16" i="1820"/>
  <c r="L25" i="1820"/>
  <c r="L24" i="1820"/>
  <c r="H16" i="1819" l="1"/>
  <c r="R52" i="1865" l="1"/>
  <c r="R51" i="1865"/>
  <c r="D50" i="1865"/>
  <c r="R49" i="1865"/>
  <c r="D49" i="1865"/>
  <c r="R48" i="1865"/>
  <c r="D48" i="1865"/>
  <c r="D46" i="1865"/>
  <c r="D45" i="1865"/>
  <c r="R44" i="1865"/>
  <c r="D44" i="1865"/>
  <c r="R42" i="1865"/>
  <c r="L6" i="1865" s="1"/>
  <c r="D6" i="1865" s="1"/>
  <c r="D29" i="1865" s="1"/>
  <c r="H13" i="1865" s="1"/>
  <c r="H15" i="1865" s="1"/>
  <c r="H29" i="1865" s="1"/>
  <c r="D42" i="1865"/>
  <c r="R41" i="1865"/>
  <c r="L7" i="1865" s="1"/>
  <c r="D7" i="1865" s="1"/>
  <c r="D41" i="1865"/>
  <c r="R40" i="1865"/>
  <c r="D40" i="1865"/>
  <c r="R39" i="1865"/>
  <c r="H39" i="1865"/>
  <c r="D39" i="1865"/>
  <c r="R38" i="1865"/>
  <c r="H38" i="1865"/>
  <c r="D38" i="1865"/>
  <c r="R37" i="1865"/>
  <c r="H37" i="1865"/>
  <c r="D37" i="1865"/>
  <c r="R36" i="1865"/>
  <c r="H36" i="1865"/>
  <c r="G49" i="1865" s="1"/>
  <c r="D36" i="1865"/>
  <c r="D54" i="1865" s="1"/>
  <c r="H14" i="1865" s="1"/>
  <c r="R35" i="1865"/>
  <c r="L19" i="1865" s="1"/>
  <c r="D19" i="1865" s="1"/>
  <c r="H35" i="1865"/>
  <c r="D35" i="1865"/>
  <c r="R34" i="1865"/>
  <c r="L12" i="1865" s="1"/>
  <c r="D12" i="1865" s="1"/>
  <c r="H34" i="1865"/>
  <c r="D34" i="1865"/>
  <c r="R33" i="1865"/>
  <c r="R32" i="1865"/>
  <c r="R31" i="1865"/>
  <c r="R30" i="1865"/>
  <c r="R29" i="1865"/>
  <c r="R28" i="1865"/>
  <c r="L28" i="1865"/>
  <c r="D28" i="1865"/>
  <c r="R27" i="1865"/>
  <c r="D27" i="1865"/>
  <c r="R26" i="1865"/>
  <c r="L26" i="1865"/>
  <c r="D26" i="1865" s="1"/>
  <c r="R25" i="1865"/>
  <c r="L25" i="1865"/>
  <c r="D25" i="1865" s="1"/>
  <c r="R24" i="1865"/>
  <c r="D24" i="1865"/>
  <c r="R23" i="1865"/>
  <c r="L23" i="1865"/>
  <c r="D23" i="1865"/>
  <c r="R22" i="1865"/>
  <c r="L22" i="1865"/>
  <c r="D22" i="1865"/>
  <c r="R21" i="1865"/>
  <c r="D21" i="1865"/>
  <c r="R20" i="1865"/>
  <c r="L20" i="1865"/>
  <c r="D20" i="1865" s="1"/>
  <c r="R19" i="1865"/>
  <c r="R18" i="1865"/>
  <c r="D18" i="1865"/>
  <c r="R17" i="1865"/>
  <c r="D17" i="1865"/>
  <c r="R16" i="1865"/>
  <c r="L16" i="1865"/>
  <c r="D16" i="1865"/>
  <c r="R15" i="1865"/>
  <c r="D15" i="1865"/>
  <c r="R14" i="1865"/>
  <c r="D14" i="1865"/>
  <c r="R13" i="1865"/>
  <c r="D13" i="1865"/>
  <c r="R12" i="1865"/>
  <c r="R11" i="1865"/>
  <c r="L11" i="1865"/>
  <c r="D11" i="1865"/>
  <c r="L10" i="1865"/>
  <c r="D10" i="1865"/>
  <c r="L9" i="1865"/>
  <c r="D9" i="1865" s="1"/>
  <c r="L8" i="1865"/>
  <c r="D8" i="1865"/>
  <c r="R6" i="1865"/>
  <c r="R5" i="1865"/>
  <c r="R4" i="1865"/>
  <c r="R52" i="1864"/>
  <c r="R51" i="1864"/>
  <c r="D50" i="1864"/>
  <c r="R49" i="1864"/>
  <c r="D49" i="1864"/>
  <c r="R48" i="1864"/>
  <c r="D48" i="1864"/>
  <c r="D46" i="1864"/>
  <c r="D45" i="1864"/>
  <c r="R44" i="1864"/>
  <c r="D44" i="1864"/>
  <c r="R42" i="1864"/>
  <c r="L6" i="1864" s="1"/>
  <c r="D6" i="1864" s="1"/>
  <c r="D42" i="1864"/>
  <c r="R41" i="1864"/>
  <c r="D41" i="1864"/>
  <c r="R40" i="1864"/>
  <c r="D40" i="1864"/>
  <c r="R39" i="1864"/>
  <c r="H39" i="1864"/>
  <c r="D39" i="1864"/>
  <c r="R38" i="1864"/>
  <c r="L9" i="1864" s="1"/>
  <c r="D9" i="1864" s="1"/>
  <c r="H38" i="1864"/>
  <c r="D38" i="1864"/>
  <c r="R37" i="1864"/>
  <c r="H37" i="1864"/>
  <c r="D37" i="1864"/>
  <c r="R36" i="1864"/>
  <c r="L10" i="1864" s="1"/>
  <c r="D10" i="1864" s="1"/>
  <c r="H36" i="1864"/>
  <c r="D36" i="1864"/>
  <c r="R35" i="1864"/>
  <c r="H35" i="1864"/>
  <c r="D35" i="1864"/>
  <c r="R34" i="1864"/>
  <c r="H34" i="1864"/>
  <c r="G49" i="1864" s="1"/>
  <c r="D34" i="1864"/>
  <c r="D54" i="1864" s="1"/>
  <c r="H14" i="1864" s="1"/>
  <c r="R33" i="1864"/>
  <c r="R32" i="1864"/>
  <c r="R31" i="1864"/>
  <c r="R30" i="1864"/>
  <c r="R29" i="1864"/>
  <c r="R28" i="1864"/>
  <c r="L28" i="1864"/>
  <c r="D28" i="1864"/>
  <c r="R27" i="1864"/>
  <c r="D27" i="1864"/>
  <c r="R26" i="1864"/>
  <c r="L26" i="1864"/>
  <c r="D26" i="1864" s="1"/>
  <c r="R25" i="1864"/>
  <c r="L25" i="1864"/>
  <c r="D25" i="1864"/>
  <c r="R24" i="1864"/>
  <c r="L24" i="1864"/>
  <c r="D24" i="1864"/>
  <c r="R23" i="1864"/>
  <c r="L23" i="1864"/>
  <c r="D23" i="1864" s="1"/>
  <c r="R22" i="1864"/>
  <c r="L22" i="1864"/>
  <c r="D22" i="1864" s="1"/>
  <c r="R21" i="1864"/>
  <c r="D21" i="1864"/>
  <c r="R20" i="1864"/>
  <c r="L20" i="1864"/>
  <c r="D20" i="1864" s="1"/>
  <c r="R19" i="1864"/>
  <c r="L19" i="1864"/>
  <c r="D19" i="1864" s="1"/>
  <c r="R18" i="1864"/>
  <c r="D18" i="1864"/>
  <c r="R17" i="1864"/>
  <c r="L17" i="1864"/>
  <c r="D17" i="1864" s="1"/>
  <c r="R16" i="1864"/>
  <c r="L16" i="1864"/>
  <c r="D16" i="1864" s="1"/>
  <c r="R15" i="1864"/>
  <c r="D15" i="1864"/>
  <c r="R14" i="1864"/>
  <c r="D14" i="1864"/>
  <c r="R13" i="1864"/>
  <c r="D13" i="1864"/>
  <c r="R12" i="1864"/>
  <c r="L12" i="1864"/>
  <c r="D12" i="1864" s="1"/>
  <c r="R11" i="1864"/>
  <c r="L11" i="1864"/>
  <c r="D11" i="1864"/>
  <c r="L8" i="1864"/>
  <c r="D8" i="1864" s="1"/>
  <c r="L7" i="1864"/>
  <c r="D7" i="1864"/>
  <c r="R6" i="1864"/>
  <c r="R5" i="1864"/>
  <c r="R4" i="1864"/>
  <c r="R52" i="1863"/>
  <c r="R51" i="1863"/>
  <c r="D50" i="1863"/>
  <c r="R49" i="1863"/>
  <c r="D49" i="1863"/>
  <c r="R48" i="1863"/>
  <c r="D48" i="1863"/>
  <c r="D46" i="1863"/>
  <c r="D45" i="1863"/>
  <c r="R44" i="1863"/>
  <c r="L28" i="1863" s="1"/>
  <c r="D28" i="1863" s="1"/>
  <c r="D44" i="1863"/>
  <c r="R42" i="1863"/>
  <c r="L6" i="1863" s="1"/>
  <c r="D6" i="1863" s="1"/>
  <c r="D42" i="1863"/>
  <c r="R41" i="1863"/>
  <c r="D41" i="1863"/>
  <c r="R40" i="1863"/>
  <c r="L8" i="1863" s="1"/>
  <c r="D8" i="1863" s="1"/>
  <c r="D40" i="1863"/>
  <c r="R39" i="1863"/>
  <c r="H39" i="1863"/>
  <c r="D39" i="1863"/>
  <c r="R38" i="1863"/>
  <c r="H38" i="1863"/>
  <c r="D38" i="1863"/>
  <c r="R37" i="1863"/>
  <c r="H37" i="1863"/>
  <c r="D37" i="1863"/>
  <c r="R36" i="1863"/>
  <c r="L10" i="1863" s="1"/>
  <c r="D10" i="1863" s="1"/>
  <c r="H36" i="1863"/>
  <c r="G49" i="1863" s="1"/>
  <c r="D36" i="1863"/>
  <c r="R35" i="1863"/>
  <c r="H35" i="1863"/>
  <c r="D35" i="1863"/>
  <c r="R34" i="1863"/>
  <c r="H34" i="1863"/>
  <c r="D34" i="1863"/>
  <c r="D54" i="1863" s="1"/>
  <c r="H14" i="1863" s="1"/>
  <c r="R33" i="1863"/>
  <c r="R32" i="1863"/>
  <c r="R31" i="1863"/>
  <c r="R30" i="1863"/>
  <c r="R29" i="1863"/>
  <c r="R28" i="1863"/>
  <c r="L16" i="1863" s="1"/>
  <c r="D16" i="1863" s="1"/>
  <c r="R27" i="1863"/>
  <c r="D27" i="1863"/>
  <c r="R26" i="1863"/>
  <c r="L26" i="1863"/>
  <c r="D26" i="1863" s="1"/>
  <c r="R25" i="1863"/>
  <c r="L25" i="1863"/>
  <c r="D25" i="1863" s="1"/>
  <c r="R24" i="1863"/>
  <c r="L24" i="1863"/>
  <c r="D24" i="1863"/>
  <c r="R23" i="1863"/>
  <c r="D23" i="1863"/>
  <c r="R22" i="1863"/>
  <c r="D22" i="1863"/>
  <c r="R21" i="1863"/>
  <c r="D21" i="1863"/>
  <c r="R20" i="1863"/>
  <c r="L20" i="1863"/>
  <c r="D20" i="1863" s="1"/>
  <c r="R19" i="1863"/>
  <c r="D19" i="1863"/>
  <c r="R18" i="1863"/>
  <c r="D18" i="1863"/>
  <c r="R17" i="1863"/>
  <c r="L17" i="1863"/>
  <c r="D17" i="1863"/>
  <c r="R16" i="1863"/>
  <c r="R15" i="1863"/>
  <c r="D15" i="1863"/>
  <c r="R14" i="1863"/>
  <c r="D14" i="1863"/>
  <c r="R13" i="1863"/>
  <c r="D13" i="1863"/>
  <c r="R12" i="1863"/>
  <c r="L12" i="1863"/>
  <c r="D12" i="1863"/>
  <c r="R11" i="1863"/>
  <c r="L11" i="1863"/>
  <c r="D11" i="1863"/>
  <c r="L9" i="1863"/>
  <c r="D9" i="1863" s="1"/>
  <c r="L7" i="1863"/>
  <c r="D7" i="1863" s="1"/>
  <c r="R6" i="1863"/>
  <c r="R5" i="1863"/>
  <c r="R4" i="1863"/>
  <c r="R52" i="1862"/>
  <c r="R51" i="1862"/>
  <c r="D50" i="1862"/>
  <c r="R49" i="1862"/>
  <c r="G49" i="1862"/>
  <c r="D49" i="1862"/>
  <c r="R48" i="1862"/>
  <c r="D48" i="1862"/>
  <c r="D46" i="1862"/>
  <c r="D45" i="1862"/>
  <c r="D44" i="1862"/>
  <c r="R42" i="1862"/>
  <c r="D42" i="1862"/>
  <c r="R41" i="1862"/>
  <c r="L7" i="1862" s="1"/>
  <c r="D7" i="1862" s="1"/>
  <c r="D41" i="1862"/>
  <c r="R40" i="1862"/>
  <c r="D40" i="1862"/>
  <c r="R39" i="1862"/>
  <c r="D39" i="1862"/>
  <c r="R38" i="1862"/>
  <c r="D38" i="1862"/>
  <c r="R37" i="1862"/>
  <c r="D37" i="1862"/>
  <c r="R36" i="1862"/>
  <c r="L10" i="1862" s="1"/>
  <c r="D10" i="1862" s="1"/>
  <c r="D36" i="1862"/>
  <c r="R35" i="1862"/>
  <c r="D35" i="1862"/>
  <c r="R34" i="1862"/>
  <c r="L12" i="1862" s="1"/>
  <c r="D12" i="1862" s="1"/>
  <c r="D34" i="1862"/>
  <c r="D54" i="1862" s="1"/>
  <c r="H14" i="1862" s="1"/>
  <c r="R33" i="1862"/>
  <c r="L23" i="1862" s="1"/>
  <c r="D23" i="1862" s="1"/>
  <c r="R32" i="1862"/>
  <c r="R31" i="1862"/>
  <c r="R30" i="1862"/>
  <c r="R29" i="1862"/>
  <c r="R28" i="1862"/>
  <c r="L16" i="1862" s="1"/>
  <c r="D16" i="1862" s="1"/>
  <c r="D28" i="1862"/>
  <c r="R27" i="1862"/>
  <c r="D27" i="1862"/>
  <c r="R26" i="1862"/>
  <c r="L26" i="1862"/>
  <c r="D26" i="1862"/>
  <c r="R25" i="1862"/>
  <c r="L25" i="1862"/>
  <c r="D25" i="1862"/>
  <c r="R24" i="1862"/>
  <c r="D24" i="1862"/>
  <c r="R23" i="1862"/>
  <c r="R22" i="1862"/>
  <c r="L22" i="1862"/>
  <c r="D22" i="1862" s="1"/>
  <c r="R21" i="1862"/>
  <c r="D21" i="1862"/>
  <c r="R20" i="1862"/>
  <c r="L20" i="1862"/>
  <c r="D20" i="1862"/>
  <c r="R19" i="1862"/>
  <c r="L19" i="1862"/>
  <c r="D19" i="1862"/>
  <c r="R18" i="1862"/>
  <c r="D18" i="1862"/>
  <c r="R17" i="1862"/>
  <c r="D17" i="1862"/>
  <c r="R16" i="1862"/>
  <c r="S15" i="1862"/>
  <c r="R15" i="1862"/>
  <c r="D15" i="1862"/>
  <c r="S14" i="1862"/>
  <c r="R14" i="1862"/>
  <c r="D14" i="1862"/>
  <c r="R13" i="1862"/>
  <c r="D13" i="1862"/>
  <c r="R12" i="1862"/>
  <c r="R11" i="1862"/>
  <c r="L11" i="1862"/>
  <c r="D11" i="1862" s="1"/>
  <c r="L9" i="1862"/>
  <c r="D9" i="1862" s="1"/>
  <c r="L8" i="1862"/>
  <c r="D8" i="1862" s="1"/>
  <c r="R6" i="1862"/>
  <c r="L6" i="1862"/>
  <c r="D6" i="1862" s="1"/>
  <c r="D29" i="1862" s="1"/>
  <c r="H13" i="1862" s="1"/>
  <c r="H15" i="1862" s="1"/>
  <c r="H29" i="1862" s="1"/>
  <c r="R5" i="1862"/>
  <c r="R4" i="1862"/>
  <c r="R52" i="1861"/>
  <c r="R51" i="1861"/>
  <c r="D50" i="1861"/>
  <c r="R49" i="1861"/>
  <c r="D49" i="1861"/>
  <c r="R48" i="1861"/>
  <c r="D48" i="1861"/>
  <c r="D46" i="1861"/>
  <c r="D45" i="1861"/>
  <c r="R44" i="1861"/>
  <c r="L28" i="1861" s="1"/>
  <c r="D28" i="1861" s="1"/>
  <c r="D44" i="1861"/>
  <c r="R42" i="1861"/>
  <c r="L6" i="1861" s="1"/>
  <c r="D6" i="1861" s="1"/>
  <c r="D29" i="1861" s="1"/>
  <c r="H13" i="1861" s="1"/>
  <c r="H15" i="1861" s="1"/>
  <c r="H29" i="1861" s="1"/>
  <c r="D42" i="1861"/>
  <c r="R41" i="1861"/>
  <c r="D41" i="1861"/>
  <c r="R40" i="1861"/>
  <c r="D40" i="1861"/>
  <c r="R39" i="1861"/>
  <c r="H39" i="1861"/>
  <c r="D39" i="1861"/>
  <c r="R38" i="1861"/>
  <c r="H38" i="1861"/>
  <c r="D38" i="1861"/>
  <c r="R37" i="1861"/>
  <c r="H37" i="1861"/>
  <c r="D37" i="1861"/>
  <c r="D54" i="1861" s="1"/>
  <c r="H14" i="1861" s="1"/>
  <c r="R36" i="1861"/>
  <c r="L10" i="1861" s="1"/>
  <c r="D10" i="1861" s="1"/>
  <c r="H36" i="1861"/>
  <c r="D36" i="1861"/>
  <c r="R35" i="1861"/>
  <c r="L19" i="1861" s="1"/>
  <c r="D19" i="1861" s="1"/>
  <c r="H35" i="1861"/>
  <c r="D35" i="1861"/>
  <c r="R34" i="1861"/>
  <c r="H34" i="1861"/>
  <c r="G49" i="1861" s="1"/>
  <c r="D34" i="1861"/>
  <c r="R33" i="1861"/>
  <c r="R32" i="1861"/>
  <c r="R31" i="1861"/>
  <c r="R30" i="1861"/>
  <c r="R29" i="1861"/>
  <c r="R28" i="1861"/>
  <c r="L16" i="1861" s="1"/>
  <c r="D16" i="1861" s="1"/>
  <c r="R27" i="1861"/>
  <c r="D27" i="1861"/>
  <c r="R26" i="1861"/>
  <c r="L26" i="1861"/>
  <c r="D26" i="1861"/>
  <c r="R25" i="1861"/>
  <c r="L25" i="1861"/>
  <c r="D25" i="1861"/>
  <c r="R24" i="1861"/>
  <c r="D24" i="1861"/>
  <c r="R23" i="1861"/>
  <c r="L23" i="1861"/>
  <c r="D23" i="1861"/>
  <c r="R22" i="1861"/>
  <c r="L22" i="1861"/>
  <c r="D22" i="1861" s="1"/>
  <c r="R21" i="1861"/>
  <c r="D21" i="1861"/>
  <c r="R20" i="1861"/>
  <c r="L20" i="1861"/>
  <c r="D20" i="1861"/>
  <c r="R19" i="1861"/>
  <c r="R18" i="1861"/>
  <c r="D18" i="1861"/>
  <c r="R17" i="1861"/>
  <c r="D17" i="1861"/>
  <c r="R16" i="1861"/>
  <c r="R15" i="1861"/>
  <c r="D15" i="1861"/>
  <c r="R14" i="1861"/>
  <c r="D14" i="1861"/>
  <c r="R13" i="1861"/>
  <c r="D13" i="1861"/>
  <c r="R12" i="1861"/>
  <c r="L12" i="1861"/>
  <c r="D12" i="1861" s="1"/>
  <c r="R11" i="1861"/>
  <c r="L11" i="1861"/>
  <c r="D11" i="1861"/>
  <c r="L9" i="1861"/>
  <c r="D9" i="1861" s="1"/>
  <c r="L8" i="1861"/>
  <c r="D8" i="1861"/>
  <c r="L7" i="1861"/>
  <c r="D7" i="1861" s="1"/>
  <c r="R6" i="1861"/>
  <c r="R5" i="1861"/>
  <c r="R4" i="1861"/>
  <c r="R52" i="1860"/>
  <c r="R51" i="1860"/>
  <c r="D50" i="1860"/>
  <c r="R49" i="1860"/>
  <c r="D49" i="1860"/>
  <c r="R48" i="1860"/>
  <c r="D48" i="1860"/>
  <c r="D46" i="1860"/>
  <c r="D45" i="1860"/>
  <c r="R44" i="1860"/>
  <c r="L28" i="1860" s="1"/>
  <c r="D28" i="1860" s="1"/>
  <c r="D44" i="1860"/>
  <c r="R42" i="1860"/>
  <c r="D42" i="1860"/>
  <c r="R41" i="1860"/>
  <c r="L7" i="1860" s="1"/>
  <c r="D7" i="1860" s="1"/>
  <c r="D41" i="1860"/>
  <c r="R40" i="1860"/>
  <c r="D40" i="1860"/>
  <c r="R39" i="1860"/>
  <c r="H39" i="1860"/>
  <c r="D39" i="1860"/>
  <c r="R38" i="1860"/>
  <c r="L9" i="1860" s="1"/>
  <c r="D9" i="1860" s="1"/>
  <c r="H38" i="1860"/>
  <c r="D38" i="1860"/>
  <c r="R37" i="1860"/>
  <c r="H37" i="1860"/>
  <c r="D37" i="1860"/>
  <c r="R36" i="1860"/>
  <c r="L10" i="1860" s="1"/>
  <c r="D10" i="1860" s="1"/>
  <c r="H36" i="1860"/>
  <c r="D36" i="1860"/>
  <c r="R35" i="1860"/>
  <c r="L19" i="1860" s="1"/>
  <c r="D19" i="1860" s="1"/>
  <c r="H35" i="1860"/>
  <c r="D35" i="1860"/>
  <c r="R34" i="1860"/>
  <c r="H34" i="1860"/>
  <c r="G49" i="1860" s="1"/>
  <c r="D34" i="1860"/>
  <c r="D54" i="1860" s="1"/>
  <c r="H14" i="1860" s="1"/>
  <c r="R33" i="1860"/>
  <c r="R32" i="1860"/>
  <c r="L11" i="1860" s="1"/>
  <c r="D11" i="1860" s="1"/>
  <c r="R31" i="1860"/>
  <c r="R30" i="1860"/>
  <c r="R29" i="1860"/>
  <c r="R28" i="1860"/>
  <c r="L16" i="1860" s="1"/>
  <c r="D16" i="1860" s="1"/>
  <c r="R27" i="1860"/>
  <c r="D27" i="1860"/>
  <c r="R26" i="1860"/>
  <c r="L26" i="1860"/>
  <c r="D26" i="1860"/>
  <c r="R25" i="1860"/>
  <c r="L25" i="1860"/>
  <c r="D25" i="1860"/>
  <c r="R24" i="1860"/>
  <c r="L24" i="1860"/>
  <c r="D24" i="1860" s="1"/>
  <c r="R23" i="1860"/>
  <c r="L23" i="1860"/>
  <c r="D23" i="1860"/>
  <c r="R22" i="1860"/>
  <c r="L22" i="1860"/>
  <c r="D22" i="1860" s="1"/>
  <c r="R21" i="1860"/>
  <c r="D21" i="1860"/>
  <c r="R20" i="1860"/>
  <c r="L20" i="1860"/>
  <c r="D20" i="1860"/>
  <c r="R19" i="1860"/>
  <c r="R18" i="1860"/>
  <c r="D18" i="1860"/>
  <c r="R17" i="1860"/>
  <c r="L17" i="1860"/>
  <c r="D17" i="1860"/>
  <c r="R16" i="1860"/>
  <c r="R15" i="1860"/>
  <c r="D15" i="1860"/>
  <c r="R14" i="1860"/>
  <c r="D14" i="1860"/>
  <c r="R13" i="1860"/>
  <c r="D13" i="1860"/>
  <c r="R12" i="1860"/>
  <c r="L12" i="1860"/>
  <c r="D12" i="1860"/>
  <c r="R11" i="1860"/>
  <c r="L8" i="1860"/>
  <c r="D8" i="1860"/>
  <c r="R6" i="1860"/>
  <c r="L6" i="1860"/>
  <c r="D6" i="1860" s="1"/>
  <c r="R5" i="1860"/>
  <c r="R4" i="1860"/>
  <c r="R52" i="1859"/>
  <c r="R51" i="1859"/>
  <c r="D50" i="1859"/>
  <c r="R49" i="1859"/>
  <c r="G49" i="1859"/>
  <c r="D49" i="1859"/>
  <c r="R48" i="1859"/>
  <c r="D48" i="1859"/>
  <c r="D46" i="1859"/>
  <c r="D45" i="1859"/>
  <c r="R44" i="1859"/>
  <c r="D44" i="1859"/>
  <c r="R42" i="1859"/>
  <c r="D42" i="1859"/>
  <c r="R41" i="1859"/>
  <c r="L7" i="1859" s="1"/>
  <c r="D7" i="1859" s="1"/>
  <c r="D41" i="1859"/>
  <c r="R40" i="1859"/>
  <c r="L8" i="1859" s="1"/>
  <c r="D8" i="1859" s="1"/>
  <c r="D40" i="1859"/>
  <c r="R39" i="1859"/>
  <c r="H39" i="1859"/>
  <c r="D39" i="1859"/>
  <c r="R38" i="1859"/>
  <c r="H38" i="1859"/>
  <c r="D38" i="1859"/>
  <c r="R37" i="1859"/>
  <c r="H37" i="1859"/>
  <c r="D37" i="1859"/>
  <c r="R36" i="1859"/>
  <c r="H36" i="1859"/>
  <c r="D36" i="1859"/>
  <c r="R35" i="1859"/>
  <c r="H35" i="1859"/>
  <c r="D35" i="1859"/>
  <c r="D54" i="1859" s="1"/>
  <c r="H14" i="1859" s="1"/>
  <c r="R34" i="1859"/>
  <c r="H34" i="1859"/>
  <c r="D34" i="1859"/>
  <c r="R33" i="1859"/>
  <c r="R32" i="1859"/>
  <c r="R31" i="1859"/>
  <c r="R30" i="1859"/>
  <c r="R29" i="1859"/>
  <c r="R28" i="1859"/>
  <c r="L28" i="1859"/>
  <c r="D28" i="1859"/>
  <c r="R27" i="1859"/>
  <c r="D27" i="1859"/>
  <c r="R26" i="1859"/>
  <c r="L26" i="1859"/>
  <c r="D26" i="1859"/>
  <c r="R25" i="1859"/>
  <c r="L25" i="1859"/>
  <c r="D25" i="1859" s="1"/>
  <c r="R24" i="1859"/>
  <c r="L24" i="1859"/>
  <c r="D24" i="1859"/>
  <c r="R23" i="1859"/>
  <c r="D23" i="1859"/>
  <c r="R22" i="1859"/>
  <c r="D22" i="1859"/>
  <c r="R21" i="1859"/>
  <c r="D21" i="1859"/>
  <c r="R20" i="1859"/>
  <c r="L20" i="1859"/>
  <c r="D20" i="1859" s="1"/>
  <c r="R19" i="1859"/>
  <c r="D19" i="1859"/>
  <c r="R18" i="1859"/>
  <c r="D18" i="1859"/>
  <c r="R17" i="1859"/>
  <c r="L17" i="1859"/>
  <c r="D17" i="1859"/>
  <c r="R16" i="1859"/>
  <c r="L16" i="1859"/>
  <c r="D16" i="1859" s="1"/>
  <c r="R15" i="1859"/>
  <c r="D15" i="1859"/>
  <c r="R14" i="1859"/>
  <c r="D14" i="1859"/>
  <c r="R13" i="1859"/>
  <c r="D13" i="1859"/>
  <c r="R12" i="1859"/>
  <c r="L12" i="1859"/>
  <c r="D12" i="1859" s="1"/>
  <c r="R11" i="1859"/>
  <c r="L11" i="1859"/>
  <c r="D11" i="1859" s="1"/>
  <c r="L10" i="1859"/>
  <c r="D10" i="1859"/>
  <c r="L9" i="1859"/>
  <c r="D9" i="1859" s="1"/>
  <c r="R6" i="1859"/>
  <c r="L6" i="1859"/>
  <c r="D6" i="1859" s="1"/>
  <c r="R5" i="1859"/>
  <c r="R4" i="1859"/>
  <c r="R52" i="1858"/>
  <c r="R51" i="1858"/>
  <c r="D50" i="1858"/>
  <c r="R49" i="1858"/>
  <c r="G49" i="1858"/>
  <c r="D49" i="1858"/>
  <c r="R48" i="1858"/>
  <c r="D48" i="1858"/>
  <c r="D46" i="1858"/>
  <c r="D45" i="1858"/>
  <c r="D44" i="1858"/>
  <c r="R42" i="1858"/>
  <c r="L6" i="1858" s="1"/>
  <c r="D6" i="1858" s="1"/>
  <c r="D42" i="1858"/>
  <c r="R41" i="1858"/>
  <c r="L7" i="1858" s="1"/>
  <c r="D7" i="1858" s="1"/>
  <c r="D41" i="1858"/>
  <c r="R40" i="1858"/>
  <c r="L8" i="1858" s="1"/>
  <c r="D8" i="1858" s="1"/>
  <c r="D40" i="1858"/>
  <c r="R39" i="1858"/>
  <c r="D39" i="1858"/>
  <c r="R38" i="1858"/>
  <c r="D38" i="1858"/>
  <c r="R37" i="1858"/>
  <c r="D37" i="1858"/>
  <c r="R36" i="1858"/>
  <c r="L10" i="1858" s="1"/>
  <c r="D10" i="1858" s="1"/>
  <c r="D36" i="1858"/>
  <c r="R35" i="1858"/>
  <c r="D35" i="1858"/>
  <c r="R34" i="1858"/>
  <c r="L12" i="1858" s="1"/>
  <c r="D12" i="1858" s="1"/>
  <c r="D34" i="1858"/>
  <c r="D54" i="1858" s="1"/>
  <c r="H14" i="1858" s="1"/>
  <c r="R33" i="1858"/>
  <c r="L23" i="1858" s="1"/>
  <c r="D23" i="1858" s="1"/>
  <c r="R32" i="1858"/>
  <c r="R31" i="1858"/>
  <c r="R30" i="1858"/>
  <c r="R29" i="1858"/>
  <c r="R28" i="1858"/>
  <c r="D28" i="1858"/>
  <c r="R27" i="1858"/>
  <c r="D27" i="1858"/>
  <c r="R26" i="1858"/>
  <c r="L26" i="1858"/>
  <c r="D26" i="1858"/>
  <c r="R25" i="1858"/>
  <c r="L25" i="1858"/>
  <c r="D25" i="1858"/>
  <c r="R24" i="1858"/>
  <c r="D24" i="1858"/>
  <c r="R23" i="1858"/>
  <c r="R22" i="1858"/>
  <c r="L22" i="1858"/>
  <c r="D22" i="1858"/>
  <c r="R21" i="1858"/>
  <c r="D21" i="1858"/>
  <c r="R20" i="1858"/>
  <c r="L20" i="1858"/>
  <c r="D20" i="1858"/>
  <c r="R19" i="1858"/>
  <c r="L19" i="1858"/>
  <c r="D19" i="1858"/>
  <c r="R18" i="1858"/>
  <c r="D18" i="1858"/>
  <c r="R17" i="1858"/>
  <c r="D17" i="1858"/>
  <c r="R16" i="1858"/>
  <c r="L16" i="1858"/>
  <c r="D16" i="1858" s="1"/>
  <c r="S15" i="1858"/>
  <c r="R15" i="1858"/>
  <c r="D15" i="1858"/>
  <c r="S14" i="1858"/>
  <c r="R14" i="1858"/>
  <c r="D14" i="1858"/>
  <c r="R13" i="1858"/>
  <c r="D13" i="1858"/>
  <c r="R12" i="1858"/>
  <c r="R11" i="1858"/>
  <c r="L11" i="1858"/>
  <c r="D11" i="1858"/>
  <c r="L9" i="1858"/>
  <c r="D9" i="1858" s="1"/>
  <c r="R6" i="1858"/>
  <c r="R5" i="1858"/>
  <c r="R4" i="1858"/>
  <c r="R52" i="1857"/>
  <c r="R51" i="1857"/>
  <c r="D50" i="1857"/>
  <c r="R49" i="1857"/>
  <c r="D49" i="1857"/>
  <c r="R48" i="1857"/>
  <c r="D48" i="1857"/>
  <c r="D46" i="1857"/>
  <c r="D45" i="1857"/>
  <c r="R44" i="1857"/>
  <c r="D44" i="1857"/>
  <c r="R42" i="1857"/>
  <c r="L6" i="1857" s="1"/>
  <c r="D6" i="1857" s="1"/>
  <c r="D42" i="1857"/>
  <c r="R41" i="1857"/>
  <c r="D41" i="1857"/>
  <c r="R40" i="1857"/>
  <c r="D40" i="1857"/>
  <c r="R39" i="1857"/>
  <c r="H39" i="1857"/>
  <c r="D39" i="1857"/>
  <c r="R38" i="1857"/>
  <c r="L9" i="1857" s="1"/>
  <c r="D9" i="1857" s="1"/>
  <c r="H38" i="1857"/>
  <c r="D38" i="1857"/>
  <c r="R37" i="1857"/>
  <c r="H37" i="1857"/>
  <c r="D37" i="1857"/>
  <c r="R36" i="1857"/>
  <c r="H36" i="1857"/>
  <c r="D36" i="1857"/>
  <c r="R35" i="1857"/>
  <c r="H35" i="1857"/>
  <c r="D35" i="1857"/>
  <c r="R34" i="1857"/>
  <c r="L12" i="1857" s="1"/>
  <c r="D12" i="1857" s="1"/>
  <c r="H34" i="1857"/>
  <c r="G49" i="1857" s="1"/>
  <c r="D34" i="1857"/>
  <c r="D54" i="1857" s="1"/>
  <c r="H14" i="1857" s="1"/>
  <c r="R33" i="1857"/>
  <c r="R32" i="1857"/>
  <c r="R31" i="1857"/>
  <c r="R30" i="1857"/>
  <c r="R29" i="1857"/>
  <c r="R28" i="1857"/>
  <c r="L16" i="1857" s="1"/>
  <c r="D16" i="1857" s="1"/>
  <c r="L28" i="1857"/>
  <c r="D28" i="1857"/>
  <c r="R27" i="1857"/>
  <c r="D27" i="1857"/>
  <c r="R26" i="1857"/>
  <c r="L26" i="1857"/>
  <c r="D26" i="1857" s="1"/>
  <c r="R25" i="1857"/>
  <c r="L25" i="1857"/>
  <c r="D25" i="1857"/>
  <c r="R24" i="1857"/>
  <c r="D24" i="1857"/>
  <c r="R23" i="1857"/>
  <c r="L23" i="1857"/>
  <c r="D23" i="1857" s="1"/>
  <c r="R22" i="1857"/>
  <c r="L22" i="1857"/>
  <c r="D22" i="1857"/>
  <c r="R21" i="1857"/>
  <c r="D21" i="1857"/>
  <c r="R20" i="1857"/>
  <c r="L20" i="1857"/>
  <c r="D20" i="1857" s="1"/>
  <c r="R19" i="1857"/>
  <c r="L19" i="1857"/>
  <c r="D19" i="1857"/>
  <c r="R18" i="1857"/>
  <c r="D18" i="1857"/>
  <c r="R17" i="1857"/>
  <c r="D17" i="1857"/>
  <c r="R16" i="1857"/>
  <c r="R15" i="1857"/>
  <c r="D15" i="1857"/>
  <c r="R14" i="1857"/>
  <c r="D14" i="1857"/>
  <c r="R13" i="1857"/>
  <c r="D13" i="1857"/>
  <c r="R12" i="1857"/>
  <c r="R11" i="1857"/>
  <c r="L11" i="1857"/>
  <c r="D11" i="1857"/>
  <c r="L10" i="1857"/>
  <c r="D10" i="1857"/>
  <c r="L8" i="1857"/>
  <c r="D8" i="1857"/>
  <c r="L7" i="1857"/>
  <c r="D7" i="1857"/>
  <c r="R6" i="1857"/>
  <c r="R5" i="1857"/>
  <c r="R4" i="1857"/>
  <c r="R52" i="1856"/>
  <c r="R51" i="1856"/>
  <c r="D50" i="1856"/>
  <c r="R49" i="1856"/>
  <c r="D49" i="1856"/>
  <c r="R48" i="1856"/>
  <c r="D48" i="1856"/>
  <c r="D46" i="1856"/>
  <c r="D45" i="1856"/>
  <c r="R44" i="1856"/>
  <c r="L28" i="1856" s="1"/>
  <c r="D28" i="1856" s="1"/>
  <c r="D44" i="1856"/>
  <c r="R42" i="1856"/>
  <c r="D42" i="1856"/>
  <c r="R41" i="1856"/>
  <c r="D41" i="1856"/>
  <c r="R40" i="1856"/>
  <c r="D40" i="1856"/>
  <c r="R39" i="1856"/>
  <c r="H39" i="1856"/>
  <c r="D39" i="1856"/>
  <c r="R38" i="1856"/>
  <c r="H38" i="1856"/>
  <c r="D38" i="1856"/>
  <c r="R37" i="1856"/>
  <c r="H37" i="1856"/>
  <c r="D37" i="1856"/>
  <c r="R36" i="1856"/>
  <c r="L10" i="1856" s="1"/>
  <c r="D10" i="1856" s="1"/>
  <c r="H36" i="1856"/>
  <c r="D36" i="1856"/>
  <c r="R35" i="1856"/>
  <c r="H35" i="1856"/>
  <c r="D35" i="1856"/>
  <c r="R34" i="1856"/>
  <c r="H34" i="1856"/>
  <c r="G49" i="1856" s="1"/>
  <c r="D34" i="1856"/>
  <c r="D54" i="1856" s="1"/>
  <c r="H14" i="1856" s="1"/>
  <c r="R33" i="1856"/>
  <c r="R32" i="1856"/>
  <c r="R31" i="1856"/>
  <c r="R30" i="1856"/>
  <c r="R29" i="1856"/>
  <c r="R28" i="1856"/>
  <c r="L16" i="1856" s="1"/>
  <c r="D16" i="1856" s="1"/>
  <c r="R27" i="1856"/>
  <c r="D27" i="1856"/>
  <c r="R26" i="1856"/>
  <c r="L26" i="1856"/>
  <c r="D26" i="1856"/>
  <c r="R25" i="1856"/>
  <c r="L25" i="1856"/>
  <c r="D25" i="1856"/>
  <c r="R24" i="1856"/>
  <c r="L24" i="1856"/>
  <c r="D24" i="1856" s="1"/>
  <c r="R23" i="1856"/>
  <c r="L23" i="1856"/>
  <c r="D23" i="1856"/>
  <c r="R22" i="1856"/>
  <c r="L22" i="1856"/>
  <c r="D22" i="1856" s="1"/>
  <c r="R21" i="1856"/>
  <c r="D21" i="1856"/>
  <c r="R20" i="1856"/>
  <c r="L20" i="1856"/>
  <c r="D20" i="1856" s="1"/>
  <c r="R19" i="1856"/>
  <c r="L19" i="1856"/>
  <c r="D19" i="1856" s="1"/>
  <c r="R18" i="1856"/>
  <c r="D18" i="1856"/>
  <c r="R17" i="1856"/>
  <c r="L17" i="1856"/>
  <c r="D17" i="1856"/>
  <c r="R16" i="1856"/>
  <c r="R15" i="1856"/>
  <c r="D15" i="1856"/>
  <c r="R14" i="1856"/>
  <c r="D14" i="1856"/>
  <c r="R13" i="1856"/>
  <c r="D13" i="1856"/>
  <c r="R12" i="1856"/>
  <c r="L12" i="1856"/>
  <c r="D12" i="1856"/>
  <c r="R11" i="1856"/>
  <c r="L11" i="1856"/>
  <c r="D11" i="1856"/>
  <c r="L9" i="1856"/>
  <c r="D9" i="1856"/>
  <c r="L8" i="1856"/>
  <c r="D8" i="1856" s="1"/>
  <c r="L7" i="1856"/>
  <c r="D7" i="1856"/>
  <c r="R6" i="1856"/>
  <c r="L6" i="1856"/>
  <c r="D6" i="1856" s="1"/>
  <c r="R5" i="1856"/>
  <c r="R4" i="1856"/>
  <c r="R52" i="1855"/>
  <c r="R51" i="1855"/>
  <c r="D50" i="1855"/>
  <c r="R49" i="1855"/>
  <c r="G49" i="1855"/>
  <c r="D49" i="1855"/>
  <c r="R48" i="1855"/>
  <c r="D48" i="1855"/>
  <c r="D46" i="1855"/>
  <c r="D45" i="1855"/>
  <c r="R44" i="1855"/>
  <c r="L28" i="1855" s="1"/>
  <c r="D28" i="1855" s="1"/>
  <c r="D44" i="1855"/>
  <c r="R42" i="1855"/>
  <c r="D42" i="1855"/>
  <c r="R41" i="1855"/>
  <c r="D41" i="1855"/>
  <c r="R40" i="1855"/>
  <c r="L8" i="1855" s="1"/>
  <c r="D8" i="1855" s="1"/>
  <c r="D40" i="1855"/>
  <c r="R39" i="1855"/>
  <c r="H39" i="1855"/>
  <c r="D39" i="1855"/>
  <c r="R38" i="1855"/>
  <c r="H38" i="1855"/>
  <c r="D38" i="1855"/>
  <c r="R37" i="1855"/>
  <c r="H37" i="1855"/>
  <c r="D37" i="1855"/>
  <c r="R36" i="1855"/>
  <c r="H36" i="1855"/>
  <c r="D36" i="1855"/>
  <c r="R35" i="1855"/>
  <c r="H35" i="1855"/>
  <c r="D35" i="1855"/>
  <c r="R34" i="1855"/>
  <c r="L12" i="1855" s="1"/>
  <c r="D12" i="1855" s="1"/>
  <c r="H34" i="1855"/>
  <c r="D34" i="1855"/>
  <c r="D54" i="1855" s="1"/>
  <c r="H14" i="1855" s="1"/>
  <c r="R33" i="1855"/>
  <c r="R32" i="1855"/>
  <c r="R31" i="1855"/>
  <c r="R30" i="1855"/>
  <c r="R29" i="1855"/>
  <c r="R28" i="1855"/>
  <c r="R27" i="1855"/>
  <c r="D27" i="1855"/>
  <c r="R26" i="1855"/>
  <c r="L26" i="1855"/>
  <c r="D26" i="1855" s="1"/>
  <c r="R25" i="1855"/>
  <c r="L25" i="1855"/>
  <c r="D25" i="1855" s="1"/>
  <c r="R24" i="1855"/>
  <c r="L24" i="1855"/>
  <c r="D24" i="1855"/>
  <c r="R23" i="1855"/>
  <c r="D23" i="1855"/>
  <c r="R22" i="1855"/>
  <c r="D22" i="1855"/>
  <c r="R21" i="1855"/>
  <c r="D21" i="1855"/>
  <c r="R20" i="1855"/>
  <c r="L20" i="1855"/>
  <c r="D20" i="1855"/>
  <c r="R19" i="1855"/>
  <c r="D19" i="1855"/>
  <c r="R18" i="1855"/>
  <c r="D18" i="1855"/>
  <c r="R17" i="1855"/>
  <c r="L17" i="1855"/>
  <c r="D17" i="1855"/>
  <c r="R16" i="1855"/>
  <c r="L16" i="1855"/>
  <c r="D16" i="1855" s="1"/>
  <c r="R15" i="1855"/>
  <c r="D15" i="1855"/>
  <c r="R14" i="1855"/>
  <c r="D14" i="1855"/>
  <c r="R13" i="1855"/>
  <c r="D13" i="1855"/>
  <c r="R12" i="1855"/>
  <c r="R11" i="1855"/>
  <c r="L11" i="1855"/>
  <c r="D11" i="1855"/>
  <c r="L10" i="1855"/>
  <c r="D10" i="1855" s="1"/>
  <c r="L9" i="1855"/>
  <c r="D9" i="1855" s="1"/>
  <c r="L7" i="1855"/>
  <c r="D7" i="1855" s="1"/>
  <c r="R6" i="1855"/>
  <c r="L6" i="1855"/>
  <c r="D6" i="1855" s="1"/>
  <c r="D29" i="1855" s="1"/>
  <c r="H13" i="1855" s="1"/>
  <c r="H15" i="1855" s="1"/>
  <c r="H29" i="1855" s="1"/>
  <c r="G51" i="1855" s="1"/>
  <c r="R5" i="1855"/>
  <c r="R4" i="1855"/>
  <c r="R52" i="1854"/>
  <c r="R51" i="1854"/>
  <c r="D50" i="1854"/>
  <c r="R49" i="1854"/>
  <c r="G49" i="1854"/>
  <c r="D49" i="1854"/>
  <c r="R48" i="1854"/>
  <c r="D48" i="1854"/>
  <c r="D46" i="1854"/>
  <c r="D45" i="1854"/>
  <c r="D44" i="1854"/>
  <c r="R42" i="1854"/>
  <c r="L6" i="1854" s="1"/>
  <c r="D6" i="1854" s="1"/>
  <c r="D42" i="1854"/>
  <c r="R41" i="1854"/>
  <c r="L7" i="1854" s="1"/>
  <c r="D7" i="1854" s="1"/>
  <c r="D41" i="1854"/>
  <c r="R40" i="1854"/>
  <c r="D40" i="1854"/>
  <c r="R39" i="1854"/>
  <c r="D39" i="1854"/>
  <c r="R38" i="1854"/>
  <c r="D38" i="1854"/>
  <c r="R37" i="1854"/>
  <c r="D37" i="1854"/>
  <c r="R36" i="1854"/>
  <c r="D36" i="1854"/>
  <c r="R35" i="1854"/>
  <c r="L19" i="1854" s="1"/>
  <c r="D19" i="1854" s="1"/>
  <c r="D35" i="1854"/>
  <c r="R34" i="1854"/>
  <c r="L12" i="1854" s="1"/>
  <c r="D12" i="1854" s="1"/>
  <c r="D34" i="1854"/>
  <c r="D54" i="1854" s="1"/>
  <c r="H14" i="1854" s="1"/>
  <c r="R33" i="1854"/>
  <c r="L23" i="1854" s="1"/>
  <c r="D23" i="1854" s="1"/>
  <c r="R32" i="1854"/>
  <c r="R31" i="1854"/>
  <c r="R30" i="1854"/>
  <c r="R29" i="1854"/>
  <c r="R28" i="1854"/>
  <c r="L16" i="1854" s="1"/>
  <c r="D16" i="1854" s="1"/>
  <c r="D28" i="1854"/>
  <c r="R27" i="1854"/>
  <c r="D27" i="1854"/>
  <c r="R26" i="1854"/>
  <c r="L26" i="1854"/>
  <c r="D26" i="1854" s="1"/>
  <c r="R25" i="1854"/>
  <c r="L25" i="1854"/>
  <c r="D25" i="1854"/>
  <c r="R24" i="1854"/>
  <c r="D24" i="1854"/>
  <c r="R23" i="1854"/>
  <c r="R22" i="1854"/>
  <c r="L22" i="1854"/>
  <c r="D22" i="1854"/>
  <c r="R21" i="1854"/>
  <c r="D21" i="1854"/>
  <c r="R20" i="1854"/>
  <c r="L20" i="1854"/>
  <c r="D20" i="1854" s="1"/>
  <c r="R19" i="1854"/>
  <c r="R18" i="1854"/>
  <c r="D18" i="1854"/>
  <c r="R17" i="1854"/>
  <c r="D17" i="1854"/>
  <c r="R16" i="1854"/>
  <c r="S15" i="1854"/>
  <c r="R15" i="1854"/>
  <c r="D15" i="1854"/>
  <c r="S14" i="1854"/>
  <c r="R14" i="1854"/>
  <c r="D14" i="1854"/>
  <c r="R13" i="1854"/>
  <c r="D13" i="1854"/>
  <c r="R12" i="1854"/>
  <c r="R11" i="1854"/>
  <c r="L11" i="1854"/>
  <c r="D11" i="1854"/>
  <c r="L10" i="1854"/>
  <c r="D10" i="1854" s="1"/>
  <c r="L9" i="1854"/>
  <c r="D9" i="1854"/>
  <c r="L8" i="1854"/>
  <c r="D8" i="1854"/>
  <c r="R6" i="1854"/>
  <c r="R5" i="1854"/>
  <c r="R4" i="1854"/>
  <c r="R52" i="1853"/>
  <c r="R51" i="1853"/>
  <c r="D50" i="1853"/>
  <c r="R49" i="1853"/>
  <c r="D49" i="1853"/>
  <c r="R48" i="1853"/>
  <c r="D48" i="1853"/>
  <c r="D46" i="1853"/>
  <c r="D45" i="1853"/>
  <c r="R44" i="1853"/>
  <c r="L28" i="1853" s="1"/>
  <c r="D28" i="1853" s="1"/>
  <c r="D44" i="1853"/>
  <c r="R42" i="1853"/>
  <c r="L6" i="1853" s="1"/>
  <c r="D6" i="1853" s="1"/>
  <c r="D29" i="1853" s="1"/>
  <c r="H13" i="1853" s="1"/>
  <c r="D42" i="1853"/>
  <c r="R41" i="1853"/>
  <c r="D41" i="1853"/>
  <c r="R40" i="1853"/>
  <c r="D40" i="1853"/>
  <c r="R39" i="1853"/>
  <c r="H39" i="1853"/>
  <c r="D39" i="1853"/>
  <c r="R38" i="1853"/>
  <c r="L9" i="1853" s="1"/>
  <c r="D9" i="1853" s="1"/>
  <c r="H38" i="1853"/>
  <c r="D38" i="1853"/>
  <c r="R37" i="1853"/>
  <c r="H37" i="1853"/>
  <c r="D37" i="1853"/>
  <c r="R36" i="1853"/>
  <c r="L10" i="1853" s="1"/>
  <c r="D10" i="1853" s="1"/>
  <c r="H36" i="1853"/>
  <c r="D36" i="1853"/>
  <c r="R35" i="1853"/>
  <c r="H35" i="1853"/>
  <c r="D35" i="1853"/>
  <c r="R34" i="1853"/>
  <c r="H34" i="1853"/>
  <c r="G49" i="1853" s="1"/>
  <c r="D34" i="1853"/>
  <c r="D54" i="1853" s="1"/>
  <c r="H14" i="1853" s="1"/>
  <c r="R33" i="1853"/>
  <c r="R32" i="1853"/>
  <c r="R31" i="1853"/>
  <c r="R30" i="1853"/>
  <c r="R29" i="1853"/>
  <c r="R28" i="1853"/>
  <c r="L16" i="1853" s="1"/>
  <c r="D16" i="1853" s="1"/>
  <c r="R27" i="1853"/>
  <c r="D27" i="1853"/>
  <c r="R26" i="1853"/>
  <c r="L26" i="1853"/>
  <c r="D26" i="1853"/>
  <c r="R25" i="1853"/>
  <c r="L25" i="1853"/>
  <c r="D25" i="1853"/>
  <c r="R24" i="1853"/>
  <c r="D24" i="1853"/>
  <c r="R23" i="1853"/>
  <c r="L23" i="1853"/>
  <c r="D23" i="1853"/>
  <c r="R22" i="1853"/>
  <c r="L22" i="1853"/>
  <c r="D22" i="1853"/>
  <c r="R21" i="1853"/>
  <c r="D21" i="1853"/>
  <c r="R20" i="1853"/>
  <c r="L20" i="1853"/>
  <c r="D20" i="1853"/>
  <c r="R19" i="1853"/>
  <c r="L19" i="1853"/>
  <c r="D19" i="1853"/>
  <c r="R18" i="1853"/>
  <c r="D18" i="1853"/>
  <c r="R17" i="1853"/>
  <c r="D17" i="1853"/>
  <c r="R16" i="1853"/>
  <c r="R15" i="1853"/>
  <c r="D15" i="1853"/>
  <c r="R14" i="1853"/>
  <c r="D14" i="1853"/>
  <c r="R13" i="1853"/>
  <c r="D13" i="1853"/>
  <c r="R12" i="1853"/>
  <c r="L12" i="1853"/>
  <c r="D12" i="1853" s="1"/>
  <c r="R11" i="1853"/>
  <c r="L11" i="1853"/>
  <c r="D11" i="1853"/>
  <c r="L8" i="1853"/>
  <c r="D8" i="1853"/>
  <c r="L7" i="1853"/>
  <c r="D7" i="1853"/>
  <c r="R6" i="1853"/>
  <c r="R5" i="1853"/>
  <c r="R4" i="1853"/>
  <c r="R52" i="1852"/>
  <c r="R51" i="1852"/>
  <c r="D50" i="1852"/>
  <c r="R49" i="1852"/>
  <c r="D49" i="1852"/>
  <c r="R48" i="1852"/>
  <c r="D48" i="1852"/>
  <c r="D46" i="1852"/>
  <c r="D45" i="1852"/>
  <c r="R44" i="1852"/>
  <c r="L28" i="1852" s="1"/>
  <c r="D28" i="1852" s="1"/>
  <c r="D44" i="1852"/>
  <c r="R42" i="1852"/>
  <c r="D42" i="1852"/>
  <c r="R41" i="1852"/>
  <c r="D41" i="1852"/>
  <c r="R40" i="1852"/>
  <c r="D40" i="1852"/>
  <c r="R39" i="1852"/>
  <c r="H39" i="1852"/>
  <c r="D39" i="1852"/>
  <c r="R38" i="1852"/>
  <c r="L9" i="1852" s="1"/>
  <c r="D9" i="1852" s="1"/>
  <c r="H38" i="1852"/>
  <c r="D38" i="1852"/>
  <c r="R37" i="1852"/>
  <c r="H37" i="1852"/>
  <c r="D37" i="1852"/>
  <c r="R36" i="1852"/>
  <c r="L10" i="1852" s="1"/>
  <c r="D10" i="1852" s="1"/>
  <c r="H36" i="1852"/>
  <c r="D36" i="1852"/>
  <c r="R35" i="1852"/>
  <c r="H35" i="1852"/>
  <c r="D35" i="1852"/>
  <c r="R34" i="1852"/>
  <c r="H34" i="1852"/>
  <c r="G49" i="1852" s="1"/>
  <c r="D34" i="1852"/>
  <c r="D54" i="1852" s="1"/>
  <c r="H14" i="1852" s="1"/>
  <c r="R33" i="1852"/>
  <c r="R32" i="1852"/>
  <c r="R31" i="1852"/>
  <c r="R30" i="1852"/>
  <c r="R29" i="1852"/>
  <c r="R28" i="1852"/>
  <c r="R27" i="1852"/>
  <c r="D27" i="1852"/>
  <c r="R26" i="1852"/>
  <c r="L26" i="1852"/>
  <c r="D26" i="1852"/>
  <c r="R25" i="1852"/>
  <c r="L25" i="1852"/>
  <c r="D25" i="1852"/>
  <c r="R24" i="1852"/>
  <c r="L24" i="1852"/>
  <c r="D24" i="1852" s="1"/>
  <c r="R23" i="1852"/>
  <c r="L23" i="1852"/>
  <c r="D23" i="1852" s="1"/>
  <c r="R22" i="1852"/>
  <c r="L22" i="1852"/>
  <c r="D22" i="1852" s="1"/>
  <c r="R21" i="1852"/>
  <c r="D21" i="1852"/>
  <c r="R20" i="1852"/>
  <c r="L20" i="1852"/>
  <c r="D20" i="1852" s="1"/>
  <c r="R19" i="1852"/>
  <c r="L19" i="1852"/>
  <c r="D19" i="1852"/>
  <c r="R18" i="1852"/>
  <c r="D18" i="1852"/>
  <c r="R17" i="1852"/>
  <c r="L17" i="1852"/>
  <c r="D17" i="1852" s="1"/>
  <c r="R16" i="1852"/>
  <c r="L16" i="1852"/>
  <c r="D16" i="1852" s="1"/>
  <c r="R15" i="1852"/>
  <c r="D15" i="1852"/>
  <c r="R14" i="1852"/>
  <c r="D14" i="1852"/>
  <c r="R13" i="1852"/>
  <c r="D13" i="1852"/>
  <c r="R12" i="1852"/>
  <c r="L12" i="1852"/>
  <c r="D12" i="1852"/>
  <c r="R11" i="1852"/>
  <c r="L11" i="1852"/>
  <c r="D11" i="1852"/>
  <c r="L8" i="1852"/>
  <c r="D8" i="1852" s="1"/>
  <c r="L7" i="1852"/>
  <c r="D7" i="1852"/>
  <c r="R6" i="1852"/>
  <c r="L6" i="1852"/>
  <c r="D6" i="1852" s="1"/>
  <c r="R5" i="1852"/>
  <c r="R4" i="1852"/>
  <c r="R52" i="1851"/>
  <c r="R51" i="1851"/>
  <c r="D50" i="1851"/>
  <c r="R49" i="1851"/>
  <c r="D49" i="1851"/>
  <c r="R48" i="1851"/>
  <c r="D48" i="1851"/>
  <c r="D46" i="1851"/>
  <c r="D45" i="1851"/>
  <c r="R44" i="1851"/>
  <c r="L28" i="1851" s="1"/>
  <c r="D28" i="1851" s="1"/>
  <c r="D44" i="1851"/>
  <c r="R42" i="1851"/>
  <c r="L6" i="1851" s="1"/>
  <c r="D6" i="1851" s="1"/>
  <c r="D42" i="1851"/>
  <c r="R41" i="1851"/>
  <c r="D41" i="1851"/>
  <c r="R40" i="1851"/>
  <c r="D40" i="1851"/>
  <c r="R39" i="1851"/>
  <c r="L20" i="1851" s="1"/>
  <c r="D20" i="1851" s="1"/>
  <c r="H39" i="1851"/>
  <c r="D39" i="1851"/>
  <c r="R38" i="1851"/>
  <c r="H38" i="1851"/>
  <c r="D38" i="1851"/>
  <c r="R37" i="1851"/>
  <c r="H37" i="1851"/>
  <c r="D37" i="1851"/>
  <c r="R36" i="1851"/>
  <c r="L10" i="1851" s="1"/>
  <c r="D10" i="1851" s="1"/>
  <c r="H36" i="1851"/>
  <c r="D36" i="1851"/>
  <c r="R35" i="1851"/>
  <c r="H35" i="1851"/>
  <c r="G49" i="1851" s="1"/>
  <c r="D35" i="1851"/>
  <c r="R34" i="1851"/>
  <c r="H34" i="1851"/>
  <c r="D34" i="1851"/>
  <c r="D54" i="1851" s="1"/>
  <c r="H14" i="1851" s="1"/>
  <c r="R33" i="1851"/>
  <c r="R32" i="1851"/>
  <c r="L11" i="1851" s="1"/>
  <c r="D11" i="1851" s="1"/>
  <c r="R31" i="1851"/>
  <c r="R30" i="1851"/>
  <c r="R29" i="1851"/>
  <c r="R28" i="1851"/>
  <c r="L16" i="1851" s="1"/>
  <c r="D16" i="1851" s="1"/>
  <c r="R27" i="1851"/>
  <c r="D27" i="1851"/>
  <c r="R26" i="1851"/>
  <c r="L26" i="1851"/>
  <c r="D26" i="1851"/>
  <c r="R25" i="1851"/>
  <c r="L25" i="1851"/>
  <c r="D25" i="1851"/>
  <c r="R24" i="1851"/>
  <c r="L24" i="1851"/>
  <c r="D24" i="1851"/>
  <c r="R23" i="1851"/>
  <c r="D23" i="1851"/>
  <c r="R22" i="1851"/>
  <c r="D22" i="1851"/>
  <c r="R21" i="1851"/>
  <c r="D21" i="1851"/>
  <c r="R20" i="1851"/>
  <c r="R19" i="1851"/>
  <c r="D19" i="1851"/>
  <c r="R18" i="1851"/>
  <c r="D18" i="1851"/>
  <c r="R17" i="1851"/>
  <c r="L17" i="1851"/>
  <c r="D17" i="1851"/>
  <c r="R16" i="1851"/>
  <c r="R15" i="1851"/>
  <c r="D15" i="1851"/>
  <c r="R14" i="1851"/>
  <c r="D14" i="1851"/>
  <c r="R13" i="1851"/>
  <c r="D13" i="1851"/>
  <c r="R12" i="1851"/>
  <c r="L12" i="1851"/>
  <c r="D12" i="1851"/>
  <c r="R11" i="1851"/>
  <c r="L9" i="1851"/>
  <c r="D9" i="1851" s="1"/>
  <c r="L8" i="1851"/>
  <c r="D8" i="1851" s="1"/>
  <c r="L7" i="1851"/>
  <c r="D7" i="1851"/>
  <c r="R6" i="1851"/>
  <c r="R5" i="1851"/>
  <c r="R4" i="1851"/>
  <c r="R52" i="1850"/>
  <c r="R51" i="1850"/>
  <c r="D50" i="1850"/>
  <c r="R49" i="1850"/>
  <c r="G49" i="1850"/>
  <c r="D49" i="1850"/>
  <c r="R48" i="1850"/>
  <c r="D48" i="1850"/>
  <c r="D46" i="1850"/>
  <c r="D45" i="1850"/>
  <c r="D44" i="1850"/>
  <c r="R42" i="1850"/>
  <c r="L6" i="1850" s="1"/>
  <c r="D6" i="1850" s="1"/>
  <c r="D42" i="1850"/>
  <c r="R41" i="1850"/>
  <c r="L7" i="1850" s="1"/>
  <c r="D7" i="1850" s="1"/>
  <c r="D41" i="1850"/>
  <c r="R40" i="1850"/>
  <c r="L8" i="1850" s="1"/>
  <c r="D8" i="1850" s="1"/>
  <c r="D40" i="1850"/>
  <c r="R39" i="1850"/>
  <c r="D39" i="1850"/>
  <c r="R38" i="1850"/>
  <c r="D38" i="1850"/>
  <c r="R37" i="1850"/>
  <c r="D37" i="1850"/>
  <c r="R36" i="1850"/>
  <c r="L10" i="1850" s="1"/>
  <c r="D10" i="1850" s="1"/>
  <c r="D36" i="1850"/>
  <c r="R35" i="1850"/>
  <c r="D35" i="1850"/>
  <c r="R34" i="1850"/>
  <c r="L12" i="1850" s="1"/>
  <c r="D12" i="1850" s="1"/>
  <c r="D34" i="1850"/>
  <c r="D54" i="1850" s="1"/>
  <c r="H14" i="1850" s="1"/>
  <c r="R33" i="1850"/>
  <c r="L23" i="1850" s="1"/>
  <c r="D23" i="1850" s="1"/>
  <c r="R32" i="1850"/>
  <c r="R31" i="1850"/>
  <c r="R30" i="1850"/>
  <c r="R29" i="1850"/>
  <c r="R28" i="1850"/>
  <c r="D28" i="1850"/>
  <c r="R27" i="1850"/>
  <c r="D27" i="1850"/>
  <c r="R26" i="1850"/>
  <c r="L26" i="1850"/>
  <c r="D26" i="1850"/>
  <c r="R25" i="1850"/>
  <c r="L25" i="1850"/>
  <c r="D25" i="1850"/>
  <c r="R24" i="1850"/>
  <c r="D24" i="1850"/>
  <c r="R23" i="1850"/>
  <c r="R22" i="1850"/>
  <c r="L22" i="1850"/>
  <c r="D22" i="1850"/>
  <c r="R21" i="1850"/>
  <c r="D21" i="1850"/>
  <c r="R20" i="1850"/>
  <c r="L20" i="1850"/>
  <c r="D20" i="1850"/>
  <c r="R19" i="1850"/>
  <c r="L19" i="1850"/>
  <c r="D19" i="1850"/>
  <c r="R18" i="1850"/>
  <c r="D18" i="1850"/>
  <c r="R17" i="1850"/>
  <c r="D17" i="1850"/>
  <c r="R16" i="1850"/>
  <c r="L16" i="1850"/>
  <c r="D16" i="1850" s="1"/>
  <c r="S15" i="1850"/>
  <c r="R15" i="1850"/>
  <c r="D15" i="1850"/>
  <c r="S14" i="1850"/>
  <c r="R14" i="1850"/>
  <c r="D14" i="1850"/>
  <c r="R13" i="1850"/>
  <c r="D13" i="1850"/>
  <c r="R12" i="1850"/>
  <c r="R11" i="1850"/>
  <c r="L11" i="1850"/>
  <c r="D11" i="1850"/>
  <c r="L9" i="1850"/>
  <c r="D9" i="1850" s="1"/>
  <c r="R6" i="1850"/>
  <c r="R5" i="1850"/>
  <c r="R4" i="1850"/>
  <c r="R52" i="1849"/>
  <c r="L22" i="1849" s="1"/>
  <c r="D22" i="1849" s="1"/>
  <c r="R51" i="1849"/>
  <c r="D50" i="1849"/>
  <c r="R49" i="1849"/>
  <c r="D49" i="1849"/>
  <c r="R48" i="1849"/>
  <c r="D48" i="1849"/>
  <c r="D46" i="1849"/>
  <c r="D45" i="1849"/>
  <c r="R44" i="1849"/>
  <c r="L28" i="1849" s="1"/>
  <c r="D28" i="1849" s="1"/>
  <c r="D44" i="1849"/>
  <c r="R42" i="1849"/>
  <c r="L6" i="1849" s="1"/>
  <c r="D6" i="1849" s="1"/>
  <c r="D42" i="1849"/>
  <c r="R41" i="1849"/>
  <c r="L7" i="1849" s="1"/>
  <c r="D7" i="1849" s="1"/>
  <c r="D41" i="1849"/>
  <c r="R40" i="1849"/>
  <c r="D40" i="1849"/>
  <c r="R39" i="1849"/>
  <c r="H39" i="1849"/>
  <c r="D39" i="1849"/>
  <c r="R38" i="1849"/>
  <c r="H38" i="1849"/>
  <c r="D38" i="1849"/>
  <c r="R37" i="1849"/>
  <c r="H37" i="1849"/>
  <c r="D37" i="1849"/>
  <c r="R36" i="1849"/>
  <c r="L10" i="1849" s="1"/>
  <c r="D10" i="1849" s="1"/>
  <c r="H36" i="1849"/>
  <c r="D36" i="1849"/>
  <c r="R35" i="1849"/>
  <c r="L19" i="1849" s="1"/>
  <c r="D19" i="1849" s="1"/>
  <c r="H35" i="1849"/>
  <c r="D35" i="1849"/>
  <c r="R34" i="1849"/>
  <c r="H34" i="1849"/>
  <c r="D34" i="1849"/>
  <c r="R33" i="1849"/>
  <c r="R32" i="1849"/>
  <c r="R31" i="1849"/>
  <c r="R30" i="1849"/>
  <c r="R29" i="1849"/>
  <c r="R28" i="1849"/>
  <c r="R27" i="1849"/>
  <c r="D27" i="1849"/>
  <c r="R26" i="1849"/>
  <c r="L26" i="1849"/>
  <c r="D26" i="1849"/>
  <c r="R25" i="1849"/>
  <c r="L25" i="1849"/>
  <c r="D25" i="1849"/>
  <c r="R24" i="1849"/>
  <c r="D24" i="1849"/>
  <c r="R23" i="1849"/>
  <c r="L23" i="1849"/>
  <c r="D23" i="1849"/>
  <c r="R22" i="1849"/>
  <c r="R21" i="1849"/>
  <c r="D21" i="1849"/>
  <c r="R20" i="1849"/>
  <c r="L20" i="1849"/>
  <c r="D20" i="1849"/>
  <c r="R19" i="1849"/>
  <c r="R18" i="1849"/>
  <c r="D18" i="1849"/>
  <c r="R17" i="1849"/>
  <c r="D17" i="1849"/>
  <c r="R16" i="1849"/>
  <c r="L16" i="1849"/>
  <c r="D16" i="1849" s="1"/>
  <c r="R15" i="1849"/>
  <c r="D15" i="1849"/>
  <c r="R14" i="1849"/>
  <c r="D14" i="1849"/>
  <c r="R13" i="1849"/>
  <c r="D13" i="1849"/>
  <c r="R12" i="1849"/>
  <c r="L12" i="1849"/>
  <c r="D12" i="1849"/>
  <c r="R11" i="1849"/>
  <c r="L11" i="1849"/>
  <c r="D11" i="1849"/>
  <c r="L9" i="1849"/>
  <c r="D9" i="1849"/>
  <c r="L8" i="1849"/>
  <c r="D8" i="1849"/>
  <c r="R6" i="1849"/>
  <c r="R5" i="1849"/>
  <c r="R4" i="1849"/>
  <c r="R52" i="1848"/>
  <c r="R51" i="1848"/>
  <c r="D50" i="1848"/>
  <c r="R49" i="1848"/>
  <c r="D49" i="1848"/>
  <c r="R48" i="1848"/>
  <c r="D48" i="1848"/>
  <c r="D46" i="1848"/>
  <c r="D45" i="1848"/>
  <c r="R44" i="1848"/>
  <c r="D44" i="1848"/>
  <c r="R42" i="1848"/>
  <c r="L6" i="1848" s="1"/>
  <c r="D6" i="1848" s="1"/>
  <c r="D42" i="1848"/>
  <c r="R41" i="1848"/>
  <c r="L7" i="1848" s="1"/>
  <c r="D7" i="1848" s="1"/>
  <c r="D41" i="1848"/>
  <c r="R40" i="1848"/>
  <c r="D40" i="1848"/>
  <c r="R39" i="1848"/>
  <c r="H39" i="1848"/>
  <c r="D39" i="1848"/>
  <c r="R38" i="1848"/>
  <c r="H38" i="1848"/>
  <c r="D38" i="1848"/>
  <c r="R37" i="1848"/>
  <c r="H37" i="1848"/>
  <c r="D37" i="1848"/>
  <c r="R36" i="1848"/>
  <c r="L10" i="1848" s="1"/>
  <c r="D10" i="1848" s="1"/>
  <c r="H36" i="1848"/>
  <c r="D36" i="1848"/>
  <c r="R35" i="1848"/>
  <c r="L19" i="1848" s="1"/>
  <c r="D19" i="1848" s="1"/>
  <c r="H35" i="1848"/>
  <c r="D35" i="1848"/>
  <c r="R34" i="1848"/>
  <c r="H34" i="1848"/>
  <c r="D34" i="1848"/>
  <c r="R33" i="1848"/>
  <c r="R32" i="1848"/>
  <c r="R31" i="1848"/>
  <c r="R30" i="1848"/>
  <c r="R29" i="1848"/>
  <c r="R28" i="1848"/>
  <c r="L28" i="1848"/>
  <c r="D28" i="1848"/>
  <c r="R27" i="1848"/>
  <c r="D27" i="1848"/>
  <c r="R26" i="1848"/>
  <c r="L26" i="1848"/>
  <c r="D26" i="1848"/>
  <c r="R25" i="1848"/>
  <c r="L25" i="1848"/>
  <c r="D25" i="1848"/>
  <c r="R24" i="1848"/>
  <c r="L24" i="1848"/>
  <c r="D24" i="1848" s="1"/>
  <c r="R23" i="1848"/>
  <c r="L23" i="1848"/>
  <c r="D23" i="1848"/>
  <c r="R22" i="1848"/>
  <c r="L22" i="1848"/>
  <c r="D22" i="1848" s="1"/>
  <c r="R21" i="1848"/>
  <c r="L17" i="1848" s="1"/>
  <c r="D17" i="1848" s="1"/>
  <c r="D21" i="1848"/>
  <c r="R20" i="1848"/>
  <c r="L20" i="1848"/>
  <c r="D20" i="1848"/>
  <c r="R19" i="1848"/>
  <c r="R18" i="1848"/>
  <c r="D18" i="1848"/>
  <c r="R17" i="1848"/>
  <c r="R16" i="1848"/>
  <c r="L16" i="1848"/>
  <c r="D16" i="1848" s="1"/>
  <c r="R15" i="1848"/>
  <c r="D15" i="1848"/>
  <c r="R14" i="1848"/>
  <c r="D14" i="1848"/>
  <c r="R13" i="1848"/>
  <c r="D13" i="1848"/>
  <c r="R12" i="1848"/>
  <c r="L12" i="1848"/>
  <c r="D12" i="1848"/>
  <c r="R11" i="1848"/>
  <c r="L11" i="1848"/>
  <c r="D11" i="1848"/>
  <c r="L9" i="1848"/>
  <c r="D9" i="1848"/>
  <c r="L8" i="1848"/>
  <c r="D8" i="1848"/>
  <c r="R6" i="1848"/>
  <c r="R5" i="1848"/>
  <c r="R4" i="1848"/>
  <c r="R52" i="1847"/>
  <c r="R51" i="1847"/>
  <c r="D50" i="1847"/>
  <c r="R49" i="1847"/>
  <c r="D49" i="1847"/>
  <c r="R48" i="1847"/>
  <c r="D48" i="1847"/>
  <c r="D46" i="1847"/>
  <c r="D45" i="1847"/>
  <c r="R44" i="1847"/>
  <c r="D44" i="1847"/>
  <c r="R42" i="1847"/>
  <c r="D42" i="1847"/>
  <c r="R41" i="1847"/>
  <c r="L7" i="1847" s="1"/>
  <c r="D7" i="1847" s="1"/>
  <c r="D41" i="1847"/>
  <c r="R40" i="1847"/>
  <c r="L8" i="1847" s="1"/>
  <c r="D8" i="1847" s="1"/>
  <c r="D40" i="1847"/>
  <c r="R39" i="1847"/>
  <c r="H39" i="1847"/>
  <c r="D39" i="1847"/>
  <c r="R38" i="1847"/>
  <c r="H38" i="1847"/>
  <c r="D38" i="1847"/>
  <c r="R37" i="1847"/>
  <c r="H37" i="1847"/>
  <c r="D37" i="1847"/>
  <c r="R36" i="1847"/>
  <c r="H36" i="1847"/>
  <c r="D36" i="1847"/>
  <c r="R35" i="1847"/>
  <c r="H35" i="1847"/>
  <c r="D35" i="1847"/>
  <c r="R34" i="1847"/>
  <c r="H34" i="1847"/>
  <c r="D34" i="1847"/>
  <c r="R33" i="1847"/>
  <c r="R32" i="1847"/>
  <c r="R31" i="1847"/>
  <c r="R30" i="1847"/>
  <c r="R29" i="1847"/>
  <c r="R28" i="1847"/>
  <c r="L16" i="1847" s="1"/>
  <c r="D16" i="1847" s="1"/>
  <c r="L28" i="1847"/>
  <c r="D28" i="1847"/>
  <c r="R27" i="1847"/>
  <c r="D27" i="1847"/>
  <c r="R26" i="1847"/>
  <c r="L26" i="1847"/>
  <c r="D26" i="1847" s="1"/>
  <c r="R25" i="1847"/>
  <c r="L25" i="1847"/>
  <c r="D25" i="1847" s="1"/>
  <c r="R24" i="1847"/>
  <c r="L24" i="1847"/>
  <c r="D24" i="1847"/>
  <c r="R23" i="1847"/>
  <c r="D23" i="1847"/>
  <c r="R22" i="1847"/>
  <c r="D22" i="1847"/>
  <c r="R21" i="1847"/>
  <c r="D21" i="1847"/>
  <c r="R20" i="1847"/>
  <c r="L20" i="1847"/>
  <c r="D20" i="1847" s="1"/>
  <c r="R19" i="1847"/>
  <c r="D19" i="1847"/>
  <c r="R18" i="1847"/>
  <c r="D18" i="1847"/>
  <c r="R17" i="1847"/>
  <c r="L17" i="1847"/>
  <c r="D17" i="1847"/>
  <c r="R16" i="1847"/>
  <c r="R15" i="1847"/>
  <c r="D15" i="1847"/>
  <c r="R14" i="1847"/>
  <c r="D14" i="1847"/>
  <c r="R13" i="1847"/>
  <c r="D13" i="1847"/>
  <c r="R12" i="1847"/>
  <c r="L12" i="1847"/>
  <c r="D12" i="1847"/>
  <c r="R11" i="1847"/>
  <c r="L11" i="1847"/>
  <c r="D11" i="1847"/>
  <c r="L10" i="1847"/>
  <c r="D10" i="1847" s="1"/>
  <c r="L9" i="1847"/>
  <c r="D9" i="1847"/>
  <c r="R6" i="1847"/>
  <c r="L6" i="1847"/>
  <c r="D6" i="1847" s="1"/>
  <c r="R5" i="1847"/>
  <c r="R4" i="1847"/>
  <c r="R52" i="1846"/>
  <c r="R51" i="1846"/>
  <c r="D50" i="1846"/>
  <c r="R49" i="1846"/>
  <c r="G49" i="1846"/>
  <c r="D49" i="1846"/>
  <c r="R48" i="1846"/>
  <c r="D48" i="1846"/>
  <c r="D46" i="1846"/>
  <c r="D45" i="1846"/>
  <c r="D44" i="1846"/>
  <c r="R42" i="1846"/>
  <c r="L6" i="1846" s="1"/>
  <c r="D6" i="1846" s="1"/>
  <c r="D42" i="1846"/>
  <c r="R41" i="1846"/>
  <c r="L7" i="1846" s="1"/>
  <c r="D7" i="1846" s="1"/>
  <c r="D41" i="1846"/>
  <c r="R40" i="1846"/>
  <c r="D40" i="1846"/>
  <c r="R39" i="1846"/>
  <c r="D39" i="1846"/>
  <c r="R38" i="1846"/>
  <c r="D38" i="1846"/>
  <c r="R37" i="1846"/>
  <c r="D37" i="1846"/>
  <c r="R36" i="1846"/>
  <c r="L10" i="1846" s="1"/>
  <c r="D10" i="1846" s="1"/>
  <c r="D36" i="1846"/>
  <c r="R35" i="1846"/>
  <c r="D35" i="1846"/>
  <c r="R34" i="1846"/>
  <c r="L12" i="1846" s="1"/>
  <c r="D12" i="1846" s="1"/>
  <c r="D34" i="1846"/>
  <c r="D54" i="1846" s="1"/>
  <c r="H14" i="1846" s="1"/>
  <c r="R33" i="1846"/>
  <c r="L23" i="1846" s="1"/>
  <c r="D23" i="1846" s="1"/>
  <c r="R32" i="1846"/>
  <c r="R31" i="1846"/>
  <c r="R30" i="1846"/>
  <c r="R29" i="1846"/>
  <c r="R28" i="1846"/>
  <c r="D28" i="1846"/>
  <c r="R27" i="1846"/>
  <c r="D27" i="1846"/>
  <c r="R26" i="1846"/>
  <c r="L26" i="1846"/>
  <c r="D26" i="1846"/>
  <c r="R25" i="1846"/>
  <c r="L25" i="1846"/>
  <c r="D25" i="1846"/>
  <c r="R24" i="1846"/>
  <c r="D24" i="1846"/>
  <c r="R23" i="1846"/>
  <c r="R22" i="1846"/>
  <c r="L22" i="1846"/>
  <c r="D22" i="1846"/>
  <c r="R21" i="1846"/>
  <c r="D21" i="1846"/>
  <c r="R20" i="1846"/>
  <c r="L20" i="1846"/>
  <c r="D20" i="1846"/>
  <c r="R19" i="1846"/>
  <c r="L19" i="1846"/>
  <c r="D19" i="1846"/>
  <c r="R18" i="1846"/>
  <c r="D18" i="1846"/>
  <c r="R17" i="1846"/>
  <c r="D17" i="1846"/>
  <c r="R16" i="1846"/>
  <c r="L16" i="1846"/>
  <c r="D16" i="1846" s="1"/>
  <c r="S15" i="1846"/>
  <c r="R15" i="1846"/>
  <c r="D15" i="1846"/>
  <c r="S14" i="1846"/>
  <c r="R14" i="1846"/>
  <c r="D14" i="1846"/>
  <c r="R13" i="1846"/>
  <c r="D13" i="1846"/>
  <c r="R12" i="1846"/>
  <c r="R11" i="1846"/>
  <c r="L11" i="1846"/>
  <c r="D11" i="1846"/>
  <c r="L9" i="1846"/>
  <c r="D9" i="1846" s="1"/>
  <c r="L8" i="1846"/>
  <c r="D8" i="1846"/>
  <c r="R6" i="1846"/>
  <c r="R5" i="1846"/>
  <c r="R4" i="1846"/>
  <c r="R52" i="1845"/>
  <c r="R51" i="1845"/>
  <c r="D50" i="1845"/>
  <c r="R49" i="1845"/>
  <c r="D49" i="1845"/>
  <c r="R48" i="1845"/>
  <c r="D48" i="1845"/>
  <c r="D46" i="1845"/>
  <c r="D45" i="1845"/>
  <c r="R44" i="1845"/>
  <c r="L28" i="1845" s="1"/>
  <c r="D28" i="1845" s="1"/>
  <c r="D44" i="1845"/>
  <c r="R42" i="1845"/>
  <c r="L6" i="1845" s="1"/>
  <c r="D6" i="1845" s="1"/>
  <c r="D42" i="1845"/>
  <c r="R41" i="1845"/>
  <c r="L7" i="1845" s="1"/>
  <c r="D7" i="1845" s="1"/>
  <c r="D41" i="1845"/>
  <c r="R40" i="1845"/>
  <c r="D40" i="1845"/>
  <c r="R39" i="1845"/>
  <c r="H39" i="1845"/>
  <c r="D39" i="1845"/>
  <c r="R38" i="1845"/>
  <c r="H38" i="1845"/>
  <c r="D38" i="1845"/>
  <c r="R37" i="1845"/>
  <c r="H37" i="1845"/>
  <c r="D37" i="1845"/>
  <c r="R36" i="1845"/>
  <c r="L10" i="1845" s="1"/>
  <c r="D10" i="1845" s="1"/>
  <c r="H36" i="1845"/>
  <c r="D36" i="1845"/>
  <c r="R35" i="1845"/>
  <c r="L19" i="1845" s="1"/>
  <c r="D19" i="1845" s="1"/>
  <c r="H35" i="1845"/>
  <c r="D35" i="1845"/>
  <c r="R34" i="1845"/>
  <c r="H34" i="1845"/>
  <c r="D34" i="1845"/>
  <c r="R33" i="1845"/>
  <c r="R32" i="1845"/>
  <c r="R31" i="1845"/>
  <c r="R30" i="1845"/>
  <c r="R29" i="1845"/>
  <c r="R28" i="1845"/>
  <c r="L16" i="1845" s="1"/>
  <c r="D16" i="1845" s="1"/>
  <c r="R27" i="1845"/>
  <c r="D27" i="1845"/>
  <c r="R26" i="1845"/>
  <c r="L26" i="1845"/>
  <c r="D26" i="1845"/>
  <c r="R25" i="1845"/>
  <c r="L25" i="1845"/>
  <c r="D25" i="1845"/>
  <c r="R24" i="1845"/>
  <c r="D24" i="1845"/>
  <c r="R23" i="1845"/>
  <c r="L23" i="1845"/>
  <c r="D23" i="1845"/>
  <c r="R22" i="1845"/>
  <c r="L22" i="1845"/>
  <c r="D22" i="1845"/>
  <c r="R21" i="1845"/>
  <c r="D21" i="1845"/>
  <c r="R20" i="1845"/>
  <c r="L20" i="1845"/>
  <c r="D20" i="1845"/>
  <c r="R19" i="1845"/>
  <c r="R18" i="1845"/>
  <c r="D18" i="1845"/>
  <c r="R17" i="1845"/>
  <c r="D17" i="1845"/>
  <c r="R16" i="1845"/>
  <c r="R15" i="1845"/>
  <c r="D15" i="1845"/>
  <c r="R14" i="1845"/>
  <c r="D14" i="1845"/>
  <c r="R13" i="1845"/>
  <c r="D13" i="1845"/>
  <c r="R12" i="1845"/>
  <c r="L12" i="1845"/>
  <c r="D12" i="1845"/>
  <c r="R11" i="1845"/>
  <c r="L11" i="1845"/>
  <c r="D11" i="1845"/>
  <c r="L9" i="1845"/>
  <c r="D9" i="1845" s="1"/>
  <c r="L8" i="1845"/>
  <c r="D8" i="1845"/>
  <c r="R6" i="1845"/>
  <c r="R5" i="1845"/>
  <c r="R4" i="1845"/>
  <c r="R52" i="1844"/>
  <c r="R51" i="1844"/>
  <c r="D50" i="1844"/>
  <c r="R49" i="1844"/>
  <c r="D49" i="1844"/>
  <c r="R48" i="1844"/>
  <c r="D48" i="1844"/>
  <c r="D46" i="1844"/>
  <c r="D45" i="1844"/>
  <c r="R44" i="1844"/>
  <c r="D44" i="1844"/>
  <c r="R42" i="1844"/>
  <c r="L6" i="1844" s="1"/>
  <c r="D6" i="1844" s="1"/>
  <c r="D42" i="1844"/>
  <c r="R41" i="1844"/>
  <c r="L7" i="1844" s="1"/>
  <c r="D7" i="1844" s="1"/>
  <c r="D41" i="1844"/>
  <c r="R40" i="1844"/>
  <c r="D40" i="1844"/>
  <c r="R39" i="1844"/>
  <c r="H39" i="1844"/>
  <c r="D39" i="1844"/>
  <c r="R38" i="1844"/>
  <c r="L9" i="1844" s="1"/>
  <c r="D9" i="1844" s="1"/>
  <c r="H38" i="1844"/>
  <c r="D38" i="1844"/>
  <c r="R37" i="1844"/>
  <c r="H37" i="1844"/>
  <c r="D37" i="1844"/>
  <c r="R36" i="1844"/>
  <c r="H36" i="1844"/>
  <c r="D36" i="1844"/>
  <c r="R35" i="1844"/>
  <c r="L19" i="1844" s="1"/>
  <c r="D19" i="1844" s="1"/>
  <c r="H35" i="1844"/>
  <c r="D35" i="1844"/>
  <c r="R34" i="1844"/>
  <c r="H34" i="1844"/>
  <c r="D34" i="1844"/>
  <c r="R33" i="1844"/>
  <c r="R32" i="1844"/>
  <c r="R31" i="1844"/>
  <c r="R30" i="1844"/>
  <c r="R29" i="1844"/>
  <c r="R28" i="1844"/>
  <c r="L28" i="1844"/>
  <c r="D28" i="1844"/>
  <c r="R27" i="1844"/>
  <c r="D27" i="1844"/>
  <c r="R26" i="1844"/>
  <c r="L26" i="1844"/>
  <c r="D26" i="1844"/>
  <c r="R25" i="1844"/>
  <c r="L25" i="1844"/>
  <c r="D25" i="1844" s="1"/>
  <c r="R24" i="1844"/>
  <c r="L24" i="1844"/>
  <c r="D24" i="1844" s="1"/>
  <c r="R23" i="1844"/>
  <c r="L23" i="1844"/>
  <c r="D23" i="1844" s="1"/>
  <c r="R22" i="1844"/>
  <c r="L22" i="1844"/>
  <c r="D22" i="1844" s="1"/>
  <c r="R21" i="1844"/>
  <c r="L17" i="1844" s="1"/>
  <c r="D17" i="1844" s="1"/>
  <c r="D21" i="1844"/>
  <c r="R20" i="1844"/>
  <c r="L20" i="1844"/>
  <c r="D20" i="1844" s="1"/>
  <c r="R19" i="1844"/>
  <c r="R18" i="1844"/>
  <c r="D18" i="1844"/>
  <c r="R17" i="1844"/>
  <c r="R16" i="1844"/>
  <c r="L16" i="1844"/>
  <c r="D16" i="1844" s="1"/>
  <c r="R15" i="1844"/>
  <c r="D15" i="1844"/>
  <c r="R14" i="1844"/>
  <c r="D14" i="1844"/>
  <c r="R13" i="1844"/>
  <c r="D13" i="1844"/>
  <c r="R12" i="1844"/>
  <c r="L12" i="1844"/>
  <c r="D12" i="1844"/>
  <c r="R11" i="1844"/>
  <c r="L11" i="1844"/>
  <c r="D11" i="1844"/>
  <c r="L10" i="1844"/>
  <c r="D10" i="1844"/>
  <c r="L8" i="1844"/>
  <c r="D8" i="1844" s="1"/>
  <c r="R6" i="1844"/>
  <c r="R5" i="1844"/>
  <c r="R4" i="1844"/>
  <c r="R52" i="1843"/>
  <c r="R51" i="1843"/>
  <c r="D50" i="1843"/>
  <c r="R49" i="1843"/>
  <c r="D49" i="1843"/>
  <c r="R48" i="1843"/>
  <c r="D48" i="1843"/>
  <c r="D46" i="1843"/>
  <c r="D45" i="1843"/>
  <c r="R44" i="1843"/>
  <c r="D44" i="1843"/>
  <c r="R42" i="1843"/>
  <c r="L6" i="1843" s="1"/>
  <c r="D6" i="1843" s="1"/>
  <c r="D42" i="1843"/>
  <c r="R41" i="1843"/>
  <c r="D41" i="1843"/>
  <c r="R40" i="1843"/>
  <c r="L8" i="1843" s="1"/>
  <c r="D8" i="1843" s="1"/>
  <c r="D40" i="1843"/>
  <c r="R39" i="1843"/>
  <c r="L20" i="1843" s="1"/>
  <c r="D20" i="1843" s="1"/>
  <c r="H39" i="1843"/>
  <c r="D39" i="1843"/>
  <c r="R38" i="1843"/>
  <c r="H38" i="1843"/>
  <c r="D38" i="1843"/>
  <c r="R37" i="1843"/>
  <c r="H37" i="1843"/>
  <c r="D37" i="1843"/>
  <c r="R36" i="1843"/>
  <c r="L10" i="1843" s="1"/>
  <c r="D10" i="1843" s="1"/>
  <c r="H36" i="1843"/>
  <c r="D36" i="1843"/>
  <c r="R35" i="1843"/>
  <c r="H35" i="1843"/>
  <c r="D35" i="1843"/>
  <c r="R34" i="1843"/>
  <c r="L12" i="1843" s="1"/>
  <c r="D12" i="1843" s="1"/>
  <c r="H34" i="1843"/>
  <c r="D34" i="1843"/>
  <c r="R33" i="1843"/>
  <c r="R32" i="1843"/>
  <c r="R31" i="1843"/>
  <c r="R30" i="1843"/>
  <c r="R29" i="1843"/>
  <c r="R28" i="1843"/>
  <c r="L16" i="1843" s="1"/>
  <c r="D16" i="1843" s="1"/>
  <c r="L28" i="1843"/>
  <c r="D28" i="1843"/>
  <c r="R27" i="1843"/>
  <c r="D27" i="1843"/>
  <c r="R26" i="1843"/>
  <c r="L26" i="1843"/>
  <c r="D26" i="1843"/>
  <c r="R25" i="1843"/>
  <c r="L25" i="1843"/>
  <c r="D25" i="1843"/>
  <c r="R24" i="1843"/>
  <c r="L24" i="1843"/>
  <c r="D24" i="1843"/>
  <c r="R23" i="1843"/>
  <c r="D23" i="1843"/>
  <c r="R22" i="1843"/>
  <c r="D22" i="1843"/>
  <c r="R21" i="1843"/>
  <c r="D21" i="1843"/>
  <c r="R20" i="1843"/>
  <c r="R19" i="1843"/>
  <c r="D19" i="1843"/>
  <c r="R18" i="1843"/>
  <c r="D18" i="1843"/>
  <c r="R17" i="1843"/>
  <c r="L17" i="1843"/>
  <c r="D17" i="1843"/>
  <c r="R16" i="1843"/>
  <c r="R15" i="1843"/>
  <c r="D15" i="1843"/>
  <c r="R14" i="1843"/>
  <c r="D14" i="1843"/>
  <c r="R13" i="1843"/>
  <c r="D13" i="1843"/>
  <c r="R12" i="1843"/>
  <c r="R11" i="1843"/>
  <c r="L11" i="1843"/>
  <c r="D11" i="1843"/>
  <c r="L9" i="1843"/>
  <c r="D9" i="1843" s="1"/>
  <c r="L7" i="1843"/>
  <c r="D7" i="1843"/>
  <c r="R6" i="1843"/>
  <c r="R5" i="1843"/>
  <c r="R4" i="1843"/>
  <c r="D54" i="1842"/>
  <c r="H14" i="1842" s="1"/>
  <c r="R52" i="1842"/>
  <c r="R51" i="1842"/>
  <c r="D50" i="1842"/>
  <c r="R49" i="1842"/>
  <c r="G49" i="1842"/>
  <c r="D49" i="1842"/>
  <c r="R48" i="1842"/>
  <c r="D48" i="1842"/>
  <c r="D46" i="1842"/>
  <c r="D45" i="1842"/>
  <c r="D44" i="1842"/>
  <c r="R42" i="1842"/>
  <c r="D42" i="1842"/>
  <c r="R41" i="1842"/>
  <c r="L7" i="1842" s="1"/>
  <c r="D7" i="1842" s="1"/>
  <c r="D41" i="1842"/>
  <c r="R40" i="1842"/>
  <c r="L8" i="1842" s="1"/>
  <c r="D8" i="1842" s="1"/>
  <c r="D40" i="1842"/>
  <c r="R39" i="1842"/>
  <c r="D39" i="1842"/>
  <c r="R38" i="1842"/>
  <c r="D38" i="1842"/>
  <c r="R37" i="1842"/>
  <c r="D37" i="1842"/>
  <c r="R36" i="1842"/>
  <c r="L10" i="1842" s="1"/>
  <c r="D10" i="1842" s="1"/>
  <c r="D36" i="1842"/>
  <c r="R35" i="1842"/>
  <c r="D35" i="1842"/>
  <c r="R34" i="1842"/>
  <c r="L12" i="1842" s="1"/>
  <c r="D12" i="1842" s="1"/>
  <c r="D34" i="1842"/>
  <c r="R33" i="1842"/>
  <c r="L23" i="1842" s="1"/>
  <c r="D23" i="1842" s="1"/>
  <c r="R32" i="1842"/>
  <c r="L11" i="1842" s="1"/>
  <c r="D11" i="1842" s="1"/>
  <c r="R31" i="1842"/>
  <c r="R30" i="1842"/>
  <c r="R29" i="1842"/>
  <c r="R28" i="1842"/>
  <c r="L16" i="1842" s="1"/>
  <c r="D16" i="1842" s="1"/>
  <c r="D28" i="1842"/>
  <c r="R27" i="1842"/>
  <c r="D27" i="1842"/>
  <c r="R26" i="1842"/>
  <c r="L26" i="1842"/>
  <c r="D26" i="1842"/>
  <c r="R25" i="1842"/>
  <c r="L25" i="1842"/>
  <c r="D25" i="1842"/>
  <c r="R24" i="1842"/>
  <c r="D24" i="1842"/>
  <c r="R23" i="1842"/>
  <c r="R22" i="1842"/>
  <c r="L22" i="1842"/>
  <c r="D22" i="1842" s="1"/>
  <c r="R21" i="1842"/>
  <c r="D21" i="1842"/>
  <c r="R20" i="1842"/>
  <c r="L20" i="1842"/>
  <c r="D20" i="1842"/>
  <c r="R19" i="1842"/>
  <c r="L19" i="1842"/>
  <c r="D19" i="1842"/>
  <c r="R18" i="1842"/>
  <c r="D18" i="1842"/>
  <c r="R17" i="1842"/>
  <c r="D17" i="1842"/>
  <c r="R16" i="1842"/>
  <c r="S15" i="1842"/>
  <c r="R15" i="1842"/>
  <c r="D15" i="1842"/>
  <c r="S14" i="1842"/>
  <c r="R14" i="1842"/>
  <c r="D14" i="1842"/>
  <c r="R13" i="1842"/>
  <c r="D13" i="1842"/>
  <c r="R12" i="1842"/>
  <c r="R11" i="1842"/>
  <c r="L9" i="1842"/>
  <c r="D9" i="1842"/>
  <c r="R6" i="1842"/>
  <c r="L6" i="1842"/>
  <c r="D6" i="1842" s="1"/>
  <c r="R5" i="1842"/>
  <c r="R4" i="1842"/>
  <c r="D54" i="1849" l="1"/>
  <c r="H14" i="1849" s="1"/>
  <c r="D54" i="1847"/>
  <c r="H14" i="1847" s="1"/>
  <c r="D54" i="1848"/>
  <c r="H14" i="1848" s="1"/>
  <c r="D29" i="1848"/>
  <c r="H13" i="1848" s="1"/>
  <c r="G49" i="1848"/>
  <c r="G49" i="1847"/>
  <c r="G49" i="1849"/>
  <c r="G49" i="1844"/>
  <c r="G49" i="1845"/>
  <c r="G49" i="1843"/>
  <c r="D54" i="1845"/>
  <c r="H14" i="1845" s="1"/>
  <c r="D54" i="1844"/>
  <c r="H14" i="1844" s="1"/>
  <c r="D54" i="1843"/>
  <c r="H14" i="1843" s="1"/>
  <c r="G51" i="1865"/>
  <c r="D29" i="1864"/>
  <c r="H13" i="1864" s="1"/>
  <c r="H15" i="1864" s="1"/>
  <c r="H29" i="1864" s="1"/>
  <c r="G51" i="1864" s="1"/>
  <c r="D29" i="1863"/>
  <c r="H13" i="1863" s="1"/>
  <c r="H15" i="1863" s="1"/>
  <c r="H29" i="1863" s="1"/>
  <c r="G51" i="1863" s="1"/>
  <c r="G51" i="1862"/>
  <c r="G51" i="1861"/>
  <c r="D29" i="1860"/>
  <c r="H13" i="1860" s="1"/>
  <c r="H15" i="1860" s="1"/>
  <c r="H29" i="1860" s="1"/>
  <c r="G51" i="1860"/>
  <c r="D29" i="1859"/>
  <c r="H13" i="1859" s="1"/>
  <c r="H15" i="1859" s="1"/>
  <c r="H29" i="1859" s="1"/>
  <c r="G51" i="1859"/>
  <c r="D29" i="1858"/>
  <c r="H13" i="1858" s="1"/>
  <c r="H15" i="1858" s="1"/>
  <c r="H29" i="1858" s="1"/>
  <c r="G51" i="1858" s="1"/>
  <c r="D29" i="1857"/>
  <c r="H13" i="1857" s="1"/>
  <c r="H15" i="1857" s="1"/>
  <c r="H29" i="1857" s="1"/>
  <c r="G51" i="1857" s="1"/>
  <c r="D29" i="1856"/>
  <c r="H13" i="1856" s="1"/>
  <c r="H15" i="1856" s="1"/>
  <c r="H29" i="1856" s="1"/>
  <c r="G51" i="1856"/>
  <c r="D29" i="1854"/>
  <c r="H13" i="1854" s="1"/>
  <c r="H15" i="1854" s="1"/>
  <c r="H29" i="1854" s="1"/>
  <c r="G51" i="1854" s="1"/>
  <c r="H15" i="1853"/>
  <c r="H29" i="1853" s="1"/>
  <c r="G51" i="1853"/>
  <c r="D29" i="1852"/>
  <c r="H13" i="1852" s="1"/>
  <c r="H15" i="1852" s="1"/>
  <c r="H29" i="1852" s="1"/>
  <c r="G51" i="1852" s="1"/>
  <c r="D29" i="1851"/>
  <c r="H13" i="1851" s="1"/>
  <c r="H15" i="1851" s="1"/>
  <c r="H29" i="1851" s="1"/>
  <c r="G51" i="1851" s="1"/>
  <c r="D29" i="1850"/>
  <c r="H13" i="1850" s="1"/>
  <c r="H15" i="1850" s="1"/>
  <c r="H29" i="1850" s="1"/>
  <c r="G51" i="1850" s="1"/>
  <c r="D29" i="1849"/>
  <c r="H13" i="1849" s="1"/>
  <c r="D29" i="1847"/>
  <c r="H13" i="1847" s="1"/>
  <c r="D29" i="1846"/>
  <c r="H13" i="1846" s="1"/>
  <c r="H15" i="1846" s="1"/>
  <c r="H29" i="1846" s="1"/>
  <c r="G51" i="1846" s="1"/>
  <c r="D29" i="1845"/>
  <c r="H13" i="1845" s="1"/>
  <c r="D29" i="1844"/>
  <c r="H13" i="1844" s="1"/>
  <c r="D29" i="1843"/>
  <c r="H13" i="1843" s="1"/>
  <c r="D29" i="1842"/>
  <c r="H13" i="1842" s="1"/>
  <c r="H15" i="1842" s="1"/>
  <c r="H29" i="1842" s="1"/>
  <c r="G51" i="1842" s="1"/>
  <c r="R52" i="1821"/>
  <c r="R51" i="1821"/>
  <c r="D50" i="1821"/>
  <c r="R49" i="1821"/>
  <c r="D49" i="1821"/>
  <c r="R48" i="1821"/>
  <c r="D48" i="1821"/>
  <c r="D46" i="1821"/>
  <c r="D45" i="1821"/>
  <c r="R44" i="1821"/>
  <c r="L28" i="1821" s="1"/>
  <c r="D28" i="1821" s="1"/>
  <c r="D44" i="1821"/>
  <c r="R42" i="1821"/>
  <c r="D42" i="1821"/>
  <c r="R41" i="1821"/>
  <c r="D41" i="1821"/>
  <c r="R40" i="1821"/>
  <c r="D40" i="1821"/>
  <c r="R39" i="1821"/>
  <c r="H39" i="1821"/>
  <c r="D39" i="1821"/>
  <c r="R38" i="1821"/>
  <c r="L9" i="1821" s="1"/>
  <c r="D9" i="1821" s="1"/>
  <c r="H38" i="1821"/>
  <c r="D38" i="1821"/>
  <c r="R37" i="1821"/>
  <c r="H37" i="1821"/>
  <c r="D37" i="1821"/>
  <c r="R36" i="1821"/>
  <c r="L10" i="1821" s="1"/>
  <c r="D10" i="1821" s="1"/>
  <c r="H36" i="1821"/>
  <c r="D36" i="1821"/>
  <c r="R35" i="1821"/>
  <c r="H35" i="1821"/>
  <c r="D35" i="1821"/>
  <c r="R34" i="1821"/>
  <c r="H34" i="1821"/>
  <c r="D34" i="1821"/>
  <c r="R33" i="1821"/>
  <c r="R32" i="1821"/>
  <c r="R31" i="1821"/>
  <c r="R30" i="1821"/>
  <c r="R29" i="1821"/>
  <c r="R28" i="1821"/>
  <c r="R27" i="1821"/>
  <c r="D27" i="1821"/>
  <c r="R26" i="1821"/>
  <c r="L26" i="1821"/>
  <c r="D26" i="1821"/>
  <c r="R25" i="1821"/>
  <c r="L25" i="1821"/>
  <c r="D25" i="1821"/>
  <c r="R24" i="1821"/>
  <c r="D24" i="1821"/>
  <c r="R23" i="1821"/>
  <c r="L23" i="1821"/>
  <c r="D23" i="1821"/>
  <c r="R22" i="1821"/>
  <c r="L22" i="1821"/>
  <c r="D22" i="1821"/>
  <c r="R21" i="1821"/>
  <c r="D21" i="1821"/>
  <c r="R20" i="1821"/>
  <c r="L20" i="1821"/>
  <c r="D20" i="1821"/>
  <c r="R19" i="1821"/>
  <c r="L19" i="1821"/>
  <c r="D19" i="1821"/>
  <c r="R18" i="1821"/>
  <c r="D18" i="1821"/>
  <c r="R17" i="1821"/>
  <c r="D17" i="1821"/>
  <c r="R16" i="1821"/>
  <c r="L16" i="1821"/>
  <c r="D16" i="1821" s="1"/>
  <c r="R15" i="1821"/>
  <c r="D15" i="1821"/>
  <c r="R14" i="1821"/>
  <c r="D14" i="1821"/>
  <c r="R13" i="1821"/>
  <c r="D13" i="1821"/>
  <c r="R12" i="1821"/>
  <c r="L12" i="1821"/>
  <c r="D12" i="1821" s="1"/>
  <c r="R11" i="1821"/>
  <c r="L11" i="1821"/>
  <c r="D11" i="1821"/>
  <c r="L8" i="1821"/>
  <c r="D8" i="1821"/>
  <c r="L7" i="1821"/>
  <c r="D7" i="1821" s="1"/>
  <c r="R6" i="1821"/>
  <c r="L6" i="1821"/>
  <c r="D6" i="1821"/>
  <c r="R5" i="1821"/>
  <c r="R4" i="1821"/>
  <c r="R52" i="1820"/>
  <c r="R51" i="1820"/>
  <c r="D50" i="1820"/>
  <c r="R49" i="1820"/>
  <c r="D49" i="1820"/>
  <c r="R48" i="1820"/>
  <c r="D48" i="1820"/>
  <c r="D46" i="1820"/>
  <c r="D45" i="1820"/>
  <c r="R44" i="1820"/>
  <c r="L28" i="1820" s="1"/>
  <c r="D28" i="1820" s="1"/>
  <c r="D44" i="1820"/>
  <c r="R42" i="1820"/>
  <c r="D42" i="1820"/>
  <c r="R41" i="1820"/>
  <c r="L7" i="1820" s="1"/>
  <c r="D7" i="1820" s="1"/>
  <c r="D41" i="1820"/>
  <c r="R40" i="1820"/>
  <c r="D40" i="1820"/>
  <c r="R39" i="1820"/>
  <c r="H39" i="1820"/>
  <c r="D39" i="1820"/>
  <c r="R38" i="1820"/>
  <c r="H38" i="1820"/>
  <c r="D38" i="1820"/>
  <c r="R37" i="1820"/>
  <c r="H37" i="1820"/>
  <c r="D37" i="1820"/>
  <c r="R36" i="1820"/>
  <c r="L10" i="1820" s="1"/>
  <c r="D10" i="1820" s="1"/>
  <c r="H36" i="1820"/>
  <c r="D36" i="1820"/>
  <c r="R35" i="1820"/>
  <c r="L19" i="1820" s="1"/>
  <c r="D19" i="1820" s="1"/>
  <c r="H35" i="1820"/>
  <c r="D35" i="1820"/>
  <c r="R34" i="1820"/>
  <c r="L12" i="1820" s="1"/>
  <c r="D12" i="1820" s="1"/>
  <c r="H34" i="1820"/>
  <c r="D34" i="1820"/>
  <c r="R33" i="1820"/>
  <c r="R32" i="1820"/>
  <c r="R31" i="1820"/>
  <c r="R30" i="1820"/>
  <c r="R29" i="1820"/>
  <c r="R28" i="1820"/>
  <c r="L16" i="1820" s="1"/>
  <c r="D16" i="1820" s="1"/>
  <c r="R27" i="1820"/>
  <c r="D27" i="1820"/>
  <c r="R26" i="1820"/>
  <c r="L26" i="1820"/>
  <c r="D26" i="1820" s="1"/>
  <c r="R25" i="1820"/>
  <c r="D25" i="1820"/>
  <c r="R24" i="1820"/>
  <c r="D24" i="1820"/>
  <c r="R23" i="1820"/>
  <c r="L23" i="1820"/>
  <c r="D23" i="1820"/>
  <c r="R22" i="1820"/>
  <c r="L22" i="1820"/>
  <c r="D22" i="1820" s="1"/>
  <c r="R21" i="1820"/>
  <c r="D21" i="1820"/>
  <c r="R20" i="1820"/>
  <c r="L20" i="1820"/>
  <c r="D20" i="1820" s="1"/>
  <c r="R19" i="1820"/>
  <c r="R18" i="1820"/>
  <c r="D18" i="1820"/>
  <c r="R17" i="1820"/>
  <c r="L17" i="1820"/>
  <c r="D17" i="1820"/>
  <c r="R16" i="1820"/>
  <c r="R15" i="1820"/>
  <c r="D15" i="1820"/>
  <c r="R14" i="1820"/>
  <c r="D14" i="1820"/>
  <c r="R13" i="1820"/>
  <c r="D13" i="1820"/>
  <c r="R12" i="1820"/>
  <c r="R11" i="1820"/>
  <c r="L11" i="1820"/>
  <c r="D11" i="1820"/>
  <c r="L9" i="1820"/>
  <c r="D9" i="1820"/>
  <c r="L8" i="1820"/>
  <c r="D8" i="1820" s="1"/>
  <c r="R6" i="1820"/>
  <c r="L6" i="1820"/>
  <c r="D6" i="1820"/>
  <c r="R5" i="1820"/>
  <c r="R4" i="1820"/>
  <c r="R52" i="1819"/>
  <c r="R51" i="1819"/>
  <c r="D50" i="1819"/>
  <c r="R49" i="1819"/>
  <c r="D49" i="1819"/>
  <c r="R48" i="1819"/>
  <c r="D48" i="1819"/>
  <c r="D46" i="1819"/>
  <c r="D45" i="1819"/>
  <c r="R44" i="1819"/>
  <c r="D44" i="1819"/>
  <c r="R42" i="1819"/>
  <c r="D42" i="1819"/>
  <c r="R41" i="1819"/>
  <c r="D41" i="1819"/>
  <c r="R40" i="1819"/>
  <c r="L8" i="1819" s="1"/>
  <c r="D8" i="1819" s="1"/>
  <c r="D40" i="1819"/>
  <c r="R39" i="1819"/>
  <c r="H39" i="1819"/>
  <c r="D39" i="1819"/>
  <c r="R38" i="1819"/>
  <c r="H38" i="1819"/>
  <c r="D38" i="1819"/>
  <c r="R37" i="1819"/>
  <c r="H37" i="1819"/>
  <c r="D37" i="1819"/>
  <c r="R36" i="1819"/>
  <c r="H36" i="1819"/>
  <c r="D36" i="1819"/>
  <c r="R35" i="1819"/>
  <c r="H35" i="1819"/>
  <c r="D35" i="1819"/>
  <c r="R34" i="1819"/>
  <c r="L12" i="1819" s="1"/>
  <c r="D12" i="1819" s="1"/>
  <c r="H34" i="1819"/>
  <c r="D34" i="1819"/>
  <c r="R33" i="1819"/>
  <c r="R32" i="1819"/>
  <c r="R31" i="1819"/>
  <c r="R30" i="1819"/>
  <c r="R29" i="1819"/>
  <c r="R28" i="1819"/>
  <c r="L16" i="1819" s="1"/>
  <c r="D16" i="1819" s="1"/>
  <c r="L28" i="1819"/>
  <c r="D28" i="1819"/>
  <c r="R27" i="1819"/>
  <c r="D27" i="1819"/>
  <c r="R26" i="1819"/>
  <c r="L26" i="1819"/>
  <c r="D26" i="1819" s="1"/>
  <c r="R25" i="1819"/>
  <c r="L25" i="1819"/>
  <c r="D25" i="1819" s="1"/>
  <c r="R24" i="1819"/>
  <c r="L24" i="1819"/>
  <c r="D24" i="1819"/>
  <c r="R23" i="1819"/>
  <c r="D23" i="1819"/>
  <c r="R22" i="1819"/>
  <c r="D22" i="1819"/>
  <c r="R21" i="1819"/>
  <c r="D21" i="1819"/>
  <c r="R20" i="1819"/>
  <c r="L20" i="1819"/>
  <c r="D20" i="1819"/>
  <c r="R19" i="1819"/>
  <c r="D19" i="1819"/>
  <c r="R18" i="1819"/>
  <c r="D18" i="1819"/>
  <c r="R17" i="1819"/>
  <c r="L17" i="1819"/>
  <c r="D17" i="1819"/>
  <c r="R16" i="1819"/>
  <c r="R15" i="1819"/>
  <c r="D15" i="1819"/>
  <c r="R14" i="1819"/>
  <c r="D14" i="1819"/>
  <c r="R13" i="1819"/>
  <c r="D13" i="1819"/>
  <c r="R12" i="1819"/>
  <c r="R11" i="1819"/>
  <c r="L11" i="1819"/>
  <c r="D11" i="1819" s="1"/>
  <c r="L10" i="1819"/>
  <c r="D10" i="1819" s="1"/>
  <c r="L9" i="1819"/>
  <c r="D9" i="1819"/>
  <c r="L7" i="1819"/>
  <c r="D7" i="1819" s="1"/>
  <c r="R6" i="1819"/>
  <c r="L6" i="1819"/>
  <c r="D6" i="1819" s="1"/>
  <c r="R5" i="1819"/>
  <c r="R4" i="1819"/>
  <c r="R52" i="1818"/>
  <c r="R51" i="1818"/>
  <c r="D50" i="1818"/>
  <c r="R49" i="1818"/>
  <c r="G49" i="1818"/>
  <c r="D49" i="1818"/>
  <c r="R48" i="1818"/>
  <c r="D48" i="1818"/>
  <c r="D46" i="1818"/>
  <c r="D45" i="1818"/>
  <c r="D44" i="1818"/>
  <c r="R42" i="1818"/>
  <c r="L6" i="1818" s="1"/>
  <c r="D6" i="1818" s="1"/>
  <c r="D42" i="1818"/>
  <c r="R41" i="1818"/>
  <c r="L7" i="1818" s="1"/>
  <c r="D7" i="1818" s="1"/>
  <c r="D41" i="1818"/>
  <c r="R40" i="1818"/>
  <c r="D40" i="1818"/>
  <c r="R39" i="1818"/>
  <c r="D39" i="1818"/>
  <c r="R38" i="1818"/>
  <c r="D38" i="1818"/>
  <c r="R37" i="1818"/>
  <c r="D37" i="1818"/>
  <c r="R36" i="1818"/>
  <c r="L10" i="1818" s="1"/>
  <c r="D10" i="1818" s="1"/>
  <c r="D36" i="1818"/>
  <c r="R35" i="1818"/>
  <c r="D35" i="1818"/>
  <c r="R34" i="1818"/>
  <c r="L12" i="1818" s="1"/>
  <c r="D12" i="1818" s="1"/>
  <c r="D34" i="1818"/>
  <c r="D54" i="1818" s="1"/>
  <c r="H14" i="1818" s="1"/>
  <c r="R33" i="1818"/>
  <c r="L23" i="1818" s="1"/>
  <c r="D23" i="1818" s="1"/>
  <c r="R32" i="1818"/>
  <c r="R31" i="1818"/>
  <c r="R30" i="1818"/>
  <c r="R29" i="1818"/>
  <c r="R28" i="1818"/>
  <c r="L16" i="1818" s="1"/>
  <c r="D16" i="1818" s="1"/>
  <c r="D28" i="1818"/>
  <c r="R27" i="1818"/>
  <c r="D27" i="1818"/>
  <c r="R26" i="1818"/>
  <c r="L26" i="1818"/>
  <c r="D26" i="1818"/>
  <c r="R25" i="1818"/>
  <c r="L25" i="1818"/>
  <c r="D25" i="1818"/>
  <c r="R24" i="1818"/>
  <c r="D24" i="1818"/>
  <c r="R23" i="1818"/>
  <c r="R22" i="1818"/>
  <c r="L22" i="1818"/>
  <c r="D22" i="1818" s="1"/>
  <c r="R21" i="1818"/>
  <c r="D21" i="1818"/>
  <c r="R20" i="1818"/>
  <c r="L20" i="1818"/>
  <c r="D20" i="1818"/>
  <c r="R19" i="1818"/>
  <c r="L19" i="1818"/>
  <c r="D19" i="1818"/>
  <c r="R18" i="1818"/>
  <c r="D18" i="1818"/>
  <c r="R17" i="1818"/>
  <c r="D17" i="1818"/>
  <c r="R16" i="1818"/>
  <c r="S15" i="1818"/>
  <c r="R15" i="1818"/>
  <c r="D15" i="1818"/>
  <c r="S14" i="1818"/>
  <c r="R14" i="1818"/>
  <c r="D14" i="1818"/>
  <c r="R13" i="1818"/>
  <c r="D13" i="1818"/>
  <c r="R12" i="1818"/>
  <c r="R11" i="1818"/>
  <c r="L11" i="1818"/>
  <c r="D11" i="1818" s="1"/>
  <c r="L9" i="1818"/>
  <c r="D9" i="1818"/>
  <c r="L8" i="1818"/>
  <c r="D8" i="1818"/>
  <c r="R6" i="1818"/>
  <c r="R5" i="1818"/>
  <c r="R4" i="1818"/>
  <c r="H15" i="1849" l="1"/>
  <c r="H29" i="1849" s="1"/>
  <c r="G51" i="1849" s="1"/>
  <c r="H15" i="1847"/>
  <c r="H29" i="1847" s="1"/>
  <c r="G51" i="1847" s="1"/>
  <c r="H15" i="1848"/>
  <c r="H29" i="1848" s="1"/>
  <c r="G51" i="1848" s="1"/>
  <c r="H15" i="1845"/>
  <c r="H29" i="1845" s="1"/>
  <c r="G51" i="1845" s="1"/>
  <c r="H15" i="1844"/>
  <c r="H29" i="1844" s="1"/>
  <c r="G51" i="1844" s="1"/>
  <c r="H15" i="1843"/>
  <c r="H29" i="1843" s="1"/>
  <c r="G51" i="1843" s="1"/>
  <c r="G49" i="1821"/>
  <c r="G49" i="1820"/>
  <c r="D54" i="1821"/>
  <c r="H14" i="1821" s="1"/>
  <c r="D54" i="1820"/>
  <c r="H14" i="1820" s="1"/>
  <c r="D54" i="1819"/>
  <c r="H14" i="1819" s="1"/>
  <c r="G49" i="1819"/>
  <c r="D29" i="1821"/>
  <c r="H13" i="1821" s="1"/>
  <c r="D29" i="1820"/>
  <c r="H13" i="1820" s="1"/>
  <c r="D29" i="1819"/>
  <c r="H13" i="1819" s="1"/>
  <c r="D29" i="1818"/>
  <c r="H13" i="1818" s="1"/>
  <c r="H15" i="1818" s="1"/>
  <c r="H29" i="1818" s="1"/>
  <c r="G51" i="1818" s="1"/>
  <c r="H15" i="1821" l="1"/>
  <c r="H29" i="1821" s="1"/>
  <c r="G51" i="1821" s="1"/>
  <c r="H15" i="1820"/>
  <c r="H29" i="1820" s="1"/>
  <c r="G51" i="1820" s="1"/>
  <c r="H15" i="1819"/>
  <c r="H29" i="1819" s="1"/>
  <c r="G51" i="1819" s="1"/>
</calcChain>
</file>

<file path=xl/sharedStrings.xml><?xml version="1.0" encoding="utf-8"?>
<sst xmlns="http://schemas.openxmlformats.org/spreadsheetml/2006/main" count="3778" uniqueCount="167">
  <si>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</si>
  <si>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</si>
  <si>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</si>
  <si>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</si>
  <si>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</si>
  <si>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</si>
  <si>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</si>
  <si>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</si>
  <si>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</si>
  <si>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</si>
  <si>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</si>
  <si>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</si>
  <si>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</si>
  <si>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</si>
  <si>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</si>
  <si>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</si>
  <si>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</si>
  <si>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</si>
  <si>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</si>
  <si>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</si>
  <si>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</si>
  <si>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</si>
  <si>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</si>
  <si>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</si>
  <si>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</si>
  <si>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</si>
  <si>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</si>
  <si>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</si>
  <si>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</si>
  <si>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</si>
  <si>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</si>
  <si>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</si>
  <si>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</si>
  <si>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</si>
  <si>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</si>
  <si>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</si>
  <si>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</si>
  <si>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</si>
  <si>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</si>
  <si>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</si>
  <si>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</si>
  <si>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</si>
  <si>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</si>
  <si>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</si>
  <si>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</si>
  <si>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</si>
  <si>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</si>
  <si>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</si>
  <si>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</si>
  <si>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</si>
  <si>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</si>
  <si>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</si>
  <si>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</si>
  <si>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</si>
  <si>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</si>
  <si>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</si>
  <si>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</si>
  <si>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</si>
  <si>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</si>
  <si>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</si>
  <si>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</si>
  <si>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</si>
  <si>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</si>
  <si>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</si>
  <si>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</si>
  <si>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</si>
  <si>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</si>
  <si>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</si>
  <si>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</si>
  <si>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</si>
  <si>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</si>
  <si>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</si>
  <si>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</si>
  <si>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</si>
  <si>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</si>
  <si>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</si>
  <si>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</si>
  <si>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</si>
  <si>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</si>
  <si>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</si>
  <si>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</si>
  <si>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</si>
  <si>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</si>
  <si>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</si>
  <si>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</si>
  <si>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</si>
  <si>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</si>
  <si>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</si>
  <si>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</si>
  <si>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</si>
  <si>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</si>
  <si>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</si>
  <si>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</si>
  <si>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</si>
  <si>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</si>
  <si>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</si>
  <si>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</si>
  <si>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</si>
  <si>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</si>
  <si>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</si>
  <si>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</si>
  <si>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</si>
  <si>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</si>
  <si>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</si>
  <si>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</si>
  <si>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</si>
  <si>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</si>
  <si>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</si>
  <si>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</si>
  <si>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</si>
  <si>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</si>
  <si>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</si>
  <si>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PAMC</t>
  </si>
  <si>
    <t>ENCLONAR, JEROME</t>
  </si>
  <si>
    <t>SALIG, JOVANI</t>
  </si>
  <si>
    <t>SDC</t>
  </si>
  <si>
    <t>FBAC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</si>
  <si>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</si>
  <si>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</si>
  <si>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</si>
  <si>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</si>
  <si>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</si>
  <si>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</si>
  <si>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</si>
  <si>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</si>
  <si>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</si>
  <si>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</si>
  <si>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</si>
  <si>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</si>
  <si>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FBAC/FBLC</t>
  </si>
  <si>
    <t>GOMORA, JURLAN</t>
  </si>
  <si>
    <t>CC/CIC/C10C</t>
  </si>
  <si>
    <t>CBB</t>
  </si>
  <si>
    <t>CLC/SDC</t>
  </si>
  <si>
    <t>SMZB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</si>
  <si>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</si>
  <si>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</si>
  <si>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</si>
  <si>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</si>
  <si>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RACAZA, ALEX</t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</si>
  <si>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</si>
  <si>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</si>
  <si>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</si>
  <si>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</si>
  <si>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</si>
  <si>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BDO</t>
  </si>
  <si>
    <t>PNB</t>
  </si>
  <si>
    <t>146636</t>
  </si>
  <si>
    <t>BANK TRANSFER</t>
  </si>
  <si>
    <t>FBAC/FBLYC</t>
  </si>
  <si>
    <t>PP BOTT.</t>
  </si>
  <si>
    <t>PAMC/MGYZ</t>
  </si>
  <si>
    <t>132730</t>
  </si>
  <si>
    <r>
      <rPr>
        <sz val="11"/>
        <color rgb="FFFF0000"/>
        <rFont val="Calibri"/>
        <family val="2"/>
        <scheme val="minor"/>
      </rPr>
      <t>(</t>
    </r>
    <r>
      <rPr>
        <u/>
        <sz val="11"/>
        <color rgb="FFFF0000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 </t>
    </r>
  </si>
  <si>
    <t>1ST VB</t>
  </si>
  <si>
    <t>G-CASH</t>
  </si>
  <si>
    <t>52488</t>
  </si>
  <si>
    <t>5089379</t>
  </si>
  <si>
    <t>BOSS RIE</t>
  </si>
  <si>
    <t>SIR JOK</t>
  </si>
  <si>
    <t>2000002937</t>
  </si>
  <si>
    <t>JOHN PASAMANTE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</si>
  <si>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</si>
  <si>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52505</t>
  </si>
  <si>
    <t>BALWARTE</t>
  </si>
  <si>
    <t>147317</t>
  </si>
  <si>
    <t>9125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</si>
</sst>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37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49" fontId="23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D675EB-04EB-4CB3-8CC5-A8E7484589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C91C7C-41C3-42C7-92F8-033B1988C5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6FEA1-9A98-4E5C-8843-BEB7AD340B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1B81C2-7D02-4049-BB74-BD9D5E1F05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6F6C73-20B9-4193-AA14-2AE4C5C7BA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24A97-DDE3-42D1-8BF5-F4FA8126E5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085DA1-7D53-471E-A6BA-2ED3CC7543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C2FC46-AD4D-4648-ADB9-2916DB4E6E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3323EA-19D5-440B-A1B5-A7C612024D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DEEDEF-5EB7-4088-B127-F6A2585F7B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842448-6AE6-4074-8451-602791138E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45E2DB-377E-4DD2-B5D3-64EFC05566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1DD293-B550-4AA4-A4CE-B8FFEFE95E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8952A3-A03A-4144-8B3D-0301401348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E9CE05-D2CA-4430-8EF2-C8DFE3A60A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C1DBC5-2CFF-4A44-B4D7-8273DA7327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5A2A13-17F5-4C98-B126-A70CE9547E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91D5BA-F84F-4A78-9A55-CA8B85380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5EC14A-8C4C-46B7-AC7C-4414D35517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445A89-6329-4D2F-83A1-3C1525120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579CFB-4B88-49D8-9737-8B41C3150D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2149AFA-BE10-48FB-8694-0851583989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913F7C-829F-46F1-B268-D3BFB87AEA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64E4E1-F86B-4538-9BF6-1AC6517838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DE8787-CAEF-4F12-B1D7-DE8A415982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09AAAA-579C-421C-B600-27F90F4944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74B69C-B580-4F76-BFED-307359961D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8C1C04-19A7-47D8-84A6-98E011D84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3D2B3-49A0-4239-88D5-D34331C56E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2" t="s">
        <v>1</v>
      </c>
      <c r="O1" s="192"/>
      <c r="P1" s="86" t="s">
        <v>2</v>
      </c>
      <c r="Q1" s="8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3" t="s">
        <v>7</v>
      </c>
      <c r="B4" s="144"/>
      <c r="C4" s="144"/>
      <c r="D4" s="145"/>
      <c r="F4" s="193" t="s">
        <v>8</v>
      </c>
      <c r="G4" s="195"/>
      <c r="H4" s="197" t="s">
        <v>9</v>
      </c>
      <c r="I4" s="199"/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203" t="s">
        <v>16</v>
      </c>
      <c r="G6" s="205"/>
      <c r="H6" s="206"/>
      <c r="I6" s="206"/>
      <c r="J6" s="20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211" t="s">
        <v>21</v>
      </c>
      <c r="G8" s="212"/>
      <c r="H8" s="213"/>
      <c r="I8" s="213"/>
      <c r="J8" s="21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203" t="s">
        <v>26</v>
      </c>
      <c r="G10" s="218"/>
      <c r="H10" s="219"/>
      <c r="I10" s="219"/>
      <c r="J10" s="220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50</v>
      </c>
      <c r="H19" s="161"/>
      <c r="I19" s="161"/>
      <c r="J19" s="1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7"/>
      <c r="G22" s="73"/>
      <c r="H22" s="165"/>
      <c r="I22" s="165"/>
      <c r="J22" s="16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8"/>
      <c r="G23" s="79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166"/>
      <c r="I24" s="135"/>
      <c r="J24" s="13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170"/>
      <c r="I26" s="171"/>
      <c r="J26" s="17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80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87"/>
      <c r="G28" s="61"/>
      <c r="H28" s="176"/>
      <c r="I28" s="177"/>
      <c r="J28" s="17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0"/>
      <c r="I34" s="141"/>
      <c r="J34" s="14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/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/>
      <c r="I36" s="141"/>
      <c r="J36" s="14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/>
      <c r="I37" s="141"/>
      <c r="J37" s="14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/>
      <c r="I38" s="141"/>
      <c r="J38" s="14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/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0" t="s">
        <v>83</v>
      </c>
      <c r="H43" s="132" t="s">
        <v>13</v>
      </c>
      <c r="I43" s="133"/>
      <c r="J43" s="134"/>
      <c r="K43" s="21"/>
      <c r="P43" s="4"/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76"/>
      <c r="H44" s="135"/>
      <c r="I44" s="135"/>
      <c r="J44" s="135"/>
      <c r="K44" s="21"/>
      <c r="P44" s="4"/>
      <c r="Q44" s="4"/>
      <c r="R44" s="5"/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76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P50" s="4"/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125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84E27-AEDD-4FB2-B67D-6A76106A609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1</v>
      </c>
      <c r="H4" s="197" t="s">
        <v>9</v>
      </c>
      <c r="I4" s="199">
        <v>46083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84">
        <v>308</v>
      </c>
      <c r="D6" s="13">
        <f t="shared" ref="D6:D28" si="1">C6*L6</f>
        <v>234388</v>
      </c>
      <c r="F6" s="203" t="s">
        <v>16</v>
      </c>
      <c r="G6" s="205" t="s">
        <v>111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84">
        <v>12</v>
      </c>
      <c r="D7" s="13">
        <f t="shared" si="1"/>
        <v>9372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84">
        <v>1</v>
      </c>
      <c r="D8" s="13">
        <f t="shared" si="1"/>
        <v>1093</v>
      </c>
      <c r="F8" s="211" t="s">
        <v>21</v>
      </c>
      <c r="G8" s="212" t="s">
        <v>144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84">
        <v>18</v>
      </c>
      <c r="D9" s="13">
        <f t="shared" si="1"/>
        <v>13194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84">
        <v>2</v>
      </c>
      <c r="D10" s="13">
        <f t="shared" si="1"/>
        <v>2064</v>
      </c>
      <c r="F10" s="203" t="s">
        <v>26</v>
      </c>
      <c r="G10" s="218" t="s">
        <v>139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84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84">
        <v>2</v>
      </c>
      <c r="D12" s="48">
        <f t="shared" si="1"/>
        <v>1984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84">
        <v>6</v>
      </c>
      <c r="D13" s="48">
        <f t="shared" si="1"/>
        <v>1842</v>
      </c>
      <c r="F13" s="224" t="s">
        <v>36</v>
      </c>
      <c r="G13" s="188"/>
      <c r="H13" s="179">
        <f>D29</f>
        <v>265882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84">
        <v>5</v>
      </c>
      <c r="D14" s="31">
        <f t="shared" si="1"/>
        <v>55</v>
      </c>
      <c r="F14" s="182" t="s">
        <v>39</v>
      </c>
      <c r="G14" s="183"/>
      <c r="H14" s="184">
        <f>D54</f>
        <v>30599.25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84">
        <v>1</v>
      </c>
      <c r="D15" s="31">
        <f t="shared" si="1"/>
        <v>620</v>
      </c>
      <c r="F15" s="187" t="s">
        <v>40</v>
      </c>
      <c r="G15" s="188"/>
      <c r="H15" s="189">
        <f>H13-H14</f>
        <v>235282.75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49">
        <f>216*6+10*6</f>
        <v>1356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133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38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131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124</v>
      </c>
      <c r="C22" s="84"/>
      <c r="D22" s="48">
        <f t="shared" si="1"/>
        <v>0</v>
      </c>
      <c r="F22" s="77"/>
      <c r="G22" s="73"/>
      <c r="H22" s="165"/>
      <c r="I22" s="165"/>
      <c r="J22" s="16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101</v>
      </c>
      <c r="C23" s="84"/>
      <c r="D23" s="48">
        <f t="shared" si="1"/>
        <v>0</v>
      </c>
      <c r="F23" s="77"/>
      <c r="G23" s="79"/>
      <c r="H23" s="231"/>
      <c r="I23" s="232"/>
      <c r="J23" s="23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118</v>
      </c>
      <c r="C24" s="84"/>
      <c r="D24" s="48">
        <f t="shared" si="1"/>
        <v>0</v>
      </c>
      <c r="F24" s="77"/>
      <c r="G24" s="79"/>
      <c r="H24" s="231"/>
      <c r="I24" s="232"/>
      <c r="J24" s="23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132</v>
      </c>
      <c r="C26" s="84"/>
      <c r="D26" s="48">
        <f t="shared" si="1"/>
        <v>0</v>
      </c>
      <c r="F26" s="75"/>
      <c r="G26" s="65"/>
      <c r="H26" s="135"/>
      <c r="I26" s="135"/>
      <c r="J26" s="135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110</v>
      </c>
      <c r="C27" s="84"/>
      <c r="D27" s="44">
        <f t="shared" si="1"/>
        <v>0</v>
      </c>
      <c r="F27" s="71"/>
      <c r="G27" s="90"/>
      <c r="H27" s="233"/>
      <c r="I27" s="234"/>
      <c r="J27" s="23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84"/>
      <c r="D28" s="48">
        <f t="shared" si="1"/>
        <v>0</v>
      </c>
      <c r="F28" s="87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265882</v>
      </c>
      <c r="F29" s="96" t="s">
        <v>55</v>
      </c>
      <c r="G29" s="158"/>
      <c r="H29" s="118">
        <f>H15-H16-H17-H18-H19-H20-H22-H23-H24+H26+H27+H28</f>
        <v>233926.75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64</v>
      </c>
      <c r="H34" s="140">
        <f t="shared" ref="H34:H39" si="2">F34*G34</f>
        <v>64000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13</v>
      </c>
      <c r="H35" s="140">
        <f t="shared" si="2"/>
        <v>6500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>
        <v>20</v>
      </c>
      <c r="D36" s="12">
        <f>C36*1.5</f>
        <v>30</v>
      </c>
      <c r="F36" s="12">
        <v>200</v>
      </c>
      <c r="G36" s="37">
        <v>2</v>
      </c>
      <c r="H36" s="140">
        <f t="shared" si="2"/>
        <v>400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>
        <v>240</v>
      </c>
      <c r="D37" s="12">
        <f>C37*111</f>
        <v>26640</v>
      </c>
      <c r="F37" s="12">
        <v>100</v>
      </c>
      <c r="G37" s="39">
        <v>43</v>
      </c>
      <c r="H37" s="140">
        <f t="shared" si="2"/>
        <v>4300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22</v>
      </c>
      <c r="H38" s="140">
        <f t="shared" si="2"/>
        <v>1100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>
        <v>22</v>
      </c>
      <c r="D40" s="12">
        <f>C40*111</f>
        <v>2442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>
        <v>7</v>
      </c>
      <c r="D42" s="12">
        <f>C42*2.25</f>
        <v>15.75</v>
      </c>
      <c r="F42" s="39" t="s">
        <v>79</v>
      </c>
      <c r="G42" s="140">
        <v>30</v>
      </c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0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>
        <v>3</v>
      </c>
      <c r="D44" s="12">
        <f>C44*120</f>
        <v>360</v>
      </c>
      <c r="F44" s="37" t="s">
        <v>145</v>
      </c>
      <c r="G44" s="62" t="s">
        <v>147</v>
      </c>
      <c r="H44" s="135">
        <v>150017</v>
      </c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>
        <v>2</v>
      </c>
      <c r="D45" s="12">
        <f>C45*84</f>
        <v>168</v>
      </c>
      <c r="F45" s="37" t="s">
        <v>146</v>
      </c>
      <c r="G45" s="85" t="s">
        <v>148</v>
      </c>
      <c r="H45" s="135">
        <v>7564</v>
      </c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>
        <v>11</v>
      </c>
      <c r="D46" s="12">
        <f>C46*1.5</f>
        <v>16.5</v>
      </c>
      <c r="F46" s="37"/>
      <c r="G46" s="62"/>
      <c r="H46" s="135"/>
      <c r="I46" s="135"/>
      <c r="J46" s="135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233911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>
        <v>3</v>
      </c>
      <c r="D50" s="12">
        <f>C50*1.5</f>
        <v>4.5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128</v>
      </c>
      <c r="G51" s="225">
        <f>G49-H29</f>
        <v>-15.75</v>
      </c>
      <c r="H51" s="226"/>
      <c r="I51" s="226"/>
      <c r="J51" s="22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228"/>
      <c r="H52" s="229"/>
      <c r="I52" s="229"/>
      <c r="J52" s="23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30599.25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82EEE-E618-4585-8393-F4AAE3CCDD0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2</v>
      </c>
      <c r="H4" s="197" t="s">
        <v>9</v>
      </c>
      <c r="I4" s="199">
        <v>46083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351</v>
      </c>
      <c r="D6" s="13">
        <f t="shared" ref="D6:D28" si="1">C6*L6</f>
        <v>267111</v>
      </c>
      <c r="F6" s="203" t="s">
        <v>16</v>
      </c>
      <c r="G6" s="205" t="s">
        <v>126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1</v>
      </c>
      <c r="D7" s="13">
        <f t="shared" si="1"/>
        <v>781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113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40</v>
      </c>
      <c r="D9" s="13">
        <f t="shared" si="1"/>
        <v>29320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>
        <v>10</v>
      </c>
      <c r="D10" s="13">
        <f t="shared" si="1"/>
        <v>10320</v>
      </c>
      <c r="F10" s="203" t="s">
        <v>26</v>
      </c>
      <c r="G10" s="218" t="s">
        <v>114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9</v>
      </c>
      <c r="D13" s="48">
        <f t="shared" si="1"/>
        <v>2763</v>
      </c>
      <c r="F13" s="224" t="s">
        <v>36</v>
      </c>
      <c r="G13" s="188"/>
      <c r="H13" s="179">
        <f>D29</f>
        <v>313708.5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3</v>
      </c>
      <c r="D14" s="31">
        <f t="shared" si="1"/>
        <v>33</v>
      </c>
      <c r="F14" s="182" t="s">
        <v>39</v>
      </c>
      <c r="G14" s="183"/>
      <c r="H14" s="184">
        <f>D54</f>
        <v>55225.5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/>
      <c r="D15" s="31">
        <f t="shared" si="1"/>
        <v>0</v>
      </c>
      <c r="F15" s="187" t="s">
        <v>40</v>
      </c>
      <c r="G15" s="188"/>
      <c r="H15" s="189">
        <f>H13-H14</f>
        <v>258483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>
        <f>230*6</f>
        <v>1380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149</v>
      </c>
      <c r="C19" s="10">
        <v>1</v>
      </c>
      <c r="D19" s="48">
        <f t="shared" si="1"/>
        <v>1102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104</v>
      </c>
      <c r="C22" s="10"/>
      <c r="D22" s="48">
        <f t="shared" si="1"/>
        <v>0</v>
      </c>
      <c r="F22" s="72"/>
      <c r="G22" s="73"/>
      <c r="H22" s="165"/>
      <c r="I22" s="165"/>
      <c r="J22" s="16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107</v>
      </c>
      <c r="C23" s="10"/>
      <c r="D23" s="48">
        <f t="shared" si="1"/>
        <v>0</v>
      </c>
      <c r="F23" s="25"/>
      <c r="G23" s="37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150</v>
      </c>
      <c r="C24" s="10">
        <v>12</v>
      </c>
      <c r="D24" s="48">
        <f t="shared" si="1"/>
        <v>474</v>
      </c>
      <c r="F24" s="38"/>
      <c r="G24" s="37"/>
      <c r="H24" s="166"/>
      <c r="I24" s="135"/>
      <c r="J24" s="135"/>
      <c r="L24" s="47">
        <f>912/24+1.5</f>
        <v>39.5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118</v>
      </c>
      <c r="C25" s="10">
        <v>12</v>
      </c>
      <c r="D25" s="48">
        <f t="shared" si="1"/>
        <v>504.5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973/24+1.5</f>
        <v>42.041666666666664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105</v>
      </c>
      <c r="C26" s="10"/>
      <c r="D26" s="48">
        <f t="shared" si="1"/>
        <v>0</v>
      </c>
      <c r="F26" s="64"/>
      <c r="G26" s="10"/>
      <c r="H26" s="170"/>
      <c r="I26" s="171"/>
      <c r="J26" s="17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109</v>
      </c>
      <c r="C27" s="10"/>
      <c r="D27" s="44">
        <f t="shared" si="1"/>
        <v>0</v>
      </c>
      <c r="F27" s="14"/>
      <c r="G27" s="14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/>
      <c r="D28" s="48">
        <f t="shared" si="1"/>
        <v>0</v>
      </c>
      <c r="F28" s="87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313708.5</v>
      </c>
      <c r="F29" s="96" t="s">
        <v>55</v>
      </c>
      <c r="G29" s="158"/>
      <c r="H29" s="118">
        <f>H15-H16-H17-H18-H19-H20-H22-H23-H24+H26+H27</f>
        <v>257103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>
        <v>9</v>
      </c>
      <c r="D34" s="30">
        <f>C34*120</f>
        <v>1080</v>
      </c>
      <c r="F34" s="12">
        <v>1000</v>
      </c>
      <c r="G34" s="74">
        <v>101</v>
      </c>
      <c r="H34" s="140">
        <f>F34*G34</f>
        <v>101000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140">
        <f t="shared" ref="H35:H39" si="2">F35*G35</f>
        <v>11000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140">
        <f>F36*G36</f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>
        <v>465</v>
      </c>
      <c r="D37" s="12">
        <f>C37*111</f>
        <v>51615</v>
      </c>
      <c r="F37" s="12">
        <v>100</v>
      </c>
      <c r="G37" s="39">
        <v>1</v>
      </c>
      <c r="H37" s="140">
        <f t="shared" si="2"/>
        <v>100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1</v>
      </c>
      <c r="H38" s="140">
        <f t="shared" si="2"/>
        <v>50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>
        <v>2</v>
      </c>
      <c r="D42" s="12">
        <f>C42*2.25</f>
        <v>4.5</v>
      </c>
      <c r="F42" s="39" t="s">
        <v>79</v>
      </c>
      <c r="G42" s="140">
        <v>136</v>
      </c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0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 t="s">
        <v>145</v>
      </c>
      <c r="G44" s="62" t="s">
        <v>152</v>
      </c>
      <c r="H44" s="135">
        <v>144193</v>
      </c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>
        <v>1</v>
      </c>
      <c r="D45" s="12">
        <f>C45*84</f>
        <v>84</v>
      </c>
      <c r="F45" s="37"/>
      <c r="G45" s="62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>
        <v>36</v>
      </c>
      <c r="D46" s="12">
        <f>C46*1.5</f>
        <v>54</v>
      </c>
      <c r="F46" s="37"/>
      <c r="G46" s="89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>
        <v>22</v>
      </c>
      <c r="D49" s="12">
        <f>C49*42</f>
        <v>924</v>
      </c>
      <c r="F49" s="116" t="s">
        <v>86</v>
      </c>
      <c r="G49" s="118">
        <f>H34+H35+H36+H37+H38+H39+H40+H41+G42+H44+H45+H46</f>
        <v>256479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>
        <v>5</v>
      </c>
      <c r="D50" s="12">
        <f>C50*1.5</f>
        <v>7.5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153</v>
      </c>
      <c r="G51" s="225">
        <f>G49-H29</f>
        <v>-624</v>
      </c>
      <c r="H51" s="226"/>
      <c r="I51" s="226"/>
      <c r="J51" s="22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228"/>
      <c r="H52" s="229"/>
      <c r="I52" s="229"/>
      <c r="J52" s="23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55225.5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FA2A3-074A-4D0C-B58C-7B3CBC5FB5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3</v>
      </c>
      <c r="H4" s="197" t="s">
        <v>9</v>
      </c>
      <c r="I4" s="199">
        <v>46083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266</v>
      </c>
      <c r="D6" s="13">
        <f t="shared" ref="D6:D28" si="1">C6*L6</f>
        <v>202426</v>
      </c>
      <c r="F6" s="203" t="s">
        <v>16</v>
      </c>
      <c r="G6" s="205" t="s">
        <v>141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9</v>
      </c>
      <c r="D7" s="13">
        <f t="shared" si="1"/>
        <v>7029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130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57</v>
      </c>
      <c r="D9" s="13">
        <f t="shared" si="1"/>
        <v>41781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>
        <v>1</v>
      </c>
      <c r="D10" s="13">
        <f t="shared" si="1"/>
        <v>1032</v>
      </c>
      <c r="F10" s="203" t="s">
        <v>26</v>
      </c>
      <c r="G10" s="218" t="s">
        <v>127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>
        <v>2</v>
      </c>
      <c r="D12" s="48">
        <f t="shared" si="1"/>
        <v>1984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12</v>
      </c>
      <c r="D13" s="48">
        <f t="shared" si="1"/>
        <v>3684</v>
      </c>
      <c r="F13" s="224" t="s">
        <v>36</v>
      </c>
      <c r="G13" s="188"/>
      <c r="H13" s="179">
        <f>D29</f>
        <v>259606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8</v>
      </c>
      <c r="D14" s="31">
        <f t="shared" si="1"/>
        <v>88</v>
      </c>
      <c r="F14" s="182" t="s">
        <v>39</v>
      </c>
      <c r="G14" s="183"/>
      <c r="H14" s="184">
        <f>D54</f>
        <v>36129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/>
      <c r="D15" s="31">
        <f t="shared" si="1"/>
        <v>0</v>
      </c>
      <c r="F15" s="187" t="s">
        <v>40</v>
      </c>
      <c r="G15" s="188"/>
      <c r="H15" s="189">
        <f>H13-H14</f>
        <v>223477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>
        <f>115*6</f>
        <v>690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151</v>
      </c>
      <c r="C17" s="10">
        <v>1</v>
      </c>
      <c r="D17" s="48">
        <f t="shared" si="1"/>
        <v>1582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6">
        <v>50</v>
      </c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104</v>
      </c>
      <c r="C22" s="10"/>
      <c r="D22" s="48">
        <f t="shared" si="1"/>
        <v>0</v>
      </c>
      <c r="F22" s="77"/>
      <c r="G22" s="73"/>
      <c r="H22" s="165"/>
      <c r="I22" s="165"/>
      <c r="J22" s="165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107</v>
      </c>
      <c r="C23" s="10"/>
      <c r="D23" s="48">
        <f t="shared" si="1"/>
        <v>0</v>
      </c>
      <c r="F23" s="78"/>
      <c r="G23" s="79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101</v>
      </c>
      <c r="C24" s="10"/>
      <c r="D24" s="48">
        <f t="shared" si="1"/>
        <v>0</v>
      </c>
      <c r="F24" s="38"/>
      <c r="G24" s="37"/>
      <c r="H24" s="166"/>
      <c r="I24" s="135"/>
      <c r="J24" s="13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105</v>
      </c>
      <c r="C26" s="10"/>
      <c r="D26" s="48">
        <f t="shared" si="1"/>
        <v>0</v>
      </c>
      <c r="F26" s="64"/>
      <c r="G26" s="59"/>
      <c r="H26" s="170"/>
      <c r="I26" s="171"/>
      <c r="J26" s="17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109</v>
      </c>
      <c r="C27" s="10"/>
      <c r="D27" s="44">
        <f t="shared" si="1"/>
        <v>0</v>
      </c>
      <c r="F27" s="25"/>
      <c r="G27" s="80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/>
      <c r="D28" s="48">
        <f t="shared" si="1"/>
        <v>0</v>
      </c>
      <c r="F28" s="87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259606</v>
      </c>
      <c r="F29" s="96" t="s">
        <v>55</v>
      </c>
      <c r="G29" s="158"/>
      <c r="H29" s="118">
        <f>H15-H16-H17-H18-H19-H20-H22-H23-H24+H26+H27</f>
        <v>222737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41</v>
      </c>
      <c r="H34" s="140">
        <f>F34*G34</f>
        <v>41000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7</v>
      </c>
      <c r="H35" s="140">
        <f>F35*G35</f>
        <v>3500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140">
        <f t="shared" ref="H36:H39" si="2">F36*G36</f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>
        <v>284</v>
      </c>
      <c r="D37" s="12">
        <f>C37*111</f>
        <v>31524</v>
      </c>
      <c r="F37" s="12">
        <v>100</v>
      </c>
      <c r="G37" s="39">
        <v>1</v>
      </c>
      <c r="H37" s="140">
        <f t="shared" si="2"/>
        <v>100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>
        <v>17</v>
      </c>
      <c r="D38" s="12">
        <f>C38*84</f>
        <v>1428</v>
      </c>
      <c r="F38" s="30">
        <v>50</v>
      </c>
      <c r="G38" s="39">
        <v>2</v>
      </c>
      <c r="H38" s="140">
        <f t="shared" si="2"/>
        <v>100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>
        <v>16</v>
      </c>
      <c r="D40" s="12">
        <f>C40*111</f>
        <v>1776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>
        <v>10</v>
      </c>
      <c r="D42" s="12">
        <f>C42*2.25</f>
        <v>22.5</v>
      </c>
      <c r="F42" s="39" t="s">
        <v>79</v>
      </c>
      <c r="G42" s="140">
        <v>88</v>
      </c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0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>
        <v>2</v>
      </c>
      <c r="D44" s="12">
        <f>C44*120</f>
        <v>240</v>
      </c>
      <c r="F44" s="37" t="s">
        <v>145</v>
      </c>
      <c r="G44" s="76" t="s">
        <v>156</v>
      </c>
      <c r="H44" s="135">
        <v>75280</v>
      </c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 t="s">
        <v>154</v>
      </c>
      <c r="G45" s="76" t="s">
        <v>157</v>
      </c>
      <c r="H45" s="135">
        <v>101194</v>
      </c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>
        <v>10</v>
      </c>
      <c r="D46" s="12">
        <f>C46*1.5</f>
        <v>15</v>
      </c>
      <c r="F46" s="37" t="s">
        <v>155</v>
      </c>
      <c r="G46" s="62"/>
      <c r="H46" s="136">
        <v>1582</v>
      </c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222844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>
        <v>1</v>
      </c>
      <c r="D50" s="12">
        <f>C50*1.5</f>
        <v>1.5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138</v>
      </c>
      <c r="G51" s="126">
        <f>G49-H29</f>
        <v>107</v>
      </c>
      <c r="H51" s="127"/>
      <c r="I51" s="127"/>
      <c r="J51" s="1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36129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F4B8E-B384-4651-8C61-42BE14A6AC6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2" t="s">
        <v>1</v>
      </c>
      <c r="O1" s="192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3" t="s">
        <v>7</v>
      </c>
      <c r="B4" s="144"/>
      <c r="C4" s="144"/>
      <c r="D4" s="145"/>
      <c r="F4" s="193" t="s">
        <v>8</v>
      </c>
      <c r="G4" s="195"/>
      <c r="H4" s="197" t="s">
        <v>9</v>
      </c>
      <c r="I4" s="199"/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203" t="s">
        <v>16</v>
      </c>
      <c r="G6" s="205"/>
      <c r="H6" s="206"/>
      <c r="I6" s="206"/>
      <c r="J6" s="20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211" t="s">
        <v>21</v>
      </c>
      <c r="G8" s="212"/>
      <c r="H8" s="213"/>
      <c r="I8" s="213"/>
      <c r="J8" s="21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203" t="s">
        <v>26</v>
      </c>
      <c r="G10" s="218"/>
      <c r="H10" s="219"/>
      <c r="I10" s="219"/>
      <c r="J10" s="220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50</v>
      </c>
      <c r="H19" s="161"/>
      <c r="I19" s="161"/>
      <c r="J19" s="1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7"/>
      <c r="G22" s="73"/>
      <c r="H22" s="165"/>
      <c r="I22" s="165"/>
      <c r="J22" s="16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8"/>
      <c r="G23" s="79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166"/>
      <c r="I24" s="135"/>
      <c r="J24" s="13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170"/>
      <c r="I26" s="171"/>
      <c r="J26" s="17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80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94"/>
      <c r="G28" s="61"/>
      <c r="H28" s="176"/>
      <c r="I28" s="177"/>
      <c r="J28" s="17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0"/>
      <c r="I34" s="141"/>
      <c r="J34" s="14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/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/>
      <c r="I36" s="141"/>
      <c r="J36" s="14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/>
      <c r="I37" s="141"/>
      <c r="J37" s="14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/>
      <c r="I38" s="141"/>
      <c r="J38" s="14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/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1" t="s">
        <v>83</v>
      </c>
      <c r="H43" s="132" t="s">
        <v>13</v>
      </c>
      <c r="I43" s="133"/>
      <c r="J43" s="134"/>
      <c r="K43" s="21"/>
      <c r="P43" s="4"/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76"/>
      <c r="H44" s="135"/>
      <c r="I44" s="135"/>
      <c r="J44" s="135"/>
      <c r="K44" s="21"/>
      <c r="P44" s="4"/>
      <c r="Q44" s="4"/>
      <c r="R44" s="5"/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76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P50" s="4"/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125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81778-1822-423D-B47A-69C74143B1A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1</v>
      </c>
      <c r="H4" s="197" t="s">
        <v>9</v>
      </c>
      <c r="I4" s="199">
        <v>46084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84">
        <v>382</v>
      </c>
      <c r="D6" s="13">
        <f t="shared" ref="D6:D28" si="1">C6*L6</f>
        <v>290702</v>
      </c>
      <c r="F6" s="203" t="s">
        <v>16</v>
      </c>
      <c r="G6" s="205" t="s">
        <v>111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84">
        <v>7</v>
      </c>
      <c r="D7" s="13">
        <f t="shared" si="1"/>
        <v>5467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84"/>
      <c r="D8" s="13">
        <f t="shared" si="1"/>
        <v>0</v>
      </c>
      <c r="F8" s="211" t="s">
        <v>21</v>
      </c>
      <c r="G8" s="212" t="s">
        <v>144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84">
        <v>31</v>
      </c>
      <c r="D9" s="13">
        <f t="shared" si="1"/>
        <v>22723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84"/>
      <c r="D10" s="13">
        <f t="shared" si="1"/>
        <v>0</v>
      </c>
      <c r="F10" s="203" t="s">
        <v>26</v>
      </c>
      <c r="G10" s="218" t="s">
        <v>139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84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84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84"/>
      <c r="D13" s="48">
        <f t="shared" si="1"/>
        <v>0</v>
      </c>
      <c r="F13" s="224" t="s">
        <v>36</v>
      </c>
      <c r="G13" s="188"/>
      <c r="H13" s="179">
        <f>D29</f>
        <v>322724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84">
        <v>9</v>
      </c>
      <c r="D14" s="31">
        <f t="shared" si="1"/>
        <v>99</v>
      </c>
      <c r="F14" s="182" t="s">
        <v>39</v>
      </c>
      <c r="G14" s="183"/>
      <c r="H14" s="184">
        <f>D54</f>
        <v>44362.5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84"/>
      <c r="D15" s="31">
        <f t="shared" si="1"/>
        <v>0</v>
      </c>
      <c r="F15" s="187" t="s">
        <v>40</v>
      </c>
      <c r="G15" s="188"/>
      <c r="H15" s="189">
        <f>H13-H14</f>
        <v>278361.5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133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38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131</v>
      </c>
      <c r="C21" s="84">
        <f>1+1</f>
        <v>2</v>
      </c>
      <c r="D21" s="48">
        <f t="shared" si="1"/>
        <v>1300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124</v>
      </c>
      <c r="C22" s="84"/>
      <c r="D22" s="48">
        <f t="shared" si="1"/>
        <v>0</v>
      </c>
      <c r="F22" s="77"/>
      <c r="G22" s="73"/>
      <c r="H22" s="165"/>
      <c r="I22" s="165"/>
      <c r="J22" s="16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101</v>
      </c>
      <c r="C23" s="84"/>
      <c r="D23" s="48">
        <f t="shared" si="1"/>
        <v>0</v>
      </c>
      <c r="F23" s="77"/>
      <c r="G23" s="79"/>
      <c r="H23" s="231"/>
      <c r="I23" s="232"/>
      <c r="J23" s="23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118</v>
      </c>
      <c r="C24" s="84"/>
      <c r="D24" s="48">
        <f t="shared" si="1"/>
        <v>0</v>
      </c>
      <c r="F24" s="77"/>
      <c r="G24" s="79"/>
      <c r="H24" s="231"/>
      <c r="I24" s="232"/>
      <c r="J24" s="23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132</v>
      </c>
      <c r="C26" s="84"/>
      <c r="D26" s="48">
        <f t="shared" si="1"/>
        <v>0</v>
      </c>
      <c r="F26" s="75"/>
      <c r="G26" s="65"/>
      <c r="H26" s="135"/>
      <c r="I26" s="135"/>
      <c r="J26" s="135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110</v>
      </c>
      <c r="C27" s="84"/>
      <c r="D27" s="44">
        <f t="shared" si="1"/>
        <v>0</v>
      </c>
      <c r="F27" s="71"/>
      <c r="G27" s="91"/>
      <c r="H27" s="233"/>
      <c r="I27" s="234"/>
      <c r="J27" s="23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84">
        <v>3</v>
      </c>
      <c r="D28" s="48">
        <f t="shared" si="1"/>
        <v>2433</v>
      </c>
      <c r="F28" s="94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322724</v>
      </c>
      <c r="F29" s="96" t="s">
        <v>55</v>
      </c>
      <c r="G29" s="158"/>
      <c r="H29" s="118">
        <f>H15-H16-H17-H18-H19-H20-H22-H23-H24+H26+H27+H28</f>
        <v>278361.5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212</v>
      </c>
      <c r="H34" s="140">
        <f t="shared" ref="H34:H39" si="2">F34*G34</f>
        <v>212000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>
        <v>36</v>
      </c>
      <c r="H35" s="140">
        <f t="shared" si="2"/>
        <v>18000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40">
        <f t="shared" si="2"/>
        <v>400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>
        <v>393</v>
      </c>
      <c r="D37" s="12">
        <f>C37*111</f>
        <v>43623</v>
      </c>
      <c r="F37" s="12">
        <v>100</v>
      </c>
      <c r="G37" s="39">
        <v>27</v>
      </c>
      <c r="H37" s="140">
        <f t="shared" si="2"/>
        <v>2700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23</v>
      </c>
      <c r="H38" s="140">
        <f t="shared" si="2"/>
        <v>1150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140">
        <f t="shared" si="2"/>
        <v>40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>
        <v>2</v>
      </c>
      <c r="D42" s="12">
        <f>C42*2.25</f>
        <v>4.5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1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 t="s">
        <v>155</v>
      </c>
      <c r="G44" s="62" t="s">
        <v>158</v>
      </c>
      <c r="H44" s="135">
        <v>10000</v>
      </c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 t="s">
        <v>155</v>
      </c>
      <c r="G45" s="62" t="s">
        <v>159</v>
      </c>
      <c r="H45" s="135">
        <v>35000</v>
      </c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5"/>
      <c r="I46" s="135"/>
      <c r="J46" s="135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279290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>
        <v>8</v>
      </c>
      <c r="D50" s="12">
        <f>C50*1.5</f>
        <v>12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138</v>
      </c>
      <c r="G51" s="126">
        <f>G49-H29</f>
        <v>928.5</v>
      </c>
      <c r="H51" s="127"/>
      <c r="I51" s="127"/>
      <c r="J51" s="1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44362.5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F8E36-22DC-4194-9416-CB91F78DB7D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2</v>
      </c>
      <c r="H4" s="197" t="s">
        <v>9</v>
      </c>
      <c r="I4" s="199">
        <v>46084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224</v>
      </c>
      <c r="D6" s="13">
        <f t="shared" ref="D6:D28" si="1">C6*L6</f>
        <v>170464</v>
      </c>
      <c r="F6" s="203" t="s">
        <v>16</v>
      </c>
      <c r="G6" s="205" t="s">
        <v>126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2</v>
      </c>
      <c r="D7" s="13">
        <f t="shared" si="1"/>
        <v>1562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113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71</v>
      </c>
      <c r="D9" s="13">
        <f t="shared" si="1"/>
        <v>52043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114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7</v>
      </c>
      <c r="D13" s="48">
        <f t="shared" si="1"/>
        <v>2149</v>
      </c>
      <c r="F13" s="224" t="s">
        <v>36</v>
      </c>
      <c r="G13" s="188"/>
      <c r="H13" s="179">
        <f>D29</f>
        <v>228774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14</v>
      </c>
      <c r="D14" s="31">
        <f t="shared" si="1"/>
        <v>154</v>
      </c>
      <c r="F14" s="182" t="s">
        <v>39</v>
      </c>
      <c r="G14" s="183"/>
      <c r="H14" s="184">
        <f>D54</f>
        <v>35040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/>
      <c r="D15" s="31">
        <f t="shared" si="1"/>
        <v>0</v>
      </c>
      <c r="F15" s="187" t="s">
        <v>40</v>
      </c>
      <c r="G15" s="188"/>
      <c r="H15" s="189">
        <f>H13-H14</f>
        <v>193734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>
        <f>122*6</f>
        <v>732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149</v>
      </c>
      <c r="C19" s="10">
        <v>1</v>
      </c>
      <c r="D19" s="48">
        <f t="shared" si="1"/>
        <v>1102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104</v>
      </c>
      <c r="C22" s="10"/>
      <c r="D22" s="48">
        <f t="shared" si="1"/>
        <v>0</v>
      </c>
      <c r="F22" s="77" t="s">
        <v>161</v>
      </c>
      <c r="G22" s="73">
        <v>9463</v>
      </c>
      <c r="H22" s="165">
        <v>265</v>
      </c>
      <c r="I22" s="165"/>
      <c r="J22" s="16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107</v>
      </c>
      <c r="C23" s="10"/>
      <c r="D23" s="48">
        <f t="shared" si="1"/>
        <v>0</v>
      </c>
      <c r="F23" s="25"/>
      <c r="G23" s="37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120</v>
      </c>
      <c r="C24" s="10"/>
      <c r="D24" s="48">
        <f t="shared" si="1"/>
        <v>0</v>
      </c>
      <c r="F24" s="38"/>
      <c r="G24" s="37"/>
      <c r="H24" s="166"/>
      <c r="I24" s="135"/>
      <c r="J24" s="13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105</v>
      </c>
      <c r="C26" s="10"/>
      <c r="D26" s="48">
        <f t="shared" si="1"/>
        <v>0</v>
      </c>
      <c r="F26" s="64"/>
      <c r="G26" s="10"/>
      <c r="H26" s="170"/>
      <c r="I26" s="171"/>
      <c r="J26" s="17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109</v>
      </c>
      <c r="C27" s="10"/>
      <c r="D27" s="44">
        <f t="shared" si="1"/>
        <v>0</v>
      </c>
      <c r="F27" s="14"/>
      <c r="G27" s="14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/>
      <c r="D28" s="48">
        <f t="shared" si="1"/>
        <v>0</v>
      </c>
      <c r="F28" s="94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228774</v>
      </c>
      <c r="F29" s="96" t="s">
        <v>55</v>
      </c>
      <c r="G29" s="158"/>
      <c r="H29" s="118">
        <f>H15-H16-H17-H18-H19-H20-H22-H23-H24+H26+H27</f>
        <v>192737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140</v>
      </c>
      <c r="H34" s="140">
        <f>F34*G34</f>
        <v>140000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>
        <v>93</v>
      </c>
      <c r="H35" s="140">
        <f t="shared" ref="H35:H39" si="2">F35*G35</f>
        <v>46500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40">
        <f>F36*G36</f>
        <v>400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>
        <v>282</v>
      </c>
      <c r="D37" s="12">
        <f>C37*111</f>
        <v>31302</v>
      </c>
      <c r="F37" s="12">
        <v>100</v>
      </c>
      <c r="G37" s="39">
        <v>43</v>
      </c>
      <c r="H37" s="140">
        <f t="shared" si="2"/>
        <v>4300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>
        <v>31</v>
      </c>
      <c r="D38" s="12">
        <f>C38*84</f>
        <v>2604</v>
      </c>
      <c r="F38" s="30">
        <v>50</v>
      </c>
      <c r="G38" s="39">
        <v>27</v>
      </c>
      <c r="H38" s="140">
        <f t="shared" si="2"/>
        <v>1350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>
        <v>45</v>
      </c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1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62"/>
      <c r="H44" s="135"/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62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>
        <v>1</v>
      </c>
      <c r="D46" s="12">
        <f>C46*1.5</f>
        <v>1.5</v>
      </c>
      <c r="F46" s="37"/>
      <c r="G46" s="9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>
        <v>3</v>
      </c>
      <c r="D49" s="12">
        <f>C49*42</f>
        <v>126</v>
      </c>
      <c r="F49" s="116" t="s">
        <v>86</v>
      </c>
      <c r="G49" s="118">
        <f>H34+H35+H36+H37+H38+H39+H40+H41+G42+H44+H45+H46</f>
        <v>192595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>
        <v>19</v>
      </c>
      <c r="D50" s="12">
        <f>C50*1.5</f>
        <v>28.5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162</v>
      </c>
      <c r="G51" s="225">
        <f>G49-H29</f>
        <v>-142</v>
      </c>
      <c r="H51" s="226"/>
      <c r="I51" s="226"/>
      <c r="J51" s="22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228"/>
      <c r="H52" s="229"/>
      <c r="I52" s="229"/>
      <c r="J52" s="23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35040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A98FC-8A93-4282-8BF7-DB31A8636CB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3</v>
      </c>
      <c r="H4" s="197" t="s">
        <v>9</v>
      </c>
      <c r="I4" s="199">
        <v>46084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291</v>
      </c>
      <c r="D6" s="13">
        <f t="shared" ref="D6:D28" si="1">C6*L6</f>
        <v>221451</v>
      </c>
      <c r="F6" s="203" t="s">
        <v>16</v>
      </c>
      <c r="G6" s="205" t="s">
        <v>141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>
        <v>20</v>
      </c>
      <c r="D7" s="13">
        <f t="shared" si="1"/>
        <v>15620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>
        <v>1</v>
      </c>
      <c r="D8" s="13">
        <f t="shared" si="1"/>
        <v>1093</v>
      </c>
      <c r="F8" s="211" t="s">
        <v>21</v>
      </c>
      <c r="G8" s="212" t="s">
        <v>130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36</v>
      </c>
      <c r="D9" s="13">
        <f t="shared" si="1"/>
        <v>26388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127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>
        <v>3</v>
      </c>
      <c r="D12" s="48">
        <f t="shared" si="1"/>
        <v>2976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15</v>
      </c>
      <c r="D13" s="48">
        <f t="shared" si="1"/>
        <v>4605</v>
      </c>
      <c r="F13" s="224" t="s">
        <v>36</v>
      </c>
      <c r="G13" s="188"/>
      <c r="H13" s="179">
        <f>D29</f>
        <v>273403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82" t="s">
        <v>39</v>
      </c>
      <c r="G14" s="183"/>
      <c r="H14" s="184">
        <f>D54</f>
        <v>40279.5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>
        <v>1</v>
      </c>
      <c r="D15" s="31">
        <f t="shared" si="1"/>
        <v>620</v>
      </c>
      <c r="F15" s="187" t="s">
        <v>40</v>
      </c>
      <c r="G15" s="188"/>
      <c r="H15" s="189">
        <f>H13-H14</f>
        <v>233123.5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>
        <f>153*6</f>
        <v>918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112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123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104</v>
      </c>
      <c r="C22" s="10"/>
      <c r="D22" s="48">
        <f t="shared" si="1"/>
        <v>0</v>
      </c>
      <c r="F22" s="77"/>
      <c r="G22" s="73"/>
      <c r="H22" s="165"/>
      <c r="I22" s="165"/>
      <c r="J22" s="165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107</v>
      </c>
      <c r="C23" s="10"/>
      <c r="D23" s="48">
        <f t="shared" si="1"/>
        <v>0</v>
      </c>
      <c r="F23" s="78"/>
      <c r="G23" s="79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101</v>
      </c>
      <c r="C24" s="10"/>
      <c r="D24" s="48">
        <f t="shared" si="1"/>
        <v>0</v>
      </c>
      <c r="F24" s="38"/>
      <c r="G24" s="37"/>
      <c r="H24" s="166"/>
      <c r="I24" s="135"/>
      <c r="J24" s="13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105</v>
      </c>
      <c r="C26" s="10"/>
      <c r="D26" s="48">
        <f t="shared" si="1"/>
        <v>0</v>
      </c>
      <c r="F26" s="64"/>
      <c r="G26" s="59"/>
      <c r="H26" s="170"/>
      <c r="I26" s="171"/>
      <c r="J26" s="17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109</v>
      </c>
      <c r="C27" s="10"/>
      <c r="D27" s="44">
        <f t="shared" si="1"/>
        <v>0</v>
      </c>
      <c r="F27" s="25"/>
      <c r="G27" s="80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/>
      <c r="D28" s="48">
        <f t="shared" si="1"/>
        <v>0</v>
      </c>
      <c r="F28" s="94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273403</v>
      </c>
      <c r="F29" s="96" t="s">
        <v>55</v>
      </c>
      <c r="G29" s="158"/>
      <c r="H29" s="118">
        <f>H15-H16-H17-H18-H19-H20-H22-H23-H24+H26+H27</f>
        <v>232205.5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75</v>
      </c>
      <c r="H34" s="140">
        <f>F34*G34</f>
        <v>75000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>
        <v>97</v>
      </c>
      <c r="H35" s="140">
        <f>F35*G35</f>
        <v>48500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 t="shared" ref="H36:H39" si="2">F36*G36</f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>
        <v>302</v>
      </c>
      <c r="D37" s="12">
        <f>C37*111</f>
        <v>33522</v>
      </c>
      <c r="F37" s="12">
        <v>100</v>
      </c>
      <c r="G37" s="39">
        <v>60</v>
      </c>
      <c r="H37" s="140">
        <f t="shared" si="2"/>
        <v>6000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43</v>
      </c>
      <c r="H38" s="140">
        <f t="shared" si="2"/>
        <v>2150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>
        <v>46</v>
      </c>
      <c r="D40" s="12">
        <f>C40*111</f>
        <v>5106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>
        <v>12</v>
      </c>
      <c r="D42" s="12">
        <f>C42*2.25</f>
        <v>27</v>
      </c>
      <c r="F42" s="39" t="s">
        <v>79</v>
      </c>
      <c r="G42" s="140">
        <v>74</v>
      </c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1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>
        <v>2</v>
      </c>
      <c r="D44" s="12">
        <f>C44*120</f>
        <v>240</v>
      </c>
      <c r="F44" s="37" t="s">
        <v>146</v>
      </c>
      <c r="G44" s="76" t="s">
        <v>160</v>
      </c>
      <c r="H44" s="135">
        <v>100483</v>
      </c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76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>
        <v>64</v>
      </c>
      <c r="D46" s="12">
        <f>C46*1.5</f>
        <v>96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>
        <v>3</v>
      </c>
      <c r="D49" s="12">
        <f>C49*42</f>
        <v>126</v>
      </c>
      <c r="F49" s="116" t="s">
        <v>86</v>
      </c>
      <c r="G49" s="118">
        <f>H34+H35+H36+H37+H38+H39+H40+H41+G42+H44+H45+H46</f>
        <v>232207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>
        <v>22</v>
      </c>
      <c r="D50" s="12">
        <f>C50*1.5</f>
        <v>33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138</v>
      </c>
      <c r="G51" s="126">
        <f>G49-H29</f>
        <v>1.5</v>
      </c>
      <c r="H51" s="127"/>
      <c r="I51" s="127"/>
      <c r="J51" s="1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40279.5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02641-0112-46AB-A2F6-D2DA4D02B7E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2" t="s">
        <v>1</v>
      </c>
      <c r="O1" s="192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3" t="s">
        <v>7</v>
      </c>
      <c r="B4" s="144"/>
      <c r="C4" s="144"/>
      <c r="D4" s="145"/>
      <c r="F4" s="193" t="s">
        <v>8</v>
      </c>
      <c r="G4" s="195"/>
      <c r="H4" s="197" t="s">
        <v>9</v>
      </c>
      <c r="I4" s="199"/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203" t="s">
        <v>16</v>
      </c>
      <c r="G6" s="205"/>
      <c r="H6" s="206"/>
      <c r="I6" s="206"/>
      <c r="J6" s="20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211" t="s">
        <v>21</v>
      </c>
      <c r="G8" s="212"/>
      <c r="H8" s="213"/>
      <c r="I8" s="213"/>
      <c r="J8" s="21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203" t="s">
        <v>26</v>
      </c>
      <c r="G10" s="218"/>
      <c r="H10" s="219"/>
      <c r="I10" s="219"/>
      <c r="J10" s="220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50</v>
      </c>
      <c r="H19" s="161"/>
      <c r="I19" s="161"/>
      <c r="J19" s="1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7"/>
      <c r="G22" s="73"/>
      <c r="H22" s="165"/>
      <c r="I22" s="165"/>
      <c r="J22" s="16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8"/>
      <c r="G23" s="79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166"/>
      <c r="I24" s="135"/>
      <c r="J24" s="13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170"/>
      <c r="I26" s="171"/>
      <c r="J26" s="17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80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94"/>
      <c r="G28" s="61"/>
      <c r="H28" s="176"/>
      <c r="I28" s="177"/>
      <c r="J28" s="17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0"/>
      <c r="I34" s="141"/>
      <c r="J34" s="14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/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/>
      <c r="I36" s="141"/>
      <c r="J36" s="14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/>
      <c r="I37" s="141"/>
      <c r="J37" s="14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/>
      <c r="I38" s="141"/>
      <c r="J38" s="14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/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1" t="s">
        <v>83</v>
      </c>
      <c r="H43" s="132" t="s">
        <v>13</v>
      </c>
      <c r="I43" s="133"/>
      <c r="J43" s="134"/>
      <c r="K43" s="21"/>
      <c r="P43" s="4"/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76"/>
      <c r="H44" s="135"/>
      <c r="I44" s="135"/>
      <c r="J44" s="135"/>
      <c r="K44" s="21"/>
      <c r="P44" s="4"/>
      <c r="Q44" s="4"/>
      <c r="R44" s="5"/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76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P50" s="4"/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125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51568-7FAD-436D-B181-6D7F577681D6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1</v>
      </c>
      <c r="H4" s="197" t="s">
        <v>9</v>
      </c>
      <c r="I4" s="199">
        <v>46085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84">
        <v>359</v>
      </c>
      <c r="D6" s="13">
        <f t="shared" ref="D6:D28" si="1">C6*L6</f>
        <v>273199</v>
      </c>
      <c r="F6" s="203" t="s">
        <v>16</v>
      </c>
      <c r="G6" s="205" t="s">
        <v>111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84">
        <v>6</v>
      </c>
      <c r="D7" s="13">
        <f t="shared" si="1"/>
        <v>4686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84"/>
      <c r="D8" s="13">
        <f t="shared" si="1"/>
        <v>0</v>
      </c>
      <c r="F8" s="211" t="s">
        <v>21</v>
      </c>
      <c r="G8" s="212" t="s">
        <v>144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84">
        <v>117</v>
      </c>
      <c r="D9" s="13">
        <f t="shared" si="1"/>
        <v>85761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84">
        <v>10</v>
      </c>
      <c r="D10" s="13">
        <f t="shared" si="1"/>
        <v>10320</v>
      </c>
      <c r="F10" s="203" t="s">
        <v>26</v>
      </c>
      <c r="G10" s="218" t="s">
        <v>139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84">
        <v>2</v>
      </c>
      <c r="D11" s="13">
        <f t="shared" si="1"/>
        <v>2340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84">
        <v>3</v>
      </c>
      <c r="D12" s="48">
        <f t="shared" si="1"/>
        <v>2976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84">
        <v>18</v>
      </c>
      <c r="D13" s="48">
        <f t="shared" si="1"/>
        <v>5526</v>
      </c>
      <c r="F13" s="224" t="s">
        <v>36</v>
      </c>
      <c r="G13" s="188"/>
      <c r="H13" s="179">
        <f>D29</f>
        <v>387395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84">
        <v>14</v>
      </c>
      <c r="D14" s="31">
        <f t="shared" si="1"/>
        <v>154</v>
      </c>
      <c r="F14" s="182" t="s">
        <v>39</v>
      </c>
      <c r="G14" s="183"/>
      <c r="H14" s="184">
        <f>D54</f>
        <v>43563.75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84"/>
      <c r="D15" s="31">
        <f t="shared" si="1"/>
        <v>0</v>
      </c>
      <c r="F15" s="187" t="s">
        <v>40</v>
      </c>
      <c r="G15" s="188"/>
      <c r="H15" s="189">
        <f>H13-H14</f>
        <v>343831.25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49">
        <f>334*6</f>
        <v>2004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133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38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124</v>
      </c>
      <c r="C22" s="84"/>
      <c r="D22" s="48">
        <f t="shared" si="1"/>
        <v>0</v>
      </c>
      <c r="F22" s="77" t="s">
        <v>164</v>
      </c>
      <c r="G22" s="73">
        <v>8425</v>
      </c>
      <c r="H22" s="165">
        <v>100339</v>
      </c>
      <c r="I22" s="165"/>
      <c r="J22" s="16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101</v>
      </c>
      <c r="C23" s="84"/>
      <c r="D23" s="48">
        <f t="shared" si="1"/>
        <v>0</v>
      </c>
      <c r="F23" s="77"/>
      <c r="G23" s="79"/>
      <c r="H23" s="231"/>
      <c r="I23" s="232"/>
      <c r="J23" s="23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118</v>
      </c>
      <c r="C24" s="84"/>
      <c r="D24" s="48">
        <f t="shared" si="1"/>
        <v>0</v>
      </c>
      <c r="F24" s="77"/>
      <c r="G24" s="79"/>
      <c r="H24" s="231"/>
      <c r="I24" s="232"/>
      <c r="J24" s="23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132</v>
      </c>
      <c r="C26" s="84"/>
      <c r="D26" s="48">
        <f t="shared" si="1"/>
        <v>0</v>
      </c>
      <c r="F26" s="75" t="s">
        <v>164</v>
      </c>
      <c r="G26" s="65">
        <v>9125</v>
      </c>
      <c r="H26" s="135">
        <v>98532</v>
      </c>
      <c r="I26" s="135"/>
      <c r="J26" s="135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110</v>
      </c>
      <c r="C27" s="84"/>
      <c r="D27" s="44">
        <f t="shared" si="1"/>
        <v>0</v>
      </c>
      <c r="F27" s="71"/>
      <c r="G27" s="91"/>
      <c r="H27" s="233"/>
      <c r="I27" s="234"/>
      <c r="J27" s="23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84">
        <v>3</v>
      </c>
      <c r="D28" s="48">
        <f t="shared" si="1"/>
        <v>2433</v>
      </c>
      <c r="F28" s="94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387395</v>
      </c>
      <c r="F29" s="96" t="s">
        <v>55</v>
      </c>
      <c r="G29" s="158"/>
      <c r="H29" s="118">
        <f>H15-H16-H17-H18-H19-H20-H22-H23-H24+H26+H27+H28</f>
        <v>340020.25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10</v>
      </c>
      <c r="H34" s="140">
        <f t="shared" ref="H34:H39" si="2">F34*G34</f>
        <v>10000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>
        <v>1</v>
      </c>
      <c r="D35" s="30">
        <f>C35*84</f>
        <v>84</v>
      </c>
      <c r="F35" s="58">
        <v>500</v>
      </c>
      <c r="G35" s="41"/>
      <c r="H35" s="140">
        <f t="shared" si="2"/>
        <v>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>
        <v>20</v>
      </c>
      <c r="D36" s="12">
        <f>C36*1.5</f>
        <v>30</v>
      </c>
      <c r="F36" s="12">
        <v>200</v>
      </c>
      <c r="G36" s="37"/>
      <c r="H36" s="140">
        <f t="shared" si="2"/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>
        <v>360</v>
      </c>
      <c r="D37" s="12">
        <f>C37*111</f>
        <v>39960</v>
      </c>
      <c r="F37" s="12">
        <v>100</v>
      </c>
      <c r="G37" s="39">
        <v>1</v>
      </c>
      <c r="H37" s="140">
        <f t="shared" si="2"/>
        <v>100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>
        <v>14</v>
      </c>
      <c r="D38" s="12">
        <f>C38*84</f>
        <v>1176</v>
      </c>
      <c r="F38" s="30">
        <v>50</v>
      </c>
      <c r="G38" s="39">
        <v>2</v>
      </c>
      <c r="H38" s="140">
        <f t="shared" si="2"/>
        <v>100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>
        <v>7</v>
      </c>
      <c r="D42" s="12">
        <f>C42*2.25</f>
        <v>15.75</v>
      </c>
      <c r="F42" s="39" t="s">
        <v>79</v>
      </c>
      <c r="G42" s="140">
        <v>10</v>
      </c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1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>
        <v>4</v>
      </c>
      <c r="D44" s="12">
        <f>C44*120</f>
        <v>480</v>
      </c>
      <c r="F44" s="37" t="s">
        <v>145</v>
      </c>
      <c r="G44" s="62" t="s">
        <v>165</v>
      </c>
      <c r="H44" s="135">
        <v>230441.5</v>
      </c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 t="s">
        <v>164</v>
      </c>
      <c r="G45" s="62" t="s">
        <v>166</v>
      </c>
      <c r="H45" s="135">
        <v>98532</v>
      </c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>
        <v>2</v>
      </c>
      <c r="D46" s="12">
        <f>C46*1.5</f>
        <v>3</v>
      </c>
      <c r="F46" s="37"/>
      <c r="G46" s="62"/>
      <c r="H46" s="135"/>
      <c r="I46" s="135"/>
      <c r="J46" s="135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>
        <v>7</v>
      </c>
      <c r="D49" s="12">
        <f>C49*42</f>
        <v>294</v>
      </c>
      <c r="F49" s="116" t="s">
        <v>86</v>
      </c>
      <c r="G49" s="118">
        <f>H34+H35+H36+H37+H38+H39+H40+H41+G42+H44+H45+H46</f>
        <v>339183.5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>
        <v>17</v>
      </c>
      <c r="D50" s="12">
        <f>C50*1.5</f>
        <v>25.5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128</v>
      </c>
      <c r="G51" s="225">
        <f>G49-H29</f>
        <v>-836.75</v>
      </c>
      <c r="H51" s="226"/>
      <c r="I51" s="226"/>
      <c r="J51" s="22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228"/>
      <c r="H52" s="229"/>
      <c r="I52" s="229"/>
      <c r="J52" s="23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43563.75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C5C2E2-B957-4DF6-BC9F-21540716AD3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2</v>
      </c>
      <c r="H4" s="197" t="s">
        <v>9</v>
      </c>
      <c r="I4" s="199">
        <v>46085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326</v>
      </c>
      <c r="D6" s="13">
        <f t="shared" ref="D6:D28" si="1">C6*L6</f>
        <v>248086</v>
      </c>
      <c r="F6" s="203" t="s">
        <v>16</v>
      </c>
      <c r="G6" s="205" t="s">
        <v>126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113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114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14</v>
      </c>
      <c r="D13" s="48">
        <f t="shared" si="1"/>
        <v>4298</v>
      </c>
      <c r="F13" s="224" t="s">
        <v>36</v>
      </c>
      <c r="G13" s="188"/>
      <c r="H13" s="179">
        <f>D29</f>
        <v>253739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5</v>
      </c>
      <c r="D14" s="31">
        <f t="shared" si="1"/>
        <v>55</v>
      </c>
      <c r="F14" s="182" t="s">
        <v>39</v>
      </c>
      <c r="G14" s="183"/>
      <c r="H14" s="184">
        <f>D54</f>
        <v>36819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/>
      <c r="D15" s="31">
        <f t="shared" si="1"/>
        <v>0</v>
      </c>
      <c r="F15" s="187" t="s">
        <v>40</v>
      </c>
      <c r="G15" s="188"/>
      <c r="H15" s="189">
        <f>H13-H14</f>
        <v>216920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>
        <f>324*6</f>
        <v>1944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49">
        <v>50</v>
      </c>
      <c r="I19" s="149"/>
      <c r="J19" s="14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104</v>
      </c>
      <c r="C22" s="10"/>
      <c r="D22" s="48">
        <f t="shared" si="1"/>
        <v>0</v>
      </c>
      <c r="F22" s="72"/>
      <c r="G22" s="73"/>
      <c r="H22" s="165"/>
      <c r="I22" s="165"/>
      <c r="J22" s="16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107</v>
      </c>
      <c r="C23" s="10"/>
      <c r="D23" s="48">
        <f t="shared" si="1"/>
        <v>0</v>
      </c>
      <c r="F23" s="25"/>
      <c r="G23" s="37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120</v>
      </c>
      <c r="C24" s="10"/>
      <c r="D24" s="48">
        <f t="shared" si="1"/>
        <v>0</v>
      </c>
      <c r="F24" s="38"/>
      <c r="G24" s="37"/>
      <c r="H24" s="166"/>
      <c r="I24" s="135"/>
      <c r="J24" s="13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105</v>
      </c>
      <c r="C26" s="10"/>
      <c r="D26" s="48">
        <f t="shared" si="1"/>
        <v>0</v>
      </c>
      <c r="F26" s="64"/>
      <c r="G26" s="10"/>
      <c r="H26" s="170"/>
      <c r="I26" s="171"/>
      <c r="J26" s="17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109</v>
      </c>
      <c r="C27" s="10"/>
      <c r="D27" s="44">
        <f t="shared" si="1"/>
        <v>0</v>
      </c>
      <c r="F27" s="14"/>
      <c r="G27" s="14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/>
      <c r="D28" s="48">
        <f t="shared" si="1"/>
        <v>0</v>
      </c>
      <c r="F28" s="94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253739</v>
      </c>
      <c r="F29" s="96" t="s">
        <v>55</v>
      </c>
      <c r="G29" s="158"/>
      <c r="H29" s="118">
        <f>H15-H16-H17-H18-H19-H20-H22-H23-H24+H26+H27</f>
        <v>214926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214</v>
      </c>
      <c r="H34" s="140">
        <f>F34*G34</f>
        <v>214000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40">
        <f t="shared" ref="H35:H39" si="2">F35*G35</f>
        <v>500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>F36*G36</f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>
        <v>325</v>
      </c>
      <c r="D37" s="12">
        <f>C37*111</f>
        <v>36075</v>
      </c>
      <c r="F37" s="12">
        <v>100</v>
      </c>
      <c r="G37" s="39">
        <v>3</v>
      </c>
      <c r="H37" s="140">
        <f t="shared" si="2"/>
        <v>300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40">
        <f t="shared" si="2"/>
        <v>50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>
        <v>32</v>
      </c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1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62"/>
      <c r="H44" s="135"/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62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9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>
        <v>10</v>
      </c>
      <c r="D49" s="12">
        <f>C49*42</f>
        <v>420</v>
      </c>
      <c r="F49" s="116" t="s">
        <v>86</v>
      </c>
      <c r="G49" s="118">
        <f>H34+H35+H36+H37+H38+H39+H40+H41+G42+H44+H45+H46</f>
        <v>214882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>
        <v>1</v>
      </c>
      <c r="D50" s="12">
        <f>C50*1.5</f>
        <v>1.5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162</v>
      </c>
      <c r="G51" s="225">
        <f>G49-H29</f>
        <v>-44</v>
      </c>
      <c r="H51" s="226"/>
      <c r="I51" s="226"/>
      <c r="J51" s="22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228"/>
      <c r="H52" s="229"/>
      <c r="I52" s="229"/>
      <c r="J52" s="23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36819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D8F58-0D98-4069-B016-F3395E73D255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3</v>
      </c>
      <c r="H4" s="197" t="s">
        <v>9</v>
      </c>
      <c r="I4" s="199">
        <v>46085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>
        <v>270</v>
      </c>
      <c r="D6" s="13">
        <f t="shared" ref="D6:D28" si="1">C6*L6</f>
        <v>205470</v>
      </c>
      <c r="F6" s="203" t="s">
        <v>16</v>
      </c>
      <c r="G6" s="205" t="s">
        <v>141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130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>
        <v>29</v>
      </c>
      <c r="D9" s="13">
        <f t="shared" si="1"/>
        <v>21257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127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>
        <v>8</v>
      </c>
      <c r="D13" s="48">
        <f t="shared" si="1"/>
        <v>2456</v>
      </c>
      <c r="F13" s="224" t="s">
        <v>36</v>
      </c>
      <c r="G13" s="188"/>
      <c r="H13" s="179">
        <f>D29</f>
        <v>236285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>
        <v>7</v>
      </c>
      <c r="D14" s="31">
        <f t="shared" si="1"/>
        <v>77</v>
      </c>
      <c r="F14" s="182" t="s">
        <v>39</v>
      </c>
      <c r="G14" s="183"/>
      <c r="H14" s="184">
        <f>D54</f>
        <v>33749.25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/>
      <c r="D15" s="31">
        <f t="shared" si="1"/>
        <v>0</v>
      </c>
      <c r="F15" s="187" t="s">
        <v>40</v>
      </c>
      <c r="G15" s="188"/>
      <c r="H15" s="189">
        <f>H13-H14</f>
        <v>202535.75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>
        <f>50*6+80*6+63*6</f>
        <v>1158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112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49">
        <v>50</v>
      </c>
      <c r="I19" s="149"/>
      <c r="J19" s="14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123</v>
      </c>
      <c r="C21" s="10">
        <v>9</v>
      </c>
      <c r="D21" s="48">
        <f t="shared" si="1"/>
        <v>5850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104</v>
      </c>
      <c r="C22" s="10"/>
      <c r="D22" s="48">
        <f t="shared" si="1"/>
        <v>0</v>
      </c>
      <c r="F22" s="77"/>
      <c r="G22" s="73"/>
      <c r="H22" s="165"/>
      <c r="I22" s="165"/>
      <c r="J22" s="165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107</v>
      </c>
      <c r="C23" s="10">
        <v>1</v>
      </c>
      <c r="D23" s="48">
        <f t="shared" si="1"/>
        <v>1175</v>
      </c>
      <c r="F23" s="78"/>
      <c r="G23" s="79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101</v>
      </c>
      <c r="C24" s="10"/>
      <c r="D24" s="48">
        <f t="shared" si="1"/>
        <v>0</v>
      </c>
      <c r="F24" s="38"/>
      <c r="G24" s="37"/>
      <c r="H24" s="166"/>
      <c r="I24" s="135"/>
      <c r="J24" s="13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105</v>
      </c>
      <c r="C26" s="10"/>
      <c r="D26" s="48">
        <f t="shared" si="1"/>
        <v>0</v>
      </c>
      <c r="F26" s="64"/>
      <c r="G26" s="59"/>
      <c r="H26" s="170"/>
      <c r="I26" s="171"/>
      <c r="J26" s="17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109</v>
      </c>
      <c r="C27" s="10"/>
      <c r="D27" s="44">
        <f t="shared" si="1"/>
        <v>0</v>
      </c>
      <c r="F27" s="25"/>
      <c r="G27" s="80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/>
      <c r="D28" s="48">
        <f t="shared" si="1"/>
        <v>0</v>
      </c>
      <c r="F28" s="94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236285</v>
      </c>
      <c r="F29" s="96" t="s">
        <v>55</v>
      </c>
      <c r="G29" s="158"/>
      <c r="H29" s="118">
        <f>H15-H16-H17-H18-H19-H20-H22-H23-H24+H26+H27</f>
        <v>201327.75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94</v>
      </c>
      <c r="H34" s="140">
        <f>F34*G34</f>
        <v>94000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>
        <v>108</v>
      </c>
      <c r="H35" s="140">
        <f>F35*G35</f>
        <v>54000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 t="shared" ref="H36:H39" si="2">F36*G36</f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>
        <v>297</v>
      </c>
      <c r="D37" s="12">
        <f>C37*111</f>
        <v>32967</v>
      </c>
      <c r="F37" s="12">
        <v>100</v>
      </c>
      <c r="G37" s="39">
        <v>124</v>
      </c>
      <c r="H37" s="140">
        <f t="shared" si="2"/>
        <v>12400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2</v>
      </c>
      <c r="H38" s="140">
        <f t="shared" si="2"/>
        <v>100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>
        <v>17</v>
      </c>
      <c r="D42" s="12">
        <f>C42*2.25</f>
        <v>38.25</v>
      </c>
      <c r="F42" s="39" t="s">
        <v>79</v>
      </c>
      <c r="G42" s="140">
        <v>94</v>
      </c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1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 t="s">
        <v>145</v>
      </c>
      <c r="G44" s="62" t="s">
        <v>163</v>
      </c>
      <c r="H44" s="135">
        <v>40666</v>
      </c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76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>
        <v>4</v>
      </c>
      <c r="D49" s="12">
        <f>C49*42</f>
        <v>168</v>
      </c>
      <c r="F49" s="116" t="s">
        <v>86</v>
      </c>
      <c r="G49" s="118">
        <f>H34+H35+H36+H37+H38+H39+H40+H41+G42+H44+H45+H46</f>
        <v>201260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>
        <v>6</v>
      </c>
      <c r="D50" s="12">
        <f>C50*1.5</f>
        <v>9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128</v>
      </c>
      <c r="G51" s="225">
        <f>G49-H29</f>
        <v>-67.75</v>
      </c>
      <c r="H51" s="226"/>
      <c r="I51" s="226"/>
      <c r="J51" s="22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228"/>
      <c r="H52" s="229"/>
      <c r="I52" s="229"/>
      <c r="J52" s="23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33749.25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49811-2FD6-469A-9A99-39989D72077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2" t="s">
        <v>1</v>
      </c>
      <c r="O1" s="192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3" t="s">
        <v>7</v>
      </c>
      <c r="B4" s="144"/>
      <c r="C4" s="144"/>
      <c r="D4" s="145"/>
      <c r="F4" s="193" t="s">
        <v>8</v>
      </c>
      <c r="G4" s="195"/>
      <c r="H4" s="197" t="s">
        <v>9</v>
      </c>
      <c r="I4" s="199"/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203" t="s">
        <v>16</v>
      </c>
      <c r="G6" s="205"/>
      <c r="H6" s="206"/>
      <c r="I6" s="206"/>
      <c r="J6" s="20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211" t="s">
        <v>21</v>
      </c>
      <c r="G8" s="212"/>
      <c r="H8" s="213"/>
      <c r="I8" s="213"/>
      <c r="J8" s="21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203" t="s">
        <v>26</v>
      </c>
      <c r="G10" s="218"/>
      <c r="H10" s="219"/>
      <c r="I10" s="219"/>
      <c r="J10" s="220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50</v>
      </c>
      <c r="H19" s="161"/>
      <c r="I19" s="161"/>
      <c r="J19" s="1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7"/>
      <c r="G22" s="73"/>
      <c r="H22" s="165"/>
      <c r="I22" s="165"/>
      <c r="J22" s="16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8"/>
      <c r="G23" s="79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166"/>
      <c r="I24" s="135"/>
      <c r="J24" s="13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170"/>
      <c r="I26" s="171"/>
      <c r="J26" s="17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80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94"/>
      <c r="G28" s="61"/>
      <c r="H28" s="176"/>
      <c r="I28" s="177"/>
      <c r="J28" s="17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0"/>
      <c r="I34" s="141"/>
      <c r="J34" s="14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/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/>
      <c r="I36" s="141"/>
      <c r="J36" s="14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/>
      <c r="I37" s="141"/>
      <c r="J37" s="14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/>
      <c r="I38" s="141"/>
      <c r="J38" s="14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/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1" t="s">
        <v>83</v>
      </c>
      <c r="H43" s="132" t="s">
        <v>13</v>
      </c>
      <c r="I43" s="133"/>
      <c r="J43" s="134"/>
      <c r="K43" s="21"/>
      <c r="P43" s="4"/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76"/>
      <c r="H44" s="135"/>
      <c r="I44" s="135"/>
      <c r="J44" s="135"/>
      <c r="K44" s="21"/>
      <c r="P44" s="4"/>
      <c r="Q44" s="4"/>
      <c r="R44" s="5"/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76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P50" s="4"/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125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D7A32-E119-4F2E-A4C2-447BC983724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1</v>
      </c>
      <c r="H4" s="197" t="s">
        <v>9</v>
      </c>
      <c r="I4" s="199">
        <v>46086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84"/>
      <c r="D6" s="13">
        <f t="shared" ref="D6:D28" si="1">C6*L6</f>
        <v>0</v>
      </c>
      <c r="F6" s="203" t="s">
        <v>16</v>
      </c>
      <c r="G6" s="205" t="s">
        <v>111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84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84"/>
      <c r="D8" s="13">
        <f t="shared" si="1"/>
        <v>0</v>
      </c>
      <c r="F8" s="211" t="s">
        <v>21</v>
      </c>
      <c r="G8" s="212" t="s">
        <v>144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84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84"/>
      <c r="D10" s="13">
        <f t="shared" si="1"/>
        <v>0</v>
      </c>
      <c r="F10" s="203" t="s">
        <v>26</v>
      </c>
      <c r="G10" s="218" t="s">
        <v>139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84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84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84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84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84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133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38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124</v>
      </c>
      <c r="C22" s="84"/>
      <c r="D22" s="48">
        <f t="shared" si="1"/>
        <v>0</v>
      </c>
      <c r="F22" s="77"/>
      <c r="G22" s="73"/>
      <c r="H22" s="165"/>
      <c r="I22" s="165"/>
      <c r="J22" s="16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101</v>
      </c>
      <c r="C23" s="84"/>
      <c r="D23" s="48">
        <f t="shared" si="1"/>
        <v>0</v>
      </c>
      <c r="F23" s="77"/>
      <c r="G23" s="79"/>
      <c r="H23" s="231"/>
      <c r="I23" s="232"/>
      <c r="J23" s="23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118</v>
      </c>
      <c r="C24" s="84"/>
      <c r="D24" s="48">
        <f t="shared" si="1"/>
        <v>0</v>
      </c>
      <c r="F24" s="77"/>
      <c r="G24" s="79"/>
      <c r="H24" s="231"/>
      <c r="I24" s="232"/>
      <c r="J24" s="23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132</v>
      </c>
      <c r="C26" s="84"/>
      <c r="D26" s="48">
        <f t="shared" si="1"/>
        <v>0</v>
      </c>
      <c r="F26" s="75"/>
      <c r="G26" s="65"/>
      <c r="H26" s="135"/>
      <c r="I26" s="135"/>
      <c r="J26" s="135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110</v>
      </c>
      <c r="C27" s="84"/>
      <c r="D27" s="44">
        <f t="shared" si="1"/>
        <v>0</v>
      </c>
      <c r="F27" s="71"/>
      <c r="G27" s="91"/>
      <c r="H27" s="233"/>
      <c r="I27" s="234"/>
      <c r="J27" s="23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84"/>
      <c r="D28" s="48">
        <f t="shared" si="1"/>
        <v>0</v>
      </c>
      <c r="F28" s="94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H15-H16-H17-H18-H19-H20-H22-H23-H24+H26+H27+H28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0">
        <f t="shared" ref="H34:H39" si="2">F34*G34</f>
        <v>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>
        <f t="shared" si="2"/>
        <v>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 t="shared" si="2"/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>
        <f t="shared" si="2"/>
        <v>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>
        <f t="shared" si="2"/>
        <v>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1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85"/>
      <c r="H44" s="135"/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62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5"/>
      <c r="I46" s="135"/>
      <c r="J46" s="135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128</v>
      </c>
      <c r="G51" s="225">
        <f>G49-H29</f>
        <v>0</v>
      </c>
      <c r="H51" s="226"/>
      <c r="I51" s="226"/>
      <c r="J51" s="22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228"/>
      <c r="H52" s="229"/>
      <c r="I52" s="229"/>
      <c r="J52" s="23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74954-D18D-4CB8-8326-DF53B23C72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2</v>
      </c>
      <c r="H4" s="197" t="s">
        <v>9</v>
      </c>
      <c r="I4" s="199">
        <v>46086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203" t="s">
        <v>16</v>
      </c>
      <c r="G6" s="205" t="s">
        <v>126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113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114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104</v>
      </c>
      <c r="C22" s="10"/>
      <c r="D22" s="48">
        <f t="shared" si="1"/>
        <v>0</v>
      </c>
      <c r="F22" s="72"/>
      <c r="G22" s="73"/>
      <c r="H22" s="165"/>
      <c r="I22" s="165"/>
      <c r="J22" s="16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107</v>
      </c>
      <c r="C23" s="10"/>
      <c r="D23" s="48">
        <f t="shared" si="1"/>
        <v>0</v>
      </c>
      <c r="F23" s="25"/>
      <c r="G23" s="37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120</v>
      </c>
      <c r="C24" s="10"/>
      <c r="D24" s="48">
        <f t="shared" si="1"/>
        <v>0</v>
      </c>
      <c r="F24" s="38"/>
      <c r="G24" s="37"/>
      <c r="H24" s="166"/>
      <c r="I24" s="135"/>
      <c r="J24" s="13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105</v>
      </c>
      <c r="C26" s="10"/>
      <c r="D26" s="48">
        <f t="shared" si="1"/>
        <v>0</v>
      </c>
      <c r="F26" s="64"/>
      <c r="G26" s="10"/>
      <c r="H26" s="170"/>
      <c r="I26" s="171"/>
      <c r="J26" s="17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109</v>
      </c>
      <c r="C27" s="10"/>
      <c r="D27" s="44">
        <f t="shared" si="1"/>
        <v>0</v>
      </c>
      <c r="F27" s="14"/>
      <c r="G27" s="14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/>
      <c r="D28" s="48">
        <f t="shared" si="1"/>
        <v>0</v>
      </c>
      <c r="F28" s="94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0">
        <f>F34*G34</f>
        <v>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>
        <f t="shared" ref="H35:H39" si="2">F35*G35</f>
        <v>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>F36*G36</f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>
        <f t="shared" si="2"/>
        <v>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>
        <f t="shared" si="2"/>
        <v>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1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62"/>
      <c r="H44" s="135"/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62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9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135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C2FA4-E5B7-42C5-9788-A6F4A0C8B1F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3</v>
      </c>
      <c r="H4" s="197" t="s">
        <v>9</v>
      </c>
      <c r="I4" s="199">
        <v>46086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203" t="s">
        <v>16</v>
      </c>
      <c r="G6" s="205" t="s">
        <v>141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130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127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112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104</v>
      </c>
      <c r="C22" s="10"/>
      <c r="D22" s="48">
        <f t="shared" si="1"/>
        <v>0</v>
      </c>
      <c r="F22" s="77"/>
      <c r="G22" s="73"/>
      <c r="H22" s="165"/>
      <c r="I22" s="165"/>
      <c r="J22" s="165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107</v>
      </c>
      <c r="C23" s="10"/>
      <c r="D23" s="48">
        <f t="shared" si="1"/>
        <v>0</v>
      </c>
      <c r="F23" s="78"/>
      <c r="G23" s="79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101</v>
      </c>
      <c r="C24" s="10"/>
      <c r="D24" s="48">
        <f t="shared" si="1"/>
        <v>0</v>
      </c>
      <c r="F24" s="38"/>
      <c r="G24" s="37"/>
      <c r="H24" s="166"/>
      <c r="I24" s="135"/>
      <c r="J24" s="13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105</v>
      </c>
      <c r="C26" s="10"/>
      <c r="D26" s="48">
        <f t="shared" si="1"/>
        <v>0</v>
      </c>
      <c r="F26" s="64"/>
      <c r="G26" s="59"/>
      <c r="H26" s="170"/>
      <c r="I26" s="171"/>
      <c r="J26" s="17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109</v>
      </c>
      <c r="C27" s="10"/>
      <c r="D27" s="44">
        <f t="shared" si="1"/>
        <v>0</v>
      </c>
      <c r="F27" s="25"/>
      <c r="G27" s="80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/>
      <c r="D28" s="48">
        <f t="shared" si="1"/>
        <v>0</v>
      </c>
      <c r="F28" s="94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0">
        <f>F34*G34</f>
        <v>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>
        <f>F35*G35</f>
        <v>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 t="shared" ref="H36:H39" si="2">F36*G36</f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>
        <f t="shared" si="2"/>
        <v>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>
        <f t="shared" si="2"/>
        <v>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1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76"/>
      <c r="H44" s="135"/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76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138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18666-145B-4D0E-865A-E203F4D81C6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2" t="s">
        <v>1</v>
      </c>
      <c r="O1" s="192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3" t="s">
        <v>7</v>
      </c>
      <c r="B4" s="144"/>
      <c r="C4" s="144"/>
      <c r="D4" s="145"/>
      <c r="F4" s="193" t="s">
        <v>8</v>
      </c>
      <c r="G4" s="195"/>
      <c r="H4" s="197" t="s">
        <v>9</v>
      </c>
      <c r="I4" s="199"/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203" t="s">
        <v>16</v>
      </c>
      <c r="G6" s="205"/>
      <c r="H6" s="206"/>
      <c r="I6" s="206"/>
      <c r="J6" s="20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211" t="s">
        <v>21</v>
      </c>
      <c r="G8" s="212"/>
      <c r="H8" s="213"/>
      <c r="I8" s="213"/>
      <c r="J8" s="21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203" t="s">
        <v>26</v>
      </c>
      <c r="G10" s="218"/>
      <c r="H10" s="219"/>
      <c r="I10" s="219"/>
      <c r="J10" s="220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50</v>
      </c>
      <c r="H19" s="161"/>
      <c r="I19" s="161"/>
      <c r="J19" s="1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7"/>
      <c r="G22" s="73"/>
      <c r="H22" s="165"/>
      <c r="I22" s="165"/>
      <c r="J22" s="16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8"/>
      <c r="G23" s="79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166"/>
      <c r="I24" s="135"/>
      <c r="J24" s="13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170"/>
      <c r="I26" s="171"/>
      <c r="J26" s="17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80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94"/>
      <c r="G28" s="61"/>
      <c r="H28" s="176"/>
      <c r="I28" s="177"/>
      <c r="J28" s="17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0"/>
      <c r="I34" s="141"/>
      <c r="J34" s="14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/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/>
      <c r="I36" s="141"/>
      <c r="J36" s="14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/>
      <c r="I37" s="141"/>
      <c r="J37" s="14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/>
      <c r="I38" s="141"/>
      <c r="J38" s="14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/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1" t="s">
        <v>83</v>
      </c>
      <c r="H43" s="132" t="s">
        <v>13</v>
      </c>
      <c r="I43" s="133"/>
      <c r="J43" s="134"/>
      <c r="K43" s="21"/>
      <c r="P43" s="4"/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76"/>
      <c r="H44" s="135"/>
      <c r="I44" s="135"/>
      <c r="J44" s="135"/>
      <c r="K44" s="21"/>
      <c r="P44" s="4"/>
      <c r="Q44" s="4"/>
      <c r="R44" s="5"/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76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P50" s="4"/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125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9DF68-D9DD-4D50-959A-8862A15B35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1</v>
      </c>
      <c r="H4" s="197" t="s">
        <v>9</v>
      </c>
      <c r="I4" s="199">
        <v>46087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84"/>
      <c r="D6" s="13">
        <f t="shared" ref="D6:D28" si="1">C6*L6</f>
        <v>0</v>
      </c>
      <c r="F6" s="203" t="s">
        <v>16</v>
      </c>
      <c r="G6" s="205" t="s">
        <v>111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84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84"/>
      <c r="D8" s="13">
        <f t="shared" si="1"/>
        <v>0</v>
      </c>
      <c r="F8" s="211" t="s">
        <v>21</v>
      </c>
      <c r="G8" s="212" t="s">
        <v>144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84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84"/>
      <c r="D10" s="13">
        <f t="shared" si="1"/>
        <v>0</v>
      </c>
      <c r="F10" s="203" t="s">
        <v>26</v>
      </c>
      <c r="G10" s="218" t="s">
        <v>139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84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84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84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84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84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133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38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124</v>
      </c>
      <c r="C22" s="84"/>
      <c r="D22" s="48">
        <f t="shared" si="1"/>
        <v>0</v>
      </c>
      <c r="F22" s="77"/>
      <c r="G22" s="73"/>
      <c r="H22" s="165"/>
      <c r="I22" s="165"/>
      <c r="J22" s="16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101</v>
      </c>
      <c r="C23" s="84"/>
      <c r="D23" s="48">
        <f t="shared" si="1"/>
        <v>0</v>
      </c>
      <c r="F23" s="77"/>
      <c r="G23" s="79"/>
      <c r="H23" s="231"/>
      <c r="I23" s="232"/>
      <c r="J23" s="23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118</v>
      </c>
      <c r="C24" s="84"/>
      <c r="D24" s="48">
        <f t="shared" si="1"/>
        <v>0</v>
      </c>
      <c r="F24" s="77"/>
      <c r="G24" s="79"/>
      <c r="H24" s="231"/>
      <c r="I24" s="232"/>
      <c r="J24" s="23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132</v>
      </c>
      <c r="C26" s="84"/>
      <c r="D26" s="48">
        <f t="shared" si="1"/>
        <v>0</v>
      </c>
      <c r="F26" s="75"/>
      <c r="G26" s="65"/>
      <c r="H26" s="135"/>
      <c r="I26" s="135"/>
      <c r="J26" s="135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110</v>
      </c>
      <c r="C27" s="84"/>
      <c r="D27" s="44">
        <f t="shared" si="1"/>
        <v>0</v>
      </c>
      <c r="F27" s="71"/>
      <c r="G27" s="91"/>
      <c r="H27" s="233"/>
      <c r="I27" s="234"/>
      <c r="J27" s="23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84"/>
      <c r="D28" s="48">
        <f t="shared" si="1"/>
        <v>0</v>
      </c>
      <c r="F28" s="94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H15-H16-H17-H18-H19-H20-H22-H23-H24+H26+H27+H28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0">
        <f t="shared" ref="H34:H39" si="2">F34*G34</f>
        <v>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>
        <f t="shared" si="2"/>
        <v>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 t="shared" si="2"/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>
        <f t="shared" si="2"/>
        <v>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>
        <f t="shared" si="2"/>
        <v>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1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85"/>
      <c r="H44" s="135"/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62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5"/>
      <c r="I46" s="135"/>
      <c r="J46" s="135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128</v>
      </c>
      <c r="G51" s="225">
        <f>G49-H29</f>
        <v>0</v>
      </c>
      <c r="H51" s="226"/>
      <c r="I51" s="226"/>
      <c r="J51" s="22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228"/>
      <c r="H52" s="229"/>
      <c r="I52" s="229"/>
      <c r="J52" s="23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B1397-3E9E-4383-91FA-825D621525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2</v>
      </c>
      <c r="H4" s="197" t="s">
        <v>9</v>
      </c>
      <c r="I4" s="199">
        <v>46087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203" t="s">
        <v>16</v>
      </c>
      <c r="G6" s="205" t="s">
        <v>126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113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114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104</v>
      </c>
      <c r="C22" s="10"/>
      <c r="D22" s="48">
        <f t="shared" si="1"/>
        <v>0</v>
      </c>
      <c r="F22" s="72"/>
      <c r="G22" s="73"/>
      <c r="H22" s="165"/>
      <c r="I22" s="165"/>
      <c r="J22" s="16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107</v>
      </c>
      <c r="C23" s="10"/>
      <c r="D23" s="48">
        <f t="shared" si="1"/>
        <v>0</v>
      </c>
      <c r="F23" s="25"/>
      <c r="G23" s="37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120</v>
      </c>
      <c r="C24" s="10"/>
      <c r="D24" s="48">
        <f t="shared" si="1"/>
        <v>0</v>
      </c>
      <c r="F24" s="38"/>
      <c r="G24" s="37"/>
      <c r="H24" s="166"/>
      <c r="I24" s="135"/>
      <c r="J24" s="13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105</v>
      </c>
      <c r="C26" s="10"/>
      <c r="D26" s="48">
        <f t="shared" si="1"/>
        <v>0</v>
      </c>
      <c r="F26" s="64"/>
      <c r="G26" s="10"/>
      <c r="H26" s="170"/>
      <c r="I26" s="171"/>
      <c r="J26" s="17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109</v>
      </c>
      <c r="C27" s="10"/>
      <c r="D27" s="44">
        <f t="shared" si="1"/>
        <v>0</v>
      </c>
      <c r="F27" s="14"/>
      <c r="G27" s="14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/>
      <c r="D28" s="48">
        <f t="shared" si="1"/>
        <v>0</v>
      </c>
      <c r="F28" s="94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0">
        <f>F34*G34</f>
        <v>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>
        <f t="shared" ref="H35:H39" si="2">F35*G35</f>
        <v>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>F36*G36</f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>
        <f t="shared" si="2"/>
        <v>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>
        <f t="shared" si="2"/>
        <v>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1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62"/>
      <c r="H44" s="135"/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62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9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135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60AB0-88AB-4465-8B44-602BC78E3FF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3</v>
      </c>
      <c r="H4" s="197" t="s">
        <v>9</v>
      </c>
      <c r="I4" s="199">
        <v>46087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203" t="s">
        <v>16</v>
      </c>
      <c r="G6" s="205" t="s">
        <v>141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130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127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112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104</v>
      </c>
      <c r="C22" s="10"/>
      <c r="D22" s="48">
        <f t="shared" si="1"/>
        <v>0</v>
      </c>
      <c r="F22" s="77"/>
      <c r="G22" s="73"/>
      <c r="H22" s="165"/>
      <c r="I22" s="165"/>
      <c r="J22" s="165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107</v>
      </c>
      <c r="C23" s="10"/>
      <c r="D23" s="48">
        <f t="shared" si="1"/>
        <v>0</v>
      </c>
      <c r="F23" s="78"/>
      <c r="G23" s="79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101</v>
      </c>
      <c r="C24" s="10"/>
      <c r="D24" s="48">
        <f t="shared" si="1"/>
        <v>0</v>
      </c>
      <c r="F24" s="38"/>
      <c r="G24" s="37"/>
      <c r="H24" s="166"/>
      <c r="I24" s="135"/>
      <c r="J24" s="13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105</v>
      </c>
      <c r="C26" s="10"/>
      <c r="D26" s="48">
        <f t="shared" si="1"/>
        <v>0</v>
      </c>
      <c r="F26" s="64"/>
      <c r="G26" s="59"/>
      <c r="H26" s="170"/>
      <c r="I26" s="171"/>
      <c r="J26" s="17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109</v>
      </c>
      <c r="C27" s="10"/>
      <c r="D27" s="44">
        <f t="shared" si="1"/>
        <v>0</v>
      </c>
      <c r="F27" s="25"/>
      <c r="G27" s="80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/>
      <c r="D28" s="48">
        <f t="shared" si="1"/>
        <v>0</v>
      </c>
      <c r="F28" s="94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0">
        <f>F34*G34</f>
        <v>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>
        <f>F35*G35</f>
        <v>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 t="shared" ref="H36:H39" si="2">F36*G36</f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>
        <f t="shared" si="2"/>
        <v>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>
        <f t="shared" si="2"/>
        <v>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1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76"/>
      <c r="H44" s="135"/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76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138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D7FD6-2FEC-4912-8FFE-CE9541AD5AA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2" t="s">
        <v>1</v>
      </c>
      <c r="O1" s="192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3" t="s">
        <v>7</v>
      </c>
      <c r="B4" s="144"/>
      <c r="C4" s="144"/>
      <c r="D4" s="145"/>
      <c r="F4" s="193" t="s">
        <v>8</v>
      </c>
      <c r="G4" s="195"/>
      <c r="H4" s="197" t="s">
        <v>9</v>
      </c>
      <c r="I4" s="199"/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203" t="s">
        <v>16</v>
      </c>
      <c r="G6" s="205"/>
      <c r="H6" s="206"/>
      <c r="I6" s="206"/>
      <c r="J6" s="20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211" t="s">
        <v>21</v>
      </c>
      <c r="G8" s="212"/>
      <c r="H8" s="213"/>
      <c r="I8" s="213"/>
      <c r="J8" s="21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203" t="s">
        <v>26</v>
      </c>
      <c r="G10" s="218"/>
      <c r="H10" s="219"/>
      <c r="I10" s="219"/>
      <c r="J10" s="220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50</v>
      </c>
      <c r="H19" s="161"/>
      <c r="I19" s="161"/>
      <c r="J19" s="1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7"/>
      <c r="G22" s="73"/>
      <c r="H22" s="165"/>
      <c r="I22" s="165"/>
      <c r="J22" s="16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8"/>
      <c r="G23" s="79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166"/>
      <c r="I24" s="135"/>
      <c r="J24" s="13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170"/>
      <c r="I26" s="171"/>
      <c r="J26" s="17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80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94"/>
      <c r="G28" s="61"/>
      <c r="H28" s="176"/>
      <c r="I28" s="177"/>
      <c r="J28" s="17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0"/>
      <c r="I34" s="141"/>
      <c r="J34" s="14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/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/>
      <c r="I36" s="141"/>
      <c r="J36" s="14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/>
      <c r="I37" s="141"/>
      <c r="J37" s="14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/>
      <c r="I38" s="141"/>
      <c r="J38" s="14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/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1" t="s">
        <v>83</v>
      </c>
      <c r="H43" s="132" t="s">
        <v>13</v>
      </c>
      <c r="I43" s="133"/>
      <c r="J43" s="134"/>
      <c r="K43" s="21"/>
      <c r="P43" s="4"/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76"/>
      <c r="H44" s="135"/>
      <c r="I44" s="135"/>
      <c r="J44" s="135"/>
      <c r="K44" s="21"/>
      <c r="P44" s="4"/>
      <c r="Q44" s="4"/>
      <c r="R44" s="5"/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76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P50" s="4"/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125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CE38C-FA70-4BD0-8B23-05EA09AACEB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1</v>
      </c>
      <c r="H4" s="197" t="s">
        <v>9</v>
      </c>
      <c r="I4" s="199">
        <v>46088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84"/>
      <c r="D6" s="13">
        <f t="shared" ref="D6:D28" si="1">C6*L6</f>
        <v>0</v>
      </c>
      <c r="F6" s="203" t="s">
        <v>16</v>
      </c>
      <c r="G6" s="205" t="s">
        <v>111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84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84"/>
      <c r="D8" s="13">
        <f t="shared" si="1"/>
        <v>0</v>
      </c>
      <c r="F8" s="211" t="s">
        <v>21</v>
      </c>
      <c r="G8" s="212" t="s">
        <v>144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84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84"/>
      <c r="D10" s="13">
        <f t="shared" si="1"/>
        <v>0</v>
      </c>
      <c r="F10" s="203" t="s">
        <v>26</v>
      </c>
      <c r="G10" s="218" t="s">
        <v>139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84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84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84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84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84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133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38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124</v>
      </c>
      <c r="C22" s="84"/>
      <c r="D22" s="48">
        <f t="shared" si="1"/>
        <v>0</v>
      </c>
      <c r="F22" s="77"/>
      <c r="G22" s="73"/>
      <c r="H22" s="165"/>
      <c r="I22" s="165"/>
      <c r="J22" s="16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101</v>
      </c>
      <c r="C23" s="84"/>
      <c r="D23" s="48">
        <f t="shared" si="1"/>
        <v>0</v>
      </c>
      <c r="F23" s="77"/>
      <c r="G23" s="79"/>
      <c r="H23" s="231"/>
      <c r="I23" s="232"/>
      <c r="J23" s="23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118</v>
      </c>
      <c r="C24" s="84"/>
      <c r="D24" s="48">
        <f t="shared" si="1"/>
        <v>0</v>
      </c>
      <c r="F24" s="77"/>
      <c r="G24" s="79"/>
      <c r="H24" s="231"/>
      <c r="I24" s="232"/>
      <c r="J24" s="23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132</v>
      </c>
      <c r="C26" s="84"/>
      <c r="D26" s="48">
        <f t="shared" si="1"/>
        <v>0</v>
      </c>
      <c r="F26" s="75"/>
      <c r="G26" s="65"/>
      <c r="H26" s="135"/>
      <c r="I26" s="135"/>
      <c r="J26" s="135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110</v>
      </c>
      <c r="C27" s="84"/>
      <c r="D27" s="44">
        <f t="shared" si="1"/>
        <v>0</v>
      </c>
      <c r="F27" s="71"/>
      <c r="G27" s="91"/>
      <c r="H27" s="233"/>
      <c r="I27" s="234"/>
      <c r="J27" s="23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84"/>
      <c r="D28" s="48">
        <f t="shared" si="1"/>
        <v>0</v>
      </c>
      <c r="F28" s="94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H15-H16-H17-H18-H19-H20-H22-H23-H24+H26+H27+H28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0">
        <f t="shared" ref="H34:H39" si="2">F34*G34</f>
        <v>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>
        <f t="shared" si="2"/>
        <v>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 t="shared" si="2"/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>
        <f t="shared" si="2"/>
        <v>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>
        <f t="shared" si="2"/>
        <v>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1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85"/>
      <c r="H44" s="135"/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62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5"/>
      <c r="I46" s="135"/>
      <c r="J46" s="135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128</v>
      </c>
      <c r="G51" s="225">
        <f>G49-H29</f>
        <v>0</v>
      </c>
      <c r="H51" s="226"/>
      <c r="I51" s="226"/>
      <c r="J51" s="22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228"/>
      <c r="H52" s="229"/>
      <c r="I52" s="229"/>
      <c r="J52" s="23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A70E3-8619-4DBD-BBA3-C2B18550923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2</v>
      </c>
      <c r="H4" s="197" t="s">
        <v>9</v>
      </c>
      <c r="I4" s="199">
        <v>46088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203" t="s">
        <v>16</v>
      </c>
      <c r="G6" s="205" t="s">
        <v>126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113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114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104</v>
      </c>
      <c r="C22" s="10"/>
      <c r="D22" s="48">
        <f t="shared" si="1"/>
        <v>0</v>
      </c>
      <c r="F22" s="72"/>
      <c r="G22" s="73"/>
      <c r="H22" s="165"/>
      <c r="I22" s="165"/>
      <c r="J22" s="16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107</v>
      </c>
      <c r="C23" s="10"/>
      <c r="D23" s="48">
        <f t="shared" si="1"/>
        <v>0</v>
      </c>
      <c r="F23" s="25"/>
      <c r="G23" s="37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120</v>
      </c>
      <c r="C24" s="10"/>
      <c r="D24" s="48">
        <f t="shared" si="1"/>
        <v>0</v>
      </c>
      <c r="F24" s="38"/>
      <c r="G24" s="37"/>
      <c r="H24" s="166"/>
      <c r="I24" s="135"/>
      <c r="J24" s="13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105</v>
      </c>
      <c r="C26" s="10"/>
      <c r="D26" s="48">
        <f t="shared" si="1"/>
        <v>0</v>
      </c>
      <c r="F26" s="64"/>
      <c r="G26" s="10"/>
      <c r="H26" s="170"/>
      <c r="I26" s="171"/>
      <c r="J26" s="17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109</v>
      </c>
      <c r="C27" s="10"/>
      <c r="D27" s="44">
        <f t="shared" si="1"/>
        <v>0</v>
      </c>
      <c r="F27" s="14"/>
      <c r="G27" s="14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/>
      <c r="D28" s="48">
        <f t="shared" si="1"/>
        <v>0</v>
      </c>
      <c r="F28" s="94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0">
        <f>F34*G34</f>
        <v>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>
        <f t="shared" ref="H35:H39" si="2">F35*G35</f>
        <v>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>F36*G36</f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>
        <f t="shared" si="2"/>
        <v>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>
        <f t="shared" si="2"/>
        <v>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1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62"/>
      <c r="H44" s="135"/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62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9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135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3EE61-1CE5-4146-A5CD-DF51DD3E68D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3</v>
      </c>
      <c r="H4" s="197" t="s">
        <v>9</v>
      </c>
      <c r="I4" s="199">
        <v>46088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203" t="s">
        <v>16</v>
      </c>
      <c r="G6" s="205" t="s">
        <v>141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130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127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112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104</v>
      </c>
      <c r="C22" s="10"/>
      <c r="D22" s="48">
        <f t="shared" si="1"/>
        <v>0</v>
      </c>
      <c r="F22" s="77"/>
      <c r="G22" s="73"/>
      <c r="H22" s="165"/>
      <c r="I22" s="165"/>
      <c r="J22" s="165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107</v>
      </c>
      <c r="C23" s="10"/>
      <c r="D23" s="48">
        <f t="shared" si="1"/>
        <v>0</v>
      </c>
      <c r="F23" s="78"/>
      <c r="G23" s="79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101</v>
      </c>
      <c r="C24" s="10"/>
      <c r="D24" s="48">
        <f t="shared" si="1"/>
        <v>0</v>
      </c>
      <c r="F24" s="38"/>
      <c r="G24" s="37"/>
      <c r="H24" s="166"/>
      <c r="I24" s="135"/>
      <c r="J24" s="13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105</v>
      </c>
      <c r="C26" s="10"/>
      <c r="D26" s="48">
        <f t="shared" si="1"/>
        <v>0</v>
      </c>
      <c r="F26" s="64"/>
      <c r="G26" s="59"/>
      <c r="H26" s="170"/>
      <c r="I26" s="171"/>
      <c r="J26" s="17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109</v>
      </c>
      <c r="C27" s="10"/>
      <c r="D27" s="44">
        <f t="shared" si="1"/>
        <v>0</v>
      </c>
      <c r="F27" s="25"/>
      <c r="G27" s="80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/>
      <c r="D28" s="48">
        <f t="shared" si="1"/>
        <v>0</v>
      </c>
      <c r="F28" s="94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0">
        <f>F34*G34</f>
        <v>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>
        <f>F35*G35</f>
        <v>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 t="shared" ref="H36:H39" si="2">F36*G36</f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>
        <f t="shared" si="2"/>
        <v>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>
        <f t="shared" si="2"/>
        <v>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1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76"/>
      <c r="H44" s="135"/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76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138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E6CD13-1AB8-4C33-9E13-6AB4F2FF47E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2" t="s">
        <v>1</v>
      </c>
      <c r="O1" s="192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3" t="s">
        <v>7</v>
      </c>
      <c r="B4" s="144"/>
      <c r="C4" s="144"/>
      <c r="D4" s="145"/>
      <c r="F4" s="193" t="s">
        <v>8</v>
      </c>
      <c r="G4" s="195"/>
      <c r="H4" s="197" t="s">
        <v>9</v>
      </c>
      <c r="I4" s="199"/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203" t="s">
        <v>16</v>
      </c>
      <c r="G6" s="205"/>
      <c r="H6" s="206"/>
      <c r="I6" s="206"/>
      <c r="J6" s="20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211" t="s">
        <v>21</v>
      </c>
      <c r="G8" s="212"/>
      <c r="H8" s="213"/>
      <c r="I8" s="213"/>
      <c r="J8" s="21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203" t="s">
        <v>26</v>
      </c>
      <c r="G10" s="218"/>
      <c r="H10" s="219"/>
      <c r="I10" s="219"/>
      <c r="J10" s="220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50</v>
      </c>
      <c r="H19" s="161"/>
      <c r="I19" s="161"/>
      <c r="J19" s="1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7"/>
      <c r="G22" s="73"/>
      <c r="H22" s="165"/>
      <c r="I22" s="165"/>
      <c r="J22" s="16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8"/>
      <c r="G23" s="79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166"/>
      <c r="I24" s="135"/>
      <c r="J24" s="13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170"/>
      <c r="I26" s="171"/>
      <c r="J26" s="17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80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94"/>
      <c r="G28" s="61"/>
      <c r="H28" s="176"/>
      <c r="I28" s="177"/>
      <c r="J28" s="17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0"/>
      <c r="I34" s="141"/>
      <c r="J34" s="14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/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/>
      <c r="I36" s="141"/>
      <c r="J36" s="14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/>
      <c r="I37" s="141"/>
      <c r="J37" s="14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/>
      <c r="I38" s="141"/>
      <c r="J38" s="14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/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1" t="s">
        <v>83</v>
      </c>
      <c r="H43" s="132" t="s">
        <v>13</v>
      </c>
      <c r="I43" s="133"/>
      <c r="J43" s="134"/>
      <c r="K43" s="21"/>
      <c r="P43" s="4"/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76"/>
      <c r="H44" s="135"/>
      <c r="I44" s="135"/>
      <c r="J44" s="135"/>
      <c r="K44" s="21"/>
      <c r="P44" s="4"/>
      <c r="Q44" s="4"/>
      <c r="R44" s="5"/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76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P50" s="4"/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125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AF066-6797-4C80-8E6B-60D2D9A8D67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1</v>
      </c>
      <c r="H4" s="197" t="s">
        <v>9</v>
      </c>
      <c r="I4" s="199">
        <v>46090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84"/>
      <c r="D6" s="13">
        <f t="shared" ref="D6:D28" si="1">C6*L6</f>
        <v>0</v>
      </c>
      <c r="F6" s="203" t="s">
        <v>16</v>
      </c>
      <c r="G6" s="205" t="s">
        <v>111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84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84"/>
      <c r="D8" s="13">
        <f t="shared" si="1"/>
        <v>0</v>
      </c>
      <c r="F8" s="211" t="s">
        <v>21</v>
      </c>
      <c r="G8" s="212" t="s">
        <v>144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84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84"/>
      <c r="D10" s="13">
        <f t="shared" si="1"/>
        <v>0</v>
      </c>
      <c r="F10" s="203" t="s">
        <v>26</v>
      </c>
      <c r="G10" s="218" t="s">
        <v>139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84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84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84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84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84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133</v>
      </c>
      <c r="C17" s="84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38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124</v>
      </c>
      <c r="C22" s="84"/>
      <c r="D22" s="48">
        <f t="shared" si="1"/>
        <v>0</v>
      </c>
      <c r="F22" s="77"/>
      <c r="G22" s="73"/>
      <c r="H22" s="165"/>
      <c r="I22" s="165"/>
      <c r="J22" s="16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101</v>
      </c>
      <c r="C23" s="84"/>
      <c r="D23" s="48">
        <f t="shared" si="1"/>
        <v>0</v>
      </c>
      <c r="F23" s="77"/>
      <c r="G23" s="79"/>
      <c r="H23" s="231"/>
      <c r="I23" s="232"/>
      <c r="J23" s="23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118</v>
      </c>
      <c r="C24" s="84"/>
      <c r="D24" s="48">
        <f t="shared" si="1"/>
        <v>0</v>
      </c>
      <c r="F24" s="77"/>
      <c r="G24" s="79"/>
      <c r="H24" s="231"/>
      <c r="I24" s="232"/>
      <c r="J24" s="23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132</v>
      </c>
      <c r="C26" s="84"/>
      <c r="D26" s="48">
        <f t="shared" si="1"/>
        <v>0</v>
      </c>
      <c r="F26" s="75"/>
      <c r="G26" s="65"/>
      <c r="H26" s="135"/>
      <c r="I26" s="135"/>
      <c r="J26" s="135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110</v>
      </c>
      <c r="C27" s="84"/>
      <c r="D27" s="44">
        <f t="shared" si="1"/>
        <v>0</v>
      </c>
      <c r="F27" s="71"/>
      <c r="G27" s="91"/>
      <c r="H27" s="233"/>
      <c r="I27" s="234"/>
      <c r="J27" s="23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84"/>
      <c r="D28" s="48">
        <f t="shared" si="1"/>
        <v>0</v>
      </c>
      <c r="F28" s="94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H15-H16-H17-H18-H19-H20-H22-H23-H24+H26+H27+H28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0">
        <f t="shared" ref="H34:H39" si="2">F34*G34</f>
        <v>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>
        <f t="shared" si="2"/>
        <v>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 t="shared" si="2"/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>
        <f t="shared" si="2"/>
        <v>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>
        <f t="shared" si="2"/>
        <v>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1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85"/>
      <c r="H44" s="135"/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62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5"/>
      <c r="I46" s="135"/>
      <c r="J46" s="135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128</v>
      </c>
      <c r="G51" s="225">
        <f>G49-H29</f>
        <v>0</v>
      </c>
      <c r="H51" s="226"/>
      <c r="I51" s="226"/>
      <c r="J51" s="22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228"/>
      <c r="H52" s="229"/>
      <c r="I52" s="229"/>
      <c r="J52" s="23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12C43-1530-4100-98EA-12BB4D2C99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2</v>
      </c>
      <c r="H4" s="197" t="s">
        <v>9</v>
      </c>
      <c r="I4" s="199">
        <v>46090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203" t="s">
        <v>16</v>
      </c>
      <c r="G6" s="205" t="s">
        <v>126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113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114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93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104</v>
      </c>
      <c r="C22" s="10"/>
      <c r="D22" s="48">
        <f t="shared" si="1"/>
        <v>0</v>
      </c>
      <c r="F22" s="72"/>
      <c r="G22" s="73"/>
      <c r="H22" s="165"/>
      <c r="I22" s="165"/>
      <c r="J22" s="16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107</v>
      </c>
      <c r="C23" s="10"/>
      <c r="D23" s="48">
        <f t="shared" si="1"/>
        <v>0</v>
      </c>
      <c r="F23" s="25"/>
      <c r="G23" s="37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120</v>
      </c>
      <c r="C24" s="10"/>
      <c r="D24" s="48">
        <f t="shared" si="1"/>
        <v>0</v>
      </c>
      <c r="F24" s="38"/>
      <c r="G24" s="37"/>
      <c r="H24" s="166"/>
      <c r="I24" s="135"/>
      <c r="J24" s="13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105</v>
      </c>
      <c r="C26" s="10"/>
      <c r="D26" s="48">
        <f t="shared" si="1"/>
        <v>0</v>
      </c>
      <c r="F26" s="64"/>
      <c r="G26" s="10"/>
      <c r="H26" s="170"/>
      <c r="I26" s="171"/>
      <c r="J26" s="17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109</v>
      </c>
      <c r="C27" s="10"/>
      <c r="D27" s="44">
        <f t="shared" si="1"/>
        <v>0</v>
      </c>
      <c r="F27" s="14"/>
      <c r="G27" s="14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/>
      <c r="D28" s="48">
        <f t="shared" si="1"/>
        <v>0</v>
      </c>
      <c r="F28" s="94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0">
        <f>F34*G34</f>
        <v>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>
        <f t="shared" ref="H35:H39" si="2">F35*G35</f>
        <v>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>F36*G36</f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>
        <f t="shared" si="2"/>
        <v>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>
        <f t="shared" si="2"/>
        <v>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1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62"/>
      <c r="H44" s="135"/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62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9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135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CA814-B354-4E29-B82B-5E2DBA32FA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3</v>
      </c>
      <c r="H4" s="197" t="s">
        <v>9</v>
      </c>
      <c r="I4" s="199">
        <v>46090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203" t="s">
        <v>16</v>
      </c>
      <c r="G6" s="205" t="s">
        <v>141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130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127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82" t="s">
        <v>39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38</v>
      </c>
      <c r="C15" s="10"/>
      <c r="D15" s="31">
        <f t="shared" si="1"/>
        <v>0</v>
      </c>
      <c r="F15" s="187" t="s">
        <v>40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t="s">
        <v>112</v>
      </c>
      <c r="C17" s="10"/>
      <c r="D17" s="48">
        <f t="shared" si="1"/>
        <v>0</v>
      </c>
      <c r="F17" s="56"/>
      <c r="G17" s="66" t="s">
        <v>45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8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2" t="s">
        <v>13</v>
      </c>
      <c r="I21" s="163"/>
      <c r="J21" s="16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104</v>
      </c>
      <c r="C22" s="10"/>
      <c r="D22" s="48">
        <f t="shared" si="1"/>
        <v>0</v>
      </c>
      <c r="F22" s="77"/>
      <c r="G22" s="73"/>
      <c r="H22" s="165"/>
      <c r="I22" s="165"/>
      <c r="J22" s="165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107</v>
      </c>
      <c r="C23" s="10"/>
      <c r="D23" s="48">
        <f t="shared" si="1"/>
        <v>0</v>
      </c>
      <c r="F23" s="78"/>
      <c r="G23" s="79"/>
      <c r="H23" s="166"/>
      <c r="I23" s="135"/>
      <c r="J23" s="13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101</v>
      </c>
      <c r="C24" s="10"/>
      <c r="D24" s="48">
        <f t="shared" si="1"/>
        <v>0</v>
      </c>
      <c r="F24" s="38"/>
      <c r="G24" s="37"/>
      <c r="H24" s="166"/>
      <c r="I24" s="135"/>
      <c r="J24" s="13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7" t="s">
        <v>13</v>
      </c>
      <c r="I25" s="168"/>
      <c r="J25" s="16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105</v>
      </c>
      <c r="C26" s="10"/>
      <c r="D26" s="48">
        <f t="shared" si="1"/>
        <v>0</v>
      </c>
      <c r="F26" s="64"/>
      <c r="G26" s="59"/>
      <c r="H26" s="170"/>
      <c r="I26" s="171"/>
      <c r="J26" s="17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109</v>
      </c>
      <c r="C27" s="10"/>
      <c r="D27" s="44">
        <f t="shared" si="1"/>
        <v>0</v>
      </c>
      <c r="F27" s="25"/>
      <c r="G27" s="80"/>
      <c r="H27" s="173"/>
      <c r="I27" s="174"/>
      <c r="J27" s="17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97</v>
      </c>
      <c r="C28" s="10"/>
      <c r="D28" s="48">
        <f t="shared" si="1"/>
        <v>0</v>
      </c>
      <c r="F28" s="94"/>
      <c r="G28" s="61"/>
      <c r="H28" s="176"/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55</v>
      </c>
      <c r="G29" s="158"/>
      <c r="H29" s="118">
        <f>H15-H16-H17-H18-H19-H20-H22-H23-H24+H26+H27</f>
        <v>0</v>
      </c>
      <c r="I29" s="119"/>
      <c r="J29" s="12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58</v>
      </c>
      <c r="B32" s="144"/>
      <c r="C32" s="144"/>
      <c r="D32" s="145"/>
      <c r="F32" s="146" t="s">
        <v>59</v>
      </c>
      <c r="G32" s="147"/>
      <c r="H32" s="147"/>
      <c r="I32" s="147"/>
      <c r="J32" s="14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6" t="s">
        <v>13</v>
      </c>
      <c r="I33" s="147"/>
      <c r="J33" s="14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0">
        <f>F34*G34</f>
        <v>0</v>
      </c>
      <c r="I34" s="141"/>
      <c r="J34" s="14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68</v>
      </c>
      <c r="C35" s="52"/>
      <c r="D35" s="30">
        <f>C35*84</f>
        <v>0</v>
      </c>
      <c r="F35" s="58">
        <v>500</v>
      </c>
      <c r="G35" s="41"/>
      <c r="H35" s="140">
        <f>F35*G35</f>
        <v>0</v>
      </c>
      <c r="I35" s="141"/>
      <c r="J35" s="14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70</v>
      </c>
      <c r="C36" s="10"/>
      <c r="D36" s="12">
        <f>C36*1.5</f>
        <v>0</v>
      </c>
      <c r="F36" s="12">
        <v>200</v>
      </c>
      <c r="G36" s="37"/>
      <c r="H36" s="140">
        <f t="shared" ref="H36:H39" si="2">F36*G36</f>
        <v>0</v>
      </c>
      <c r="I36" s="141"/>
      <c r="J36" s="14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0">
        <f t="shared" si="2"/>
        <v>0</v>
      </c>
      <c r="I37" s="141"/>
      <c r="J37" s="14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68</v>
      </c>
      <c r="C38" s="54"/>
      <c r="D38" s="12">
        <f>C38*84</f>
        <v>0</v>
      </c>
      <c r="F38" s="30">
        <v>50</v>
      </c>
      <c r="G38" s="39"/>
      <c r="H38" s="140">
        <f t="shared" si="2"/>
        <v>0</v>
      </c>
      <c r="I38" s="141"/>
      <c r="J38" s="14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70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68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70</v>
      </c>
      <c r="C42" s="11"/>
      <c r="D42" s="12">
        <f>C42*2.25</f>
        <v>0</v>
      </c>
      <c r="F42" s="39" t="s">
        <v>79</v>
      </c>
      <c r="G42" s="140"/>
      <c r="H42" s="141"/>
      <c r="I42" s="141"/>
      <c r="J42" s="14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81</v>
      </c>
      <c r="C43" s="11"/>
      <c r="D43" s="12"/>
      <c r="F43" s="59" t="s">
        <v>82</v>
      </c>
      <c r="G43" s="91" t="s">
        <v>83</v>
      </c>
      <c r="H43" s="132" t="s">
        <v>13</v>
      </c>
      <c r="I43" s="133"/>
      <c r="J43" s="13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1"/>
      <c r="B44" s="27" t="s">
        <v>66</v>
      </c>
      <c r="C44" s="10"/>
      <c r="D44" s="12">
        <f>C44*120</f>
        <v>0</v>
      </c>
      <c r="F44" s="37"/>
      <c r="G44" s="76"/>
      <c r="H44" s="135"/>
      <c r="I44" s="135"/>
      <c r="J44" s="13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68</v>
      </c>
      <c r="C45" s="33"/>
      <c r="D45" s="12">
        <f>C45*84</f>
        <v>0</v>
      </c>
      <c r="F45" s="37"/>
      <c r="G45" s="76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70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66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68</v>
      </c>
      <c r="C49" s="33"/>
      <c r="D49" s="12">
        <f>C49*42</f>
        <v>0</v>
      </c>
      <c r="F49" s="116" t="s">
        <v>86</v>
      </c>
      <c r="G49" s="118">
        <f>H34+H35+H36+H37+H38+H39+H40+H41+G42+H44+H45+H46</f>
        <v>0</v>
      </c>
      <c r="H49" s="119"/>
      <c r="I49" s="119"/>
      <c r="J49" s="12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70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137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138</v>
      </c>
      <c r="G51" s="126">
        <f>G49-H29</f>
        <v>0</v>
      </c>
      <c r="H51" s="127"/>
      <c r="I51" s="127"/>
      <c r="J51" s="1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6" t="s">
        <v>90</v>
      </c>
      <c r="B54" s="97"/>
      <c r="C54" s="98"/>
      <c r="D54" s="10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91</v>
      </c>
      <c r="B58" s="105"/>
      <c r="C58" s="105"/>
      <c r="D58" s="106"/>
      <c r="F58" s="104" t="s">
        <v>92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29</vt:i4>
      </vt:variant>
      <vt:variant>
        <vt:lpstr>Named Ranges</vt:lpstr>
      </vt:variant>
      <vt:variant>
        <vt:i4>28</vt:i4>
      </vt:variant>
    </vt:vector>
  </HeadingPairs>
  <TitlesOfParts>
    <vt:vector size="57" baseType="lpstr">
      <vt:lpstr>(March 2026)</vt:lpstr>
      <vt:lpstr>(2)</vt:lpstr>
      <vt:lpstr>03,02 R1</vt:lpstr>
      <vt:lpstr>03,02 R2</vt:lpstr>
      <vt:lpstr>03,02 R3</vt:lpstr>
      <vt:lpstr>(3)</vt:lpstr>
      <vt:lpstr>03,03 R1</vt:lpstr>
      <vt:lpstr>03,03 R2</vt:lpstr>
      <vt:lpstr>03,03 R3</vt:lpstr>
      <vt:lpstr>(4)</vt:lpstr>
      <vt:lpstr>04,03 R1</vt:lpstr>
      <vt:lpstr>04,03 R2</vt:lpstr>
      <vt:lpstr>04,03 R3</vt:lpstr>
      <vt:lpstr>(5)</vt:lpstr>
      <vt:lpstr>05,03 R1</vt:lpstr>
      <vt:lpstr>05,03 R2</vt:lpstr>
      <vt:lpstr>05,03 R3</vt:lpstr>
      <vt:lpstr>(6)</vt:lpstr>
      <vt:lpstr>06,03 R1</vt:lpstr>
      <vt:lpstr>06,03 R2</vt:lpstr>
      <vt:lpstr>06,03 R3</vt:lpstr>
      <vt:lpstr>(7)</vt:lpstr>
      <vt:lpstr>07,03 R1</vt:lpstr>
      <vt:lpstr>07,03 R2</vt:lpstr>
      <vt:lpstr>07,03 R3</vt:lpstr>
      <vt:lpstr>(9)</vt:lpstr>
      <vt:lpstr>09,03 R1</vt:lpstr>
      <vt:lpstr>09,03 R2</vt:lpstr>
      <vt:lpstr>09,03 R3</vt:lpstr>
      <vt:lpstr>'(2)'!Print_Area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'03,02 R1'!Print_Area</vt:lpstr>
      <vt:lpstr>'03,02 R2'!Print_Area</vt:lpstr>
      <vt:lpstr>'03,02 R3'!Print_Area</vt:lpstr>
      <vt:lpstr>'03,03 R1'!Print_Area</vt:lpstr>
      <vt:lpstr>'03,03 R2'!Print_Area</vt:lpstr>
      <vt:lpstr>'03,03 R3'!Print_Area</vt:lpstr>
      <vt:lpstr>'04,03 R1'!Print_Area</vt:lpstr>
      <vt:lpstr>'04,03 R2'!Print_Area</vt:lpstr>
      <vt:lpstr>'04,03 R3'!Print_Area</vt:lpstr>
      <vt:lpstr>'05,03 R1'!Print_Area</vt:lpstr>
      <vt:lpstr>'05,03 R2'!Print_Area</vt:lpstr>
      <vt:lpstr>'05,03 R3'!Print_Area</vt:lpstr>
      <vt:lpstr>'06,03 R1'!Print_Area</vt:lpstr>
      <vt:lpstr>'06,03 R2'!Print_Area</vt:lpstr>
      <vt:lpstr>'06,03 R3'!Print_Area</vt:lpstr>
      <vt:lpstr>'07,03 R1'!Print_Area</vt:lpstr>
      <vt:lpstr>'07,03 R2'!Print_Area</vt:lpstr>
      <vt:lpstr>'07,03 R3'!Print_Area</vt:lpstr>
      <vt:lpstr>'09,03 R1'!Print_Area</vt:lpstr>
      <vt:lpstr>'09,03 R2'!Print_Area</vt:lpstr>
      <vt:lpstr>'09,03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2026-03-04T23:12:13Z</cp:lastPrinted>
  <dcterms:created xsi:type="dcterms:W3CDTF">2024-09-01T23:36:50Z</dcterms:created>
  <dcterms:modified xsi:type="dcterms:W3CDTF">2026-03-04T23:13:00Z</dcterms:modified>
</cp:coreProperties>
</file>