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B424368A-C6EA-4234-89C9-7FEFAFD0DD27}" xr6:coauthVersionLast="45" xr6:coauthVersionMax="45" xr10:uidLastSave="{00000000-0000-0000-0000-000000000000}"/>
  <bookViews>
    <workbookView xWindow="-120" yWindow="-120" windowWidth="29040" windowHeight="15840" firstSheet="9" activeTab="17" xr2:uid="{D34C963E-9680-4B45-A4EE-B681FF0CEC08}"/>
  </bookViews>
  <sheets>
    <sheet name="SAMPLE" sheetId="32" r:id="rId1"/>
    <sheet name="03-02-20261" sheetId="33" r:id="rId2"/>
    <sheet name="03-04-2026" sheetId="30" r:id="rId3"/>
    <sheet name="03-05-2026" sheetId="34" r:id="rId4"/>
    <sheet name="03-06-2026" sheetId="31" r:id="rId5"/>
    <sheet name="03-07-2026" sheetId="36" r:id="rId6"/>
    <sheet name="03-09-2026" sheetId="35" r:id="rId7"/>
    <sheet name="03-10-2026" sheetId="37" r:id="rId8"/>
    <sheet name="03-11-2026" sheetId="38" r:id="rId9"/>
    <sheet name="03-12-2026" sheetId="39" r:id="rId10"/>
    <sheet name="03-14-2026" sheetId="40" r:id="rId11"/>
    <sheet name="03-16-2026" sheetId="41" r:id="rId12"/>
    <sheet name="03-17-2026" sheetId="42" r:id="rId13"/>
    <sheet name="03-18-2026" sheetId="43" r:id="rId14"/>
    <sheet name="03-19-2026" sheetId="44" r:id="rId15"/>
    <sheet name="03-20-2026" sheetId="45" r:id="rId16"/>
    <sheet name="03-23-2026" sheetId="46" r:id="rId17"/>
    <sheet name="03-24-2026" sheetId="47" r:id="rId18"/>
    <sheet name="03-25-2026" sheetId="48" r:id="rId19"/>
  </sheets>
  <definedNames>
    <definedName name="_xlnm.Print_Area" localSheetId="1">'03-02-20261'!$A$1:$W$59</definedName>
    <definedName name="_xlnm.Print_Area" localSheetId="2">'03-04-2026'!$A$1:$W$59</definedName>
    <definedName name="_xlnm.Print_Area" localSheetId="3">'03-05-2026'!$A$1:$W$59</definedName>
    <definedName name="_xlnm.Print_Area" localSheetId="4">'03-06-2026'!$A$1:$W$59</definedName>
    <definedName name="_xlnm.Print_Area" localSheetId="5">'03-07-2026'!$A$1:$W$59</definedName>
    <definedName name="_xlnm.Print_Area" localSheetId="6">'03-09-2026'!$A$1:$W$59</definedName>
    <definedName name="_xlnm.Print_Area" localSheetId="7">'03-10-2026'!$A$1:$W$59</definedName>
    <definedName name="_xlnm.Print_Area" localSheetId="8">'03-11-2026'!$A$1:$W$59</definedName>
    <definedName name="_xlnm.Print_Area" localSheetId="9">'03-12-2026'!$A$1:$W$59</definedName>
    <definedName name="_xlnm.Print_Area" localSheetId="10">'03-14-2026'!$A$1:$W$59</definedName>
    <definedName name="_xlnm.Print_Area" localSheetId="11">'03-16-2026'!$A$1:$W$59</definedName>
    <definedName name="_xlnm.Print_Area" localSheetId="12">'03-17-2026'!$A$1:$W$59</definedName>
    <definedName name="_xlnm.Print_Area" localSheetId="13">'03-18-2026'!$A$1:$W$59</definedName>
    <definedName name="_xlnm.Print_Area" localSheetId="14">'03-19-2026'!$A$1:$W$59</definedName>
    <definedName name="_xlnm.Print_Area" localSheetId="15">'03-20-2026'!$A$1:$W$59</definedName>
    <definedName name="_xlnm.Print_Area" localSheetId="16">'03-23-2026'!$A$1:$W$59</definedName>
    <definedName name="_xlnm.Print_Area" localSheetId="17">'03-24-2026'!$A$1:$W$59</definedName>
    <definedName name="_xlnm.Print_Area" localSheetId="18">'03-25-2026'!$A$1:$W$59</definedName>
    <definedName name="_xlnm.Print_Area" localSheetId="0">SAMPLE!$A$1:$W$61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47" l="1"/>
  <c r="K43" i="47"/>
  <c r="J43" i="47"/>
  <c r="C43" i="47"/>
  <c r="C41" i="47"/>
  <c r="C40" i="47"/>
  <c r="C37" i="47"/>
  <c r="C34" i="47"/>
  <c r="C12" i="47"/>
  <c r="C8" i="47"/>
  <c r="R58" i="48"/>
  <c r="Q58" i="48"/>
  <c r="P58" i="48"/>
  <c r="O58" i="48"/>
  <c r="N58" i="48"/>
  <c r="M58" i="48"/>
  <c r="K58" i="48"/>
  <c r="J58" i="48"/>
  <c r="I58" i="48"/>
  <c r="H58" i="48"/>
  <c r="G58" i="48"/>
  <c r="F58" i="48"/>
  <c r="C58" i="48"/>
  <c r="T54" i="48"/>
  <c r="U54" i="48" s="1"/>
  <c r="V54" i="48" s="1"/>
  <c r="T53" i="48"/>
  <c r="U53" i="48" s="1"/>
  <c r="V53" i="48" s="1"/>
  <c r="T52" i="48"/>
  <c r="U52" i="48" s="1"/>
  <c r="V52" i="48" s="1"/>
  <c r="T51" i="48"/>
  <c r="U51" i="48" s="1"/>
  <c r="V51" i="48" s="1"/>
  <c r="T50" i="48"/>
  <c r="U50" i="48" s="1"/>
  <c r="V50" i="48" s="1"/>
  <c r="T49" i="48"/>
  <c r="U49" i="48" s="1"/>
  <c r="V49" i="48" s="1"/>
  <c r="T48" i="48"/>
  <c r="U48" i="48" s="1"/>
  <c r="V48" i="48" s="1"/>
  <c r="T47" i="48"/>
  <c r="U47" i="48" s="1"/>
  <c r="V47" i="48" s="1"/>
  <c r="T46" i="48"/>
  <c r="U46" i="48" s="1"/>
  <c r="V46" i="48" s="1"/>
  <c r="T45" i="48"/>
  <c r="U45" i="48" s="1"/>
  <c r="V45" i="48" s="1"/>
  <c r="T43" i="48"/>
  <c r="U43" i="48" s="1"/>
  <c r="V43" i="48" s="1"/>
  <c r="T41" i="48"/>
  <c r="U41" i="48" s="1"/>
  <c r="V41" i="48" s="1"/>
  <c r="T40" i="48"/>
  <c r="U40" i="48" s="1"/>
  <c r="V40" i="48" s="1"/>
  <c r="U38" i="48"/>
  <c r="V38" i="48" s="1"/>
  <c r="T38" i="48"/>
  <c r="T37" i="48"/>
  <c r="U37" i="48" s="1"/>
  <c r="V37" i="48" s="1"/>
  <c r="T36" i="48"/>
  <c r="U36" i="48" s="1"/>
  <c r="V36" i="48" s="1"/>
  <c r="T35" i="48"/>
  <c r="U35" i="48" s="1"/>
  <c r="V35" i="48" s="1"/>
  <c r="U34" i="48"/>
  <c r="V34" i="48" s="1"/>
  <c r="T34" i="48"/>
  <c r="T33" i="48"/>
  <c r="U33" i="48" s="1"/>
  <c r="V33" i="48" s="1"/>
  <c r="T32" i="48"/>
  <c r="U32" i="48" s="1"/>
  <c r="V32" i="48" s="1"/>
  <c r="T31" i="48"/>
  <c r="U31" i="48" s="1"/>
  <c r="V31" i="48" s="1"/>
  <c r="U30" i="48"/>
  <c r="V30" i="48" s="1"/>
  <c r="T30" i="48"/>
  <c r="T29" i="48"/>
  <c r="U29" i="48" s="1"/>
  <c r="V29" i="48" s="1"/>
  <c r="T28" i="48"/>
  <c r="U28" i="48" s="1"/>
  <c r="V28" i="48" s="1"/>
  <c r="T26" i="48"/>
  <c r="U26" i="48" s="1"/>
  <c r="V26" i="48" s="1"/>
  <c r="AY25" i="48"/>
  <c r="T25" i="48"/>
  <c r="U25" i="48" s="1"/>
  <c r="V25" i="48" s="1"/>
  <c r="T24" i="48"/>
  <c r="U24" i="48" s="1"/>
  <c r="V24" i="48" s="1"/>
  <c r="U23" i="48"/>
  <c r="V23" i="48" s="1"/>
  <c r="T23" i="48"/>
  <c r="T22" i="48"/>
  <c r="U22" i="48" s="1"/>
  <c r="V22" i="48" s="1"/>
  <c r="T21" i="48"/>
  <c r="U21" i="48" s="1"/>
  <c r="V21" i="48" s="1"/>
  <c r="T20" i="48"/>
  <c r="U20" i="48" s="1"/>
  <c r="V20" i="48" s="1"/>
  <c r="A20" i="48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U19" i="48"/>
  <c r="V19" i="48" s="1"/>
  <c r="T19" i="48"/>
  <c r="T18" i="48"/>
  <c r="U18" i="48" s="1"/>
  <c r="V18" i="48" s="1"/>
  <c r="T17" i="48"/>
  <c r="U17" i="48" s="1"/>
  <c r="V17" i="48" s="1"/>
  <c r="T16" i="48"/>
  <c r="U16" i="48" s="1"/>
  <c r="V16" i="48" s="1"/>
  <c r="T15" i="48"/>
  <c r="U15" i="48" s="1"/>
  <c r="V15" i="48" s="1"/>
  <c r="T14" i="48"/>
  <c r="U14" i="48" s="1"/>
  <c r="V14" i="48" s="1"/>
  <c r="A14" i="48"/>
  <c r="A15" i="48" s="1"/>
  <c r="A16" i="48" s="1"/>
  <c r="A17" i="48" s="1"/>
  <c r="A18" i="48" s="1"/>
  <c r="T13" i="48"/>
  <c r="U13" i="48" s="1"/>
  <c r="V13" i="48" s="1"/>
  <c r="T12" i="48"/>
  <c r="U12" i="48" s="1"/>
  <c r="V12" i="48" s="1"/>
  <c r="T11" i="48"/>
  <c r="U11" i="48" s="1"/>
  <c r="V11" i="48" s="1"/>
  <c r="T10" i="48"/>
  <c r="U10" i="48" s="1"/>
  <c r="V10" i="48" s="1"/>
  <c r="T9" i="48"/>
  <c r="U9" i="48" s="1"/>
  <c r="V9" i="48" s="1"/>
  <c r="T8" i="48"/>
  <c r="U8" i="48" s="1"/>
  <c r="V8" i="48" s="1"/>
  <c r="A8" i="48"/>
  <c r="A9" i="48" s="1"/>
  <c r="A10" i="48" s="1"/>
  <c r="A11" i="48" s="1"/>
  <c r="T7" i="48"/>
  <c r="T58" i="48" s="1"/>
  <c r="U7" i="48" l="1"/>
  <c r="C47" i="46"/>
  <c r="K43" i="46"/>
  <c r="J43" i="46"/>
  <c r="C43" i="46"/>
  <c r="C41" i="46"/>
  <c r="C40" i="46"/>
  <c r="C37" i="46"/>
  <c r="C34" i="46"/>
  <c r="C12" i="46"/>
  <c r="C8" i="46"/>
  <c r="U58" i="48" l="1"/>
  <c r="V7" i="48"/>
  <c r="V58" i="48" s="1"/>
  <c r="C47" i="45"/>
  <c r="K43" i="45"/>
  <c r="J43" i="45"/>
  <c r="C43" i="45"/>
  <c r="C41" i="45"/>
  <c r="C40" i="45"/>
  <c r="C37" i="45"/>
  <c r="C34" i="45"/>
  <c r="C17" i="45"/>
  <c r="C12" i="45"/>
  <c r="C8" i="45"/>
  <c r="C7" i="45"/>
  <c r="C47" i="44"/>
  <c r="K43" i="44"/>
  <c r="J43" i="44"/>
  <c r="C43" i="44"/>
  <c r="C41" i="44"/>
  <c r="C40" i="44"/>
  <c r="C37" i="44"/>
  <c r="C34" i="44"/>
  <c r="C20" i="44"/>
  <c r="C17" i="44"/>
  <c r="C12" i="44"/>
  <c r="C8" i="44"/>
  <c r="C7" i="44"/>
  <c r="R58" i="47"/>
  <c r="Q58" i="47"/>
  <c r="P58" i="47"/>
  <c r="O58" i="47"/>
  <c r="N58" i="47"/>
  <c r="M58" i="47"/>
  <c r="K58" i="47"/>
  <c r="J58" i="47"/>
  <c r="I58" i="47"/>
  <c r="H58" i="47"/>
  <c r="G58" i="47"/>
  <c r="F58" i="47"/>
  <c r="C58" i="47"/>
  <c r="T54" i="47"/>
  <c r="U54" i="47" s="1"/>
  <c r="V54" i="47" s="1"/>
  <c r="T53" i="47"/>
  <c r="U53" i="47" s="1"/>
  <c r="V53" i="47" s="1"/>
  <c r="T52" i="47"/>
  <c r="U52" i="47" s="1"/>
  <c r="V52" i="47" s="1"/>
  <c r="T51" i="47"/>
  <c r="U51" i="47" s="1"/>
  <c r="V51" i="47" s="1"/>
  <c r="T50" i="47"/>
  <c r="U50" i="47" s="1"/>
  <c r="V50" i="47" s="1"/>
  <c r="T49" i="47"/>
  <c r="U49" i="47" s="1"/>
  <c r="V49" i="47" s="1"/>
  <c r="T48" i="47"/>
  <c r="U48" i="47" s="1"/>
  <c r="V48" i="47" s="1"/>
  <c r="T47" i="47"/>
  <c r="U47" i="47" s="1"/>
  <c r="V47" i="47" s="1"/>
  <c r="T46" i="47"/>
  <c r="U46" i="47" s="1"/>
  <c r="V46" i="47" s="1"/>
  <c r="T45" i="47"/>
  <c r="U45" i="47" s="1"/>
  <c r="V45" i="47" s="1"/>
  <c r="T43" i="47"/>
  <c r="U43" i="47" s="1"/>
  <c r="V43" i="47" s="1"/>
  <c r="T41" i="47"/>
  <c r="U41" i="47" s="1"/>
  <c r="V41" i="47" s="1"/>
  <c r="T40" i="47"/>
  <c r="U40" i="47" s="1"/>
  <c r="V40" i="47" s="1"/>
  <c r="T38" i="47"/>
  <c r="U38" i="47" s="1"/>
  <c r="V38" i="47" s="1"/>
  <c r="T37" i="47"/>
  <c r="U37" i="47" s="1"/>
  <c r="V37" i="47" s="1"/>
  <c r="T36" i="47"/>
  <c r="U36" i="47" s="1"/>
  <c r="V36" i="47" s="1"/>
  <c r="T35" i="47"/>
  <c r="U35" i="47" s="1"/>
  <c r="V35" i="47" s="1"/>
  <c r="T34" i="47"/>
  <c r="U34" i="47" s="1"/>
  <c r="V34" i="47" s="1"/>
  <c r="T33" i="47"/>
  <c r="U33" i="47" s="1"/>
  <c r="V33" i="47" s="1"/>
  <c r="T32" i="47"/>
  <c r="U32" i="47" s="1"/>
  <c r="V32" i="47" s="1"/>
  <c r="T31" i="47"/>
  <c r="U31" i="47" s="1"/>
  <c r="V31" i="47" s="1"/>
  <c r="T30" i="47"/>
  <c r="U30" i="47" s="1"/>
  <c r="V30" i="47" s="1"/>
  <c r="T29" i="47"/>
  <c r="U29" i="47" s="1"/>
  <c r="V29" i="47" s="1"/>
  <c r="T28" i="47"/>
  <c r="U28" i="47" s="1"/>
  <c r="V28" i="47" s="1"/>
  <c r="T26" i="47"/>
  <c r="U26" i="47" s="1"/>
  <c r="V26" i="47" s="1"/>
  <c r="AY25" i="47"/>
  <c r="T25" i="47"/>
  <c r="U25" i="47" s="1"/>
  <c r="V25" i="47" s="1"/>
  <c r="U24" i="47"/>
  <c r="V24" i="47" s="1"/>
  <c r="T24" i="47"/>
  <c r="T23" i="47"/>
  <c r="U23" i="47" s="1"/>
  <c r="V23" i="47" s="1"/>
  <c r="T22" i="47"/>
  <c r="U22" i="47" s="1"/>
  <c r="V22" i="47" s="1"/>
  <c r="U21" i="47"/>
  <c r="V21" i="47" s="1"/>
  <c r="T21" i="47"/>
  <c r="A21" i="47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T20" i="47"/>
  <c r="U20" i="47" s="1"/>
  <c r="V20" i="47" s="1"/>
  <c r="A20" i="47"/>
  <c r="T19" i="47"/>
  <c r="U19" i="47" s="1"/>
  <c r="V19" i="47" s="1"/>
  <c r="T18" i="47"/>
  <c r="U18" i="47" s="1"/>
  <c r="V18" i="47" s="1"/>
  <c r="T17" i="47"/>
  <c r="U17" i="47" s="1"/>
  <c r="V17" i="47" s="1"/>
  <c r="T16" i="47"/>
  <c r="U16" i="47" s="1"/>
  <c r="V16" i="47" s="1"/>
  <c r="T15" i="47"/>
  <c r="U15" i="47" s="1"/>
  <c r="V15" i="47" s="1"/>
  <c r="T14" i="47"/>
  <c r="U14" i="47" s="1"/>
  <c r="V14" i="47" s="1"/>
  <c r="A14" i="47"/>
  <c r="A15" i="47" s="1"/>
  <c r="A16" i="47" s="1"/>
  <c r="A17" i="47" s="1"/>
  <c r="A18" i="47" s="1"/>
  <c r="T13" i="47"/>
  <c r="U13" i="47" s="1"/>
  <c r="V13" i="47" s="1"/>
  <c r="T12" i="47"/>
  <c r="U12" i="47" s="1"/>
  <c r="V12" i="47" s="1"/>
  <c r="T11" i="47"/>
  <c r="U11" i="47" s="1"/>
  <c r="V11" i="47" s="1"/>
  <c r="V10" i="47"/>
  <c r="U10" i="47"/>
  <c r="T10" i="47"/>
  <c r="T9" i="47"/>
  <c r="U9" i="47" s="1"/>
  <c r="V9" i="47" s="1"/>
  <c r="T8" i="47"/>
  <c r="U8" i="47" s="1"/>
  <c r="V8" i="47" s="1"/>
  <c r="A8" i="47"/>
  <c r="A9" i="47" s="1"/>
  <c r="A10" i="47" s="1"/>
  <c r="A11" i="47" s="1"/>
  <c r="T7" i="47"/>
  <c r="R58" i="46"/>
  <c r="Q58" i="46"/>
  <c r="P58" i="46"/>
  <c r="O58" i="46"/>
  <c r="N58" i="46"/>
  <c r="M58" i="46"/>
  <c r="K58" i="46"/>
  <c r="J58" i="46"/>
  <c r="I58" i="46"/>
  <c r="H58" i="46"/>
  <c r="G58" i="46"/>
  <c r="F58" i="46"/>
  <c r="C58" i="46"/>
  <c r="U54" i="46"/>
  <c r="V54" i="46" s="1"/>
  <c r="T54" i="46"/>
  <c r="T53" i="46"/>
  <c r="U53" i="46" s="1"/>
  <c r="V53" i="46" s="1"/>
  <c r="U52" i="46"/>
  <c r="V52" i="46" s="1"/>
  <c r="T52" i="46"/>
  <c r="T51" i="46"/>
  <c r="U51" i="46" s="1"/>
  <c r="V51" i="46" s="1"/>
  <c r="U50" i="46"/>
  <c r="V50" i="46" s="1"/>
  <c r="T50" i="46"/>
  <c r="T49" i="46"/>
  <c r="U49" i="46" s="1"/>
  <c r="V49" i="46" s="1"/>
  <c r="U48" i="46"/>
  <c r="V48" i="46" s="1"/>
  <c r="T48" i="46"/>
  <c r="T47" i="46"/>
  <c r="U47" i="46" s="1"/>
  <c r="V47" i="46" s="1"/>
  <c r="U46" i="46"/>
  <c r="V46" i="46" s="1"/>
  <c r="T46" i="46"/>
  <c r="T45" i="46"/>
  <c r="U45" i="46" s="1"/>
  <c r="V45" i="46" s="1"/>
  <c r="T43" i="46"/>
  <c r="U43" i="46" s="1"/>
  <c r="V43" i="46" s="1"/>
  <c r="T41" i="46"/>
  <c r="U41" i="46" s="1"/>
  <c r="V41" i="46" s="1"/>
  <c r="T40" i="46"/>
  <c r="U40" i="46" s="1"/>
  <c r="V40" i="46" s="1"/>
  <c r="T38" i="46"/>
  <c r="U38" i="46" s="1"/>
  <c r="V38" i="46" s="1"/>
  <c r="U37" i="46"/>
  <c r="V37" i="46" s="1"/>
  <c r="T37" i="46"/>
  <c r="T36" i="46"/>
  <c r="U36" i="46" s="1"/>
  <c r="V36" i="46" s="1"/>
  <c r="U35" i="46"/>
  <c r="V35" i="46" s="1"/>
  <c r="T35" i="46"/>
  <c r="T34" i="46"/>
  <c r="U34" i="46" s="1"/>
  <c r="V34" i="46" s="1"/>
  <c r="U33" i="46"/>
  <c r="V33" i="46" s="1"/>
  <c r="T33" i="46"/>
  <c r="T32" i="46"/>
  <c r="U32" i="46" s="1"/>
  <c r="V32" i="46" s="1"/>
  <c r="U31" i="46"/>
  <c r="V31" i="46" s="1"/>
  <c r="T31" i="46"/>
  <c r="T30" i="46"/>
  <c r="U30" i="46" s="1"/>
  <c r="V30" i="46" s="1"/>
  <c r="U29" i="46"/>
  <c r="V29" i="46" s="1"/>
  <c r="T29" i="46"/>
  <c r="T28" i="46"/>
  <c r="U28" i="46" s="1"/>
  <c r="V28" i="46" s="1"/>
  <c r="T26" i="46"/>
  <c r="U26" i="46" s="1"/>
  <c r="V26" i="46" s="1"/>
  <c r="AY25" i="46"/>
  <c r="T25" i="46"/>
  <c r="U25" i="46" s="1"/>
  <c r="V25" i="46" s="1"/>
  <c r="T24" i="46"/>
  <c r="U24" i="46" s="1"/>
  <c r="V24" i="46" s="1"/>
  <c r="T23" i="46"/>
  <c r="U23" i="46" s="1"/>
  <c r="V23" i="46" s="1"/>
  <c r="T22" i="46"/>
  <c r="U22" i="46" s="1"/>
  <c r="V22" i="46" s="1"/>
  <c r="U21" i="46"/>
  <c r="V21" i="46" s="1"/>
  <c r="T21" i="46"/>
  <c r="A21" i="46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T20" i="46"/>
  <c r="U20" i="46" s="1"/>
  <c r="V20" i="46" s="1"/>
  <c r="A20" i="46"/>
  <c r="T19" i="46"/>
  <c r="U19" i="46" s="1"/>
  <c r="V19" i="46" s="1"/>
  <c r="T18" i="46"/>
  <c r="U18" i="46" s="1"/>
  <c r="V18" i="46" s="1"/>
  <c r="U17" i="46"/>
  <c r="V17" i="46" s="1"/>
  <c r="T17" i="46"/>
  <c r="T16" i="46"/>
  <c r="U16" i="46" s="1"/>
  <c r="V16" i="46" s="1"/>
  <c r="U15" i="46"/>
  <c r="V15" i="46" s="1"/>
  <c r="T15" i="46"/>
  <c r="T14" i="46"/>
  <c r="U14" i="46" s="1"/>
  <c r="V14" i="46" s="1"/>
  <c r="A14" i="46"/>
  <c r="A15" i="46" s="1"/>
  <c r="A16" i="46" s="1"/>
  <c r="A17" i="46" s="1"/>
  <c r="A18" i="46" s="1"/>
  <c r="T13" i="46"/>
  <c r="U13" i="46" s="1"/>
  <c r="V13" i="46" s="1"/>
  <c r="T12" i="46"/>
  <c r="U12" i="46" s="1"/>
  <c r="V12" i="46" s="1"/>
  <c r="T11" i="46"/>
  <c r="U11" i="46" s="1"/>
  <c r="V11" i="46" s="1"/>
  <c r="T10" i="46"/>
  <c r="U10" i="46" s="1"/>
  <c r="V10" i="46" s="1"/>
  <c r="T9" i="46"/>
  <c r="U9" i="46" s="1"/>
  <c r="V9" i="46" s="1"/>
  <c r="A9" i="46"/>
  <c r="A10" i="46" s="1"/>
  <c r="A11" i="46" s="1"/>
  <c r="T8" i="46"/>
  <c r="U8" i="46" s="1"/>
  <c r="V8" i="46" s="1"/>
  <c r="A8" i="46"/>
  <c r="T7" i="46"/>
  <c r="R58" i="45"/>
  <c r="Q58" i="45"/>
  <c r="P58" i="45"/>
  <c r="O58" i="45"/>
  <c r="N58" i="45"/>
  <c r="M58" i="45"/>
  <c r="K58" i="45"/>
  <c r="J58" i="45"/>
  <c r="I58" i="45"/>
  <c r="H58" i="45"/>
  <c r="G58" i="45"/>
  <c r="F58" i="45"/>
  <c r="U54" i="45"/>
  <c r="V54" i="45" s="1"/>
  <c r="T54" i="45"/>
  <c r="T53" i="45"/>
  <c r="U53" i="45" s="1"/>
  <c r="V53" i="45" s="1"/>
  <c r="V52" i="45"/>
  <c r="U52" i="45"/>
  <c r="T52" i="45"/>
  <c r="T51" i="45"/>
  <c r="U51" i="45" s="1"/>
  <c r="V51" i="45" s="1"/>
  <c r="U50" i="45"/>
  <c r="V50" i="45" s="1"/>
  <c r="T50" i="45"/>
  <c r="T49" i="45"/>
  <c r="U49" i="45" s="1"/>
  <c r="V49" i="45" s="1"/>
  <c r="U48" i="45"/>
  <c r="V48" i="45" s="1"/>
  <c r="T48" i="45"/>
  <c r="T47" i="45"/>
  <c r="U47" i="45" s="1"/>
  <c r="V47" i="45" s="1"/>
  <c r="U46" i="45"/>
  <c r="V46" i="45" s="1"/>
  <c r="T46" i="45"/>
  <c r="T45" i="45"/>
  <c r="U45" i="45" s="1"/>
  <c r="V45" i="45" s="1"/>
  <c r="T43" i="45"/>
  <c r="U43" i="45" s="1"/>
  <c r="V43" i="45" s="1"/>
  <c r="T41" i="45"/>
  <c r="U41" i="45" s="1"/>
  <c r="V41" i="45" s="1"/>
  <c r="T40" i="45"/>
  <c r="U40" i="45" s="1"/>
  <c r="V40" i="45" s="1"/>
  <c r="U38" i="45"/>
  <c r="V38" i="45" s="1"/>
  <c r="T38" i="45"/>
  <c r="U37" i="45"/>
  <c r="V37" i="45" s="1"/>
  <c r="T37" i="45"/>
  <c r="T36" i="45"/>
  <c r="U36" i="45" s="1"/>
  <c r="V36" i="45" s="1"/>
  <c r="U35" i="45"/>
  <c r="V35" i="45" s="1"/>
  <c r="T35" i="45"/>
  <c r="T34" i="45"/>
  <c r="U34" i="45" s="1"/>
  <c r="V34" i="45" s="1"/>
  <c r="U33" i="45"/>
  <c r="V33" i="45" s="1"/>
  <c r="T33" i="45"/>
  <c r="T32" i="45"/>
  <c r="U32" i="45" s="1"/>
  <c r="V32" i="45" s="1"/>
  <c r="U31" i="45"/>
  <c r="V31" i="45" s="1"/>
  <c r="T31" i="45"/>
  <c r="U30" i="45"/>
  <c r="V30" i="45" s="1"/>
  <c r="T30" i="45"/>
  <c r="U29" i="45"/>
  <c r="V29" i="45" s="1"/>
  <c r="T29" i="45"/>
  <c r="T28" i="45"/>
  <c r="U28" i="45" s="1"/>
  <c r="V28" i="45" s="1"/>
  <c r="T26" i="45"/>
  <c r="U26" i="45" s="1"/>
  <c r="V26" i="45" s="1"/>
  <c r="AY25" i="45"/>
  <c r="T25" i="45"/>
  <c r="U25" i="45" s="1"/>
  <c r="V25" i="45" s="1"/>
  <c r="T24" i="45"/>
  <c r="U24" i="45" s="1"/>
  <c r="V24" i="45" s="1"/>
  <c r="T23" i="45"/>
  <c r="U23" i="45" s="1"/>
  <c r="V23" i="45" s="1"/>
  <c r="T22" i="45"/>
  <c r="U22" i="45" s="1"/>
  <c r="V22" i="45" s="1"/>
  <c r="T21" i="45"/>
  <c r="U21" i="45" s="1"/>
  <c r="V21" i="45" s="1"/>
  <c r="A21" i="45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T20" i="45"/>
  <c r="U20" i="45" s="1"/>
  <c r="V20" i="45" s="1"/>
  <c r="A20" i="45"/>
  <c r="T19" i="45"/>
  <c r="U19" i="45" s="1"/>
  <c r="V19" i="45" s="1"/>
  <c r="T18" i="45"/>
  <c r="U18" i="45" s="1"/>
  <c r="V18" i="45" s="1"/>
  <c r="U17" i="45"/>
  <c r="V17" i="45" s="1"/>
  <c r="T17" i="45"/>
  <c r="T16" i="45"/>
  <c r="U16" i="45" s="1"/>
  <c r="V16" i="45" s="1"/>
  <c r="U15" i="45"/>
  <c r="V15" i="45" s="1"/>
  <c r="T15" i="45"/>
  <c r="T14" i="45"/>
  <c r="U14" i="45" s="1"/>
  <c r="V14" i="45" s="1"/>
  <c r="A14" i="45"/>
  <c r="A15" i="45" s="1"/>
  <c r="A16" i="45" s="1"/>
  <c r="A17" i="45" s="1"/>
  <c r="A18" i="45" s="1"/>
  <c r="U13" i="45"/>
  <c r="V13" i="45" s="1"/>
  <c r="T13" i="45"/>
  <c r="T12" i="45"/>
  <c r="U12" i="45" s="1"/>
  <c r="V12" i="45" s="1"/>
  <c r="T11" i="45"/>
  <c r="U11" i="45" s="1"/>
  <c r="V11" i="45" s="1"/>
  <c r="T10" i="45"/>
  <c r="U10" i="45" s="1"/>
  <c r="V10" i="45" s="1"/>
  <c r="T9" i="45"/>
  <c r="U9" i="45" s="1"/>
  <c r="V9" i="45" s="1"/>
  <c r="A9" i="45"/>
  <c r="A10" i="45" s="1"/>
  <c r="A11" i="45" s="1"/>
  <c r="T8" i="45"/>
  <c r="U8" i="45" s="1"/>
  <c r="V8" i="45" s="1"/>
  <c r="A8" i="45"/>
  <c r="T7" i="45"/>
  <c r="T58" i="47" l="1"/>
  <c r="T58" i="46"/>
  <c r="C58" i="45"/>
  <c r="U7" i="45"/>
  <c r="U58" i="45" s="1"/>
  <c r="U7" i="47"/>
  <c r="U7" i="46"/>
  <c r="T58" i="45"/>
  <c r="C47" i="43"/>
  <c r="K43" i="43"/>
  <c r="J43" i="43"/>
  <c r="J58" i="43" s="1"/>
  <c r="C43" i="43"/>
  <c r="C41" i="43"/>
  <c r="C40" i="43"/>
  <c r="C37" i="43"/>
  <c r="C34" i="43"/>
  <c r="C20" i="43"/>
  <c r="C17" i="43"/>
  <c r="C58" i="43" s="1"/>
  <c r="C12" i="43"/>
  <c r="C8" i="43"/>
  <c r="R58" i="44"/>
  <c r="Q58" i="44"/>
  <c r="P58" i="44"/>
  <c r="O58" i="44"/>
  <c r="N58" i="44"/>
  <c r="M58" i="44"/>
  <c r="K58" i="44"/>
  <c r="J58" i="44"/>
  <c r="I58" i="44"/>
  <c r="H58" i="44"/>
  <c r="G58" i="44"/>
  <c r="F58" i="44"/>
  <c r="C58" i="44"/>
  <c r="T54" i="44"/>
  <c r="U54" i="44" s="1"/>
  <c r="V54" i="44" s="1"/>
  <c r="T53" i="44"/>
  <c r="U53" i="44" s="1"/>
  <c r="V53" i="44" s="1"/>
  <c r="U52" i="44"/>
  <c r="V52" i="44" s="1"/>
  <c r="T52" i="44"/>
  <c r="T51" i="44"/>
  <c r="U51" i="44" s="1"/>
  <c r="V51" i="44" s="1"/>
  <c r="T50" i="44"/>
  <c r="U50" i="44" s="1"/>
  <c r="V50" i="44" s="1"/>
  <c r="T49" i="44"/>
  <c r="U49" i="44" s="1"/>
  <c r="V49" i="44" s="1"/>
  <c r="U48" i="44"/>
  <c r="V48" i="44" s="1"/>
  <c r="T48" i="44"/>
  <c r="T47" i="44"/>
  <c r="U47" i="44" s="1"/>
  <c r="V47" i="44" s="1"/>
  <c r="T46" i="44"/>
  <c r="U46" i="44" s="1"/>
  <c r="V46" i="44" s="1"/>
  <c r="T45" i="44"/>
  <c r="U45" i="44" s="1"/>
  <c r="V45" i="44" s="1"/>
  <c r="T43" i="44"/>
  <c r="U43" i="44" s="1"/>
  <c r="V43" i="44" s="1"/>
  <c r="T41" i="44"/>
  <c r="U41" i="44" s="1"/>
  <c r="V41" i="44" s="1"/>
  <c r="T40" i="44"/>
  <c r="U40" i="44" s="1"/>
  <c r="V40" i="44" s="1"/>
  <c r="T38" i="44"/>
  <c r="U38" i="44" s="1"/>
  <c r="V38" i="44" s="1"/>
  <c r="T37" i="44"/>
  <c r="U37" i="44" s="1"/>
  <c r="V37" i="44" s="1"/>
  <c r="T36" i="44"/>
  <c r="U36" i="44" s="1"/>
  <c r="V36" i="44" s="1"/>
  <c r="T35" i="44"/>
  <c r="U35" i="44" s="1"/>
  <c r="V35" i="44" s="1"/>
  <c r="T34" i="44"/>
  <c r="U34" i="44" s="1"/>
  <c r="V34" i="44" s="1"/>
  <c r="T33" i="44"/>
  <c r="U33" i="44" s="1"/>
  <c r="V33" i="44" s="1"/>
  <c r="T32" i="44"/>
  <c r="U32" i="44" s="1"/>
  <c r="V32" i="44" s="1"/>
  <c r="T31" i="44"/>
  <c r="U31" i="44" s="1"/>
  <c r="V31" i="44" s="1"/>
  <c r="T30" i="44"/>
  <c r="U30" i="44" s="1"/>
  <c r="V30" i="44" s="1"/>
  <c r="T29" i="44"/>
  <c r="U29" i="44" s="1"/>
  <c r="V29" i="44" s="1"/>
  <c r="T28" i="44"/>
  <c r="U28" i="44" s="1"/>
  <c r="V28" i="44" s="1"/>
  <c r="T26" i="44"/>
  <c r="U26" i="44" s="1"/>
  <c r="V26" i="44" s="1"/>
  <c r="AY25" i="44"/>
  <c r="T25" i="44"/>
  <c r="U25" i="44" s="1"/>
  <c r="V25" i="44" s="1"/>
  <c r="T24" i="44"/>
  <c r="U24" i="44" s="1"/>
  <c r="V24" i="44" s="1"/>
  <c r="T23" i="44"/>
  <c r="U23" i="44" s="1"/>
  <c r="V23" i="44" s="1"/>
  <c r="T22" i="44"/>
  <c r="U22" i="44" s="1"/>
  <c r="V22" i="44" s="1"/>
  <c r="U21" i="44"/>
  <c r="V21" i="44" s="1"/>
  <c r="T21" i="44"/>
  <c r="T20" i="44"/>
  <c r="U20" i="44" s="1"/>
  <c r="V20" i="44" s="1"/>
  <c r="A20" i="44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U19" i="44"/>
  <c r="V19" i="44" s="1"/>
  <c r="T19" i="44"/>
  <c r="T18" i="44"/>
  <c r="U18" i="44" s="1"/>
  <c r="V18" i="44" s="1"/>
  <c r="U17" i="44"/>
  <c r="V17" i="44" s="1"/>
  <c r="T17" i="44"/>
  <c r="T16" i="44"/>
  <c r="U16" i="44" s="1"/>
  <c r="V16" i="44" s="1"/>
  <c r="T15" i="44"/>
  <c r="U15" i="44" s="1"/>
  <c r="V15" i="44" s="1"/>
  <c r="T14" i="44"/>
  <c r="U14" i="44" s="1"/>
  <c r="V14" i="44" s="1"/>
  <c r="A14" i="44"/>
  <c r="A15" i="44" s="1"/>
  <c r="A16" i="44" s="1"/>
  <c r="A17" i="44" s="1"/>
  <c r="A18" i="44" s="1"/>
  <c r="U13" i="44"/>
  <c r="V13" i="44" s="1"/>
  <c r="T13" i="44"/>
  <c r="T12" i="44"/>
  <c r="U12" i="44" s="1"/>
  <c r="V12" i="44" s="1"/>
  <c r="T11" i="44"/>
  <c r="U11" i="44" s="1"/>
  <c r="V11" i="44" s="1"/>
  <c r="T10" i="44"/>
  <c r="U10" i="44" s="1"/>
  <c r="V10" i="44" s="1"/>
  <c r="U9" i="44"/>
  <c r="V9" i="44" s="1"/>
  <c r="T9" i="44"/>
  <c r="A9" i="44"/>
  <c r="A10" i="44" s="1"/>
  <c r="A11" i="44" s="1"/>
  <c r="T8" i="44"/>
  <c r="U8" i="44" s="1"/>
  <c r="V8" i="44" s="1"/>
  <c r="A8" i="44"/>
  <c r="T7" i="44"/>
  <c r="U7" i="44" s="1"/>
  <c r="R58" i="43"/>
  <c r="Q58" i="43"/>
  <c r="P58" i="43"/>
  <c r="O58" i="43"/>
  <c r="N58" i="43"/>
  <c r="M58" i="43"/>
  <c r="K58" i="43"/>
  <c r="I58" i="43"/>
  <c r="H58" i="43"/>
  <c r="G58" i="43"/>
  <c r="F58" i="43"/>
  <c r="U54" i="43"/>
  <c r="V54" i="43" s="1"/>
  <c r="T54" i="43"/>
  <c r="T53" i="43"/>
  <c r="U53" i="43" s="1"/>
  <c r="V53" i="43" s="1"/>
  <c r="T52" i="43"/>
  <c r="U52" i="43" s="1"/>
  <c r="V52" i="43" s="1"/>
  <c r="T51" i="43"/>
  <c r="U51" i="43" s="1"/>
  <c r="V51" i="43" s="1"/>
  <c r="U50" i="43"/>
  <c r="V50" i="43" s="1"/>
  <c r="T50" i="43"/>
  <c r="T49" i="43"/>
  <c r="U49" i="43" s="1"/>
  <c r="V49" i="43" s="1"/>
  <c r="T48" i="43"/>
  <c r="U48" i="43" s="1"/>
  <c r="V48" i="43" s="1"/>
  <c r="T47" i="43"/>
  <c r="U47" i="43" s="1"/>
  <c r="V47" i="43" s="1"/>
  <c r="U46" i="43"/>
  <c r="V46" i="43" s="1"/>
  <c r="T46" i="43"/>
  <c r="T45" i="43"/>
  <c r="U45" i="43" s="1"/>
  <c r="V45" i="43" s="1"/>
  <c r="T41" i="43"/>
  <c r="U41" i="43" s="1"/>
  <c r="V41" i="43" s="1"/>
  <c r="T40" i="43"/>
  <c r="U40" i="43" s="1"/>
  <c r="V40" i="43" s="1"/>
  <c r="T38" i="43"/>
  <c r="U38" i="43" s="1"/>
  <c r="V38" i="43" s="1"/>
  <c r="T37" i="43"/>
  <c r="U37" i="43" s="1"/>
  <c r="V37" i="43" s="1"/>
  <c r="T36" i="43"/>
  <c r="U36" i="43" s="1"/>
  <c r="V36" i="43" s="1"/>
  <c r="T35" i="43"/>
  <c r="U35" i="43" s="1"/>
  <c r="V35" i="43" s="1"/>
  <c r="T34" i="43"/>
  <c r="U34" i="43" s="1"/>
  <c r="V34" i="43" s="1"/>
  <c r="U33" i="43"/>
  <c r="V33" i="43" s="1"/>
  <c r="T33" i="43"/>
  <c r="T32" i="43"/>
  <c r="U32" i="43" s="1"/>
  <c r="V32" i="43" s="1"/>
  <c r="T31" i="43"/>
  <c r="U31" i="43" s="1"/>
  <c r="V31" i="43" s="1"/>
  <c r="T30" i="43"/>
  <c r="U30" i="43" s="1"/>
  <c r="V30" i="43" s="1"/>
  <c r="U29" i="43"/>
  <c r="V29" i="43" s="1"/>
  <c r="T29" i="43"/>
  <c r="T28" i="43"/>
  <c r="U28" i="43" s="1"/>
  <c r="V28" i="43" s="1"/>
  <c r="T26" i="43"/>
  <c r="U26" i="43" s="1"/>
  <c r="V26" i="43" s="1"/>
  <c r="AY25" i="43"/>
  <c r="T25" i="43"/>
  <c r="U25" i="43" s="1"/>
  <c r="V25" i="43" s="1"/>
  <c r="T24" i="43"/>
  <c r="U24" i="43" s="1"/>
  <c r="V24" i="43" s="1"/>
  <c r="T23" i="43"/>
  <c r="U23" i="43" s="1"/>
  <c r="V23" i="43" s="1"/>
  <c r="T22" i="43"/>
  <c r="U22" i="43" s="1"/>
  <c r="V22" i="43" s="1"/>
  <c r="T21" i="43"/>
  <c r="U21" i="43" s="1"/>
  <c r="V21" i="43" s="1"/>
  <c r="T20" i="43"/>
  <c r="U20" i="43" s="1"/>
  <c r="V20" i="43" s="1"/>
  <c r="A20" i="43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T19" i="43"/>
  <c r="U19" i="43" s="1"/>
  <c r="V19" i="43" s="1"/>
  <c r="T18" i="43"/>
  <c r="U18" i="43" s="1"/>
  <c r="V18" i="43" s="1"/>
  <c r="T17" i="43"/>
  <c r="U17" i="43" s="1"/>
  <c r="V17" i="43" s="1"/>
  <c r="T16" i="43"/>
  <c r="U16" i="43" s="1"/>
  <c r="V16" i="43" s="1"/>
  <c r="U15" i="43"/>
  <c r="V15" i="43" s="1"/>
  <c r="T15" i="43"/>
  <c r="T14" i="43"/>
  <c r="U14" i="43" s="1"/>
  <c r="V14" i="43" s="1"/>
  <c r="A14" i="43"/>
  <c r="A15" i="43" s="1"/>
  <c r="A16" i="43" s="1"/>
  <c r="A17" i="43" s="1"/>
  <c r="A18" i="43" s="1"/>
  <c r="T13" i="43"/>
  <c r="U13" i="43" s="1"/>
  <c r="V13" i="43" s="1"/>
  <c r="T12" i="43"/>
  <c r="U12" i="43" s="1"/>
  <c r="V12" i="43" s="1"/>
  <c r="T11" i="43"/>
  <c r="U11" i="43" s="1"/>
  <c r="V11" i="43" s="1"/>
  <c r="T10" i="43"/>
  <c r="U10" i="43" s="1"/>
  <c r="V10" i="43" s="1"/>
  <c r="U9" i="43"/>
  <c r="V9" i="43" s="1"/>
  <c r="T9" i="43"/>
  <c r="T8" i="43"/>
  <c r="U8" i="43" s="1"/>
  <c r="V8" i="43" s="1"/>
  <c r="A8" i="43"/>
  <c r="A9" i="43" s="1"/>
  <c r="A10" i="43" s="1"/>
  <c r="A11" i="43" s="1"/>
  <c r="T7" i="43"/>
  <c r="U7" i="43" s="1"/>
  <c r="V7" i="45" l="1"/>
  <c r="V58" i="45" s="1"/>
  <c r="U58" i="47"/>
  <c r="V7" i="47"/>
  <c r="V58" i="47" s="1"/>
  <c r="U58" i="46"/>
  <c r="V7" i="46"/>
  <c r="V58" i="46" s="1"/>
  <c r="T43" i="43"/>
  <c r="U43" i="43" s="1"/>
  <c r="V43" i="43" s="1"/>
  <c r="V7" i="44"/>
  <c r="V58" i="44" s="1"/>
  <c r="U58" i="44"/>
  <c r="T58" i="44"/>
  <c r="V7" i="43"/>
  <c r="C47" i="41"/>
  <c r="K43" i="41"/>
  <c r="J43" i="41"/>
  <c r="C43" i="41"/>
  <c r="C41" i="41"/>
  <c r="C40" i="41"/>
  <c r="C37" i="41"/>
  <c r="C34" i="41"/>
  <c r="C28" i="41"/>
  <c r="C25" i="41"/>
  <c r="C12" i="41"/>
  <c r="C8" i="41"/>
  <c r="R58" i="42"/>
  <c r="Q58" i="42"/>
  <c r="P58" i="42"/>
  <c r="O58" i="42"/>
  <c r="N58" i="42"/>
  <c r="M58" i="42"/>
  <c r="K58" i="42"/>
  <c r="J58" i="42"/>
  <c r="I58" i="42"/>
  <c r="H58" i="42"/>
  <c r="G58" i="42"/>
  <c r="F58" i="42"/>
  <c r="C58" i="42"/>
  <c r="T54" i="42"/>
  <c r="U54" i="42" s="1"/>
  <c r="V54" i="42" s="1"/>
  <c r="T53" i="42"/>
  <c r="U53" i="42" s="1"/>
  <c r="V53" i="42" s="1"/>
  <c r="U52" i="42"/>
  <c r="V52" i="42" s="1"/>
  <c r="T52" i="42"/>
  <c r="T51" i="42"/>
  <c r="U51" i="42" s="1"/>
  <c r="V51" i="42" s="1"/>
  <c r="T50" i="42"/>
  <c r="U50" i="42" s="1"/>
  <c r="V50" i="42" s="1"/>
  <c r="T49" i="42"/>
  <c r="U49" i="42" s="1"/>
  <c r="V49" i="42" s="1"/>
  <c r="U48" i="42"/>
  <c r="V48" i="42" s="1"/>
  <c r="T48" i="42"/>
  <c r="T47" i="42"/>
  <c r="U47" i="42" s="1"/>
  <c r="V47" i="42" s="1"/>
  <c r="T46" i="42"/>
  <c r="U46" i="42" s="1"/>
  <c r="V46" i="42" s="1"/>
  <c r="T45" i="42"/>
  <c r="U45" i="42" s="1"/>
  <c r="V45" i="42" s="1"/>
  <c r="V43" i="42"/>
  <c r="U43" i="42"/>
  <c r="T43" i="42"/>
  <c r="T41" i="42"/>
  <c r="U41" i="42" s="1"/>
  <c r="V41" i="42" s="1"/>
  <c r="T40" i="42"/>
  <c r="U40" i="42" s="1"/>
  <c r="V40" i="42" s="1"/>
  <c r="T38" i="42"/>
  <c r="U38" i="42" s="1"/>
  <c r="V38" i="42" s="1"/>
  <c r="T37" i="42"/>
  <c r="U37" i="42" s="1"/>
  <c r="V37" i="42" s="1"/>
  <c r="T36" i="42"/>
  <c r="U36" i="42" s="1"/>
  <c r="V36" i="42" s="1"/>
  <c r="T35" i="42"/>
  <c r="U35" i="42" s="1"/>
  <c r="V35" i="42" s="1"/>
  <c r="T34" i="42"/>
  <c r="U34" i="42" s="1"/>
  <c r="V34" i="42" s="1"/>
  <c r="T33" i="42"/>
  <c r="U33" i="42" s="1"/>
  <c r="V33" i="42" s="1"/>
  <c r="T32" i="42"/>
  <c r="U32" i="42" s="1"/>
  <c r="V32" i="42" s="1"/>
  <c r="T31" i="42"/>
  <c r="U31" i="42" s="1"/>
  <c r="V31" i="42" s="1"/>
  <c r="T30" i="42"/>
  <c r="U30" i="42" s="1"/>
  <c r="V30" i="42" s="1"/>
  <c r="T29" i="42"/>
  <c r="U29" i="42" s="1"/>
  <c r="V29" i="42" s="1"/>
  <c r="T28" i="42"/>
  <c r="U28" i="42" s="1"/>
  <c r="V28" i="42" s="1"/>
  <c r="T26" i="42"/>
  <c r="U26" i="42" s="1"/>
  <c r="V26" i="42" s="1"/>
  <c r="AY25" i="42"/>
  <c r="V25" i="42"/>
  <c r="U25" i="42"/>
  <c r="T25" i="42"/>
  <c r="T24" i="42"/>
  <c r="U24" i="42" s="1"/>
  <c r="V24" i="42" s="1"/>
  <c r="U23" i="42"/>
  <c r="V23" i="42" s="1"/>
  <c r="T23" i="42"/>
  <c r="T22" i="42"/>
  <c r="U22" i="42" s="1"/>
  <c r="V22" i="42" s="1"/>
  <c r="V21" i="42"/>
  <c r="U21" i="42"/>
  <c r="T21" i="42"/>
  <c r="T20" i="42"/>
  <c r="U20" i="42" s="1"/>
  <c r="V20" i="42" s="1"/>
  <c r="A20" i="42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U19" i="42"/>
  <c r="V19" i="42" s="1"/>
  <c r="T19" i="42"/>
  <c r="T18" i="42"/>
  <c r="U18" i="42" s="1"/>
  <c r="V18" i="42" s="1"/>
  <c r="U17" i="42"/>
  <c r="V17" i="42" s="1"/>
  <c r="T17" i="42"/>
  <c r="T16" i="42"/>
  <c r="U16" i="42" s="1"/>
  <c r="V16" i="42" s="1"/>
  <c r="T15" i="42"/>
  <c r="U15" i="42" s="1"/>
  <c r="V15" i="42" s="1"/>
  <c r="T14" i="42"/>
  <c r="U14" i="42" s="1"/>
  <c r="V14" i="42" s="1"/>
  <c r="A14" i="42"/>
  <c r="A15" i="42" s="1"/>
  <c r="A16" i="42" s="1"/>
  <c r="A17" i="42" s="1"/>
  <c r="A18" i="42" s="1"/>
  <c r="U13" i="42"/>
  <c r="V13" i="42" s="1"/>
  <c r="T13" i="42"/>
  <c r="T12" i="42"/>
  <c r="U12" i="42" s="1"/>
  <c r="V12" i="42" s="1"/>
  <c r="T11" i="42"/>
  <c r="U11" i="42" s="1"/>
  <c r="V11" i="42" s="1"/>
  <c r="T10" i="42"/>
  <c r="U10" i="42" s="1"/>
  <c r="V10" i="42" s="1"/>
  <c r="T9" i="42"/>
  <c r="U9" i="42" s="1"/>
  <c r="V9" i="42" s="1"/>
  <c r="A9" i="42"/>
  <c r="A10" i="42" s="1"/>
  <c r="A11" i="42" s="1"/>
  <c r="T8" i="42"/>
  <c r="U8" i="42" s="1"/>
  <c r="V8" i="42" s="1"/>
  <c r="A8" i="42"/>
  <c r="T7" i="42"/>
  <c r="T58" i="42" s="1"/>
  <c r="T58" i="43" l="1"/>
  <c r="V58" i="43"/>
  <c r="U58" i="43"/>
  <c r="U7" i="42"/>
  <c r="K43" i="40"/>
  <c r="J43" i="40"/>
  <c r="C43" i="40"/>
  <c r="C28" i="40"/>
  <c r="C25" i="40"/>
  <c r="C12" i="40"/>
  <c r="C47" i="40"/>
  <c r="C41" i="40"/>
  <c r="C40" i="40"/>
  <c r="C34" i="40"/>
  <c r="C37" i="40"/>
  <c r="C8" i="40"/>
  <c r="U58" i="42" l="1"/>
  <c r="V7" i="42"/>
  <c r="V58" i="42" s="1"/>
  <c r="R58" i="41"/>
  <c r="Q58" i="41"/>
  <c r="P58" i="41"/>
  <c r="O58" i="41"/>
  <c r="N58" i="41"/>
  <c r="M58" i="41"/>
  <c r="K58" i="41"/>
  <c r="J58" i="41"/>
  <c r="I58" i="41"/>
  <c r="H58" i="41"/>
  <c r="G58" i="41"/>
  <c r="F58" i="41"/>
  <c r="C58" i="41"/>
  <c r="T54" i="41"/>
  <c r="U54" i="41" s="1"/>
  <c r="V54" i="41" s="1"/>
  <c r="T53" i="41"/>
  <c r="U53" i="41" s="1"/>
  <c r="V53" i="41" s="1"/>
  <c r="T52" i="41"/>
  <c r="U52" i="41" s="1"/>
  <c r="V52" i="41" s="1"/>
  <c r="T51" i="41"/>
  <c r="U51" i="41" s="1"/>
  <c r="V51" i="41" s="1"/>
  <c r="T50" i="41"/>
  <c r="U50" i="41" s="1"/>
  <c r="V50" i="41" s="1"/>
  <c r="T49" i="41"/>
  <c r="U49" i="41" s="1"/>
  <c r="V49" i="41" s="1"/>
  <c r="T48" i="41"/>
  <c r="U48" i="41" s="1"/>
  <c r="V48" i="41" s="1"/>
  <c r="T47" i="41"/>
  <c r="U47" i="41" s="1"/>
  <c r="V47" i="41" s="1"/>
  <c r="T46" i="41"/>
  <c r="U46" i="41" s="1"/>
  <c r="V46" i="41" s="1"/>
  <c r="T45" i="41"/>
  <c r="U45" i="41" s="1"/>
  <c r="V45" i="41" s="1"/>
  <c r="T43" i="41"/>
  <c r="U43" i="41" s="1"/>
  <c r="V43" i="41" s="1"/>
  <c r="T41" i="41"/>
  <c r="U41" i="41" s="1"/>
  <c r="V41" i="41" s="1"/>
  <c r="T40" i="41"/>
  <c r="U40" i="41" s="1"/>
  <c r="V40" i="41" s="1"/>
  <c r="T38" i="41"/>
  <c r="U38" i="41" s="1"/>
  <c r="V38" i="41" s="1"/>
  <c r="U37" i="41"/>
  <c r="V37" i="41" s="1"/>
  <c r="T37" i="41"/>
  <c r="T36" i="41"/>
  <c r="U36" i="41" s="1"/>
  <c r="V36" i="41" s="1"/>
  <c r="U35" i="41"/>
  <c r="V35" i="41" s="1"/>
  <c r="T35" i="41"/>
  <c r="T34" i="41"/>
  <c r="U34" i="41" s="1"/>
  <c r="V34" i="41" s="1"/>
  <c r="U33" i="41"/>
  <c r="V33" i="41" s="1"/>
  <c r="T33" i="41"/>
  <c r="T32" i="41"/>
  <c r="U32" i="41" s="1"/>
  <c r="V32" i="41" s="1"/>
  <c r="U31" i="41"/>
  <c r="V31" i="41" s="1"/>
  <c r="T31" i="41"/>
  <c r="T30" i="41"/>
  <c r="U30" i="41" s="1"/>
  <c r="V30" i="41" s="1"/>
  <c r="U29" i="41"/>
  <c r="V29" i="41" s="1"/>
  <c r="T29" i="41"/>
  <c r="T28" i="41"/>
  <c r="U28" i="41" s="1"/>
  <c r="V28" i="41" s="1"/>
  <c r="U26" i="41"/>
  <c r="V26" i="41" s="1"/>
  <c r="T26" i="41"/>
  <c r="AY25" i="41"/>
  <c r="T25" i="41"/>
  <c r="U25" i="41" s="1"/>
  <c r="V25" i="41" s="1"/>
  <c r="T24" i="41"/>
  <c r="U24" i="41" s="1"/>
  <c r="V24" i="41" s="1"/>
  <c r="T23" i="41"/>
  <c r="U23" i="41" s="1"/>
  <c r="V23" i="41" s="1"/>
  <c r="A23" i="4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U22" i="41"/>
  <c r="V22" i="41" s="1"/>
  <c r="T22" i="41"/>
  <c r="A22" i="41"/>
  <c r="U21" i="41"/>
  <c r="V21" i="41" s="1"/>
  <c r="T21" i="41"/>
  <c r="A21" i="41"/>
  <c r="T20" i="41"/>
  <c r="U20" i="41" s="1"/>
  <c r="V20" i="41" s="1"/>
  <c r="A20" i="41"/>
  <c r="U19" i="41"/>
  <c r="V19" i="41" s="1"/>
  <c r="T19" i="41"/>
  <c r="T18" i="41"/>
  <c r="U18" i="41" s="1"/>
  <c r="V18" i="41" s="1"/>
  <c r="T17" i="41"/>
  <c r="U17" i="41" s="1"/>
  <c r="V17" i="41" s="1"/>
  <c r="T16" i="41"/>
  <c r="U16" i="41" s="1"/>
  <c r="V16" i="41" s="1"/>
  <c r="T15" i="41"/>
  <c r="U15" i="41" s="1"/>
  <c r="V15" i="41" s="1"/>
  <c r="T14" i="41"/>
  <c r="U14" i="41" s="1"/>
  <c r="V14" i="41" s="1"/>
  <c r="A14" i="41"/>
  <c r="A15" i="41" s="1"/>
  <c r="A16" i="41" s="1"/>
  <c r="A17" i="41" s="1"/>
  <c r="A18" i="41" s="1"/>
  <c r="T13" i="41"/>
  <c r="U13" i="41" s="1"/>
  <c r="V13" i="41" s="1"/>
  <c r="T12" i="41"/>
  <c r="U12" i="41" s="1"/>
  <c r="V12" i="41" s="1"/>
  <c r="T11" i="41"/>
  <c r="U11" i="41" s="1"/>
  <c r="V11" i="41" s="1"/>
  <c r="T10" i="41"/>
  <c r="U10" i="41" s="1"/>
  <c r="V10" i="41" s="1"/>
  <c r="T9" i="41"/>
  <c r="U9" i="41" s="1"/>
  <c r="V9" i="41" s="1"/>
  <c r="A9" i="41"/>
  <c r="A10" i="41" s="1"/>
  <c r="A11" i="41" s="1"/>
  <c r="T8" i="41"/>
  <c r="U8" i="41" s="1"/>
  <c r="V8" i="41" s="1"/>
  <c r="A8" i="41"/>
  <c r="T7" i="41"/>
  <c r="T58" i="41" l="1"/>
  <c r="U7" i="41"/>
  <c r="U58" i="41" s="1"/>
  <c r="C47" i="39"/>
  <c r="K43" i="39"/>
  <c r="J43" i="39"/>
  <c r="C43" i="39"/>
  <c r="C41" i="39"/>
  <c r="C40" i="39"/>
  <c r="C37" i="39"/>
  <c r="C34" i="39"/>
  <c r="C28" i="39"/>
  <c r="C25" i="39"/>
  <c r="C12" i="39"/>
  <c r="C8" i="39"/>
  <c r="R58" i="40"/>
  <c r="Q58" i="40"/>
  <c r="P58" i="40"/>
  <c r="O58" i="40"/>
  <c r="N58" i="40"/>
  <c r="M58" i="40"/>
  <c r="K58" i="40"/>
  <c r="J58" i="40"/>
  <c r="I58" i="40"/>
  <c r="H58" i="40"/>
  <c r="G58" i="40"/>
  <c r="F58" i="40"/>
  <c r="C58" i="40"/>
  <c r="T54" i="40"/>
  <c r="U54" i="40" s="1"/>
  <c r="V54" i="40" s="1"/>
  <c r="T53" i="40"/>
  <c r="U53" i="40" s="1"/>
  <c r="V53" i="40" s="1"/>
  <c r="T52" i="40"/>
  <c r="U52" i="40" s="1"/>
  <c r="V52" i="40" s="1"/>
  <c r="T51" i="40"/>
  <c r="U51" i="40" s="1"/>
  <c r="V51" i="40" s="1"/>
  <c r="T50" i="40"/>
  <c r="U50" i="40" s="1"/>
  <c r="V50" i="40" s="1"/>
  <c r="T49" i="40"/>
  <c r="U49" i="40" s="1"/>
  <c r="V49" i="40" s="1"/>
  <c r="T48" i="40"/>
  <c r="U48" i="40" s="1"/>
  <c r="V48" i="40" s="1"/>
  <c r="T47" i="40"/>
  <c r="U47" i="40" s="1"/>
  <c r="V47" i="40" s="1"/>
  <c r="T46" i="40"/>
  <c r="U46" i="40" s="1"/>
  <c r="V46" i="40" s="1"/>
  <c r="T45" i="40"/>
  <c r="U45" i="40" s="1"/>
  <c r="V45" i="40" s="1"/>
  <c r="T43" i="40"/>
  <c r="U43" i="40" s="1"/>
  <c r="V43" i="40" s="1"/>
  <c r="T41" i="40"/>
  <c r="U41" i="40" s="1"/>
  <c r="V41" i="40" s="1"/>
  <c r="T40" i="40"/>
  <c r="U40" i="40" s="1"/>
  <c r="V40" i="40" s="1"/>
  <c r="T38" i="40"/>
  <c r="U38" i="40" s="1"/>
  <c r="V38" i="40" s="1"/>
  <c r="T37" i="40"/>
  <c r="U37" i="40" s="1"/>
  <c r="V37" i="40" s="1"/>
  <c r="T36" i="40"/>
  <c r="U36" i="40" s="1"/>
  <c r="V36" i="40" s="1"/>
  <c r="V35" i="40"/>
  <c r="U35" i="40"/>
  <c r="T35" i="40"/>
  <c r="T34" i="40"/>
  <c r="U34" i="40" s="1"/>
  <c r="V34" i="40" s="1"/>
  <c r="U33" i="40"/>
  <c r="V33" i="40" s="1"/>
  <c r="T33" i="40"/>
  <c r="T32" i="40"/>
  <c r="U32" i="40" s="1"/>
  <c r="V32" i="40" s="1"/>
  <c r="T31" i="40"/>
  <c r="U31" i="40" s="1"/>
  <c r="V31" i="40" s="1"/>
  <c r="T30" i="40"/>
  <c r="U30" i="40" s="1"/>
  <c r="V30" i="40" s="1"/>
  <c r="U29" i="40"/>
  <c r="V29" i="40" s="1"/>
  <c r="T29" i="40"/>
  <c r="T28" i="40"/>
  <c r="U28" i="40" s="1"/>
  <c r="V28" i="40" s="1"/>
  <c r="T26" i="40"/>
  <c r="U26" i="40" s="1"/>
  <c r="V26" i="40" s="1"/>
  <c r="AY25" i="40"/>
  <c r="T25" i="40"/>
  <c r="U25" i="40" s="1"/>
  <c r="V25" i="40" s="1"/>
  <c r="T24" i="40"/>
  <c r="U24" i="40" s="1"/>
  <c r="V24" i="40" s="1"/>
  <c r="T23" i="40"/>
  <c r="U23" i="40" s="1"/>
  <c r="V23" i="40" s="1"/>
  <c r="T22" i="40"/>
  <c r="U22" i="40" s="1"/>
  <c r="V22" i="40" s="1"/>
  <c r="T21" i="40"/>
  <c r="U21" i="40" s="1"/>
  <c r="V21" i="40" s="1"/>
  <c r="A21" i="40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T20" i="40"/>
  <c r="U20" i="40" s="1"/>
  <c r="V20" i="40" s="1"/>
  <c r="A20" i="40"/>
  <c r="T19" i="40"/>
  <c r="U19" i="40" s="1"/>
  <c r="V19" i="40" s="1"/>
  <c r="T18" i="40"/>
  <c r="U18" i="40" s="1"/>
  <c r="V18" i="40" s="1"/>
  <c r="T17" i="40"/>
  <c r="U17" i="40" s="1"/>
  <c r="V17" i="40" s="1"/>
  <c r="T16" i="40"/>
  <c r="U16" i="40" s="1"/>
  <c r="V16" i="40" s="1"/>
  <c r="T15" i="40"/>
  <c r="U15" i="40" s="1"/>
  <c r="V15" i="40" s="1"/>
  <c r="A15" i="40"/>
  <c r="A16" i="40" s="1"/>
  <c r="A17" i="40" s="1"/>
  <c r="A18" i="40" s="1"/>
  <c r="T14" i="40"/>
  <c r="U14" i="40" s="1"/>
  <c r="V14" i="40" s="1"/>
  <c r="A14" i="40"/>
  <c r="T13" i="40"/>
  <c r="U13" i="40" s="1"/>
  <c r="V13" i="40" s="1"/>
  <c r="T12" i="40"/>
  <c r="U12" i="40" s="1"/>
  <c r="V12" i="40" s="1"/>
  <c r="T11" i="40"/>
  <c r="U11" i="40" s="1"/>
  <c r="V11" i="40" s="1"/>
  <c r="U10" i="40"/>
  <c r="V10" i="40" s="1"/>
  <c r="T10" i="40"/>
  <c r="T9" i="40"/>
  <c r="U9" i="40" s="1"/>
  <c r="V9" i="40" s="1"/>
  <c r="A9" i="40"/>
  <c r="A10" i="40" s="1"/>
  <c r="A11" i="40" s="1"/>
  <c r="T8" i="40"/>
  <c r="U8" i="40" s="1"/>
  <c r="V8" i="40" s="1"/>
  <c r="A8" i="40"/>
  <c r="T7" i="40"/>
  <c r="C47" i="38"/>
  <c r="K43" i="38"/>
  <c r="J43" i="38"/>
  <c r="C43" i="38"/>
  <c r="C41" i="38"/>
  <c r="C40" i="38"/>
  <c r="C37" i="38"/>
  <c r="C34" i="38"/>
  <c r="C28" i="38"/>
  <c r="C25" i="38"/>
  <c r="C12" i="38"/>
  <c r="C8" i="38"/>
  <c r="V7" i="41" l="1"/>
  <c r="V58" i="41" s="1"/>
  <c r="T58" i="40"/>
  <c r="U7" i="40"/>
  <c r="C37" i="37"/>
  <c r="C7" i="37"/>
  <c r="C12" i="37"/>
  <c r="C47" i="37"/>
  <c r="K43" i="37"/>
  <c r="J43" i="37"/>
  <c r="C43" i="37"/>
  <c r="C41" i="37"/>
  <c r="C40" i="37"/>
  <c r="C34" i="37"/>
  <c r="C28" i="37"/>
  <c r="C25" i="37"/>
  <c r="C8" i="37"/>
  <c r="R58" i="39"/>
  <c r="Q58" i="39"/>
  <c r="P58" i="39"/>
  <c r="O58" i="39"/>
  <c r="N58" i="39"/>
  <c r="M58" i="39"/>
  <c r="K58" i="39"/>
  <c r="J58" i="39"/>
  <c r="I58" i="39"/>
  <c r="H58" i="39"/>
  <c r="G58" i="39"/>
  <c r="F58" i="39"/>
  <c r="C58" i="39"/>
  <c r="U54" i="39"/>
  <c r="V54" i="39" s="1"/>
  <c r="T54" i="39"/>
  <c r="T53" i="39"/>
  <c r="U53" i="39" s="1"/>
  <c r="V53" i="39" s="1"/>
  <c r="T52" i="39"/>
  <c r="U52" i="39" s="1"/>
  <c r="V52" i="39" s="1"/>
  <c r="T51" i="39"/>
  <c r="U51" i="39" s="1"/>
  <c r="V51" i="39" s="1"/>
  <c r="U50" i="39"/>
  <c r="V50" i="39" s="1"/>
  <c r="T50" i="39"/>
  <c r="T49" i="39"/>
  <c r="U49" i="39" s="1"/>
  <c r="V49" i="39" s="1"/>
  <c r="T48" i="39"/>
  <c r="U48" i="39" s="1"/>
  <c r="V48" i="39" s="1"/>
  <c r="T47" i="39"/>
  <c r="U47" i="39" s="1"/>
  <c r="V47" i="39" s="1"/>
  <c r="U46" i="39"/>
  <c r="V46" i="39" s="1"/>
  <c r="T46" i="39"/>
  <c r="T45" i="39"/>
  <c r="U45" i="39" s="1"/>
  <c r="V45" i="39" s="1"/>
  <c r="T43" i="39"/>
  <c r="U43" i="39" s="1"/>
  <c r="V43" i="39" s="1"/>
  <c r="U41" i="39"/>
  <c r="V41" i="39" s="1"/>
  <c r="T41" i="39"/>
  <c r="T40" i="39"/>
  <c r="U40" i="39" s="1"/>
  <c r="V40" i="39" s="1"/>
  <c r="T38" i="39"/>
  <c r="U38" i="39" s="1"/>
  <c r="V38" i="39" s="1"/>
  <c r="T37" i="39"/>
  <c r="U37" i="39" s="1"/>
  <c r="V37" i="39" s="1"/>
  <c r="T36" i="39"/>
  <c r="U36" i="39" s="1"/>
  <c r="V36" i="39" s="1"/>
  <c r="T35" i="39"/>
  <c r="U35" i="39" s="1"/>
  <c r="V35" i="39" s="1"/>
  <c r="T34" i="39"/>
  <c r="U34" i="39" s="1"/>
  <c r="V34" i="39" s="1"/>
  <c r="U33" i="39"/>
  <c r="V33" i="39" s="1"/>
  <c r="T33" i="39"/>
  <c r="T32" i="39"/>
  <c r="U32" i="39" s="1"/>
  <c r="V32" i="39" s="1"/>
  <c r="T31" i="39"/>
  <c r="U31" i="39" s="1"/>
  <c r="V31" i="39" s="1"/>
  <c r="T30" i="39"/>
  <c r="U30" i="39" s="1"/>
  <c r="V30" i="39" s="1"/>
  <c r="U29" i="39"/>
  <c r="V29" i="39" s="1"/>
  <c r="T29" i="39"/>
  <c r="T28" i="39"/>
  <c r="U28" i="39" s="1"/>
  <c r="V28" i="39" s="1"/>
  <c r="T26" i="39"/>
  <c r="U26" i="39" s="1"/>
  <c r="V26" i="39" s="1"/>
  <c r="AY25" i="39"/>
  <c r="T25" i="39"/>
  <c r="U25" i="39" s="1"/>
  <c r="V25" i="39" s="1"/>
  <c r="T24" i="39"/>
  <c r="U24" i="39" s="1"/>
  <c r="V24" i="39" s="1"/>
  <c r="T23" i="39"/>
  <c r="U23" i="39" s="1"/>
  <c r="V23" i="39" s="1"/>
  <c r="U22" i="39"/>
  <c r="V22" i="39" s="1"/>
  <c r="T22" i="39"/>
  <c r="T21" i="39"/>
  <c r="U21" i="39" s="1"/>
  <c r="V21" i="39" s="1"/>
  <c r="A21" i="39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T20" i="39"/>
  <c r="U20" i="39" s="1"/>
  <c r="V20" i="39" s="1"/>
  <c r="A20" i="39"/>
  <c r="T19" i="39"/>
  <c r="U19" i="39" s="1"/>
  <c r="V19" i="39" s="1"/>
  <c r="T18" i="39"/>
  <c r="U18" i="39" s="1"/>
  <c r="V18" i="39" s="1"/>
  <c r="T17" i="39"/>
  <c r="U17" i="39" s="1"/>
  <c r="V17" i="39" s="1"/>
  <c r="T16" i="39"/>
  <c r="U16" i="39" s="1"/>
  <c r="V16" i="39" s="1"/>
  <c r="U15" i="39"/>
  <c r="V15" i="39" s="1"/>
  <c r="T15" i="39"/>
  <c r="T14" i="39"/>
  <c r="U14" i="39" s="1"/>
  <c r="V14" i="39" s="1"/>
  <c r="A14" i="39"/>
  <c r="A15" i="39" s="1"/>
  <c r="A16" i="39" s="1"/>
  <c r="A17" i="39" s="1"/>
  <c r="A18" i="39" s="1"/>
  <c r="T13" i="39"/>
  <c r="U13" i="39" s="1"/>
  <c r="V13" i="39" s="1"/>
  <c r="T12" i="39"/>
  <c r="U12" i="39" s="1"/>
  <c r="V12" i="39" s="1"/>
  <c r="T11" i="39"/>
  <c r="U11" i="39" s="1"/>
  <c r="V11" i="39" s="1"/>
  <c r="T10" i="39"/>
  <c r="U10" i="39" s="1"/>
  <c r="V10" i="39" s="1"/>
  <c r="T9" i="39"/>
  <c r="U9" i="39" s="1"/>
  <c r="V9" i="39" s="1"/>
  <c r="T8" i="39"/>
  <c r="A8" i="39"/>
  <c r="A9" i="39" s="1"/>
  <c r="A10" i="39" s="1"/>
  <c r="A11" i="39" s="1"/>
  <c r="T7" i="39"/>
  <c r="U7" i="39" s="1"/>
  <c r="R58" i="38"/>
  <c r="Q58" i="38"/>
  <c r="P58" i="38"/>
  <c r="O58" i="38"/>
  <c r="N58" i="38"/>
  <c r="M58" i="38"/>
  <c r="K58" i="38"/>
  <c r="J58" i="38"/>
  <c r="I58" i="38"/>
  <c r="H58" i="38"/>
  <c r="G58" i="38"/>
  <c r="F58" i="38"/>
  <c r="C58" i="38"/>
  <c r="U54" i="38"/>
  <c r="V54" i="38" s="1"/>
  <c r="T54" i="38"/>
  <c r="T53" i="38"/>
  <c r="U53" i="38" s="1"/>
  <c r="V53" i="38" s="1"/>
  <c r="U52" i="38"/>
  <c r="V52" i="38" s="1"/>
  <c r="T52" i="38"/>
  <c r="U51" i="38"/>
  <c r="V51" i="38" s="1"/>
  <c r="T51" i="38"/>
  <c r="U50" i="38"/>
  <c r="V50" i="38" s="1"/>
  <c r="T50" i="38"/>
  <c r="T49" i="38"/>
  <c r="U49" i="38" s="1"/>
  <c r="V49" i="38" s="1"/>
  <c r="U48" i="38"/>
  <c r="V48" i="38" s="1"/>
  <c r="T48" i="38"/>
  <c r="T47" i="38"/>
  <c r="U47" i="38" s="1"/>
  <c r="V47" i="38" s="1"/>
  <c r="U46" i="38"/>
  <c r="V46" i="38" s="1"/>
  <c r="T46" i="38"/>
  <c r="T45" i="38"/>
  <c r="U45" i="38" s="1"/>
  <c r="V45" i="38" s="1"/>
  <c r="T43" i="38"/>
  <c r="U43" i="38" s="1"/>
  <c r="V43" i="38" s="1"/>
  <c r="T41" i="38"/>
  <c r="U41" i="38" s="1"/>
  <c r="V41" i="38" s="1"/>
  <c r="T40" i="38"/>
  <c r="U40" i="38" s="1"/>
  <c r="V40" i="38" s="1"/>
  <c r="T38" i="38"/>
  <c r="U38" i="38" s="1"/>
  <c r="V38" i="38" s="1"/>
  <c r="T37" i="38"/>
  <c r="U37" i="38" s="1"/>
  <c r="V37" i="38" s="1"/>
  <c r="T36" i="38"/>
  <c r="U36" i="38" s="1"/>
  <c r="V36" i="38" s="1"/>
  <c r="T35" i="38"/>
  <c r="U35" i="38" s="1"/>
  <c r="V35" i="38" s="1"/>
  <c r="T34" i="38"/>
  <c r="U34" i="38" s="1"/>
  <c r="V34" i="38" s="1"/>
  <c r="T33" i="38"/>
  <c r="U33" i="38" s="1"/>
  <c r="V33" i="38" s="1"/>
  <c r="T32" i="38"/>
  <c r="U32" i="38" s="1"/>
  <c r="V32" i="38" s="1"/>
  <c r="T31" i="38"/>
  <c r="U31" i="38" s="1"/>
  <c r="V31" i="38" s="1"/>
  <c r="T30" i="38"/>
  <c r="U30" i="38" s="1"/>
  <c r="V30" i="38" s="1"/>
  <c r="T29" i="38"/>
  <c r="U29" i="38" s="1"/>
  <c r="V29" i="38" s="1"/>
  <c r="T28" i="38"/>
  <c r="U28" i="38" s="1"/>
  <c r="V28" i="38" s="1"/>
  <c r="T26" i="38"/>
  <c r="U26" i="38" s="1"/>
  <c r="V26" i="38" s="1"/>
  <c r="AY25" i="38"/>
  <c r="T25" i="38"/>
  <c r="U25" i="38" s="1"/>
  <c r="V25" i="38" s="1"/>
  <c r="T24" i="38"/>
  <c r="U24" i="38" s="1"/>
  <c r="V24" i="38" s="1"/>
  <c r="T23" i="38"/>
  <c r="U23" i="38" s="1"/>
  <c r="V23" i="38" s="1"/>
  <c r="T22" i="38"/>
  <c r="U22" i="38" s="1"/>
  <c r="V22" i="38" s="1"/>
  <c r="T21" i="38"/>
  <c r="U21" i="38" s="1"/>
  <c r="V21" i="38" s="1"/>
  <c r="A21" i="38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T20" i="38"/>
  <c r="U20" i="38" s="1"/>
  <c r="V20" i="38" s="1"/>
  <c r="A20" i="38"/>
  <c r="T19" i="38"/>
  <c r="U19" i="38" s="1"/>
  <c r="V19" i="38" s="1"/>
  <c r="T18" i="38"/>
  <c r="U18" i="38" s="1"/>
  <c r="V18" i="38" s="1"/>
  <c r="U17" i="38"/>
  <c r="V17" i="38" s="1"/>
  <c r="T17" i="38"/>
  <c r="U16" i="38"/>
  <c r="V16" i="38" s="1"/>
  <c r="T16" i="38"/>
  <c r="U15" i="38"/>
  <c r="V15" i="38" s="1"/>
  <c r="T15" i="38"/>
  <c r="T14" i="38"/>
  <c r="U14" i="38" s="1"/>
  <c r="V14" i="38" s="1"/>
  <c r="A14" i="38"/>
  <c r="A15" i="38" s="1"/>
  <c r="A16" i="38" s="1"/>
  <c r="A17" i="38" s="1"/>
  <c r="A18" i="38" s="1"/>
  <c r="U13" i="38"/>
  <c r="V13" i="38" s="1"/>
  <c r="T13" i="38"/>
  <c r="T12" i="38"/>
  <c r="U12" i="38" s="1"/>
  <c r="V12" i="38" s="1"/>
  <c r="T11" i="38"/>
  <c r="U11" i="38" s="1"/>
  <c r="V11" i="38" s="1"/>
  <c r="T10" i="38"/>
  <c r="U10" i="38" s="1"/>
  <c r="V10" i="38" s="1"/>
  <c r="T9" i="38"/>
  <c r="U9" i="38" s="1"/>
  <c r="V9" i="38" s="1"/>
  <c r="T8" i="38"/>
  <c r="U8" i="38" s="1"/>
  <c r="V8" i="38" s="1"/>
  <c r="A8" i="38"/>
  <c r="A9" i="38" s="1"/>
  <c r="A10" i="38" s="1"/>
  <c r="A11" i="38" s="1"/>
  <c r="T7" i="38"/>
  <c r="T58" i="39" l="1"/>
  <c r="U58" i="40"/>
  <c r="V7" i="40"/>
  <c r="V58" i="40" s="1"/>
  <c r="T58" i="38"/>
  <c r="U8" i="39"/>
  <c r="V8" i="39" s="1"/>
  <c r="V7" i="39"/>
  <c r="U7" i="38"/>
  <c r="U41" i="35"/>
  <c r="U43" i="35"/>
  <c r="C43" i="35"/>
  <c r="C47" i="35"/>
  <c r="K43" i="35"/>
  <c r="J43" i="35"/>
  <c r="C41" i="35"/>
  <c r="C40" i="35"/>
  <c r="C37" i="35"/>
  <c r="C34" i="35"/>
  <c r="C28" i="35"/>
  <c r="C25" i="35"/>
  <c r="C12" i="35"/>
  <c r="C8" i="35"/>
  <c r="C7" i="35"/>
  <c r="U58" i="39" l="1"/>
  <c r="V58" i="39"/>
  <c r="U58" i="38"/>
  <c r="V7" i="38"/>
  <c r="V58" i="38" s="1"/>
  <c r="R58" i="37"/>
  <c r="Q58" i="37"/>
  <c r="P58" i="37"/>
  <c r="O58" i="37"/>
  <c r="N58" i="37"/>
  <c r="M58" i="37"/>
  <c r="K58" i="37"/>
  <c r="J58" i="37"/>
  <c r="I58" i="37"/>
  <c r="H58" i="37"/>
  <c r="G58" i="37"/>
  <c r="F58" i="37"/>
  <c r="C58" i="37"/>
  <c r="T54" i="37"/>
  <c r="U54" i="37" s="1"/>
  <c r="V54" i="37" s="1"/>
  <c r="T53" i="37"/>
  <c r="U53" i="37" s="1"/>
  <c r="V53" i="37" s="1"/>
  <c r="T52" i="37"/>
  <c r="U52" i="37" s="1"/>
  <c r="V52" i="37" s="1"/>
  <c r="T51" i="37"/>
  <c r="U51" i="37" s="1"/>
  <c r="V51" i="37" s="1"/>
  <c r="T50" i="37"/>
  <c r="U50" i="37" s="1"/>
  <c r="V50" i="37" s="1"/>
  <c r="T49" i="37"/>
  <c r="U49" i="37" s="1"/>
  <c r="V49" i="37" s="1"/>
  <c r="T48" i="37"/>
  <c r="U48" i="37" s="1"/>
  <c r="V48" i="37" s="1"/>
  <c r="T47" i="37"/>
  <c r="U47" i="37" s="1"/>
  <c r="V47" i="37" s="1"/>
  <c r="T46" i="37"/>
  <c r="U46" i="37" s="1"/>
  <c r="V46" i="37" s="1"/>
  <c r="T45" i="37"/>
  <c r="U45" i="37" s="1"/>
  <c r="V45" i="37" s="1"/>
  <c r="T43" i="37"/>
  <c r="U43" i="37" s="1"/>
  <c r="V43" i="37" s="1"/>
  <c r="T41" i="37"/>
  <c r="U41" i="37" s="1"/>
  <c r="V41" i="37" s="1"/>
  <c r="T40" i="37"/>
  <c r="U40" i="37" s="1"/>
  <c r="V40" i="37" s="1"/>
  <c r="U38" i="37"/>
  <c r="V38" i="37" s="1"/>
  <c r="T38" i="37"/>
  <c r="T37" i="37"/>
  <c r="U37" i="37" s="1"/>
  <c r="V37" i="37" s="1"/>
  <c r="U36" i="37"/>
  <c r="V36" i="37" s="1"/>
  <c r="T36" i="37"/>
  <c r="T35" i="37"/>
  <c r="U35" i="37" s="1"/>
  <c r="V35" i="37" s="1"/>
  <c r="T34" i="37"/>
  <c r="U34" i="37" s="1"/>
  <c r="V34" i="37" s="1"/>
  <c r="U33" i="37"/>
  <c r="V33" i="37" s="1"/>
  <c r="T33" i="37"/>
  <c r="U32" i="37"/>
  <c r="V32" i="37" s="1"/>
  <c r="T32" i="37"/>
  <c r="T31" i="37"/>
  <c r="U31" i="37" s="1"/>
  <c r="V31" i="37" s="1"/>
  <c r="T30" i="37"/>
  <c r="U30" i="37" s="1"/>
  <c r="V30" i="37" s="1"/>
  <c r="U29" i="37"/>
  <c r="V29" i="37" s="1"/>
  <c r="T29" i="37"/>
  <c r="U28" i="37"/>
  <c r="V28" i="37" s="1"/>
  <c r="T28" i="37"/>
  <c r="T26" i="37"/>
  <c r="U26" i="37" s="1"/>
  <c r="V26" i="37" s="1"/>
  <c r="AY25" i="37"/>
  <c r="T25" i="37"/>
  <c r="U25" i="37" s="1"/>
  <c r="V25" i="37" s="1"/>
  <c r="T24" i="37"/>
  <c r="U24" i="37" s="1"/>
  <c r="V24" i="37" s="1"/>
  <c r="U23" i="37"/>
  <c r="V23" i="37" s="1"/>
  <c r="T23" i="37"/>
  <c r="U22" i="37"/>
  <c r="V22" i="37" s="1"/>
  <c r="T22" i="37"/>
  <c r="T21" i="37"/>
  <c r="U21" i="37" s="1"/>
  <c r="V21" i="37" s="1"/>
  <c r="A21" i="37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T20" i="37"/>
  <c r="U20" i="37" s="1"/>
  <c r="V20" i="37" s="1"/>
  <c r="A20" i="37"/>
  <c r="U19" i="37"/>
  <c r="V19" i="37" s="1"/>
  <c r="T19" i="37"/>
  <c r="T18" i="37"/>
  <c r="U18" i="37" s="1"/>
  <c r="V18" i="37" s="1"/>
  <c r="T17" i="37"/>
  <c r="U17" i="37" s="1"/>
  <c r="V17" i="37" s="1"/>
  <c r="T16" i="37"/>
  <c r="U16" i="37" s="1"/>
  <c r="V16" i="37" s="1"/>
  <c r="T15" i="37"/>
  <c r="U15" i="37" s="1"/>
  <c r="V15" i="37" s="1"/>
  <c r="T14" i="37"/>
  <c r="U14" i="37" s="1"/>
  <c r="V14" i="37" s="1"/>
  <c r="A14" i="37"/>
  <c r="A15" i="37" s="1"/>
  <c r="A16" i="37" s="1"/>
  <c r="A17" i="37" s="1"/>
  <c r="A18" i="37" s="1"/>
  <c r="T13" i="37"/>
  <c r="U13" i="37" s="1"/>
  <c r="V13" i="37" s="1"/>
  <c r="T12" i="37"/>
  <c r="U12" i="37" s="1"/>
  <c r="V12" i="37" s="1"/>
  <c r="T11" i="37"/>
  <c r="U11" i="37" s="1"/>
  <c r="V11" i="37" s="1"/>
  <c r="T10" i="37"/>
  <c r="U10" i="37" s="1"/>
  <c r="V10" i="37" s="1"/>
  <c r="T9" i="37"/>
  <c r="U9" i="37" s="1"/>
  <c r="V9" i="37" s="1"/>
  <c r="A9" i="37"/>
  <c r="A10" i="37" s="1"/>
  <c r="A11" i="37" s="1"/>
  <c r="T8" i="37"/>
  <c r="U8" i="37" s="1"/>
  <c r="V8" i="37" s="1"/>
  <c r="A8" i="37"/>
  <c r="T7" i="37"/>
  <c r="U7" i="37" s="1"/>
  <c r="C47" i="36"/>
  <c r="K43" i="36"/>
  <c r="J43" i="36"/>
  <c r="T43" i="36" s="1"/>
  <c r="U43" i="36" s="1"/>
  <c r="V43" i="36" s="1"/>
  <c r="C43" i="36"/>
  <c r="C41" i="36"/>
  <c r="C40" i="36"/>
  <c r="C37" i="36"/>
  <c r="C34" i="36"/>
  <c r="C30" i="36"/>
  <c r="C28" i="36"/>
  <c r="U28" i="36" s="1"/>
  <c r="V28" i="36" s="1"/>
  <c r="C25" i="36"/>
  <c r="C12" i="36"/>
  <c r="U12" i="36" s="1"/>
  <c r="V12" i="36" s="1"/>
  <c r="C8" i="36"/>
  <c r="T7" i="36"/>
  <c r="C7" i="36"/>
  <c r="R58" i="36"/>
  <c r="Q58" i="36"/>
  <c r="P58" i="36"/>
  <c r="O58" i="36"/>
  <c r="N58" i="36"/>
  <c r="M58" i="36"/>
  <c r="K58" i="36"/>
  <c r="I58" i="36"/>
  <c r="H58" i="36"/>
  <c r="G58" i="36"/>
  <c r="F58" i="36"/>
  <c r="T54" i="36"/>
  <c r="U54" i="36" s="1"/>
  <c r="V54" i="36" s="1"/>
  <c r="T53" i="36"/>
  <c r="U53" i="36" s="1"/>
  <c r="V53" i="36" s="1"/>
  <c r="T52" i="36"/>
  <c r="U52" i="36" s="1"/>
  <c r="V52" i="36" s="1"/>
  <c r="T51" i="36"/>
  <c r="U51" i="36" s="1"/>
  <c r="V51" i="36" s="1"/>
  <c r="T50" i="36"/>
  <c r="U50" i="36" s="1"/>
  <c r="V50" i="36" s="1"/>
  <c r="T49" i="36"/>
  <c r="U49" i="36" s="1"/>
  <c r="V49" i="36" s="1"/>
  <c r="T48" i="36"/>
  <c r="U48" i="36" s="1"/>
  <c r="V48" i="36" s="1"/>
  <c r="T47" i="36"/>
  <c r="U47" i="36" s="1"/>
  <c r="V47" i="36" s="1"/>
  <c r="T46" i="36"/>
  <c r="U46" i="36" s="1"/>
  <c r="V46" i="36" s="1"/>
  <c r="T45" i="36"/>
  <c r="U45" i="36" s="1"/>
  <c r="V45" i="36" s="1"/>
  <c r="T41" i="36"/>
  <c r="T40" i="36"/>
  <c r="U38" i="36"/>
  <c r="V38" i="36" s="1"/>
  <c r="T38" i="36"/>
  <c r="T37" i="36"/>
  <c r="U36" i="36"/>
  <c r="V36" i="36" s="1"/>
  <c r="T36" i="36"/>
  <c r="U35" i="36"/>
  <c r="V35" i="36" s="1"/>
  <c r="T35" i="36"/>
  <c r="T34" i="36"/>
  <c r="U33" i="36"/>
  <c r="V33" i="36" s="1"/>
  <c r="T33" i="36"/>
  <c r="U32" i="36"/>
  <c r="V32" i="36" s="1"/>
  <c r="T32" i="36"/>
  <c r="U31" i="36"/>
  <c r="V31" i="36" s="1"/>
  <c r="T31" i="36"/>
  <c r="T30" i="36"/>
  <c r="U29" i="36"/>
  <c r="V29" i="36" s="1"/>
  <c r="T29" i="36"/>
  <c r="T28" i="36"/>
  <c r="T26" i="36"/>
  <c r="U26" i="36" s="1"/>
  <c r="V26" i="36" s="1"/>
  <c r="AY25" i="36"/>
  <c r="T25" i="36"/>
  <c r="U24" i="36"/>
  <c r="V24" i="36" s="1"/>
  <c r="T24" i="36"/>
  <c r="U23" i="36"/>
  <c r="V23" i="36" s="1"/>
  <c r="T23" i="36"/>
  <c r="T22" i="36"/>
  <c r="U22" i="36" s="1"/>
  <c r="V22" i="36" s="1"/>
  <c r="T21" i="36"/>
  <c r="U21" i="36" s="1"/>
  <c r="V21" i="36" s="1"/>
  <c r="A21" i="36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U20" i="36"/>
  <c r="V20" i="36" s="1"/>
  <c r="T20" i="36"/>
  <c r="A20" i="36"/>
  <c r="U19" i="36"/>
  <c r="V19" i="36" s="1"/>
  <c r="T19" i="36"/>
  <c r="T18" i="36"/>
  <c r="U18" i="36" s="1"/>
  <c r="V18" i="36" s="1"/>
  <c r="T17" i="36"/>
  <c r="U17" i="36" s="1"/>
  <c r="V17" i="36" s="1"/>
  <c r="T16" i="36"/>
  <c r="U16" i="36" s="1"/>
  <c r="V16" i="36" s="1"/>
  <c r="T15" i="36"/>
  <c r="U15" i="36" s="1"/>
  <c r="V15" i="36" s="1"/>
  <c r="T14" i="36"/>
  <c r="U14" i="36" s="1"/>
  <c r="V14" i="36" s="1"/>
  <c r="A14" i="36"/>
  <c r="A15" i="36" s="1"/>
  <c r="A16" i="36" s="1"/>
  <c r="A17" i="36" s="1"/>
  <c r="A18" i="36" s="1"/>
  <c r="T13" i="36"/>
  <c r="U13" i="36" s="1"/>
  <c r="V13" i="36" s="1"/>
  <c r="T12" i="36"/>
  <c r="T11" i="36"/>
  <c r="U11" i="36" s="1"/>
  <c r="V11" i="36" s="1"/>
  <c r="T10" i="36"/>
  <c r="U10" i="36" s="1"/>
  <c r="V10" i="36" s="1"/>
  <c r="T9" i="36"/>
  <c r="U9" i="36" s="1"/>
  <c r="V9" i="36" s="1"/>
  <c r="A9" i="36"/>
  <c r="A10" i="36" s="1"/>
  <c r="A11" i="36" s="1"/>
  <c r="T8" i="36"/>
  <c r="A8" i="36"/>
  <c r="U58" i="37" l="1"/>
  <c r="V7" i="37"/>
  <c r="V58" i="37" s="1"/>
  <c r="T58" i="37"/>
  <c r="U34" i="36"/>
  <c r="V34" i="36" s="1"/>
  <c r="J58" i="36"/>
  <c r="U41" i="36"/>
  <c r="V41" i="36" s="1"/>
  <c r="U40" i="36"/>
  <c r="V40" i="36" s="1"/>
  <c r="U37" i="36"/>
  <c r="V37" i="36" s="1"/>
  <c r="U30" i="36"/>
  <c r="V30" i="36" s="1"/>
  <c r="C58" i="36"/>
  <c r="U25" i="36"/>
  <c r="V25" i="36" s="1"/>
  <c r="T58" i="36"/>
  <c r="U8" i="36"/>
  <c r="V8" i="36" s="1"/>
  <c r="U7" i="36"/>
  <c r="C12" i="31"/>
  <c r="C47" i="31"/>
  <c r="K43" i="31"/>
  <c r="J43" i="31"/>
  <c r="C43" i="31"/>
  <c r="C41" i="31"/>
  <c r="C40" i="31"/>
  <c r="C37" i="31"/>
  <c r="C34" i="31"/>
  <c r="C28" i="31"/>
  <c r="C25" i="31"/>
  <c r="C8" i="31"/>
  <c r="C7" i="31"/>
  <c r="R58" i="35"/>
  <c r="Q58" i="35"/>
  <c r="P58" i="35"/>
  <c r="O58" i="35"/>
  <c r="N58" i="35"/>
  <c r="M58" i="35"/>
  <c r="K58" i="35"/>
  <c r="J58" i="35"/>
  <c r="I58" i="35"/>
  <c r="H58" i="35"/>
  <c r="G58" i="35"/>
  <c r="F58" i="35"/>
  <c r="C58" i="35"/>
  <c r="U54" i="35"/>
  <c r="V54" i="35" s="1"/>
  <c r="T54" i="35"/>
  <c r="T53" i="35"/>
  <c r="U53" i="35" s="1"/>
  <c r="V53" i="35" s="1"/>
  <c r="T52" i="35"/>
  <c r="U52" i="35" s="1"/>
  <c r="V52" i="35" s="1"/>
  <c r="T51" i="35"/>
  <c r="U51" i="35" s="1"/>
  <c r="V51" i="35" s="1"/>
  <c r="U50" i="35"/>
  <c r="V50" i="35" s="1"/>
  <c r="T50" i="35"/>
  <c r="T49" i="35"/>
  <c r="U49" i="35" s="1"/>
  <c r="V49" i="35" s="1"/>
  <c r="T48" i="35"/>
  <c r="U48" i="35" s="1"/>
  <c r="V48" i="35" s="1"/>
  <c r="T47" i="35"/>
  <c r="U47" i="35" s="1"/>
  <c r="V47" i="35" s="1"/>
  <c r="U46" i="35"/>
  <c r="V46" i="35" s="1"/>
  <c r="T46" i="35"/>
  <c r="T45" i="35"/>
  <c r="U45" i="35" s="1"/>
  <c r="V45" i="35" s="1"/>
  <c r="T43" i="35"/>
  <c r="V43" i="35" s="1"/>
  <c r="T41" i="35"/>
  <c r="V41" i="35" s="1"/>
  <c r="T40" i="35"/>
  <c r="U40" i="35" s="1"/>
  <c r="V40" i="35" s="1"/>
  <c r="U38" i="35"/>
  <c r="V38" i="35" s="1"/>
  <c r="T38" i="35"/>
  <c r="T37" i="35"/>
  <c r="U37" i="35" s="1"/>
  <c r="V37" i="35" s="1"/>
  <c r="T36" i="35"/>
  <c r="U36" i="35" s="1"/>
  <c r="V36" i="35" s="1"/>
  <c r="T35" i="35"/>
  <c r="U35" i="35" s="1"/>
  <c r="V35" i="35" s="1"/>
  <c r="T34" i="35"/>
  <c r="U34" i="35" s="1"/>
  <c r="V34" i="35" s="1"/>
  <c r="T33" i="35"/>
  <c r="U33" i="35" s="1"/>
  <c r="V33" i="35" s="1"/>
  <c r="T32" i="35"/>
  <c r="U32" i="35" s="1"/>
  <c r="V32" i="35" s="1"/>
  <c r="T31" i="35"/>
  <c r="U31" i="35" s="1"/>
  <c r="V31" i="35" s="1"/>
  <c r="U30" i="35"/>
  <c r="V30" i="35" s="1"/>
  <c r="T30" i="35"/>
  <c r="T29" i="35"/>
  <c r="U29" i="35" s="1"/>
  <c r="V29" i="35" s="1"/>
  <c r="T28" i="35"/>
  <c r="U28" i="35" s="1"/>
  <c r="V28" i="35" s="1"/>
  <c r="T26" i="35"/>
  <c r="U26" i="35" s="1"/>
  <c r="V26" i="35" s="1"/>
  <c r="AY25" i="35"/>
  <c r="T25" i="35"/>
  <c r="U25" i="35" s="1"/>
  <c r="V25" i="35" s="1"/>
  <c r="U24" i="35"/>
  <c r="V24" i="35" s="1"/>
  <c r="T24" i="35"/>
  <c r="T23" i="35"/>
  <c r="U23" i="35" s="1"/>
  <c r="V23" i="35" s="1"/>
  <c r="U22" i="35"/>
  <c r="V22" i="35" s="1"/>
  <c r="T22" i="35"/>
  <c r="T21" i="35"/>
  <c r="U21" i="35" s="1"/>
  <c r="V21" i="35" s="1"/>
  <c r="U20" i="35"/>
  <c r="V20" i="35" s="1"/>
  <c r="T20" i="35"/>
  <c r="A20" i="35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T19" i="35"/>
  <c r="U19" i="35" s="1"/>
  <c r="V19" i="35" s="1"/>
  <c r="T18" i="35"/>
  <c r="U18" i="35" s="1"/>
  <c r="V18" i="35" s="1"/>
  <c r="T17" i="35"/>
  <c r="U17" i="35" s="1"/>
  <c r="V17" i="35" s="1"/>
  <c r="T16" i="35"/>
  <c r="U16" i="35" s="1"/>
  <c r="V16" i="35" s="1"/>
  <c r="U15" i="35"/>
  <c r="V15" i="35" s="1"/>
  <c r="T15" i="35"/>
  <c r="T14" i="35"/>
  <c r="U14" i="35" s="1"/>
  <c r="V14" i="35" s="1"/>
  <c r="A14" i="35"/>
  <c r="A15" i="35" s="1"/>
  <c r="A16" i="35" s="1"/>
  <c r="A17" i="35" s="1"/>
  <c r="A18" i="35" s="1"/>
  <c r="T13" i="35"/>
  <c r="U13" i="35" s="1"/>
  <c r="V13" i="35" s="1"/>
  <c r="T12" i="35"/>
  <c r="U12" i="35" s="1"/>
  <c r="V12" i="35" s="1"/>
  <c r="T11" i="35"/>
  <c r="U11" i="35" s="1"/>
  <c r="V11" i="35" s="1"/>
  <c r="U10" i="35"/>
  <c r="V10" i="35" s="1"/>
  <c r="T10" i="35"/>
  <c r="T9" i="35"/>
  <c r="U9" i="35" s="1"/>
  <c r="V9" i="35" s="1"/>
  <c r="T8" i="35"/>
  <c r="U8" i="35" s="1"/>
  <c r="V8" i="35" s="1"/>
  <c r="A8" i="35"/>
  <c r="A9" i="35" s="1"/>
  <c r="A10" i="35" s="1"/>
  <c r="A11" i="35" s="1"/>
  <c r="T7" i="35"/>
  <c r="T58" i="35" l="1"/>
  <c r="U58" i="36"/>
  <c r="V7" i="36"/>
  <c r="V58" i="36" s="1"/>
  <c r="U7" i="35"/>
  <c r="J43" i="34"/>
  <c r="J58" i="34"/>
  <c r="C28" i="34"/>
  <c r="C47" i="34"/>
  <c r="K43" i="34"/>
  <c r="K58" i="34" s="1"/>
  <c r="C43" i="34"/>
  <c r="C41" i="34"/>
  <c r="C40" i="34"/>
  <c r="C37" i="34"/>
  <c r="C34" i="34"/>
  <c r="C25" i="34"/>
  <c r="C12" i="34"/>
  <c r="C8" i="34"/>
  <c r="C7" i="34"/>
  <c r="R58" i="34"/>
  <c r="Q58" i="34"/>
  <c r="P58" i="34"/>
  <c r="O58" i="34"/>
  <c r="N58" i="34"/>
  <c r="M58" i="34"/>
  <c r="I58" i="34"/>
  <c r="H58" i="34"/>
  <c r="G58" i="34"/>
  <c r="F58" i="34"/>
  <c r="T54" i="34"/>
  <c r="U54" i="34" s="1"/>
  <c r="V54" i="34" s="1"/>
  <c r="U53" i="34"/>
  <c r="V53" i="34" s="1"/>
  <c r="T53" i="34"/>
  <c r="T52" i="34"/>
  <c r="U52" i="34" s="1"/>
  <c r="V52" i="34" s="1"/>
  <c r="U51" i="34"/>
  <c r="V51" i="34" s="1"/>
  <c r="T51" i="34"/>
  <c r="T50" i="34"/>
  <c r="U50" i="34" s="1"/>
  <c r="V50" i="34" s="1"/>
  <c r="U49" i="34"/>
  <c r="V49" i="34" s="1"/>
  <c r="T49" i="34"/>
  <c r="T48" i="34"/>
  <c r="U48" i="34" s="1"/>
  <c r="V48" i="34" s="1"/>
  <c r="T47" i="34"/>
  <c r="U47" i="34" s="1"/>
  <c r="V47" i="34" s="1"/>
  <c r="U46" i="34"/>
  <c r="V46" i="34" s="1"/>
  <c r="T46" i="34"/>
  <c r="U45" i="34"/>
  <c r="V45" i="34" s="1"/>
  <c r="T45" i="34"/>
  <c r="T41" i="34"/>
  <c r="T40" i="34"/>
  <c r="U40" i="34" s="1"/>
  <c r="V40" i="34" s="1"/>
  <c r="T38" i="34"/>
  <c r="U38" i="34" s="1"/>
  <c r="V38" i="34" s="1"/>
  <c r="T37" i="34"/>
  <c r="U37" i="34" s="1"/>
  <c r="V37" i="34" s="1"/>
  <c r="T36" i="34"/>
  <c r="U36" i="34" s="1"/>
  <c r="V36" i="34" s="1"/>
  <c r="T35" i="34"/>
  <c r="U35" i="34" s="1"/>
  <c r="V35" i="34" s="1"/>
  <c r="T34" i="34"/>
  <c r="T33" i="34"/>
  <c r="U33" i="34" s="1"/>
  <c r="V33" i="34" s="1"/>
  <c r="T32" i="34"/>
  <c r="U32" i="34" s="1"/>
  <c r="V32" i="34" s="1"/>
  <c r="T31" i="34"/>
  <c r="U31" i="34" s="1"/>
  <c r="V31" i="34" s="1"/>
  <c r="T30" i="34"/>
  <c r="U30" i="34" s="1"/>
  <c r="V30" i="34" s="1"/>
  <c r="T29" i="34"/>
  <c r="U29" i="34" s="1"/>
  <c r="V29" i="34" s="1"/>
  <c r="T28" i="34"/>
  <c r="U26" i="34"/>
  <c r="V26" i="34" s="1"/>
  <c r="T26" i="34"/>
  <c r="AY25" i="34"/>
  <c r="T25" i="34"/>
  <c r="T24" i="34"/>
  <c r="U24" i="34" s="1"/>
  <c r="V24" i="34" s="1"/>
  <c r="T23" i="34"/>
  <c r="U23" i="34" s="1"/>
  <c r="V23" i="34" s="1"/>
  <c r="T22" i="34"/>
  <c r="U22" i="34" s="1"/>
  <c r="V22" i="34" s="1"/>
  <c r="A22" i="34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T21" i="34"/>
  <c r="U21" i="34" s="1"/>
  <c r="V21" i="34" s="1"/>
  <c r="A21" i="34"/>
  <c r="T20" i="34"/>
  <c r="U20" i="34" s="1"/>
  <c r="V20" i="34" s="1"/>
  <c r="A20" i="34"/>
  <c r="T19" i="34"/>
  <c r="U19" i="34" s="1"/>
  <c r="V19" i="34" s="1"/>
  <c r="U18" i="34"/>
  <c r="V18" i="34" s="1"/>
  <c r="T18" i="34"/>
  <c r="T17" i="34"/>
  <c r="U17" i="34" s="1"/>
  <c r="V17" i="34" s="1"/>
  <c r="U16" i="34"/>
  <c r="V16" i="34" s="1"/>
  <c r="T16" i="34"/>
  <c r="T15" i="34"/>
  <c r="U15" i="34" s="1"/>
  <c r="V15" i="34" s="1"/>
  <c r="A15" i="34"/>
  <c r="A16" i="34" s="1"/>
  <c r="A17" i="34" s="1"/>
  <c r="A18" i="34" s="1"/>
  <c r="U14" i="34"/>
  <c r="V14" i="34" s="1"/>
  <c r="T14" i="34"/>
  <c r="A14" i="34"/>
  <c r="T13" i="34"/>
  <c r="U13" i="34" s="1"/>
  <c r="V13" i="34" s="1"/>
  <c r="T12" i="34"/>
  <c r="T11" i="34"/>
  <c r="U11" i="34" s="1"/>
  <c r="V11" i="34" s="1"/>
  <c r="T10" i="34"/>
  <c r="U10" i="34" s="1"/>
  <c r="V10" i="34" s="1"/>
  <c r="T9" i="34"/>
  <c r="U9" i="34" s="1"/>
  <c r="V9" i="34" s="1"/>
  <c r="T8" i="34"/>
  <c r="U8" i="34" s="1"/>
  <c r="V8" i="34" s="1"/>
  <c r="A8" i="34"/>
  <c r="A9" i="34" s="1"/>
  <c r="A10" i="34" s="1"/>
  <c r="A11" i="34" s="1"/>
  <c r="T7" i="34"/>
  <c r="U58" i="35" l="1"/>
  <c r="V7" i="35"/>
  <c r="V58" i="35" s="1"/>
  <c r="T43" i="34"/>
  <c r="U43" i="34" s="1"/>
  <c r="V43" i="34" s="1"/>
  <c r="U41" i="34"/>
  <c r="V41" i="34" s="1"/>
  <c r="U34" i="34"/>
  <c r="V34" i="34" s="1"/>
  <c r="U28" i="34"/>
  <c r="V28" i="34" s="1"/>
  <c r="U25" i="34"/>
  <c r="V25" i="34" s="1"/>
  <c r="U12" i="34"/>
  <c r="V12" i="34" s="1"/>
  <c r="C58" i="34"/>
  <c r="U7" i="34"/>
  <c r="C41" i="30"/>
  <c r="C23" i="30"/>
  <c r="C12" i="30"/>
  <c r="C8" i="30"/>
  <c r="C53" i="30"/>
  <c r="C47" i="30"/>
  <c r="K43" i="30"/>
  <c r="J43" i="30"/>
  <c r="C43" i="30"/>
  <c r="C40" i="30"/>
  <c r="C38" i="30"/>
  <c r="C37" i="30"/>
  <c r="C34" i="30"/>
  <c r="C31" i="30"/>
  <c r="C28" i="30"/>
  <c r="C25" i="30"/>
  <c r="C7" i="30"/>
  <c r="T58" i="34" l="1"/>
  <c r="U58" i="34"/>
  <c r="V7" i="34"/>
  <c r="V58" i="34" s="1"/>
  <c r="R58" i="33"/>
  <c r="Q58" i="33"/>
  <c r="P58" i="33"/>
  <c r="O58" i="33"/>
  <c r="N58" i="33"/>
  <c r="M58" i="33"/>
  <c r="I58" i="33"/>
  <c r="H58" i="33"/>
  <c r="G58" i="33"/>
  <c r="F58" i="33"/>
  <c r="T54" i="33"/>
  <c r="U54" i="33" s="1"/>
  <c r="V54" i="33" s="1"/>
  <c r="T53" i="33"/>
  <c r="C53" i="33"/>
  <c r="U53" i="33" s="1"/>
  <c r="V53" i="33" s="1"/>
  <c r="U52" i="33"/>
  <c r="V52" i="33" s="1"/>
  <c r="T52" i="33"/>
  <c r="T51" i="33"/>
  <c r="U51" i="33" s="1"/>
  <c r="V51" i="33" s="1"/>
  <c r="U50" i="33"/>
  <c r="V50" i="33" s="1"/>
  <c r="T50" i="33"/>
  <c r="T49" i="33"/>
  <c r="U49" i="33" s="1"/>
  <c r="V49" i="33" s="1"/>
  <c r="U48" i="33"/>
  <c r="V48" i="33" s="1"/>
  <c r="T48" i="33"/>
  <c r="T47" i="33"/>
  <c r="C47" i="33"/>
  <c r="U47" i="33" s="1"/>
  <c r="V47" i="33" s="1"/>
  <c r="V46" i="33"/>
  <c r="U46" i="33"/>
  <c r="T46" i="33"/>
  <c r="U45" i="33"/>
  <c r="V45" i="33" s="1"/>
  <c r="T45" i="33"/>
  <c r="K43" i="33"/>
  <c r="K58" i="33" s="1"/>
  <c r="J43" i="33"/>
  <c r="J58" i="33" s="1"/>
  <c r="C43" i="33"/>
  <c r="T41" i="33"/>
  <c r="C41" i="33"/>
  <c r="U41" i="33" s="1"/>
  <c r="V41" i="33" s="1"/>
  <c r="T40" i="33"/>
  <c r="C40" i="33"/>
  <c r="U40" i="33" s="1"/>
  <c r="V40" i="33" s="1"/>
  <c r="T38" i="33"/>
  <c r="C38" i="33"/>
  <c r="U38" i="33" s="1"/>
  <c r="V38" i="33" s="1"/>
  <c r="T37" i="33"/>
  <c r="C37" i="33"/>
  <c r="U37" i="33" s="1"/>
  <c r="V37" i="33" s="1"/>
  <c r="T36" i="33"/>
  <c r="U36" i="33" s="1"/>
  <c r="V36" i="33" s="1"/>
  <c r="T35" i="33"/>
  <c r="U35" i="33" s="1"/>
  <c r="V35" i="33" s="1"/>
  <c r="T34" i="33"/>
  <c r="U34" i="33" s="1"/>
  <c r="V34" i="33" s="1"/>
  <c r="C34" i="33"/>
  <c r="T33" i="33"/>
  <c r="U33" i="33" s="1"/>
  <c r="V33" i="33" s="1"/>
  <c r="U32" i="33"/>
  <c r="V32" i="33" s="1"/>
  <c r="T32" i="33"/>
  <c r="T31" i="33"/>
  <c r="C31" i="33"/>
  <c r="U31" i="33" s="1"/>
  <c r="V31" i="33" s="1"/>
  <c r="V30" i="33"/>
  <c r="U30" i="33"/>
  <c r="T30" i="33"/>
  <c r="U29" i="33"/>
  <c r="V29" i="33" s="1"/>
  <c r="T29" i="33"/>
  <c r="T28" i="33"/>
  <c r="C28" i="33"/>
  <c r="U28" i="33" s="1"/>
  <c r="V28" i="33" s="1"/>
  <c r="T26" i="33"/>
  <c r="U26" i="33" s="1"/>
  <c r="V26" i="33" s="1"/>
  <c r="AY25" i="33"/>
  <c r="T25" i="33"/>
  <c r="U25" i="33" s="1"/>
  <c r="V25" i="33" s="1"/>
  <c r="C25" i="33"/>
  <c r="T24" i="33"/>
  <c r="U24" i="33" s="1"/>
  <c r="V24" i="33" s="1"/>
  <c r="T23" i="33"/>
  <c r="U23" i="33" s="1"/>
  <c r="V23" i="33" s="1"/>
  <c r="V22" i="33"/>
  <c r="U22" i="33"/>
  <c r="T22" i="33"/>
  <c r="U21" i="33"/>
  <c r="V21" i="33" s="1"/>
  <c r="T21" i="33"/>
  <c r="T20" i="33"/>
  <c r="U20" i="33" s="1"/>
  <c r="V20" i="33" s="1"/>
  <c r="A20" i="33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T19" i="33"/>
  <c r="U19" i="33" s="1"/>
  <c r="V19" i="33" s="1"/>
  <c r="U18" i="33"/>
  <c r="V18" i="33" s="1"/>
  <c r="T18" i="33"/>
  <c r="T17" i="33"/>
  <c r="U17" i="33" s="1"/>
  <c r="V17" i="33" s="1"/>
  <c r="U16" i="33"/>
  <c r="V16" i="33" s="1"/>
  <c r="T16" i="33"/>
  <c r="T15" i="33"/>
  <c r="U15" i="33" s="1"/>
  <c r="V15" i="33" s="1"/>
  <c r="A15" i="33"/>
  <c r="A16" i="33" s="1"/>
  <c r="A17" i="33" s="1"/>
  <c r="A18" i="33" s="1"/>
  <c r="U14" i="33"/>
  <c r="V14" i="33" s="1"/>
  <c r="T14" i="33"/>
  <c r="A14" i="33"/>
  <c r="T13" i="33"/>
  <c r="U13" i="33" s="1"/>
  <c r="V13" i="33" s="1"/>
  <c r="T12" i="33"/>
  <c r="C12" i="33"/>
  <c r="U12" i="33" s="1"/>
  <c r="V12" i="33" s="1"/>
  <c r="T11" i="33"/>
  <c r="U11" i="33" s="1"/>
  <c r="V11" i="33" s="1"/>
  <c r="T10" i="33"/>
  <c r="U10" i="33" s="1"/>
  <c r="V10" i="33" s="1"/>
  <c r="T9" i="33"/>
  <c r="C9" i="33"/>
  <c r="U9" i="33" s="1"/>
  <c r="V9" i="33" s="1"/>
  <c r="T8" i="33"/>
  <c r="C8" i="33"/>
  <c r="U8" i="33" s="1"/>
  <c r="V8" i="33" s="1"/>
  <c r="A8" i="33"/>
  <c r="A9" i="33" s="1"/>
  <c r="A10" i="33" s="1"/>
  <c r="A11" i="33" s="1"/>
  <c r="T7" i="33"/>
  <c r="C7" i="33"/>
  <c r="C58" i="33" s="1"/>
  <c r="U43" i="33" l="1"/>
  <c r="V43" i="33" s="1"/>
  <c r="T58" i="33"/>
  <c r="U7" i="33"/>
  <c r="T43" i="33"/>
  <c r="R58" i="32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V7" i="33" l="1"/>
  <c r="V58" i="33" s="1"/>
  <c r="U58" i="33"/>
  <c r="T58" i="32"/>
  <c r="U7" i="32"/>
  <c r="R58" i="31"/>
  <c r="Q58" i="31"/>
  <c r="P58" i="31"/>
  <c r="O58" i="31"/>
  <c r="N58" i="31"/>
  <c r="M58" i="31"/>
  <c r="K58" i="31"/>
  <c r="J58" i="31"/>
  <c r="I58" i="31"/>
  <c r="H58" i="31"/>
  <c r="G58" i="31"/>
  <c r="F58" i="31"/>
  <c r="C58" i="31"/>
  <c r="T54" i="31"/>
  <c r="U54" i="31" s="1"/>
  <c r="V54" i="31" s="1"/>
  <c r="T53" i="31"/>
  <c r="U53" i="31" s="1"/>
  <c r="V53" i="31" s="1"/>
  <c r="U52" i="31"/>
  <c r="V52" i="31" s="1"/>
  <c r="T52" i="31"/>
  <c r="T51" i="31"/>
  <c r="U51" i="31" s="1"/>
  <c r="V51" i="31" s="1"/>
  <c r="T50" i="31"/>
  <c r="U50" i="31" s="1"/>
  <c r="V50" i="31" s="1"/>
  <c r="T49" i="31"/>
  <c r="U49" i="31" s="1"/>
  <c r="V49" i="31" s="1"/>
  <c r="U48" i="31"/>
  <c r="V48" i="31" s="1"/>
  <c r="T48" i="31"/>
  <c r="T47" i="31"/>
  <c r="U47" i="31" s="1"/>
  <c r="V47" i="31" s="1"/>
  <c r="T46" i="31"/>
  <c r="U46" i="31" s="1"/>
  <c r="V46" i="31" s="1"/>
  <c r="T45" i="31"/>
  <c r="U45" i="31" s="1"/>
  <c r="V45" i="31" s="1"/>
  <c r="T43" i="31"/>
  <c r="U43" i="31" s="1"/>
  <c r="V43" i="31" s="1"/>
  <c r="U41" i="31"/>
  <c r="V41" i="31" s="1"/>
  <c r="T41" i="31"/>
  <c r="T40" i="31"/>
  <c r="U40" i="31" s="1"/>
  <c r="V40" i="31" s="1"/>
  <c r="T38" i="31"/>
  <c r="U38" i="31" s="1"/>
  <c r="V38" i="31" s="1"/>
  <c r="T37" i="31"/>
  <c r="U37" i="31" s="1"/>
  <c r="V37" i="31" s="1"/>
  <c r="T36" i="31"/>
  <c r="U36" i="31" s="1"/>
  <c r="V36" i="31" s="1"/>
  <c r="U35" i="31"/>
  <c r="V35" i="31" s="1"/>
  <c r="T35" i="31"/>
  <c r="T34" i="31"/>
  <c r="U34" i="31" s="1"/>
  <c r="V34" i="31" s="1"/>
  <c r="T33" i="31"/>
  <c r="U33" i="31" s="1"/>
  <c r="V33" i="31" s="1"/>
  <c r="T32" i="31"/>
  <c r="U32" i="31" s="1"/>
  <c r="V32" i="31" s="1"/>
  <c r="U31" i="31"/>
  <c r="V31" i="31" s="1"/>
  <c r="T31" i="31"/>
  <c r="T30" i="31"/>
  <c r="U30" i="31" s="1"/>
  <c r="V30" i="31" s="1"/>
  <c r="T29" i="31"/>
  <c r="U29" i="31" s="1"/>
  <c r="V29" i="31" s="1"/>
  <c r="T28" i="31"/>
  <c r="U28" i="31" s="1"/>
  <c r="V28" i="31" s="1"/>
  <c r="T26" i="31"/>
  <c r="U26" i="31" s="1"/>
  <c r="V26" i="31" s="1"/>
  <c r="AY25" i="31"/>
  <c r="T25" i="31"/>
  <c r="U25" i="31" s="1"/>
  <c r="V25" i="31" s="1"/>
  <c r="T24" i="31"/>
  <c r="U24" i="31" s="1"/>
  <c r="V24" i="31" s="1"/>
  <c r="U23" i="31"/>
  <c r="V23" i="31" s="1"/>
  <c r="T23" i="31"/>
  <c r="T22" i="31"/>
  <c r="U22" i="31" s="1"/>
  <c r="V22" i="31" s="1"/>
  <c r="T21" i="31"/>
  <c r="U21" i="31" s="1"/>
  <c r="V21" i="31" s="1"/>
  <c r="A21" i="3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T20" i="31"/>
  <c r="U20" i="31" s="1"/>
  <c r="V20" i="31" s="1"/>
  <c r="A20" i="31"/>
  <c r="U19" i="31"/>
  <c r="V19" i="31" s="1"/>
  <c r="T19" i="31"/>
  <c r="T18" i="31"/>
  <c r="U18" i="31" s="1"/>
  <c r="V18" i="31" s="1"/>
  <c r="U17" i="31"/>
  <c r="V17" i="31" s="1"/>
  <c r="T17" i="31"/>
  <c r="T16" i="31"/>
  <c r="T15" i="31"/>
  <c r="U15" i="31" s="1"/>
  <c r="V15" i="31" s="1"/>
  <c r="T14" i="31"/>
  <c r="U14" i="31" s="1"/>
  <c r="V14" i="31" s="1"/>
  <c r="A14" i="31"/>
  <c r="A15" i="31" s="1"/>
  <c r="A16" i="31" s="1"/>
  <c r="A17" i="31" s="1"/>
  <c r="A18" i="31" s="1"/>
  <c r="U13" i="31"/>
  <c r="V13" i="31" s="1"/>
  <c r="T13" i="31"/>
  <c r="T12" i="31"/>
  <c r="U12" i="31" s="1"/>
  <c r="V12" i="31" s="1"/>
  <c r="T11" i="31"/>
  <c r="U11" i="31" s="1"/>
  <c r="V11" i="31" s="1"/>
  <c r="T10" i="31"/>
  <c r="U10" i="31" s="1"/>
  <c r="V10" i="31" s="1"/>
  <c r="U9" i="31"/>
  <c r="V9" i="31" s="1"/>
  <c r="T9" i="31"/>
  <c r="T8" i="31"/>
  <c r="U8" i="31" s="1"/>
  <c r="V8" i="31" s="1"/>
  <c r="A8" i="31"/>
  <c r="A9" i="31" s="1"/>
  <c r="A10" i="31" s="1"/>
  <c r="A11" i="31" s="1"/>
  <c r="T7" i="31"/>
  <c r="U7" i="31" s="1"/>
  <c r="T58" i="31" l="1"/>
  <c r="U58" i="32"/>
  <c r="V7" i="32"/>
  <c r="V58" i="32" s="1"/>
  <c r="U16" i="31"/>
  <c r="V16" i="31" s="1"/>
  <c r="V7" i="31"/>
  <c r="R58" i="30"/>
  <c r="Q58" i="30"/>
  <c r="P58" i="30"/>
  <c r="O58" i="30"/>
  <c r="N58" i="30"/>
  <c r="M58" i="30"/>
  <c r="K58" i="30"/>
  <c r="J58" i="30"/>
  <c r="I58" i="30"/>
  <c r="H58" i="30"/>
  <c r="G58" i="30"/>
  <c r="F58" i="30"/>
  <c r="C58" i="30"/>
  <c r="T54" i="30"/>
  <c r="U54" i="30" s="1"/>
  <c r="V54" i="30" s="1"/>
  <c r="T53" i="30"/>
  <c r="U53" i="30" s="1"/>
  <c r="V53" i="30" s="1"/>
  <c r="T52" i="30"/>
  <c r="U52" i="30" s="1"/>
  <c r="V52" i="30" s="1"/>
  <c r="T51" i="30"/>
  <c r="U51" i="30" s="1"/>
  <c r="V51" i="30" s="1"/>
  <c r="T50" i="30"/>
  <c r="U50" i="30" s="1"/>
  <c r="V50" i="30" s="1"/>
  <c r="T49" i="30"/>
  <c r="U49" i="30" s="1"/>
  <c r="V49" i="30" s="1"/>
  <c r="T48" i="30"/>
  <c r="U48" i="30" s="1"/>
  <c r="V48" i="30" s="1"/>
  <c r="T47" i="30"/>
  <c r="U47" i="30" s="1"/>
  <c r="V47" i="30" s="1"/>
  <c r="T46" i="30"/>
  <c r="U46" i="30" s="1"/>
  <c r="V46" i="30" s="1"/>
  <c r="T45" i="30"/>
  <c r="U45" i="30" s="1"/>
  <c r="V45" i="30" s="1"/>
  <c r="T43" i="30"/>
  <c r="U43" i="30" s="1"/>
  <c r="V43" i="30" s="1"/>
  <c r="T41" i="30"/>
  <c r="U41" i="30" s="1"/>
  <c r="V41" i="30" s="1"/>
  <c r="T40" i="30"/>
  <c r="U40" i="30" s="1"/>
  <c r="V40" i="30" s="1"/>
  <c r="U38" i="30"/>
  <c r="V38" i="30" s="1"/>
  <c r="T38" i="30"/>
  <c r="T37" i="30"/>
  <c r="U37" i="30" s="1"/>
  <c r="V37" i="30" s="1"/>
  <c r="T36" i="30"/>
  <c r="U36" i="30" s="1"/>
  <c r="V36" i="30" s="1"/>
  <c r="T35" i="30"/>
  <c r="U35" i="30" s="1"/>
  <c r="V35" i="30" s="1"/>
  <c r="T34" i="30"/>
  <c r="U34" i="30" s="1"/>
  <c r="V34" i="30" s="1"/>
  <c r="T33" i="30"/>
  <c r="U33" i="30" s="1"/>
  <c r="V33" i="30" s="1"/>
  <c r="U32" i="30"/>
  <c r="V32" i="30" s="1"/>
  <c r="T32" i="30"/>
  <c r="T31" i="30"/>
  <c r="U31" i="30" s="1"/>
  <c r="V31" i="30" s="1"/>
  <c r="T30" i="30"/>
  <c r="U30" i="30" s="1"/>
  <c r="V30" i="30" s="1"/>
  <c r="T29" i="30"/>
  <c r="U29" i="30" s="1"/>
  <c r="V29" i="30" s="1"/>
  <c r="T28" i="30"/>
  <c r="U28" i="30" s="1"/>
  <c r="V28" i="30" s="1"/>
  <c r="T26" i="30"/>
  <c r="U26" i="30" s="1"/>
  <c r="V26" i="30" s="1"/>
  <c r="AY25" i="30"/>
  <c r="T25" i="30"/>
  <c r="U25" i="30" s="1"/>
  <c r="V25" i="30" s="1"/>
  <c r="T24" i="30"/>
  <c r="U24" i="30" s="1"/>
  <c r="V24" i="30" s="1"/>
  <c r="T23" i="30"/>
  <c r="U23" i="30" s="1"/>
  <c r="V23" i="30" s="1"/>
  <c r="T22" i="30"/>
  <c r="U22" i="30" s="1"/>
  <c r="V22" i="30" s="1"/>
  <c r="A22" i="30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T21" i="30"/>
  <c r="U21" i="30" s="1"/>
  <c r="V21" i="30" s="1"/>
  <c r="A21" i="30"/>
  <c r="T20" i="30"/>
  <c r="U20" i="30" s="1"/>
  <c r="V20" i="30" s="1"/>
  <c r="A20" i="30"/>
  <c r="T19" i="30"/>
  <c r="U19" i="30" s="1"/>
  <c r="V19" i="30" s="1"/>
  <c r="T18" i="30"/>
  <c r="U18" i="30" s="1"/>
  <c r="V18" i="30" s="1"/>
  <c r="T17" i="30"/>
  <c r="U17" i="30" s="1"/>
  <c r="V17" i="30" s="1"/>
  <c r="T16" i="30"/>
  <c r="U16" i="30" s="1"/>
  <c r="V16" i="30" s="1"/>
  <c r="T15" i="30"/>
  <c r="U15" i="30" s="1"/>
  <c r="V15" i="30" s="1"/>
  <c r="T14" i="30"/>
  <c r="U14" i="30" s="1"/>
  <c r="V14" i="30" s="1"/>
  <c r="A14" i="30"/>
  <c r="A15" i="30" s="1"/>
  <c r="A16" i="30" s="1"/>
  <c r="A17" i="30" s="1"/>
  <c r="A18" i="30" s="1"/>
  <c r="T13" i="30"/>
  <c r="U13" i="30" s="1"/>
  <c r="V13" i="30" s="1"/>
  <c r="T12" i="30"/>
  <c r="U12" i="30" s="1"/>
  <c r="V12" i="30" s="1"/>
  <c r="T11" i="30"/>
  <c r="U11" i="30" s="1"/>
  <c r="V11" i="30" s="1"/>
  <c r="T10" i="30"/>
  <c r="U10" i="30" s="1"/>
  <c r="V10" i="30" s="1"/>
  <c r="T9" i="30"/>
  <c r="U9" i="30" s="1"/>
  <c r="V9" i="30" s="1"/>
  <c r="T8" i="30"/>
  <c r="U8" i="30" s="1"/>
  <c r="V8" i="30" s="1"/>
  <c r="A8" i="30"/>
  <c r="A9" i="30" s="1"/>
  <c r="A10" i="30" s="1"/>
  <c r="A11" i="30" s="1"/>
  <c r="T7" i="30"/>
  <c r="U7" i="30" s="1"/>
  <c r="U58" i="31" l="1"/>
  <c r="V58" i="31"/>
  <c r="U58" i="30"/>
  <c r="V7" i="30"/>
  <c r="V58" i="30" s="1"/>
  <c r="T58" i="30"/>
</calcChain>
</file>

<file path=xl/sharedStrings.xml><?xml version="1.0" encoding="utf-8"?>
<sst xmlns="http://schemas.openxmlformats.org/spreadsheetml/2006/main" count="1596" uniqueCount="89">
  <si>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</si>
  <si>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</si>
  <si>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</si>
  <si>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</si>
  <si>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</si>
  <si>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</si>
  <si>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</si>
  <si>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</si>
  <si>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</si>
  <si>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</si>
  <si>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</si>
  <si>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</si>
  <si>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</si>
  <si>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</si>
  <si>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</si>
  <si>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</si>
  <si>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</si>
  <si>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</si>
  <si>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</si>
  <si>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</si>
  <si>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</si>
  <si>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</si>
  <si>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</si>
  <si>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</si>
  <si>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</si>
  <si>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</si>
  <si>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</si>
  <si>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</si>
  <si>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</si>
  <si>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</si>
  <si>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</si>
  <si>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</si>
  <si>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</si>
  <si>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</si>
  <si>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</si>
  <si>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</si>
  <si>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</si>
  <si>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</si>
  <si>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</si>
  <si>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</si>
  <si>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</si>
  <si>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</si>
  <si>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</si>
  <si>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</si>
  <si>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</si>
  <si>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</si>
  <si>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</si>
  <si>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</si>
  <si>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</si>
  <si>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</si>
  <si>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</si>
  <si>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</si>
  <si>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</si>
  <si>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</si>
  <si>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</si>
  <si>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</si>
  <si>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</si>
  <si>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</si>
  <si>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</si>
  <si>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</si>
  <si>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</si>
  <si>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</si>
  <si>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</si>
  <si>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</si>
  <si>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</si>
  <si>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</si>
  <si>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</si>
  <si>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</si>
  <si>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</si>
  <si>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</si>
  <si>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</si>
  <si>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03/02/2026</t>
  </si>
  <si>
    <t>DATE: 03/04/2026</t>
  </si>
  <si>
    <t>DATE: 03/06/2026</t>
  </si>
  <si>
    <t>DATE: 03/05/2026</t>
  </si>
  <si>
    <t>DATE: 03/07/2026</t>
  </si>
  <si>
    <t>DATE: 03/09/2026</t>
  </si>
  <si>
    <t>DATE: 03/10/2026</t>
  </si>
  <si>
    <t>DATE: 03/11/2026</t>
  </si>
  <si>
    <t>DATE: 03/12/2026</t>
  </si>
  <si>
    <t>DATE: 03/14/2026</t>
  </si>
  <si>
    <t>DATE: 03/15/2026</t>
  </si>
  <si>
    <t>DATE: 03/16/2026</t>
  </si>
  <si>
    <t>DATE: 03/18/2026</t>
  </si>
  <si>
    <t>DATE: 03/19/2026</t>
  </si>
  <si>
    <t>DATE: 03/20/2026</t>
  </si>
  <si>
    <t>DATE: 03/23/2026</t>
  </si>
  <si>
    <t>DATE: 03/24/2026</t>
  </si>
  <si>
    <t>DATE: 03/25/2026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</si>
</sst>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30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59" xfId="3" applyNumberFormat="1" applyFont="1" applyFill="1" applyBorder="1" applyAlignment="1">
      <alignment vertical="center"/>
    </xf>
    <xf numFmtId="166" fontId="13" fillId="0" borderId="63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4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zoomScaleNormal="100" zoomScaleSheetLayoutView="115" workbookViewId="0">
      <selection activeCell="K8" sqref="K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102" t="s">
        <v>61</v>
      </c>
      <c r="O4" s="35" t="s">
        <v>39</v>
      </c>
      <c r="P4" s="102" t="s">
        <v>61</v>
      </c>
      <c r="Q4" s="36" t="s">
        <v>40</v>
      </c>
      <c r="R4" s="102" t="s">
        <v>61</v>
      </c>
      <c r="S4" s="9"/>
      <c r="T4" s="122" t="s">
        <v>68</v>
      </c>
      <c r="U4" s="124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101" t="s">
        <v>64</v>
      </c>
      <c r="I5" s="101" t="s">
        <v>60</v>
      </c>
      <c r="J5" s="113" t="s">
        <v>65</v>
      </c>
      <c r="K5" s="114"/>
      <c r="M5" s="37"/>
      <c r="N5" s="49"/>
      <c r="O5" s="40"/>
      <c r="P5" s="93"/>
      <c r="Q5" s="93"/>
      <c r="R5" s="38"/>
      <c r="S5" s="9"/>
      <c r="T5" s="123"/>
      <c r="U5" s="125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3"/>
      <c r="K6" s="38"/>
      <c r="M6" s="37"/>
      <c r="N6" s="49"/>
      <c r="O6" s="40"/>
      <c r="P6" s="93"/>
      <c r="Q6" s="93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/>
      <c r="D7" s="53"/>
      <c r="E7" s="53"/>
      <c r="F7" s="53"/>
      <c r="G7" s="53"/>
      <c r="H7" s="53"/>
      <c r="I7" s="53"/>
      <c r="J7" s="54"/>
      <c r="K7" s="55"/>
      <c r="L7" s="56"/>
      <c r="M7" s="57"/>
      <c r="N7" s="58"/>
      <c r="O7" s="53"/>
      <c r="P7" s="54"/>
      <c r="Q7" s="54"/>
      <c r="R7" s="55"/>
      <c r="S7" s="56"/>
      <c r="T7" s="59">
        <f>H7+I7+J7+K7+N7+P7+R7</f>
        <v>0</v>
      </c>
      <c r="U7" s="59">
        <f>C7*24+M7*24+O7*24+Q7*24+T7</f>
        <v>0</v>
      </c>
      <c r="V7" s="59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/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0</v>
      </c>
      <c r="V8" s="70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/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0</v>
      </c>
      <c r="V9" s="77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/>
      <c r="I11" s="71"/>
      <c r="J11" s="72"/>
      <c r="K11" s="73"/>
      <c r="L11" s="56"/>
      <c r="M11" s="74"/>
      <c r="N11" s="75"/>
      <c r="O11" s="71"/>
      <c r="P11" s="72"/>
      <c r="Q11" s="72"/>
      <c r="R11" s="73"/>
      <c r="S11" s="56"/>
      <c r="T11" s="59">
        <f t="shared" si="0"/>
        <v>0</v>
      </c>
      <c r="U11" s="59">
        <f t="shared" si="2"/>
        <v>0</v>
      </c>
      <c r="V11" s="59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/>
      <c r="D12" s="60"/>
      <c r="E12" s="60"/>
      <c r="F12" s="60"/>
      <c r="G12" s="60"/>
      <c r="H12" s="60"/>
      <c r="I12" s="60"/>
      <c r="J12" s="61"/>
      <c r="K12" s="62"/>
      <c r="L12" s="63"/>
      <c r="M12" s="64"/>
      <c r="N12" s="65"/>
      <c r="O12" s="66"/>
      <c r="P12" s="67"/>
      <c r="Q12" s="67"/>
      <c r="R12" s="68"/>
      <c r="S12" s="63"/>
      <c r="T12" s="59">
        <f t="shared" si="0"/>
        <v>0</v>
      </c>
      <c r="U12" s="70">
        <f>C12*24+M12*24+O12*24+Q12*24+T12</f>
        <v>0</v>
      </c>
      <c r="V12" s="70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/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0</v>
      </c>
      <c r="V13" s="77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/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0</v>
      </c>
      <c r="V17" s="76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/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0</v>
      </c>
      <c r="V19" s="76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/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0</v>
      </c>
      <c r="V20" s="76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/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0</v>
      </c>
      <c r="V21" s="76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0</v>
      </c>
      <c r="V22" s="76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/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/>
      <c r="P23" s="72"/>
      <c r="Q23" s="72"/>
      <c r="R23" s="73"/>
      <c r="S23" s="56"/>
      <c r="T23" s="59">
        <f t="shared" si="0"/>
        <v>0</v>
      </c>
      <c r="U23" s="76">
        <f t="shared" si="4"/>
        <v>0</v>
      </c>
      <c r="V23" s="76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/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0</v>
      </c>
      <c r="V24" s="76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/>
      <c r="D25" s="71"/>
      <c r="E25" s="71"/>
      <c r="F25" s="71"/>
      <c r="G25" s="71"/>
      <c r="H25" s="71"/>
      <c r="I25" s="71"/>
      <c r="J25" s="72"/>
      <c r="K25" s="73"/>
      <c r="L25" s="56"/>
      <c r="M25" s="74"/>
      <c r="N25" s="75"/>
      <c r="O25" s="71"/>
      <c r="P25" s="72"/>
      <c r="Q25" s="72"/>
      <c r="R25" s="73"/>
      <c r="S25" s="56"/>
      <c r="T25" s="59">
        <f t="shared" si="0"/>
        <v>0</v>
      </c>
      <c r="U25" s="76">
        <f t="shared" si="4"/>
        <v>0</v>
      </c>
      <c r="V25" s="76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/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0</v>
      </c>
      <c r="V26" s="76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/>
      <c r="D28" s="71"/>
      <c r="E28" s="71"/>
      <c r="F28" s="71"/>
      <c r="G28" s="71"/>
      <c r="H28" s="71"/>
      <c r="I28" s="71"/>
      <c r="J28" s="72"/>
      <c r="K28" s="73"/>
      <c r="L28" s="56"/>
      <c r="M28" s="74"/>
      <c r="N28" s="75"/>
      <c r="O28" s="71"/>
      <c r="P28" s="72"/>
      <c r="Q28" s="72"/>
      <c r="R28" s="73"/>
      <c r="S28" s="56"/>
      <c r="T28" s="59">
        <f t="shared" si="0"/>
        <v>0</v>
      </c>
      <c r="U28" s="76">
        <f t="shared" si="4"/>
        <v>0</v>
      </c>
      <c r="V28" s="76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/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/>
      <c r="P30" s="72"/>
      <c r="Q30" s="72"/>
      <c r="R30" s="73"/>
      <c r="S30" s="56"/>
      <c r="T30" s="59">
        <f t="shared" si="0"/>
        <v>0</v>
      </c>
      <c r="U30" s="76">
        <f t="shared" si="4"/>
        <v>0</v>
      </c>
      <c r="V30" s="76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/>
      <c r="D34" s="71"/>
      <c r="E34" s="71"/>
      <c r="F34" s="71"/>
      <c r="G34" s="71"/>
      <c r="H34" s="71"/>
      <c r="I34" s="71"/>
      <c r="J34" s="72"/>
      <c r="K34" s="73"/>
      <c r="L34" s="56"/>
      <c r="M34" s="74"/>
      <c r="N34" s="75"/>
      <c r="O34" s="71"/>
      <c r="P34" s="72"/>
      <c r="Q34" s="72"/>
      <c r="R34" s="73"/>
      <c r="S34" s="56"/>
      <c r="T34" s="59">
        <f t="shared" si="0"/>
        <v>0</v>
      </c>
      <c r="U34" s="76">
        <f t="shared" si="4"/>
        <v>0</v>
      </c>
      <c r="V34" s="76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/>
      <c r="D37" s="60"/>
      <c r="E37" s="60"/>
      <c r="F37" s="60"/>
      <c r="G37" s="60"/>
      <c r="H37" s="60"/>
      <c r="I37" s="60"/>
      <c r="J37" s="61"/>
      <c r="K37" s="62"/>
      <c r="L37" s="63"/>
      <c r="M37" s="64"/>
      <c r="N37" s="65"/>
      <c r="O37" s="66"/>
      <c r="P37" s="67"/>
      <c r="Q37" s="67"/>
      <c r="R37" s="68"/>
      <c r="S37" s="63"/>
      <c r="T37" s="78">
        <f t="shared" si="0"/>
        <v>0</v>
      </c>
      <c r="U37" s="78">
        <f>C37*6+M37*6+O37*6+Q37*6+T37</f>
        <v>0</v>
      </c>
      <c r="V37" s="78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1"/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0</v>
      </c>
      <c r="V38" s="76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57"/>
      <c r="N39" s="58"/>
      <c r="O39" s="53"/>
      <c r="P39" s="54"/>
      <c r="Q39" s="53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/>
      <c r="D40" s="60"/>
      <c r="E40" s="60"/>
      <c r="F40" s="60"/>
      <c r="G40" s="60"/>
      <c r="H40" s="60"/>
      <c r="I40" s="60"/>
      <c r="J40" s="61"/>
      <c r="K40" s="62"/>
      <c r="L40" s="63"/>
      <c r="M40" s="64"/>
      <c r="N40" s="65"/>
      <c r="O40" s="66"/>
      <c r="P40" s="67"/>
      <c r="Q40" s="67"/>
      <c r="R40" s="68"/>
      <c r="S40" s="63"/>
      <c r="T40" s="78">
        <f t="shared" si="0"/>
        <v>0</v>
      </c>
      <c r="U40" s="78">
        <f>C40*24+M40*24+O40*24+Q40*24+T40</f>
        <v>0</v>
      </c>
      <c r="V40" s="78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5"/>
      <c r="D41" s="85"/>
      <c r="E41" s="85"/>
      <c r="F41" s="85"/>
      <c r="G41" s="85"/>
      <c r="H41" s="85"/>
      <c r="I41" s="85"/>
      <c r="J41" s="86"/>
      <c r="K41" s="87"/>
      <c r="L41" s="88"/>
      <c r="M41" s="89"/>
      <c r="N41" s="90"/>
      <c r="O41" s="85"/>
      <c r="P41" s="86"/>
      <c r="Q41" s="86"/>
      <c r="R41" s="87"/>
      <c r="S41" s="88"/>
      <c r="T41" s="91">
        <f t="shared" si="0"/>
        <v>0</v>
      </c>
      <c r="U41" s="91">
        <f>C41*12+M41*12+O41*12+Q41*12+T41</f>
        <v>0</v>
      </c>
      <c r="V41" s="91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/>
      <c r="D43" s="66"/>
      <c r="E43" s="66"/>
      <c r="F43" s="66"/>
      <c r="G43" s="66"/>
      <c r="H43" s="66"/>
      <c r="I43" s="66"/>
      <c r="J43" s="67"/>
      <c r="K43" s="68"/>
      <c r="L43" s="63"/>
      <c r="M43" s="64"/>
      <c r="N43" s="65"/>
      <c r="O43" s="66"/>
      <c r="P43" s="67"/>
      <c r="Q43" s="67"/>
      <c r="R43" s="68"/>
      <c r="S43" s="63"/>
      <c r="T43" s="78">
        <f t="shared" ref="T43" si="6">H43+I43+J43+K43+N43+P43+R43</f>
        <v>0</v>
      </c>
      <c r="U43" s="78">
        <f>C43*6+M43*6+O43*6+Q43*6+T43</f>
        <v>0</v>
      </c>
      <c r="V43" s="78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/>
      <c r="D47" s="66"/>
      <c r="E47" s="66"/>
      <c r="F47" s="66"/>
      <c r="G47" s="66"/>
      <c r="H47" s="66"/>
      <c r="I47" s="66"/>
      <c r="J47" s="67"/>
      <c r="K47" s="68"/>
      <c r="L47" s="63"/>
      <c r="M47" s="64"/>
      <c r="N47" s="65"/>
      <c r="O47" s="66"/>
      <c r="P47" s="67"/>
      <c r="Q47" s="67"/>
      <c r="R47" s="68"/>
      <c r="S47" s="63"/>
      <c r="T47" s="78">
        <f t="shared" si="7"/>
        <v>0</v>
      </c>
      <c r="U47" s="78">
        <f>C47*6+M47*6+O47*6+Q47*6+T47</f>
        <v>0</v>
      </c>
      <c r="V47" s="78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1"/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0</v>
      </c>
      <c r="V48" s="76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/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0</v>
      </c>
      <c r="V51" s="78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/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0</v>
      </c>
      <c r="V53" s="76">
        <f t="shared" si="9"/>
        <v>0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6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6"/>
      <c r="C59" s="97"/>
      <c r="D59" s="97"/>
      <c r="E59" s="97"/>
      <c r="F59" s="97"/>
      <c r="G59" s="97"/>
      <c r="H59" s="97"/>
      <c r="I59" s="97"/>
      <c r="J59" s="97"/>
      <c r="K59" s="97"/>
      <c r="M59" s="97"/>
      <c r="N59" s="97"/>
      <c r="O59" s="97"/>
      <c r="P59" s="97"/>
      <c r="Q59" s="97"/>
      <c r="R59" s="97"/>
      <c r="S59" s="56"/>
      <c r="T59" s="97"/>
      <c r="U59" s="97"/>
      <c r="V59" s="97"/>
    </row>
    <row r="60" spans="1:22" s="15" customFormat="1" x14ac:dyDescent="0.25">
      <c r="B60" s="96"/>
      <c r="C60" s="97"/>
      <c r="D60" s="97"/>
      <c r="E60" s="97"/>
      <c r="F60" s="97"/>
      <c r="G60" s="97"/>
      <c r="H60" s="97"/>
      <c r="I60" s="97"/>
      <c r="J60" s="97"/>
      <c r="K60" s="97"/>
      <c r="M60" s="97"/>
      <c r="N60" s="97"/>
      <c r="O60" s="97"/>
      <c r="P60" s="97"/>
      <c r="Q60" s="97"/>
      <c r="R60" s="97"/>
      <c r="S60" s="56"/>
      <c r="T60" s="97"/>
      <c r="U60" s="97"/>
      <c r="V60" s="97"/>
    </row>
    <row r="61" spans="1:22" ht="20.25" customHeight="1" thickBot="1" x14ac:dyDescent="0.3"/>
    <row r="62" spans="1:22" ht="19.5" thickBot="1" x14ac:dyDescent="0.3">
      <c r="B62" s="30" t="s">
        <v>37</v>
      </c>
      <c r="C62" s="115" t="s">
        <v>41</v>
      </c>
      <c r="D62" s="116"/>
      <c r="E62" s="116"/>
      <c r="F62" s="116"/>
      <c r="G62" s="116"/>
      <c r="H62" s="116"/>
      <c r="I62" s="116"/>
      <c r="J62" s="116"/>
      <c r="K62" s="117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E3F5-60FD-438D-9CA9-F1C4B96DB6D9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94"/>
      <c r="Q5" s="94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4"/>
      <c r="K6" s="38"/>
      <c r="M6" s="37"/>
      <c r="N6" s="49"/>
      <c r="O6" s="40"/>
      <c r="P6" s="94"/>
      <c r="Q6" s="9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1629</v>
      </c>
      <c r="V7" s="59">
        <f>U7/24</f>
        <v>67.875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15+62+25</f>
        <v>102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f>5+71</f>
        <v>76</v>
      </c>
      <c r="D9" s="71"/>
      <c r="E9" s="71"/>
      <c r="F9" s="71"/>
      <c r="G9" s="71"/>
      <c r="H9" s="71"/>
      <c r="I9" s="71"/>
      <c r="J9" s="72"/>
      <c r="K9" s="73"/>
      <c r="L9" s="56"/>
      <c r="M9" s="74">
        <v>1</v>
      </c>
      <c r="N9" s="75"/>
      <c r="O9" s="71">
        <v>2</v>
      </c>
      <c r="P9" s="72"/>
      <c r="Q9" s="72">
        <v>1</v>
      </c>
      <c r="R9" s="73"/>
      <c r="S9" s="56"/>
      <c r="T9" s="76">
        <f t="shared" si="0"/>
        <v>0</v>
      </c>
      <c r="U9" s="77">
        <f t="shared" ref="U9:U11" si="2">C9*24+M9*24+O9*24+Q9*24+T9</f>
        <v>1920</v>
      </c>
      <c r="V9" s="77">
        <f t="shared" ref="V9:V11" si="3">U9/24</f>
        <v>80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38</v>
      </c>
      <c r="D10" s="71"/>
      <c r="E10" s="71"/>
      <c r="F10" s="71"/>
      <c r="G10" s="71"/>
      <c r="H10" s="71"/>
      <c r="I10" s="71"/>
      <c r="J10" s="72"/>
      <c r="K10" s="73"/>
      <c r="L10" s="56"/>
      <c r="M10" s="74">
        <v>1</v>
      </c>
      <c r="N10" s="75"/>
      <c r="O10" s="71">
        <v>1</v>
      </c>
      <c r="P10" s="72"/>
      <c r="Q10" s="72"/>
      <c r="R10" s="73"/>
      <c r="S10" s="56"/>
      <c r="T10" s="59">
        <f t="shared" si="0"/>
        <v>0</v>
      </c>
      <c r="U10" s="59">
        <f t="shared" si="2"/>
        <v>960</v>
      </c>
      <c r="V10" s="59">
        <f t="shared" si="3"/>
        <v>40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576+72+1+720+63+60+1008+36+1440</f>
        <v>3976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11</v>
      </c>
      <c r="N12" s="65">
        <v>23</v>
      </c>
      <c r="O12" s="66">
        <v>14</v>
      </c>
      <c r="P12" s="67"/>
      <c r="Q12" s="67">
        <v>20</v>
      </c>
      <c r="R12" s="68">
        <v>20</v>
      </c>
      <c r="S12" s="63"/>
      <c r="T12" s="59">
        <f t="shared" si="0"/>
        <v>43</v>
      </c>
      <c r="U12" s="70">
        <f>C12*24+M12*24+O12*24+Q12*24+T12</f>
        <v>96547</v>
      </c>
      <c r="V12" s="70">
        <f>U12/24</f>
        <v>4022.7916666666665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42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2</v>
      </c>
      <c r="N23" s="75"/>
      <c r="O23" s="71">
        <v>1</v>
      </c>
      <c r="P23" s="72"/>
      <c r="Q23" s="72">
        <v>2</v>
      </c>
      <c r="R23" s="73"/>
      <c r="S23" s="56"/>
      <c r="T23" s="59">
        <f t="shared" si="0"/>
        <v>0</v>
      </c>
      <c r="U23" s="76">
        <f t="shared" si="4"/>
        <v>1128</v>
      </c>
      <c r="V23" s="76">
        <f t="shared" si="5"/>
        <v>47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63+59+1</f>
        <v>123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3011</v>
      </c>
      <c r="V25" s="76">
        <f t="shared" si="5"/>
        <v>125.45833333333333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20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480</v>
      </c>
      <c r="V26" s="76">
        <f t="shared" si="5"/>
        <v>20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64+32</f>
        <v>96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>
        <v>3</v>
      </c>
      <c r="R28" s="73"/>
      <c r="S28" s="56"/>
      <c r="T28" s="59">
        <f t="shared" si="0"/>
        <v>0</v>
      </c>
      <c r="U28" s="76">
        <f t="shared" si="4"/>
        <v>2472</v>
      </c>
      <c r="V28" s="76">
        <f t="shared" si="5"/>
        <v>103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f>11+4</f>
        <v>15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>
        <v>1</v>
      </c>
      <c r="P31" s="72"/>
      <c r="Q31" s="72"/>
      <c r="R31" s="73"/>
      <c r="S31" s="56"/>
      <c r="T31" s="59">
        <f t="shared" si="0"/>
        <v>0</v>
      </c>
      <c r="U31" s="76">
        <f t="shared" si="4"/>
        <v>384</v>
      </c>
      <c r="V31" s="76">
        <f t="shared" si="5"/>
        <v>16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>
        <v>3</v>
      </c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72</v>
      </c>
      <c r="V33" s="76">
        <f t="shared" si="5"/>
        <v>3</v>
      </c>
    </row>
    <row r="34" spans="1:23" x14ac:dyDescent="0.25">
      <c r="A34" s="27">
        <f t="shared" si="1"/>
        <v>31</v>
      </c>
      <c r="B34" s="26" t="s">
        <v>17</v>
      </c>
      <c r="C34" s="71">
        <f>70+72</f>
        <v>142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3497</v>
      </c>
      <c r="V34" s="76">
        <f t="shared" si="5"/>
        <v>145.70833333333334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540+51+2376+1512</f>
        <v>4479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35</v>
      </c>
      <c r="N37" s="65"/>
      <c r="O37" s="66">
        <v>42</v>
      </c>
      <c r="P37" s="67"/>
      <c r="Q37" s="67">
        <v>79</v>
      </c>
      <c r="R37" s="68"/>
      <c r="S37" s="63"/>
      <c r="T37" s="78">
        <f t="shared" si="0"/>
        <v>8</v>
      </c>
      <c r="U37" s="78">
        <f>C37*6+M37*6+O37*6+Q37*6+T37</f>
        <v>27818</v>
      </c>
      <c r="V37" s="78">
        <f>U37/6</f>
        <v>4636.333333333333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f>15+2+2</f>
        <v>19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456</v>
      </c>
      <c r="V38" s="76">
        <f>U38/24</f>
        <v>19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57"/>
      <c r="N39" s="58"/>
      <c r="O39" s="53"/>
      <c r="P39" s="54"/>
      <c r="Q39" s="53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51+504</f>
        <v>555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13416</v>
      </c>
      <c r="V40" s="78">
        <f>U40/24</f>
        <v>559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1440+6</f>
        <v>1446</v>
      </c>
      <c r="D41" s="85"/>
      <c r="E41" s="85"/>
      <c r="F41" s="85"/>
      <c r="G41" s="85"/>
      <c r="H41" s="85"/>
      <c r="I41" s="85"/>
      <c r="J41" s="86"/>
      <c r="K41" s="87"/>
      <c r="L41" s="88"/>
      <c r="M41" s="89">
        <v>10</v>
      </c>
      <c r="N41" s="90"/>
      <c r="O41" s="85">
        <v>9</v>
      </c>
      <c r="P41" s="86"/>
      <c r="Q41" s="86">
        <v>20</v>
      </c>
      <c r="R41" s="87"/>
      <c r="S41" s="88"/>
      <c r="T41" s="91">
        <f t="shared" si="0"/>
        <v>0</v>
      </c>
      <c r="U41" s="91">
        <f>C41*12+M41*12+O41*12+Q41*12+T41</f>
        <v>17820</v>
      </c>
      <c r="V41" s="91">
        <f>U41/12</f>
        <v>1485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864+84+5940+8424+5400+4644+7128</f>
        <v>32484</v>
      </c>
      <c r="D43" s="66"/>
      <c r="E43" s="66"/>
      <c r="F43" s="66"/>
      <c r="G43" s="66"/>
      <c r="H43" s="66">
        <v>1</v>
      </c>
      <c r="I43" s="66">
        <v>7</v>
      </c>
      <c r="J43" s="67">
        <f>4*6+3</f>
        <v>27</v>
      </c>
      <c r="K43" s="68">
        <f>93*6+5</f>
        <v>563</v>
      </c>
      <c r="L43" s="63"/>
      <c r="M43" s="64">
        <v>419</v>
      </c>
      <c r="N43" s="65"/>
      <c r="O43" s="66">
        <v>364</v>
      </c>
      <c r="P43" s="67"/>
      <c r="Q43" s="67">
        <v>425</v>
      </c>
      <c r="R43" s="68"/>
      <c r="S43" s="63"/>
      <c r="T43" s="78">
        <f t="shared" ref="T43" si="6">H43+I43+J43+K43+N43+P43+R43</f>
        <v>598</v>
      </c>
      <c r="U43" s="78">
        <f>C43*6+M43*6+O43*6+Q43*6+T43</f>
        <v>202750</v>
      </c>
      <c r="V43" s="78">
        <f>U43/6</f>
        <v>33791.666666666664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>
        <v>4</v>
      </c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96</v>
      </c>
      <c r="V46" s="76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22+2268+44</f>
        <v>2334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7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14134</v>
      </c>
      <c r="V47" s="78">
        <f>U47/6</f>
        <v>2355.6666666666665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f>4+2</f>
        <v>6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144</v>
      </c>
      <c r="V53" s="76">
        <f t="shared" si="9"/>
        <v>6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46165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45</v>
      </c>
      <c r="I58" s="6">
        <f t="shared" si="11"/>
        <v>9</v>
      </c>
      <c r="J58" s="6">
        <f t="shared" si="11"/>
        <v>27</v>
      </c>
      <c r="K58" s="6">
        <f t="shared" si="11"/>
        <v>604</v>
      </c>
      <c r="M58" s="5">
        <f t="shared" ref="M58:R58" si="12">SUM(M7:M57)</f>
        <v>492</v>
      </c>
      <c r="N58" s="5">
        <f t="shared" si="12"/>
        <v>35</v>
      </c>
      <c r="O58" s="5">
        <f t="shared" si="12"/>
        <v>444</v>
      </c>
      <c r="P58" s="5">
        <f t="shared" si="12"/>
        <v>16</v>
      </c>
      <c r="Q58" s="5">
        <f t="shared" si="12"/>
        <v>567</v>
      </c>
      <c r="R58" s="5">
        <f t="shared" si="12"/>
        <v>20</v>
      </c>
      <c r="S58" s="56"/>
      <c r="T58" s="4">
        <f>SUM(T7:T57)</f>
        <v>756</v>
      </c>
      <c r="U58" s="95">
        <f>SUM(U7:U57)</f>
        <v>394098</v>
      </c>
      <c r="V58" s="4">
        <f>SUM(V7:V57)</f>
        <v>47776.499999999993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5107-2D0F-49CA-A3C8-528FF5A5B42C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72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52"/>
      <c r="Q5" s="52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52"/>
      <c r="K6" s="38"/>
      <c r="M6" s="37"/>
      <c r="N6" s="49"/>
      <c r="O6" s="40"/>
      <c r="P6" s="52"/>
      <c r="Q6" s="52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1605</v>
      </c>
      <c r="V7" s="59">
        <f>U7/24</f>
        <v>66.875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62+23+15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66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>
        <v>2</v>
      </c>
      <c r="P9" s="72"/>
      <c r="Q9" s="72">
        <v>8</v>
      </c>
      <c r="R9" s="73"/>
      <c r="S9" s="56"/>
      <c r="T9" s="76">
        <f t="shared" si="0"/>
        <v>0</v>
      </c>
      <c r="U9" s="77">
        <f t="shared" ref="U9:U11" si="2">C9*24+M9*24+O9*24+Q9*24+T9</f>
        <v>1824</v>
      </c>
      <c r="V9" s="77">
        <f t="shared" ref="V9:V11" si="3">U9/24</f>
        <v>76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36</v>
      </c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2</v>
      </c>
      <c r="P10" s="72"/>
      <c r="Q10" s="72">
        <v>1</v>
      </c>
      <c r="R10" s="73"/>
      <c r="S10" s="56"/>
      <c r="T10" s="59">
        <f t="shared" si="0"/>
        <v>0</v>
      </c>
      <c r="U10" s="59">
        <f t="shared" si="2"/>
        <v>936</v>
      </c>
      <c r="V10" s="59">
        <f t="shared" si="3"/>
        <v>39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720+72+63+1008+16+1440+576+60</f>
        <v>3955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13</v>
      </c>
      <c r="N12" s="65">
        <v>14</v>
      </c>
      <c r="O12" s="66">
        <v>15</v>
      </c>
      <c r="P12" s="67">
        <v>10</v>
      </c>
      <c r="Q12" s="67">
        <v>15</v>
      </c>
      <c r="R12" s="68">
        <v>20</v>
      </c>
      <c r="S12" s="63"/>
      <c r="T12" s="69">
        <f t="shared" si="0"/>
        <v>44</v>
      </c>
      <c r="U12" s="70">
        <f>C12*24+M12*24+O12*24+Q12*24+T12</f>
        <v>95996</v>
      </c>
      <c r="V12" s="70">
        <f>U12/24</f>
        <v>3999.8333333333335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76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f>16+1</f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10</v>
      </c>
      <c r="N23" s="75"/>
      <c r="O23" s="71">
        <v>10</v>
      </c>
      <c r="P23" s="72"/>
      <c r="Q23" s="72">
        <v>10</v>
      </c>
      <c r="R23" s="73"/>
      <c r="S23" s="56"/>
      <c r="T23" s="59">
        <f t="shared" si="0"/>
        <v>0</v>
      </c>
      <c r="U23" s="76">
        <f t="shared" si="4"/>
        <v>1128</v>
      </c>
      <c r="V23" s="76">
        <f t="shared" si="5"/>
        <v>47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63+59+1</f>
        <v>123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3011</v>
      </c>
      <c r="V25" s="76">
        <f t="shared" si="5"/>
        <v>125.45833333333333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20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480</v>
      </c>
      <c r="V26" s="76">
        <f t="shared" si="5"/>
        <v>20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64+32</f>
        <v>96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/>
      <c r="R28" s="73"/>
      <c r="S28" s="56"/>
      <c r="T28" s="59">
        <f t="shared" si="0"/>
        <v>0</v>
      </c>
      <c r="U28" s="76">
        <f t="shared" si="4"/>
        <v>2400</v>
      </c>
      <c r="V28" s="76">
        <f t="shared" si="5"/>
        <v>100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f>10+4</f>
        <v>14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>
        <v>1</v>
      </c>
      <c r="P31" s="72"/>
      <c r="Q31" s="72"/>
      <c r="R31" s="73"/>
      <c r="S31" s="56"/>
      <c r="T31" s="59">
        <f t="shared" si="0"/>
        <v>0</v>
      </c>
      <c r="U31" s="76">
        <f t="shared" si="4"/>
        <v>360</v>
      </c>
      <c r="V31" s="76">
        <f t="shared" si="5"/>
        <v>15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>
        <v>3</v>
      </c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72</v>
      </c>
      <c r="V33" s="76">
        <f t="shared" si="5"/>
        <v>3</v>
      </c>
    </row>
    <row r="34" spans="1:23" x14ac:dyDescent="0.25">
      <c r="A34" s="27">
        <f t="shared" si="1"/>
        <v>31</v>
      </c>
      <c r="B34" s="26" t="s">
        <v>17</v>
      </c>
      <c r="C34" s="71">
        <f>61+72</f>
        <v>133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10</v>
      </c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3497</v>
      </c>
      <c r="V34" s="76">
        <f t="shared" si="5"/>
        <v>145.70833333333334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324+68+2376+1512</f>
        <v>4280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112</v>
      </c>
      <c r="N37" s="65"/>
      <c r="O37" s="66">
        <v>41</v>
      </c>
      <c r="P37" s="67"/>
      <c r="Q37" s="67">
        <v>64</v>
      </c>
      <c r="R37" s="68"/>
      <c r="S37" s="63"/>
      <c r="T37" s="78">
        <f t="shared" si="0"/>
        <v>8</v>
      </c>
      <c r="U37" s="78">
        <f>C37*6+M37*6+O37*6+Q37*6+T37</f>
        <v>26990</v>
      </c>
      <c r="V37" s="78">
        <f>U37/6</f>
        <v>4498.333333333333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f>16+2</f>
        <v>18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>
        <v>1</v>
      </c>
      <c r="R38" s="73"/>
      <c r="S38" s="56"/>
      <c r="T38" s="76">
        <f t="shared" si="0"/>
        <v>0</v>
      </c>
      <c r="U38" s="76">
        <f>C38*24+M38*24+O38*24+Q38*24+T38</f>
        <v>456</v>
      </c>
      <c r="V38" s="76">
        <f>U38/24</f>
        <v>19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504+51</f>
        <v>555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1</v>
      </c>
      <c r="R40" s="68"/>
      <c r="S40" s="63"/>
      <c r="T40" s="78">
        <f t="shared" si="0"/>
        <v>24</v>
      </c>
      <c r="U40" s="78">
        <f>C40*24+M40*24+O40*24+Q40*24+T40</f>
        <v>13392</v>
      </c>
      <c r="V40" s="78">
        <f>U40/24</f>
        <v>558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1344+87</f>
        <v>1431</v>
      </c>
      <c r="D41" s="85"/>
      <c r="E41" s="85"/>
      <c r="F41" s="85"/>
      <c r="G41" s="85"/>
      <c r="H41" s="85"/>
      <c r="I41" s="85"/>
      <c r="J41" s="86"/>
      <c r="K41" s="87"/>
      <c r="L41" s="88"/>
      <c r="M41" s="89">
        <v>3</v>
      </c>
      <c r="N41" s="90"/>
      <c r="O41" s="85">
        <v>7</v>
      </c>
      <c r="P41" s="86"/>
      <c r="Q41" s="86">
        <v>15</v>
      </c>
      <c r="R41" s="87"/>
      <c r="S41" s="88"/>
      <c r="T41" s="91">
        <f t="shared" si="0"/>
        <v>0</v>
      </c>
      <c r="U41" s="91">
        <f>C41*12+M41*12+O41*12+Q41*12+T41</f>
        <v>17472</v>
      </c>
      <c r="V41" s="91">
        <f>U41/12</f>
        <v>1456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216+5940+8424+5400+4644+12+7128</f>
        <v>31764</v>
      </c>
      <c r="D43" s="66"/>
      <c r="E43" s="66"/>
      <c r="F43" s="66"/>
      <c r="G43" s="66"/>
      <c r="H43" s="66"/>
      <c r="I43" s="66">
        <v>7</v>
      </c>
      <c r="J43" s="67">
        <f>4*6+4</f>
        <v>28</v>
      </c>
      <c r="K43" s="68">
        <f>93*6+5</f>
        <v>563</v>
      </c>
      <c r="L43" s="63"/>
      <c r="M43" s="64">
        <v>325</v>
      </c>
      <c r="N43" s="65"/>
      <c r="O43" s="66">
        <v>356</v>
      </c>
      <c r="P43" s="67"/>
      <c r="Q43" s="67">
        <v>350</v>
      </c>
      <c r="R43" s="68"/>
      <c r="S43" s="63"/>
      <c r="T43" s="78">
        <f t="shared" ref="T43" si="6">H43+I43+J43+K43+N43+P43+R43</f>
        <v>598</v>
      </c>
      <c r="U43" s="78">
        <f>C43*6+M43*6+O43*6+Q43*6+T43</f>
        <v>197368</v>
      </c>
      <c r="V43" s="78">
        <f>U43/6</f>
        <v>32894.666666666664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>
        <v>4</v>
      </c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96</v>
      </c>
      <c r="V46" s="76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22+2268+44</f>
        <v>2334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4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14116</v>
      </c>
      <c r="V47" s="78">
        <f>U47/6</f>
        <v>2352.6666666666665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f>4+2</f>
        <v>6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144</v>
      </c>
      <c r="V53" s="76">
        <f t="shared" si="9"/>
        <v>6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45160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44</v>
      </c>
      <c r="I58" s="6">
        <f t="shared" si="11"/>
        <v>9</v>
      </c>
      <c r="J58" s="6">
        <f t="shared" si="11"/>
        <v>28</v>
      </c>
      <c r="K58" s="6">
        <f t="shared" si="11"/>
        <v>604</v>
      </c>
      <c r="M58" s="5">
        <f t="shared" ref="M58:R58" si="12">SUM(M7:M57)</f>
        <v>482</v>
      </c>
      <c r="N58" s="5">
        <f t="shared" si="12"/>
        <v>26</v>
      </c>
      <c r="O58" s="5">
        <f t="shared" si="12"/>
        <v>444</v>
      </c>
      <c r="P58" s="5">
        <f t="shared" si="12"/>
        <v>26</v>
      </c>
      <c r="Q58" s="5">
        <f t="shared" si="12"/>
        <v>481</v>
      </c>
      <c r="R58" s="5">
        <f t="shared" si="12"/>
        <v>20</v>
      </c>
      <c r="S58" s="56"/>
      <c r="T58" s="4">
        <f>SUM(T7:T57)</f>
        <v>757</v>
      </c>
      <c r="U58" s="95">
        <f>SUM(U7:U57)</f>
        <v>386707</v>
      </c>
      <c r="V58" s="4">
        <f>SUM(V7:V57)</f>
        <v>46675.541666666664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C7BF-D8DE-45DD-AFA6-3473D86FD0E5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74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98"/>
      <c r="Q5" s="98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1605</v>
      </c>
      <c r="V7" s="59">
        <f>U7/24</f>
        <v>66.875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15+63+22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51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>
        <v>17</v>
      </c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1632</v>
      </c>
      <c r="V9" s="77">
        <f t="shared" ref="V9:V11" si="3">U9/24</f>
        <v>68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23</v>
      </c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13</v>
      </c>
      <c r="P10" s="72"/>
      <c r="Q10" s="72"/>
      <c r="R10" s="73"/>
      <c r="S10" s="56"/>
      <c r="T10" s="59">
        <f t="shared" si="0"/>
        <v>0</v>
      </c>
      <c r="U10" s="59">
        <f t="shared" si="2"/>
        <v>864</v>
      </c>
      <c r="V10" s="59">
        <f t="shared" si="3"/>
        <v>36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720+72+60+63+936+60+1440+576</f>
        <v>3927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13</v>
      </c>
      <c r="N12" s="65"/>
      <c r="O12" s="66">
        <v>11</v>
      </c>
      <c r="P12" s="67">
        <v>5</v>
      </c>
      <c r="Q12" s="67">
        <v>7</v>
      </c>
      <c r="R12" s="68">
        <v>13</v>
      </c>
      <c r="S12" s="63"/>
      <c r="T12" s="59">
        <f t="shared" si="0"/>
        <v>18</v>
      </c>
      <c r="U12" s="70">
        <f>C12*24+M12*24+O12*24+Q12*24+T12</f>
        <v>95010</v>
      </c>
      <c r="V12" s="70">
        <f>U12/24</f>
        <v>3958.75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10</v>
      </c>
      <c r="N23" s="75"/>
      <c r="O23" s="71">
        <v>10</v>
      </c>
      <c r="P23" s="72"/>
      <c r="Q23" s="72">
        <v>10</v>
      </c>
      <c r="R23" s="73"/>
      <c r="S23" s="56"/>
      <c r="T23" s="59">
        <f t="shared" si="0"/>
        <v>0</v>
      </c>
      <c r="U23" s="76">
        <f t="shared" si="4"/>
        <v>1128</v>
      </c>
      <c r="V23" s="76">
        <f t="shared" si="5"/>
        <v>47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59+63</f>
        <v>122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1</v>
      </c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2963</v>
      </c>
      <c r="V25" s="76">
        <f t="shared" si="5"/>
        <v>123.45833333333333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16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>
        <v>4</v>
      </c>
      <c r="P26" s="72"/>
      <c r="Q26" s="72"/>
      <c r="R26" s="73"/>
      <c r="S26" s="56"/>
      <c r="T26" s="59">
        <f t="shared" si="0"/>
        <v>0</v>
      </c>
      <c r="U26" s="76">
        <f t="shared" si="4"/>
        <v>480</v>
      </c>
      <c r="V26" s="76">
        <f t="shared" si="5"/>
        <v>20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64+30</f>
        <v>94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1</v>
      </c>
      <c r="N28" s="75"/>
      <c r="O28" s="71">
        <v>2</v>
      </c>
      <c r="P28" s="72"/>
      <c r="Q28" s="72"/>
      <c r="R28" s="73"/>
      <c r="S28" s="56"/>
      <c r="T28" s="59">
        <f t="shared" si="0"/>
        <v>0</v>
      </c>
      <c r="U28" s="76">
        <f t="shared" si="4"/>
        <v>2328</v>
      </c>
      <c r="V28" s="76">
        <f t="shared" si="5"/>
        <v>97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v>4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>
        <v>11</v>
      </c>
      <c r="P31" s="72"/>
      <c r="Q31" s="72"/>
      <c r="R31" s="73"/>
      <c r="S31" s="56"/>
      <c r="T31" s="59">
        <f t="shared" si="0"/>
        <v>0</v>
      </c>
      <c r="U31" s="76">
        <f t="shared" si="4"/>
        <v>360</v>
      </c>
      <c r="V31" s="76">
        <f t="shared" si="5"/>
        <v>15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>
        <v>3</v>
      </c>
      <c r="P33" s="72"/>
      <c r="Q33" s="72"/>
      <c r="R33" s="73"/>
      <c r="S33" s="56"/>
      <c r="T33" s="59">
        <f t="shared" si="0"/>
        <v>0</v>
      </c>
      <c r="U33" s="76">
        <f t="shared" si="4"/>
        <v>72</v>
      </c>
      <c r="V33" s="76">
        <f t="shared" si="5"/>
        <v>3</v>
      </c>
    </row>
    <row r="34" spans="1:23" x14ac:dyDescent="0.25">
      <c r="A34" s="27">
        <f t="shared" si="1"/>
        <v>31</v>
      </c>
      <c r="B34" s="26" t="s">
        <v>17</v>
      </c>
      <c r="C34" s="71">
        <f>61+72</f>
        <v>133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/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3257</v>
      </c>
      <c r="V34" s="76">
        <f t="shared" si="5"/>
        <v>135.70833333333334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324+63+2376+1512</f>
        <v>4275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/>
      <c r="N37" s="65"/>
      <c r="O37" s="66">
        <v>41</v>
      </c>
      <c r="P37" s="67"/>
      <c r="Q37" s="67">
        <v>35</v>
      </c>
      <c r="R37" s="68"/>
      <c r="S37" s="63"/>
      <c r="T37" s="78">
        <f t="shared" si="0"/>
        <v>8</v>
      </c>
      <c r="U37" s="78">
        <f>C37*6+M37*6+O37*6+Q37*6+T37</f>
        <v>26114</v>
      </c>
      <c r="V37" s="78">
        <f>U37/6</f>
        <v>4352.333333333333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13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>
        <v>5</v>
      </c>
      <c r="P38" s="72"/>
      <c r="Q38" s="72"/>
      <c r="R38" s="73"/>
      <c r="S38" s="56"/>
      <c r="T38" s="76">
        <f t="shared" si="0"/>
        <v>0</v>
      </c>
      <c r="U38" s="76">
        <f>C38*24+M38*24+O38*24+Q38*24+T38</f>
        <v>432</v>
      </c>
      <c r="V38" s="76">
        <f>U38/24</f>
        <v>18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504+51</f>
        <v>555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1</v>
      </c>
      <c r="R40" s="68"/>
      <c r="S40" s="63"/>
      <c r="T40" s="78">
        <f t="shared" si="0"/>
        <v>24</v>
      </c>
      <c r="U40" s="78">
        <f>C40*24+M40*24+O40*24+Q40*24+T40</f>
        <v>13392</v>
      </c>
      <c r="V40" s="78">
        <f>U40/24</f>
        <v>558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1344+82</f>
        <v>1426</v>
      </c>
      <c r="D41" s="85"/>
      <c r="E41" s="85"/>
      <c r="F41" s="85"/>
      <c r="G41" s="85"/>
      <c r="H41" s="85"/>
      <c r="I41" s="85"/>
      <c r="J41" s="86"/>
      <c r="K41" s="87"/>
      <c r="L41" s="88"/>
      <c r="M41" s="89">
        <v>2</v>
      </c>
      <c r="N41" s="90"/>
      <c r="O41" s="85">
        <v>7</v>
      </c>
      <c r="P41" s="86"/>
      <c r="Q41" s="86">
        <v>15</v>
      </c>
      <c r="R41" s="87"/>
      <c r="S41" s="88"/>
      <c r="T41" s="91">
        <f t="shared" si="0"/>
        <v>0</v>
      </c>
      <c r="U41" s="91">
        <f>C41*12+M41*12+O41*12+Q41*12+T41</f>
        <v>17400</v>
      </c>
      <c r="V41" s="91">
        <f>U41/12</f>
        <v>1450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5940+8424+5400+4644+6696</f>
        <v>31104</v>
      </c>
      <c r="D43" s="66"/>
      <c r="E43" s="66"/>
      <c r="F43" s="66"/>
      <c r="G43" s="66"/>
      <c r="H43" s="66"/>
      <c r="I43" s="66">
        <v>7</v>
      </c>
      <c r="J43" s="67">
        <f>6*4+4</f>
        <v>28</v>
      </c>
      <c r="K43" s="68">
        <f>93*6+5</f>
        <v>563</v>
      </c>
      <c r="L43" s="63"/>
      <c r="M43" s="64">
        <v>398</v>
      </c>
      <c r="N43" s="65"/>
      <c r="O43" s="66">
        <v>258</v>
      </c>
      <c r="P43" s="67"/>
      <c r="Q43" s="67">
        <v>80</v>
      </c>
      <c r="R43" s="68"/>
      <c r="S43" s="63"/>
      <c r="T43" s="78">
        <f t="shared" ref="T43" si="6">H43+I43+J43+K43+N43+P43+R43</f>
        <v>598</v>
      </c>
      <c r="U43" s="78">
        <f>C43*6+M43*6+O43*6+Q43*6+T43</f>
        <v>191638</v>
      </c>
      <c r="V43" s="78">
        <f>U43/6</f>
        <v>31939.666666666668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>
        <v>4</v>
      </c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96</v>
      </c>
      <c r="V46" s="76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22+2268+44</f>
        <v>2334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14098</v>
      </c>
      <c r="V47" s="78">
        <f>U47/6</f>
        <v>2349.6666666666665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6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144</v>
      </c>
      <c r="V53" s="76">
        <f t="shared" si="9"/>
        <v>6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44405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44</v>
      </c>
      <c r="I58" s="6">
        <f t="shared" si="11"/>
        <v>9</v>
      </c>
      <c r="J58" s="6">
        <f t="shared" si="11"/>
        <v>28</v>
      </c>
      <c r="K58" s="6">
        <f t="shared" si="11"/>
        <v>604</v>
      </c>
      <c r="M58" s="5">
        <f t="shared" ref="M58:R58" si="12">SUM(M7:M57)</f>
        <v>427</v>
      </c>
      <c r="N58" s="5">
        <f t="shared" si="12"/>
        <v>12</v>
      </c>
      <c r="O58" s="5">
        <f t="shared" si="12"/>
        <v>394</v>
      </c>
      <c r="P58" s="5">
        <f t="shared" si="12"/>
        <v>21</v>
      </c>
      <c r="Q58" s="5">
        <f t="shared" si="12"/>
        <v>164</v>
      </c>
      <c r="R58" s="5">
        <f t="shared" si="12"/>
        <v>13</v>
      </c>
      <c r="S58" s="56"/>
      <c r="T58" s="4">
        <f>SUM(T7:T57)</f>
        <v>731</v>
      </c>
      <c r="U58" s="95">
        <f>SUM(U7:U57)</f>
        <v>378377</v>
      </c>
      <c r="V58" s="4">
        <f>SUM(V7:V57)</f>
        <v>45497.458333333336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F5F4-C5DF-4049-87CE-B29D5D492895}">
  <sheetPr>
    <pageSetUpPr fitToPage="1"/>
  </sheetPr>
  <dimension ref="A1:BB81"/>
  <sheetViews>
    <sheetView zoomScaleNormal="100" zoomScaleSheetLayoutView="115" workbookViewId="0">
      <selection activeCell="N9" sqref="N9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73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102" t="s">
        <v>61</v>
      </c>
      <c r="O4" s="35" t="s">
        <v>39</v>
      </c>
      <c r="P4" s="102" t="s">
        <v>61</v>
      </c>
      <c r="Q4" s="36" t="s">
        <v>40</v>
      </c>
      <c r="R4" s="102" t="s">
        <v>61</v>
      </c>
      <c r="S4" s="9"/>
      <c r="T4" s="122" t="s">
        <v>68</v>
      </c>
      <c r="U4" s="124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101" t="s">
        <v>64</v>
      </c>
      <c r="I5" s="101" t="s">
        <v>60</v>
      </c>
      <c r="J5" s="113" t="s">
        <v>65</v>
      </c>
      <c r="K5" s="114"/>
      <c r="M5" s="37"/>
      <c r="N5" s="49"/>
      <c r="O5" s="40"/>
      <c r="P5" s="92"/>
      <c r="Q5" s="92"/>
      <c r="R5" s="38"/>
      <c r="S5" s="9"/>
      <c r="T5" s="123"/>
      <c r="U5" s="125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2"/>
      <c r="K6" s="38"/>
      <c r="M6" s="37"/>
      <c r="N6" s="49"/>
      <c r="O6" s="40"/>
      <c r="P6" s="92"/>
      <c r="Q6" s="92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1605</v>
      </c>
      <c r="V7" s="59">
        <f>U7/24</f>
        <v>66.875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50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>
        <v>1</v>
      </c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1224</v>
      </c>
      <c r="V9" s="77">
        <f t="shared" ref="V9:V11" si="3">U9/24</f>
        <v>51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22</v>
      </c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1</v>
      </c>
      <c r="P10" s="72"/>
      <c r="Q10" s="72"/>
      <c r="R10" s="73"/>
      <c r="S10" s="56"/>
      <c r="T10" s="59">
        <f t="shared" si="0"/>
        <v>0</v>
      </c>
      <c r="U10" s="59">
        <f t="shared" si="2"/>
        <v>552</v>
      </c>
      <c r="V10" s="59">
        <f t="shared" si="3"/>
        <v>23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576+72+720+60+63+936+45+1440</f>
        <v>3912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3</v>
      </c>
      <c r="N12" s="65"/>
      <c r="O12" s="66">
        <v>4</v>
      </c>
      <c r="P12" s="67">
        <v>5</v>
      </c>
      <c r="Q12" s="67">
        <v>22</v>
      </c>
      <c r="R12" s="68">
        <v>13</v>
      </c>
      <c r="S12" s="63"/>
      <c r="T12" s="59">
        <f t="shared" si="0"/>
        <v>18</v>
      </c>
      <c r="U12" s="70">
        <f>C12*24+M12*24+O12*24+Q12*24+T12</f>
        <v>94602</v>
      </c>
      <c r="V12" s="70">
        <f>U12/24</f>
        <v>3941.75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8</v>
      </c>
      <c r="N23" s="75"/>
      <c r="O23" s="71">
        <v>10</v>
      </c>
      <c r="P23" s="72"/>
      <c r="Q23" s="72">
        <v>10</v>
      </c>
      <c r="R23" s="73"/>
      <c r="S23" s="56"/>
      <c r="T23" s="59">
        <f t="shared" si="0"/>
        <v>0</v>
      </c>
      <c r="U23" s="76">
        <f t="shared" si="4"/>
        <v>1080</v>
      </c>
      <c r="V23" s="76">
        <f t="shared" si="5"/>
        <v>45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63+59</f>
        <v>122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/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2939</v>
      </c>
      <c r="V25" s="76">
        <f t="shared" si="5"/>
        <v>122.45833333333333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16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64+24</f>
        <v>88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1</v>
      </c>
      <c r="N28" s="75"/>
      <c r="O28" s="71">
        <v>2</v>
      </c>
      <c r="P28" s="72"/>
      <c r="Q28" s="72">
        <v>4</v>
      </c>
      <c r="R28" s="73"/>
      <c r="S28" s="56"/>
      <c r="T28" s="59">
        <f t="shared" si="0"/>
        <v>0</v>
      </c>
      <c r="U28" s="76">
        <f t="shared" si="4"/>
        <v>2280</v>
      </c>
      <c r="V28" s="76">
        <f t="shared" si="5"/>
        <v>95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v>4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96</v>
      </c>
      <c r="V31" s="76">
        <f t="shared" si="5"/>
        <v>4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61+72</f>
        <v>133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/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3257</v>
      </c>
      <c r="V34" s="76">
        <f t="shared" si="5"/>
        <v>135.70833333333334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216+53+2376+1512</f>
        <v>4157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/>
      <c r="N37" s="65"/>
      <c r="O37" s="66">
        <v>17</v>
      </c>
      <c r="P37" s="67"/>
      <c r="Q37" s="67">
        <v>143</v>
      </c>
      <c r="R37" s="68"/>
      <c r="S37" s="63"/>
      <c r="T37" s="78">
        <f t="shared" si="0"/>
        <v>8</v>
      </c>
      <c r="U37" s="78">
        <f>C37*6+M37*6+O37*6+Q37*6+T37</f>
        <v>25910</v>
      </c>
      <c r="V37" s="78">
        <f>U37/6</f>
        <v>4318.333333333333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12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57"/>
      <c r="N39" s="58"/>
      <c r="O39" s="53"/>
      <c r="P39" s="54"/>
      <c r="Q39" s="53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50+504</f>
        <v>554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13392</v>
      </c>
      <c r="V40" s="78">
        <f>U40/24</f>
        <v>558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1344+82</f>
        <v>1426</v>
      </c>
      <c r="D41" s="85"/>
      <c r="E41" s="85"/>
      <c r="F41" s="85"/>
      <c r="G41" s="85"/>
      <c r="H41" s="85"/>
      <c r="I41" s="85"/>
      <c r="J41" s="86"/>
      <c r="K41" s="87"/>
      <c r="L41" s="88"/>
      <c r="M41" s="89">
        <v>2</v>
      </c>
      <c r="N41" s="90"/>
      <c r="O41" s="85">
        <v>6</v>
      </c>
      <c r="P41" s="86"/>
      <c r="Q41" s="86">
        <v>15</v>
      </c>
      <c r="R41" s="87"/>
      <c r="S41" s="88"/>
      <c r="T41" s="91">
        <f t="shared" si="0"/>
        <v>0</v>
      </c>
      <c r="U41" s="91">
        <f>C41*12+M41*12+O41*12+Q41*12+T41</f>
        <v>17388</v>
      </c>
      <c r="V41" s="91">
        <f>U41/12</f>
        <v>1449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5940+8424+5400+4644+6372</f>
        <v>30780</v>
      </c>
      <c r="D43" s="66"/>
      <c r="E43" s="66"/>
      <c r="F43" s="66"/>
      <c r="G43" s="66"/>
      <c r="H43" s="66"/>
      <c r="I43" s="66">
        <v>7</v>
      </c>
      <c r="J43" s="67">
        <f>4*6+4</f>
        <v>28</v>
      </c>
      <c r="K43" s="68">
        <f>93*6+5</f>
        <v>563</v>
      </c>
      <c r="L43" s="63"/>
      <c r="M43" s="64">
        <v>56</v>
      </c>
      <c r="N43" s="65"/>
      <c r="O43" s="66">
        <v>85</v>
      </c>
      <c r="P43" s="67"/>
      <c r="Q43" s="67">
        <v>296</v>
      </c>
      <c r="R43" s="68"/>
      <c r="S43" s="63"/>
      <c r="T43" s="78">
        <f t="shared" ref="T43" si="6">H43+I43+J43+K43+N43+P43+R43</f>
        <v>598</v>
      </c>
      <c r="U43" s="78">
        <f>C43*6+M43*6+O43*6+Q43*6+T43</f>
        <v>187900</v>
      </c>
      <c r="V43" s="78">
        <f>U43/6</f>
        <v>31316.666666666668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44+22+2268</f>
        <v>2334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14098</v>
      </c>
      <c r="V47" s="78">
        <f>U47/6</f>
        <v>2349.6666666666665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43937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44</v>
      </c>
      <c r="I58" s="6">
        <f t="shared" si="11"/>
        <v>9</v>
      </c>
      <c r="J58" s="6">
        <f t="shared" si="11"/>
        <v>28</v>
      </c>
      <c r="K58" s="6">
        <f t="shared" si="11"/>
        <v>604</v>
      </c>
      <c r="M58" s="5">
        <f t="shared" ref="M58:R58" si="12">SUM(M7:M57)</f>
        <v>72</v>
      </c>
      <c r="N58" s="5">
        <f t="shared" si="12"/>
        <v>12</v>
      </c>
      <c r="O58" s="5">
        <f t="shared" si="12"/>
        <v>134</v>
      </c>
      <c r="P58" s="5">
        <f t="shared" si="12"/>
        <v>21</v>
      </c>
      <c r="Q58" s="5">
        <f t="shared" si="12"/>
        <v>508</v>
      </c>
      <c r="R58" s="5">
        <f t="shared" si="12"/>
        <v>13</v>
      </c>
      <c r="S58" s="56"/>
      <c r="T58" s="4">
        <f>SUM(T7:T57)</f>
        <v>731</v>
      </c>
      <c r="U58" s="95">
        <f>SUM(U7:U57)</f>
        <v>372479</v>
      </c>
      <c r="V58" s="4">
        <f>SUM(V7:V57)</f>
        <v>44758.458333333336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154A-467C-45B6-A794-26411351FB9A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75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0"/>
      <c r="Q5" s="100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0"/>
      <c r="K6" s="38"/>
      <c r="M6" s="37"/>
      <c r="N6" s="49"/>
      <c r="O6" s="40"/>
      <c r="P6" s="100"/>
      <c r="Q6" s="100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1605</v>
      </c>
      <c r="V7" s="59">
        <f>U7/24</f>
        <v>66.875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33</v>
      </c>
      <c r="D9" s="71"/>
      <c r="E9" s="71"/>
      <c r="F9" s="71"/>
      <c r="G9" s="71"/>
      <c r="H9" s="71"/>
      <c r="I9" s="71"/>
      <c r="J9" s="72"/>
      <c r="K9" s="73"/>
      <c r="L9" s="56"/>
      <c r="M9" s="74">
        <v>2</v>
      </c>
      <c r="N9" s="75"/>
      <c r="O9" s="71">
        <v>1</v>
      </c>
      <c r="P9" s="72"/>
      <c r="Q9" s="72">
        <v>15</v>
      </c>
      <c r="R9" s="73"/>
      <c r="S9" s="56"/>
      <c r="T9" s="76">
        <f t="shared" si="0"/>
        <v>0</v>
      </c>
      <c r="U9" s="77">
        <f t="shared" ref="U9:U11" si="2">C9*24+M9*24+O9*24+Q9*24+T9</f>
        <v>1224</v>
      </c>
      <c r="V9" s="77">
        <f t="shared" ref="V9:V11" si="3">U9/24</f>
        <v>51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6</v>
      </c>
      <c r="D10" s="71"/>
      <c r="E10" s="71"/>
      <c r="F10" s="71"/>
      <c r="G10" s="71"/>
      <c r="H10" s="71"/>
      <c r="I10" s="71"/>
      <c r="J10" s="72"/>
      <c r="K10" s="73"/>
      <c r="L10" s="56"/>
      <c r="M10" s="74">
        <v>1</v>
      </c>
      <c r="N10" s="75"/>
      <c r="O10" s="71">
        <v>1</v>
      </c>
      <c r="P10" s="72"/>
      <c r="Q10" s="72">
        <v>15</v>
      </c>
      <c r="R10" s="73"/>
      <c r="S10" s="56"/>
      <c r="T10" s="59">
        <f t="shared" si="0"/>
        <v>0</v>
      </c>
      <c r="U10" s="59">
        <f t="shared" si="2"/>
        <v>552</v>
      </c>
      <c r="V10" s="59">
        <f t="shared" si="3"/>
        <v>23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72+720+60+63+936+20+1440+576</f>
        <v>3887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13</v>
      </c>
      <c r="N12" s="65"/>
      <c r="O12" s="66">
        <v>9</v>
      </c>
      <c r="P12" s="67">
        <v>5</v>
      </c>
      <c r="Q12" s="67">
        <v>19</v>
      </c>
      <c r="R12" s="68"/>
      <c r="S12" s="63"/>
      <c r="T12" s="59">
        <f t="shared" si="0"/>
        <v>5</v>
      </c>
      <c r="U12" s="70">
        <f>C12*24+M12*24+O12*24+Q12*24+T12</f>
        <v>94277</v>
      </c>
      <c r="V12" s="70">
        <f>U12/24</f>
        <v>3928.2083333333335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/>
      <c r="P23" s="72"/>
      <c r="Q23" s="72"/>
      <c r="R23" s="73"/>
      <c r="S23" s="56"/>
      <c r="T23" s="59">
        <f t="shared" si="0"/>
        <v>0</v>
      </c>
      <c r="U23" s="76">
        <f t="shared" si="4"/>
        <v>408</v>
      </c>
      <c r="V23" s="76">
        <f t="shared" si="5"/>
        <v>17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>
        <v>8</v>
      </c>
      <c r="N24" s="75"/>
      <c r="O24" s="71">
        <v>10</v>
      </c>
      <c r="P24" s="72"/>
      <c r="Q24" s="72">
        <v>10</v>
      </c>
      <c r="R24" s="73"/>
      <c r="S24" s="56"/>
      <c r="T24" s="59">
        <f t="shared" si="0"/>
        <v>0</v>
      </c>
      <c r="U24" s="76">
        <f t="shared" si="4"/>
        <v>840</v>
      </c>
      <c r="V24" s="76">
        <f t="shared" si="5"/>
        <v>35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58+63</f>
        <v>121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1</v>
      </c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2939</v>
      </c>
      <c r="V25" s="76">
        <f t="shared" si="5"/>
        <v>122.45833333333333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16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64+23</f>
        <v>87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>
        <v>4</v>
      </c>
      <c r="R28" s="73"/>
      <c r="S28" s="56"/>
      <c r="T28" s="59">
        <f t="shared" si="0"/>
        <v>0</v>
      </c>
      <c r="U28" s="76">
        <f t="shared" si="4"/>
        <v>2280</v>
      </c>
      <c r="V28" s="76">
        <f t="shared" si="5"/>
        <v>95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f>57</f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v>2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>
        <v>2</v>
      </c>
      <c r="R31" s="73"/>
      <c r="S31" s="56"/>
      <c r="T31" s="59">
        <f t="shared" si="0"/>
        <v>0</v>
      </c>
      <c r="U31" s="76">
        <f t="shared" si="4"/>
        <v>96</v>
      </c>
      <c r="V31" s="76">
        <f t="shared" si="5"/>
        <v>4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60+72</f>
        <v>132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3257</v>
      </c>
      <c r="V34" s="76">
        <f t="shared" si="5"/>
        <v>135.70833333333334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108+2376+1512+15</f>
        <v>4011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25</v>
      </c>
      <c r="N37" s="65"/>
      <c r="O37" s="66">
        <v>30</v>
      </c>
      <c r="P37" s="67"/>
      <c r="Q37" s="67">
        <v>140</v>
      </c>
      <c r="R37" s="68"/>
      <c r="S37" s="63"/>
      <c r="T37" s="78">
        <f t="shared" si="0"/>
        <v>8</v>
      </c>
      <c r="U37" s="78">
        <f>C37*6+M37*6+O37*6+Q37*6+T37</f>
        <v>25244</v>
      </c>
      <c r="V37" s="78">
        <f>U37/6</f>
        <v>4207.333333333333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12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57"/>
      <c r="N39" s="58"/>
      <c r="O39" s="53"/>
      <c r="P39" s="54"/>
      <c r="Q39" s="53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504+50</f>
        <v>554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13392</v>
      </c>
      <c r="V40" s="78">
        <f>U40/24</f>
        <v>558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1344+67</f>
        <v>1411</v>
      </c>
      <c r="D41" s="85"/>
      <c r="E41" s="85"/>
      <c r="F41" s="85"/>
      <c r="G41" s="85"/>
      <c r="H41" s="85"/>
      <c r="I41" s="85"/>
      <c r="J41" s="86"/>
      <c r="K41" s="87"/>
      <c r="L41" s="88"/>
      <c r="M41" s="89">
        <v>5</v>
      </c>
      <c r="N41" s="90"/>
      <c r="O41" s="85">
        <v>8</v>
      </c>
      <c r="P41" s="86"/>
      <c r="Q41" s="86">
        <v>15</v>
      </c>
      <c r="R41" s="87"/>
      <c r="S41" s="88"/>
      <c r="T41" s="91">
        <f t="shared" si="0"/>
        <v>0</v>
      </c>
      <c r="U41" s="91">
        <f>C41*12+M41*12+O41*12+Q41*12+T41</f>
        <v>17268</v>
      </c>
      <c r="V41" s="91">
        <f>U41/12</f>
        <v>1439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5940+8424+5400+4644+5184+107</f>
        <v>29699</v>
      </c>
      <c r="D43" s="66"/>
      <c r="E43" s="66"/>
      <c r="F43" s="66"/>
      <c r="G43" s="66"/>
      <c r="H43" s="66"/>
      <c r="I43" s="66">
        <v>7</v>
      </c>
      <c r="J43" s="67">
        <f>4*6+4</f>
        <v>28</v>
      </c>
      <c r="K43" s="68">
        <f>93*6+5</f>
        <v>563</v>
      </c>
      <c r="L43" s="63"/>
      <c r="M43" s="64">
        <v>320</v>
      </c>
      <c r="N43" s="65"/>
      <c r="O43" s="66">
        <v>410</v>
      </c>
      <c r="P43" s="67"/>
      <c r="Q43" s="67">
        <v>433</v>
      </c>
      <c r="R43" s="68"/>
      <c r="S43" s="63"/>
      <c r="T43" s="78">
        <f t="shared" ref="T43" si="6">H43+I43+J43+K43+N43+P43+R43</f>
        <v>598</v>
      </c>
      <c r="U43" s="78">
        <f>C43*6+M43*6+O43*6+Q43*6+T43</f>
        <v>185770</v>
      </c>
      <c r="V43" s="78">
        <f>U43/6</f>
        <v>30961.666666666668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18+44+2268</f>
        <v>2330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5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14098</v>
      </c>
      <c r="V47" s="78">
        <f>U47/6</f>
        <v>2349.6666666666665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42628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44</v>
      </c>
      <c r="I58" s="6">
        <f t="shared" si="11"/>
        <v>9</v>
      </c>
      <c r="J58" s="6">
        <f t="shared" si="11"/>
        <v>28</v>
      </c>
      <c r="K58" s="6">
        <f t="shared" si="11"/>
        <v>604</v>
      </c>
      <c r="M58" s="5">
        <f t="shared" ref="M58:R58" si="12">SUM(M7:M57)</f>
        <v>384</v>
      </c>
      <c r="N58" s="5">
        <f t="shared" si="12"/>
        <v>12</v>
      </c>
      <c r="O58" s="5">
        <f t="shared" si="12"/>
        <v>479</v>
      </c>
      <c r="P58" s="5">
        <f t="shared" si="12"/>
        <v>21</v>
      </c>
      <c r="Q58" s="5">
        <f t="shared" si="12"/>
        <v>671</v>
      </c>
      <c r="R58" s="5">
        <f t="shared" si="12"/>
        <v>0</v>
      </c>
      <c r="S58" s="56"/>
      <c r="T58" s="4">
        <f>SUM(T7:T57)</f>
        <v>718</v>
      </c>
      <c r="U58" s="95">
        <f>SUM(U7:U57)</f>
        <v>369238</v>
      </c>
      <c r="V58" s="4">
        <f>SUM(V7:V57)</f>
        <v>44268.916666666664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0F61-5435-441A-AE16-8829F017334A}">
  <sheetPr>
    <pageSetUpPr fitToPage="1"/>
  </sheetPr>
  <dimension ref="A1:BB81"/>
  <sheetViews>
    <sheetView topLeftCell="A37" zoomScaleNormal="100" zoomScaleSheetLayoutView="115" workbookViewId="0">
      <selection activeCell="T12" sqref="T1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7.570312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76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99"/>
      <c r="Q5" s="99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21+41</f>
        <v>62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1605</v>
      </c>
      <c r="V7" s="59">
        <f>U7/24</f>
        <v>66.875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33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792</v>
      </c>
      <c r="V9" s="77">
        <f t="shared" ref="V9:V11" si="3">U9/24</f>
        <v>33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6</v>
      </c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1</v>
      </c>
      <c r="P10" s="72"/>
      <c r="Q10" s="72"/>
      <c r="R10" s="73"/>
      <c r="S10" s="56"/>
      <c r="T10" s="59">
        <f t="shared" si="0"/>
        <v>0</v>
      </c>
      <c r="U10" s="59">
        <f t="shared" si="2"/>
        <v>168</v>
      </c>
      <c r="V10" s="59">
        <f t="shared" si="3"/>
        <v>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720+72+60+63+864+56+1440+576</f>
        <v>3851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22</v>
      </c>
      <c r="N12" s="65"/>
      <c r="O12" s="66">
        <v>5</v>
      </c>
      <c r="P12" s="67">
        <v>5</v>
      </c>
      <c r="Q12" s="67">
        <v>20</v>
      </c>
      <c r="R12" s="68"/>
      <c r="S12" s="63"/>
      <c r="T12" s="70">
        <f t="shared" si="0"/>
        <v>5</v>
      </c>
      <c r="U12" s="70">
        <f>C12*24+M12*24+O12*24+Q12*24+T12</f>
        <v>93557</v>
      </c>
      <c r="V12" s="70">
        <f>U12/24</f>
        <v>3898.2083333333335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77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6</v>
      </c>
      <c r="N23" s="75"/>
      <c r="O23" s="71">
        <v>10</v>
      </c>
      <c r="P23" s="72"/>
      <c r="Q23" s="72">
        <v>9</v>
      </c>
      <c r="R23" s="73"/>
      <c r="S23" s="56"/>
      <c r="T23" s="59">
        <f t="shared" si="0"/>
        <v>0</v>
      </c>
      <c r="U23" s="76">
        <f t="shared" si="4"/>
        <v>1008</v>
      </c>
      <c r="V23" s="76">
        <f t="shared" si="5"/>
        <v>42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57+63</f>
        <v>120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/>
      <c r="N25" s="75"/>
      <c r="O25" s="71"/>
      <c r="P25" s="72"/>
      <c r="Q25" s="72"/>
      <c r="R25" s="73"/>
      <c r="S25" s="56"/>
      <c r="T25" s="59">
        <f t="shared" si="0"/>
        <v>11</v>
      </c>
      <c r="U25" s="76">
        <f t="shared" si="4"/>
        <v>2891</v>
      </c>
      <c r="V25" s="76">
        <f t="shared" si="5"/>
        <v>120.45833333333333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16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64+19</f>
        <v>83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1</v>
      </c>
      <c r="N28" s="75"/>
      <c r="O28" s="71">
        <v>2</v>
      </c>
      <c r="P28" s="72"/>
      <c r="Q28" s="72">
        <v>4</v>
      </c>
      <c r="R28" s="73"/>
      <c r="S28" s="56"/>
      <c r="T28" s="59">
        <f t="shared" si="0"/>
        <v>0</v>
      </c>
      <c r="U28" s="76">
        <f t="shared" si="4"/>
        <v>2160</v>
      </c>
      <c r="V28" s="76">
        <f t="shared" si="5"/>
        <v>90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10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>
        <v>2</v>
      </c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48</v>
      </c>
      <c r="V31" s="76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60+72</f>
        <v>132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>
        <v>12</v>
      </c>
      <c r="O34" s="71"/>
      <c r="P34" s="72"/>
      <c r="Q34" s="72">
        <v>2</v>
      </c>
      <c r="R34" s="73"/>
      <c r="S34" s="56"/>
      <c r="T34" s="59">
        <f t="shared" si="0"/>
        <v>17</v>
      </c>
      <c r="U34" s="76">
        <f t="shared" si="4"/>
        <v>3257</v>
      </c>
      <c r="V34" s="76">
        <f t="shared" si="5"/>
        <v>135.70833333333334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19+2376+1512</f>
        <v>3907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>
        <v>64</v>
      </c>
      <c r="M37" s="64">
        <v>64</v>
      </c>
      <c r="N37" s="65"/>
      <c r="O37" s="66">
        <v>10</v>
      </c>
      <c r="P37" s="67"/>
      <c r="Q37" s="67">
        <v>81</v>
      </c>
      <c r="R37" s="68"/>
      <c r="S37" s="63"/>
      <c r="T37" s="78">
        <f t="shared" si="0"/>
        <v>8</v>
      </c>
      <c r="U37" s="78">
        <f>C37*6+M37*6+O37*6+Q37*6+T37</f>
        <v>24380</v>
      </c>
      <c r="V37" s="78">
        <f>U37/6</f>
        <v>4063.3333333333335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12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441+61</f>
        <v>502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12192</v>
      </c>
      <c r="V40" s="78">
        <f>U40/24</f>
        <v>508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6+1344</f>
        <v>1350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53</v>
      </c>
      <c r="N41" s="90"/>
      <c r="O41" s="85">
        <v>4</v>
      </c>
      <c r="P41" s="86"/>
      <c r="Q41" s="86">
        <v>15</v>
      </c>
      <c r="R41" s="87">
        <v>9</v>
      </c>
      <c r="S41" s="88"/>
      <c r="T41" s="91">
        <f t="shared" si="0"/>
        <v>18</v>
      </c>
      <c r="U41" s="91">
        <f>C41*12+M41*12+O41*12+Q41*12+T41</f>
        <v>17082</v>
      </c>
      <c r="V41" s="91">
        <f>U41/12</f>
        <v>1423.5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5940+8424+5400+4644+4104</f>
        <v>28512</v>
      </c>
      <c r="D43" s="66"/>
      <c r="E43" s="66"/>
      <c r="F43" s="66"/>
      <c r="G43" s="66"/>
      <c r="H43" s="66">
        <v>5</v>
      </c>
      <c r="I43" s="66">
        <v>7</v>
      </c>
      <c r="J43" s="67">
        <f>5*6+4</f>
        <v>34</v>
      </c>
      <c r="K43" s="68">
        <f>93*6+5</f>
        <v>563</v>
      </c>
      <c r="L43" s="63"/>
      <c r="M43" s="64">
        <v>452</v>
      </c>
      <c r="N43" s="65"/>
      <c r="O43" s="66">
        <v>328</v>
      </c>
      <c r="P43" s="67"/>
      <c r="Q43" s="67">
        <v>432</v>
      </c>
      <c r="R43" s="68">
        <v>109</v>
      </c>
      <c r="S43" s="63"/>
      <c r="T43" s="78">
        <f t="shared" ref="T43" si="6">H43+I43+J43+K43+N43+P43+R43</f>
        <v>718</v>
      </c>
      <c r="U43" s="78">
        <f>C43*6+M43*6+O43*6+Q43*6+T43</f>
        <v>179062</v>
      </c>
      <c r="V43" s="78">
        <f>U43/6</f>
        <v>29843.666666666668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18+2268+44</f>
        <v>2330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4</v>
      </c>
      <c r="N47" s="65"/>
      <c r="O47" s="66">
        <v>3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14092</v>
      </c>
      <c r="V47" s="78">
        <f>U47/6</f>
        <v>2348.6666666666665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41183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58</v>
      </c>
      <c r="I58" s="6">
        <f t="shared" si="11"/>
        <v>9</v>
      </c>
      <c r="J58" s="6">
        <f t="shared" si="11"/>
        <v>34</v>
      </c>
      <c r="K58" s="6">
        <f t="shared" si="11"/>
        <v>604</v>
      </c>
      <c r="M58" s="5">
        <f t="shared" ref="M58:R58" si="12">SUM(M7:M57)</f>
        <v>606</v>
      </c>
      <c r="N58" s="5">
        <f t="shared" si="12"/>
        <v>12</v>
      </c>
      <c r="O58" s="5">
        <f t="shared" si="12"/>
        <v>368</v>
      </c>
      <c r="P58" s="5">
        <f t="shared" si="12"/>
        <v>21</v>
      </c>
      <c r="Q58" s="5">
        <f t="shared" si="12"/>
        <v>579</v>
      </c>
      <c r="R58" s="5">
        <f t="shared" si="12"/>
        <v>118</v>
      </c>
      <c r="S58" s="56"/>
      <c r="T58" s="4">
        <f>SUM(T7:T57)</f>
        <v>856</v>
      </c>
      <c r="U58" s="4">
        <f>SUM(U7:U57)</f>
        <v>358450</v>
      </c>
      <c r="V58" s="4">
        <f>SUM(V7:V57)</f>
        <v>42864.416666666664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979F-B1E4-46BE-B2CF-4B5C9EB1EDDA}">
  <sheetPr>
    <pageSetUpPr fitToPage="1"/>
  </sheetPr>
  <dimension ref="A1:BB81"/>
  <sheetViews>
    <sheetView topLeftCell="A28"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77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0"/>
      <c r="Q5" s="100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0"/>
      <c r="K6" s="38"/>
      <c r="M6" s="37"/>
      <c r="N6" s="49"/>
      <c r="O6" s="40"/>
      <c r="P6" s="100"/>
      <c r="Q6" s="100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19+41</f>
        <v>60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2</v>
      </c>
      <c r="N7" s="58"/>
      <c r="O7" s="53">
        <v>2</v>
      </c>
      <c r="P7" s="54">
        <v>12</v>
      </c>
      <c r="Q7" s="54">
        <v>1</v>
      </c>
      <c r="R7" s="55"/>
      <c r="S7" s="56"/>
      <c r="T7" s="59">
        <f>H7+I7+J7+K7+N7+P7+R7</f>
        <v>21</v>
      </c>
      <c r="U7" s="59">
        <f>C7*24+M7*24+O7*24+Q7*24+T7</f>
        <v>1581</v>
      </c>
      <c r="V7" s="59">
        <f>U7/24</f>
        <v>65.875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2448</v>
      </c>
      <c r="V8" s="70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31</v>
      </c>
      <c r="D9" s="71"/>
      <c r="E9" s="71"/>
      <c r="F9" s="71"/>
      <c r="G9" s="71"/>
      <c r="H9" s="71"/>
      <c r="I9" s="71"/>
      <c r="J9" s="72"/>
      <c r="K9" s="73"/>
      <c r="L9" s="56"/>
      <c r="M9" s="74">
        <v>1</v>
      </c>
      <c r="N9" s="75"/>
      <c r="O9" s="71">
        <v>1</v>
      </c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792</v>
      </c>
      <c r="V9" s="77">
        <f t="shared" ref="V9:V11" si="3">U9/24</f>
        <v>33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5</v>
      </c>
      <c r="D10" s="71"/>
      <c r="E10" s="71"/>
      <c r="F10" s="71"/>
      <c r="G10" s="71"/>
      <c r="H10" s="71"/>
      <c r="I10" s="71"/>
      <c r="J10" s="72"/>
      <c r="K10" s="73"/>
      <c r="L10" s="56"/>
      <c r="M10" s="74">
        <v>1</v>
      </c>
      <c r="N10" s="75"/>
      <c r="O10" s="71">
        <v>1</v>
      </c>
      <c r="P10" s="72"/>
      <c r="Q10" s="72"/>
      <c r="R10" s="73"/>
      <c r="S10" s="56"/>
      <c r="T10" s="59">
        <f t="shared" si="0"/>
        <v>0</v>
      </c>
      <c r="U10" s="59">
        <f t="shared" si="2"/>
        <v>168</v>
      </c>
      <c r="V10" s="59">
        <f t="shared" si="3"/>
        <v>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9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576+72+720+60+63+864+10+1440</f>
        <v>3805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11</v>
      </c>
      <c r="N12" s="65">
        <v>19</v>
      </c>
      <c r="O12" s="66">
        <v>10</v>
      </c>
      <c r="P12" s="67">
        <v>21</v>
      </c>
      <c r="Q12" s="67">
        <v>15</v>
      </c>
      <c r="R12" s="68"/>
      <c r="S12" s="63"/>
      <c r="T12" s="59">
        <f t="shared" si="0"/>
        <v>40</v>
      </c>
      <c r="U12" s="70">
        <f>C12*24+M12*24+O12*24+Q12*24+T12</f>
        <v>92224</v>
      </c>
      <c r="V12" s="70">
        <f>U12/24</f>
        <v>3842.6666666666665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4</v>
      </c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4</v>
      </c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10</v>
      </c>
      <c r="P23" s="72"/>
      <c r="Q23" s="72">
        <v>8</v>
      </c>
      <c r="R23" s="73"/>
      <c r="S23" s="56"/>
      <c r="T23" s="59">
        <f t="shared" si="0"/>
        <v>0</v>
      </c>
      <c r="U23" s="76">
        <f t="shared" si="4"/>
        <v>936</v>
      </c>
      <c r="V23" s="76">
        <f t="shared" si="5"/>
        <v>39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63+54</f>
        <v>117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/>
      <c r="R25" s="73"/>
      <c r="S25" s="56"/>
      <c r="T25" s="59">
        <f t="shared" si="0"/>
        <v>11</v>
      </c>
      <c r="U25" s="76">
        <f t="shared" si="4"/>
        <v>2891</v>
      </c>
      <c r="V25" s="76">
        <f t="shared" si="5"/>
        <v>120.45833333333333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16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64+17</f>
        <v>81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>
        <v>2</v>
      </c>
      <c r="R28" s="73"/>
      <c r="S28" s="56"/>
      <c r="T28" s="59">
        <f t="shared" si="0"/>
        <v>0</v>
      </c>
      <c r="U28" s="76">
        <f t="shared" si="4"/>
        <v>2088</v>
      </c>
      <c r="V28" s="76">
        <f t="shared" si="5"/>
        <v>87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8</v>
      </c>
      <c r="D29" s="71"/>
      <c r="E29" s="71"/>
      <c r="F29" s="71"/>
      <c r="G29" s="71"/>
      <c r="H29" s="71"/>
      <c r="I29" s="71"/>
      <c r="J29" s="72"/>
      <c r="K29" s="73"/>
      <c r="L29" s="56"/>
      <c r="M29" s="74">
        <v>1</v>
      </c>
      <c r="N29" s="75"/>
      <c r="O29" s="71">
        <v>1</v>
      </c>
      <c r="P29" s="72"/>
      <c r="Q29" s="72"/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57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>
        <v>1</v>
      </c>
      <c r="N31" s="75"/>
      <c r="O31" s="71">
        <v>1</v>
      </c>
      <c r="P31" s="72"/>
      <c r="Q31" s="72"/>
      <c r="R31" s="73"/>
      <c r="S31" s="56"/>
      <c r="T31" s="59">
        <f t="shared" si="0"/>
        <v>0</v>
      </c>
      <c r="U31" s="76">
        <f t="shared" si="4"/>
        <v>48</v>
      </c>
      <c r="V31" s="76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57+72</f>
        <v>129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2</v>
      </c>
      <c r="R34" s="73"/>
      <c r="S34" s="56"/>
      <c r="T34" s="59">
        <f t="shared" si="0"/>
        <v>5</v>
      </c>
      <c r="U34" s="76">
        <f t="shared" si="4"/>
        <v>3221</v>
      </c>
      <c r="V34" s="76">
        <f t="shared" si="5"/>
        <v>134.20833333333334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2052+74+1512</f>
        <v>3638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20</v>
      </c>
      <c r="N37" s="65"/>
      <c r="O37" s="66">
        <v>30</v>
      </c>
      <c r="P37" s="67"/>
      <c r="Q37" s="67">
        <v>126</v>
      </c>
      <c r="R37" s="68"/>
      <c r="S37" s="63"/>
      <c r="T37" s="78">
        <f t="shared" si="0"/>
        <v>8</v>
      </c>
      <c r="U37" s="78">
        <f>C37*6+M37*6+O37*6+Q37*6+T37</f>
        <v>22892</v>
      </c>
      <c r="V37" s="78">
        <f>U37/6</f>
        <v>3815.3333333333335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12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441+61</f>
        <v>502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1</v>
      </c>
      <c r="R40" s="68"/>
      <c r="S40" s="63"/>
      <c r="T40" s="78">
        <f t="shared" si="0"/>
        <v>24</v>
      </c>
      <c r="U40" s="78">
        <f>C40*24+M40*24+O40*24+Q40*24+T40</f>
        <v>12168</v>
      </c>
      <c r="V40" s="78">
        <f>U40/24</f>
        <v>507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1248+80</f>
        <v>1328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5</v>
      </c>
      <c r="N41" s="90"/>
      <c r="O41" s="85">
        <v>10</v>
      </c>
      <c r="P41" s="86"/>
      <c r="Q41" s="86">
        <v>12</v>
      </c>
      <c r="R41" s="87"/>
      <c r="S41" s="88"/>
      <c r="T41" s="91">
        <f t="shared" si="0"/>
        <v>9</v>
      </c>
      <c r="U41" s="91">
        <f>C41*12+M41*12+O41*12+Q41*12+T41</f>
        <v>16269</v>
      </c>
      <c r="V41" s="91">
        <f>U41/12</f>
        <v>1355.75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5940+8424+5400+4644+2916</f>
        <v>27324</v>
      </c>
      <c r="D43" s="66"/>
      <c r="E43" s="66"/>
      <c r="F43" s="66"/>
      <c r="G43" s="66"/>
      <c r="H43" s="66"/>
      <c r="I43" s="66">
        <v>7</v>
      </c>
      <c r="J43" s="67">
        <f>6*6+3</f>
        <v>39</v>
      </c>
      <c r="K43" s="68">
        <f>6*93+5</f>
        <v>563</v>
      </c>
      <c r="L43" s="63"/>
      <c r="M43" s="64">
        <v>326</v>
      </c>
      <c r="N43" s="65"/>
      <c r="O43" s="66">
        <v>272</v>
      </c>
      <c r="P43" s="67"/>
      <c r="Q43" s="67">
        <v>337</v>
      </c>
      <c r="R43" s="68"/>
      <c r="S43" s="63"/>
      <c r="T43" s="78">
        <f t="shared" ref="T43" si="6">H43+I43+J43+K43+N43+P43+R43</f>
        <v>609</v>
      </c>
      <c r="U43" s="78">
        <f>C43*6+M43*6+O43*6+Q43*6+T43</f>
        <v>170163</v>
      </c>
      <c r="V43" s="78">
        <f>U43/6</f>
        <v>28360.5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6+2268+44</f>
        <v>2318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9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14092</v>
      </c>
      <c r="V47" s="78">
        <f>U47/6</f>
        <v>2348.6666666666665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39629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53</v>
      </c>
      <c r="I58" s="6">
        <f t="shared" si="11"/>
        <v>9</v>
      </c>
      <c r="J58" s="6">
        <f t="shared" si="11"/>
        <v>39</v>
      </c>
      <c r="K58" s="6">
        <f t="shared" si="11"/>
        <v>604</v>
      </c>
      <c r="M58" s="5">
        <f t="shared" ref="M58:R58" si="12">SUM(M7:M57)</f>
        <v>389</v>
      </c>
      <c r="N58" s="5">
        <f t="shared" si="12"/>
        <v>19</v>
      </c>
      <c r="O58" s="5">
        <f t="shared" si="12"/>
        <v>355</v>
      </c>
      <c r="P58" s="5">
        <f t="shared" si="12"/>
        <v>37</v>
      </c>
      <c r="Q58" s="5">
        <f t="shared" si="12"/>
        <v>517</v>
      </c>
      <c r="R58" s="5">
        <f t="shared" si="12"/>
        <v>0</v>
      </c>
      <c r="S58" s="56"/>
      <c r="T58" s="4">
        <f>SUM(T7:T57)</f>
        <v>761</v>
      </c>
      <c r="U58" s="95">
        <f>SUM(U7:U57)</f>
        <v>345689</v>
      </c>
      <c r="V58" s="4">
        <f>SUM(V7:V57)</f>
        <v>41000.458333333328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36C6-0FF1-4950-9AC1-7191DC07D583}">
  <sheetPr>
    <pageSetUpPr fitToPage="1"/>
  </sheetPr>
  <dimension ref="A1:BB81"/>
  <sheetViews>
    <sheetView topLeftCell="A28"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78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4"/>
      <c r="Q5" s="104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4"/>
      <c r="K6" s="38"/>
      <c r="M6" s="37"/>
      <c r="N6" s="49"/>
      <c r="O6" s="40"/>
      <c r="P6" s="104"/>
      <c r="Q6" s="10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56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2</v>
      </c>
      <c r="N7" s="58"/>
      <c r="O7" s="53">
        <v>2</v>
      </c>
      <c r="P7" s="54">
        <v>12</v>
      </c>
      <c r="Q7" s="54">
        <v>4</v>
      </c>
      <c r="R7" s="55"/>
      <c r="S7" s="56"/>
      <c r="T7" s="59">
        <f>H7+I7+J7+K7+N7+P7+R7</f>
        <v>21</v>
      </c>
      <c r="U7" s="59">
        <f>C7*24+M7*24+O7*24+Q7*24+T7</f>
        <v>1557</v>
      </c>
      <c r="V7" s="59">
        <f>U7/24</f>
        <v>64.875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2400</v>
      </c>
      <c r="V8" s="70">
        <f>U8/24</f>
        <v>100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28</v>
      </c>
      <c r="D9" s="71"/>
      <c r="E9" s="71"/>
      <c r="F9" s="71"/>
      <c r="G9" s="71"/>
      <c r="H9" s="71"/>
      <c r="I9" s="71"/>
      <c r="J9" s="72"/>
      <c r="K9" s="73"/>
      <c r="L9" s="56"/>
      <c r="M9" s="74">
        <v>1</v>
      </c>
      <c r="N9" s="75"/>
      <c r="O9" s="71">
        <v>2</v>
      </c>
      <c r="P9" s="72"/>
      <c r="Q9" s="72">
        <v>1</v>
      </c>
      <c r="R9" s="73"/>
      <c r="S9" s="56"/>
      <c r="T9" s="76">
        <f t="shared" si="0"/>
        <v>0</v>
      </c>
      <c r="U9" s="77">
        <f t="shared" ref="U9:U11" si="2">C9*24+M9*24+O9*24+Q9*24+T9</f>
        <v>768</v>
      </c>
      <c r="V9" s="77">
        <f t="shared" ref="V9:V11" si="3">U9/24</f>
        <v>32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3</v>
      </c>
      <c r="D10" s="71"/>
      <c r="E10" s="71"/>
      <c r="F10" s="71"/>
      <c r="G10" s="71"/>
      <c r="H10" s="71"/>
      <c r="I10" s="71"/>
      <c r="J10" s="72"/>
      <c r="K10" s="73"/>
      <c r="L10" s="56"/>
      <c r="M10" s="74">
        <v>1</v>
      </c>
      <c r="N10" s="75"/>
      <c r="O10" s="71">
        <v>1</v>
      </c>
      <c r="P10" s="72"/>
      <c r="Q10" s="72">
        <v>1</v>
      </c>
      <c r="R10" s="73"/>
      <c r="S10" s="56"/>
      <c r="T10" s="59">
        <f t="shared" si="0"/>
        <v>0</v>
      </c>
      <c r="U10" s="59">
        <f t="shared" si="2"/>
        <v>144</v>
      </c>
      <c r="V10" s="59">
        <f t="shared" si="3"/>
        <v>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8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>
        <v>1</v>
      </c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72+720+60+63+792+33+1440+576</f>
        <v>3756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20</v>
      </c>
      <c r="N12" s="65">
        <v>13</v>
      </c>
      <c r="O12" s="66">
        <v>12</v>
      </c>
      <c r="P12" s="67">
        <v>15</v>
      </c>
      <c r="Q12" s="67">
        <v>22</v>
      </c>
      <c r="R12" s="68">
        <v>4</v>
      </c>
      <c r="S12" s="63"/>
      <c r="T12" s="59">
        <f t="shared" si="0"/>
        <v>32</v>
      </c>
      <c r="U12" s="70">
        <f>C12*24+M12*24+O12*24+Q12*24+T12</f>
        <v>91472</v>
      </c>
      <c r="V12" s="70">
        <f>U12/24</f>
        <v>3811.3333333333335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3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3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50+63</f>
        <v>113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4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2891</v>
      </c>
      <c r="V25" s="76">
        <f t="shared" si="5"/>
        <v>120.45833333333333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15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64+14</f>
        <v>78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4</v>
      </c>
      <c r="N28" s="75"/>
      <c r="O28" s="71">
        <v>2</v>
      </c>
      <c r="P28" s="72"/>
      <c r="Q28" s="72">
        <v>1</v>
      </c>
      <c r="R28" s="73"/>
      <c r="S28" s="56"/>
      <c r="T28" s="59">
        <f t="shared" si="0"/>
        <v>0</v>
      </c>
      <c r="U28" s="76">
        <f t="shared" si="4"/>
        <v>2040</v>
      </c>
      <c r="V28" s="76">
        <f t="shared" si="5"/>
        <v>85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6</v>
      </c>
      <c r="D29" s="71"/>
      <c r="E29" s="71"/>
      <c r="F29" s="71"/>
      <c r="G29" s="71"/>
      <c r="H29" s="71"/>
      <c r="I29" s="71"/>
      <c r="J29" s="72"/>
      <c r="K29" s="73"/>
      <c r="L29" s="56"/>
      <c r="M29" s="74">
        <v>1</v>
      </c>
      <c r="N29" s="75"/>
      <c r="O29" s="71">
        <v>1</v>
      </c>
      <c r="P29" s="72"/>
      <c r="Q29" s="72">
        <v>2</v>
      </c>
      <c r="R29" s="73"/>
      <c r="S29" s="56"/>
      <c r="T29" s="59">
        <f t="shared" si="0"/>
        <v>0</v>
      </c>
      <c r="U29" s="76">
        <f t="shared" si="4"/>
        <v>240</v>
      </c>
      <c r="V29" s="76">
        <f t="shared" si="5"/>
        <v>10</v>
      </c>
    </row>
    <row r="30" spans="1:54" x14ac:dyDescent="0.25">
      <c r="A30" s="27">
        <f t="shared" si="1"/>
        <v>27</v>
      </c>
      <c r="B30" s="26" t="s">
        <v>15</v>
      </c>
      <c r="C30" s="71">
        <v>56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>
        <v>2</v>
      </c>
      <c r="R30" s="73"/>
      <c r="S30" s="56"/>
      <c r="T30" s="59">
        <f t="shared" si="0"/>
        <v>0</v>
      </c>
      <c r="U30" s="76">
        <f t="shared" si="4"/>
        <v>1440</v>
      </c>
      <c r="V30" s="76">
        <f t="shared" si="5"/>
        <v>60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>
        <v>1</v>
      </c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24</v>
      </c>
      <c r="V31" s="76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53+72</f>
        <v>125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3173</v>
      </c>
      <c r="V34" s="76">
        <f t="shared" si="5"/>
        <v>132.20833333333334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2052+45+1512</f>
        <v>3609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/>
      <c r="N37" s="65"/>
      <c r="O37" s="66">
        <v>30</v>
      </c>
      <c r="P37" s="67"/>
      <c r="Q37" s="67">
        <v>105</v>
      </c>
      <c r="R37" s="68"/>
      <c r="S37" s="63"/>
      <c r="T37" s="78">
        <f t="shared" si="0"/>
        <v>8</v>
      </c>
      <c r="U37" s="78">
        <f>C37*6+M37*6+O37*6+Q37*6+T37</f>
        <v>22472</v>
      </c>
      <c r="V37" s="78">
        <f>U37/6</f>
        <v>3745.3333333333335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11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59+441</f>
        <v>500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12144</v>
      </c>
      <c r="V40" s="78">
        <f>U40/24</f>
        <v>506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1248+68</f>
        <v>1316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2</v>
      </c>
      <c r="N41" s="90"/>
      <c r="O41" s="85">
        <v>8</v>
      </c>
      <c r="P41" s="86"/>
      <c r="Q41" s="86">
        <v>15</v>
      </c>
      <c r="R41" s="87"/>
      <c r="S41" s="88"/>
      <c r="T41" s="91">
        <f t="shared" si="0"/>
        <v>9</v>
      </c>
      <c r="U41" s="91">
        <f>C41*12+M41*12+O41*12+Q41*12+T41</f>
        <v>16101</v>
      </c>
      <c r="V41" s="91">
        <f>U41/12</f>
        <v>1341.75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5940+8424+5400+4536+1728+88</f>
        <v>26116</v>
      </c>
      <c r="D43" s="66"/>
      <c r="E43" s="66"/>
      <c r="F43" s="66"/>
      <c r="G43" s="66"/>
      <c r="H43" s="66"/>
      <c r="I43" s="66">
        <v>7</v>
      </c>
      <c r="J43" s="67">
        <f>6*6+3</f>
        <v>39</v>
      </c>
      <c r="K43" s="68">
        <f>93*6+5</f>
        <v>563</v>
      </c>
      <c r="L43" s="63"/>
      <c r="M43" s="64">
        <v>346</v>
      </c>
      <c r="N43" s="65"/>
      <c r="O43" s="66">
        <v>393</v>
      </c>
      <c r="P43" s="67"/>
      <c r="Q43" s="67">
        <v>440</v>
      </c>
      <c r="R43" s="68"/>
      <c r="S43" s="63"/>
      <c r="T43" s="78">
        <f t="shared" ref="T43" si="6">H43+I43+J43+K43+N43+P43+R43</f>
        <v>609</v>
      </c>
      <c r="U43" s="78">
        <f>C43*6+M43*6+O43*6+Q43*6+T43</f>
        <v>164379</v>
      </c>
      <c r="V43" s="78">
        <f>U43/6</f>
        <v>27396.5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6+2268+44</f>
        <v>2318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9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14092</v>
      </c>
      <c r="V47" s="78">
        <f>U47/6</f>
        <v>2348.6666666666665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38301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53</v>
      </c>
      <c r="I58" s="6">
        <f t="shared" si="11"/>
        <v>9</v>
      </c>
      <c r="J58" s="6">
        <f t="shared" si="11"/>
        <v>39</v>
      </c>
      <c r="K58" s="6">
        <f t="shared" si="11"/>
        <v>604</v>
      </c>
      <c r="M58" s="5">
        <f t="shared" ref="M58:R58" si="12">SUM(M7:M57)</f>
        <v>404</v>
      </c>
      <c r="N58" s="5">
        <f t="shared" si="12"/>
        <v>13</v>
      </c>
      <c r="O58" s="5">
        <f t="shared" si="12"/>
        <v>475</v>
      </c>
      <c r="P58" s="5">
        <f t="shared" si="12"/>
        <v>50</v>
      </c>
      <c r="Q58" s="5">
        <f t="shared" si="12"/>
        <v>619</v>
      </c>
      <c r="R58" s="5">
        <f t="shared" si="12"/>
        <v>4</v>
      </c>
      <c r="S58" s="56"/>
      <c r="T58" s="4">
        <f>SUM(T7:T57)</f>
        <v>772</v>
      </c>
      <c r="U58" s="95">
        <f>SUM(U7:U57)</f>
        <v>338296</v>
      </c>
      <c r="V58" s="4">
        <f>SUM(V7:V57)</f>
        <v>39909.916666666664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D895-99B7-47F2-8E8B-4BB748FB001D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79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4"/>
      <c r="Q5" s="104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4"/>
      <c r="K6" s="38"/>
      <c r="M6" s="37"/>
      <c r="N6" s="49"/>
      <c r="O6" s="40"/>
      <c r="P6" s="104"/>
      <c r="Q6" s="10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56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4</v>
      </c>
      <c r="R7" s="55"/>
      <c r="S7" s="56"/>
      <c r="T7" s="59">
        <f>H7+I7+J7+K7+N7+P7+R7</f>
        <v>21</v>
      </c>
      <c r="U7" s="59">
        <f>C7*24+M7*24+O7*24+Q7*24+T7</f>
        <v>1533</v>
      </c>
      <c r="V7" s="59">
        <f>U7/24</f>
        <v>63.875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2400</v>
      </c>
      <c r="V8" s="70">
        <f>U8/24</f>
        <v>100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27</v>
      </c>
      <c r="D9" s="71"/>
      <c r="E9" s="71"/>
      <c r="F9" s="71"/>
      <c r="G9" s="71"/>
      <c r="H9" s="71"/>
      <c r="I9" s="71"/>
      <c r="J9" s="72"/>
      <c r="K9" s="73"/>
      <c r="L9" s="56"/>
      <c r="M9" s="74">
        <v>1</v>
      </c>
      <c r="N9" s="75"/>
      <c r="O9" s="71">
        <v>2</v>
      </c>
      <c r="P9" s="72"/>
      <c r="Q9" s="72">
        <v>1</v>
      </c>
      <c r="R9" s="73"/>
      <c r="S9" s="56"/>
      <c r="T9" s="76">
        <f t="shared" si="0"/>
        <v>0</v>
      </c>
      <c r="U9" s="77">
        <f t="shared" ref="U9:U11" si="2">C9*24+M9*24+O9*24+Q9*24+T9</f>
        <v>744</v>
      </c>
      <c r="V9" s="77">
        <f t="shared" ref="V9:V11" si="3">U9/24</f>
        <v>31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>
        <v>2</v>
      </c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1</v>
      </c>
      <c r="P10" s="72"/>
      <c r="Q10" s="72">
        <v>1</v>
      </c>
      <c r="R10" s="73"/>
      <c r="S10" s="56"/>
      <c r="T10" s="59">
        <f t="shared" si="0"/>
        <v>0</v>
      </c>
      <c r="U10" s="59">
        <f t="shared" si="2"/>
        <v>96</v>
      </c>
      <c r="V10" s="59">
        <f t="shared" si="3"/>
        <v>4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8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>
        <v>1</v>
      </c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72+720+60+63+792+1440+576</f>
        <v>3723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19</v>
      </c>
      <c r="N12" s="65">
        <v>16</v>
      </c>
      <c r="O12" s="66">
        <v>10</v>
      </c>
      <c r="P12" s="67">
        <v>8</v>
      </c>
      <c r="Q12" s="67">
        <v>20</v>
      </c>
      <c r="R12" s="68">
        <v>14</v>
      </c>
      <c r="S12" s="63"/>
      <c r="T12" s="59">
        <f t="shared" si="0"/>
        <v>38</v>
      </c>
      <c r="U12" s="70">
        <f>C12*24+M12*24+O12*24+Q12*24+T12</f>
        <v>90566</v>
      </c>
      <c r="V12" s="70">
        <f>U12/24</f>
        <v>3773.5833333333335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3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3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63+50+2</f>
        <v>115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2891</v>
      </c>
      <c r="V25" s="76">
        <f t="shared" si="5"/>
        <v>120.45833333333333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15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64+12</f>
        <v>76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>
        <v>4</v>
      </c>
      <c r="R28" s="73"/>
      <c r="S28" s="56"/>
      <c r="T28" s="59">
        <f t="shared" si="0"/>
        <v>0</v>
      </c>
      <c r="U28" s="76">
        <f t="shared" si="4"/>
        <v>2016</v>
      </c>
      <c r="V28" s="76">
        <f t="shared" si="5"/>
        <v>84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6</v>
      </c>
      <c r="D29" s="71"/>
      <c r="E29" s="71"/>
      <c r="F29" s="71"/>
      <c r="G29" s="71"/>
      <c r="H29" s="71"/>
      <c r="I29" s="71"/>
      <c r="J29" s="72"/>
      <c r="K29" s="73"/>
      <c r="L29" s="56"/>
      <c r="M29" s="74">
        <v>1</v>
      </c>
      <c r="N29" s="75"/>
      <c r="O29" s="71">
        <v>1</v>
      </c>
      <c r="P29" s="72"/>
      <c r="Q29" s="72"/>
      <c r="R29" s="73"/>
      <c r="S29" s="56"/>
      <c r="T29" s="59">
        <f t="shared" si="0"/>
        <v>0</v>
      </c>
      <c r="U29" s="76">
        <f t="shared" si="4"/>
        <v>192</v>
      </c>
      <c r="V29" s="76">
        <f t="shared" si="5"/>
        <v>8</v>
      </c>
    </row>
    <row r="30" spans="1:54" x14ac:dyDescent="0.25">
      <c r="A30" s="27">
        <f t="shared" si="1"/>
        <v>27</v>
      </c>
      <c r="B30" s="26" t="s">
        <v>15</v>
      </c>
      <c r="C30" s="71">
        <v>56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1392</v>
      </c>
      <c r="V30" s="76">
        <f t="shared" si="5"/>
        <v>58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>
        <v>1</v>
      </c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24</v>
      </c>
      <c r="V31" s="76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49+72</f>
        <v>121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3077</v>
      </c>
      <c r="V34" s="76">
        <f t="shared" si="5"/>
        <v>128.20833333333334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1944+88+1512</f>
        <v>3544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45</v>
      </c>
      <c r="N37" s="65"/>
      <c r="O37" s="66">
        <v>50</v>
      </c>
      <c r="P37" s="67"/>
      <c r="Q37" s="67">
        <v>100</v>
      </c>
      <c r="R37" s="68"/>
      <c r="S37" s="63"/>
      <c r="T37" s="78">
        <f t="shared" si="0"/>
        <v>8</v>
      </c>
      <c r="U37" s="78">
        <f>C37*6+M37*6+O37*6+Q37*6+T37</f>
        <v>22442</v>
      </c>
      <c r="V37" s="78">
        <f>U37/6</f>
        <v>3740.3333333333335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11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288</v>
      </c>
      <c r="V38" s="76">
        <f>U38/24</f>
        <v>12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57+441</f>
        <v>498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12096</v>
      </c>
      <c r="V40" s="78">
        <f>U40/24</f>
        <v>504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53+1248</f>
        <v>1301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/>
      <c r="N41" s="90"/>
      <c r="O41" s="85">
        <v>8</v>
      </c>
      <c r="P41" s="86"/>
      <c r="Q41" s="86">
        <v>15</v>
      </c>
      <c r="R41" s="87"/>
      <c r="S41" s="88"/>
      <c r="T41" s="91">
        <f t="shared" si="0"/>
        <v>9</v>
      </c>
      <c r="U41" s="91">
        <f>C41*12+M41*12+O41*12+Q41*12+T41</f>
        <v>15897</v>
      </c>
      <c r="V41" s="91">
        <f>U41/12</f>
        <v>1324.75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5940+8424+5400+4536+648+54</f>
        <v>25002</v>
      </c>
      <c r="D43" s="66"/>
      <c r="E43" s="66"/>
      <c r="F43" s="66"/>
      <c r="G43" s="66"/>
      <c r="H43" s="66"/>
      <c r="I43" s="66">
        <v>7</v>
      </c>
      <c r="J43" s="67">
        <f>8*6+3</f>
        <v>51</v>
      </c>
      <c r="K43" s="68">
        <f>93*6+5</f>
        <v>563</v>
      </c>
      <c r="L43" s="63"/>
      <c r="M43" s="64">
        <v>454</v>
      </c>
      <c r="N43" s="65"/>
      <c r="O43" s="66">
        <v>206</v>
      </c>
      <c r="P43" s="67"/>
      <c r="Q43" s="67">
        <v>454</v>
      </c>
      <c r="R43" s="68"/>
      <c r="S43" s="63"/>
      <c r="T43" s="78">
        <f t="shared" ref="T43" si="6">H43+I43+J43+K43+N43+P43+R43</f>
        <v>621</v>
      </c>
      <c r="U43" s="78">
        <f>C43*6+M43*6+O43*6+Q43*6+T43</f>
        <v>157317</v>
      </c>
      <c r="V43" s="78">
        <f>U43/6</f>
        <v>26219.5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6+2268+44</f>
        <v>2318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8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14086</v>
      </c>
      <c r="V47" s="78">
        <f>U47/6</f>
        <v>2347.6666666666665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37066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53</v>
      </c>
      <c r="I58" s="6">
        <f t="shared" si="11"/>
        <v>9</v>
      </c>
      <c r="J58" s="6">
        <f t="shared" si="11"/>
        <v>51</v>
      </c>
      <c r="K58" s="6">
        <f t="shared" si="11"/>
        <v>604</v>
      </c>
      <c r="M58" s="5">
        <f t="shared" ref="M58:R58" si="12">SUM(M7:M57)</f>
        <v>548</v>
      </c>
      <c r="N58" s="5">
        <f t="shared" si="12"/>
        <v>16</v>
      </c>
      <c r="O58" s="5">
        <f t="shared" si="12"/>
        <v>305</v>
      </c>
      <c r="P58" s="5">
        <f t="shared" si="12"/>
        <v>43</v>
      </c>
      <c r="Q58" s="5">
        <f t="shared" si="12"/>
        <v>625</v>
      </c>
      <c r="R58" s="5">
        <f t="shared" si="12"/>
        <v>14</v>
      </c>
      <c r="S58" s="56"/>
      <c r="T58" s="4">
        <f>SUM(T7:T57)</f>
        <v>790</v>
      </c>
      <c r="U58" s="95">
        <f>SUM(U7:U57)</f>
        <v>329728</v>
      </c>
      <c r="V58" s="4">
        <f>SUM(V7:V57)</f>
        <v>38657.166666666664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CCBB-02CD-417B-876A-5CAA07E5A1F2}">
  <sheetPr>
    <pageSetUpPr fitToPage="1"/>
  </sheetPr>
  <dimension ref="A1:BB81"/>
  <sheetViews>
    <sheetView topLeftCell="A31"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80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5"/>
      <c r="Q5" s="105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5"/>
      <c r="K6" s="38"/>
      <c r="M6" s="37"/>
      <c r="N6" s="49"/>
      <c r="O6" s="40"/>
      <c r="P6" s="105"/>
      <c r="Q6" s="105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56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4</v>
      </c>
      <c r="R7" s="55"/>
      <c r="S7" s="56"/>
      <c r="T7" s="59">
        <f>H7+I7+J7+K7+N7+P7+R7</f>
        <v>21</v>
      </c>
      <c r="U7" s="59">
        <f>C7*24+M7*24+O7*24+Q7*24+T7</f>
        <v>1533</v>
      </c>
      <c r="V7" s="59">
        <f>U7/24</f>
        <v>63.875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2400</v>
      </c>
      <c r="V8" s="70">
        <f>U8/24</f>
        <v>100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25</v>
      </c>
      <c r="D9" s="71"/>
      <c r="E9" s="71"/>
      <c r="F9" s="71"/>
      <c r="G9" s="71"/>
      <c r="H9" s="71"/>
      <c r="I9" s="71"/>
      <c r="J9" s="72"/>
      <c r="K9" s="73"/>
      <c r="L9" s="56"/>
      <c r="M9" s="74">
        <v>1</v>
      </c>
      <c r="N9" s="75"/>
      <c r="O9" s="71">
        <v>2</v>
      </c>
      <c r="P9" s="72"/>
      <c r="Q9" s="72">
        <v>2</v>
      </c>
      <c r="R9" s="73"/>
      <c r="S9" s="56"/>
      <c r="T9" s="76">
        <f t="shared" si="0"/>
        <v>0</v>
      </c>
      <c r="U9" s="77">
        <f t="shared" ref="U9:U11" si="2">C9*24+M9*24+O9*24+Q9*24+T9</f>
        <v>720</v>
      </c>
      <c r="V9" s="77">
        <f t="shared" ref="V9:V11" si="3">U9/24</f>
        <v>30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>
        <v>1</v>
      </c>
      <c r="P10" s="72"/>
      <c r="Q10" s="72">
        <v>2</v>
      </c>
      <c r="R10" s="73"/>
      <c r="S10" s="56"/>
      <c r="T10" s="59">
        <f t="shared" si="0"/>
        <v>0</v>
      </c>
      <c r="U10" s="59">
        <f t="shared" si="2"/>
        <v>72</v>
      </c>
      <c r="V10" s="59">
        <f t="shared" si="3"/>
        <v>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8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>
        <v>1</v>
      </c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576+72+720+63+60+720+12+1440</f>
        <v>3663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25</v>
      </c>
      <c r="N12" s="65">
        <v>16</v>
      </c>
      <c r="O12" s="66">
        <v>12</v>
      </c>
      <c r="P12" s="67">
        <v>15</v>
      </c>
      <c r="Q12" s="67">
        <v>26</v>
      </c>
      <c r="R12" s="68">
        <v>10</v>
      </c>
      <c r="S12" s="63"/>
      <c r="T12" s="59">
        <f t="shared" si="0"/>
        <v>41</v>
      </c>
      <c r="U12" s="70">
        <f>C12*24+M12*24+O12*24+Q12*24+T12</f>
        <v>89465</v>
      </c>
      <c r="V12" s="70">
        <f>U12/24</f>
        <v>3727.7083333333335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3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3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2+63+50</f>
        <v>115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2891</v>
      </c>
      <c r="V25" s="76">
        <f t="shared" si="5"/>
        <v>120.45833333333333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15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8+64</f>
        <v>72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</v>
      </c>
      <c r="N28" s="75"/>
      <c r="O28" s="71">
        <v>2</v>
      </c>
      <c r="P28" s="72"/>
      <c r="Q28" s="72">
        <v>5</v>
      </c>
      <c r="R28" s="73"/>
      <c r="S28" s="56"/>
      <c r="T28" s="59">
        <f t="shared" si="0"/>
        <v>0</v>
      </c>
      <c r="U28" s="76">
        <f t="shared" si="4"/>
        <v>1944</v>
      </c>
      <c r="V28" s="76">
        <f t="shared" si="5"/>
        <v>81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6</v>
      </c>
      <c r="D29" s="71"/>
      <c r="E29" s="71"/>
      <c r="F29" s="71"/>
      <c r="G29" s="71"/>
      <c r="H29" s="71"/>
      <c r="I29" s="71"/>
      <c r="J29" s="72"/>
      <c r="K29" s="73"/>
      <c r="L29" s="56"/>
      <c r="M29" s="74">
        <v>1</v>
      </c>
      <c r="N29" s="75"/>
      <c r="O29" s="71">
        <v>1</v>
      </c>
      <c r="P29" s="72"/>
      <c r="Q29" s="72"/>
      <c r="R29" s="73"/>
      <c r="S29" s="56"/>
      <c r="T29" s="59">
        <f t="shared" si="0"/>
        <v>0</v>
      </c>
      <c r="U29" s="76">
        <f t="shared" si="4"/>
        <v>192</v>
      </c>
      <c r="V29" s="76">
        <f t="shared" si="5"/>
        <v>8</v>
      </c>
    </row>
    <row r="30" spans="1:54" x14ac:dyDescent="0.25">
      <c r="A30" s="27">
        <f t="shared" si="1"/>
        <v>27</v>
      </c>
      <c r="B30" s="26" t="s">
        <v>15</v>
      </c>
      <c r="C30" s="71">
        <v>56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1392</v>
      </c>
      <c r="V30" s="76">
        <f t="shared" si="5"/>
        <v>58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>
        <v>1</v>
      </c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24</v>
      </c>
      <c r="V31" s="76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37+72</f>
        <v>109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2789</v>
      </c>
      <c r="V34" s="76">
        <f t="shared" si="5"/>
        <v>116.20833333333333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18+1944+1512</f>
        <v>3474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41</v>
      </c>
      <c r="N37" s="65"/>
      <c r="O37" s="66">
        <v>30</v>
      </c>
      <c r="P37" s="67"/>
      <c r="Q37" s="67">
        <v>70</v>
      </c>
      <c r="R37" s="68"/>
      <c r="S37" s="63"/>
      <c r="T37" s="78">
        <f t="shared" si="0"/>
        <v>8</v>
      </c>
      <c r="U37" s="78">
        <f>C37*6+M37*6+O37*6+Q37*6+T37</f>
        <v>21698</v>
      </c>
      <c r="V37" s="78">
        <f>U37/6</f>
        <v>3616.3333333333335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10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264</v>
      </c>
      <c r="V38" s="76">
        <f>U38/24</f>
        <v>11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56+441</f>
        <v>497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3</v>
      </c>
      <c r="R40" s="68"/>
      <c r="S40" s="63"/>
      <c r="T40" s="78">
        <f t="shared" si="0"/>
        <v>24</v>
      </c>
      <c r="U40" s="78">
        <f>C40*24+M40*24+O40*24+Q40*24+T40</f>
        <v>12096</v>
      </c>
      <c r="V40" s="78">
        <f>U40/24</f>
        <v>504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1248+33</f>
        <v>1281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/>
      <c r="N41" s="90"/>
      <c r="O41" s="85">
        <v>8</v>
      </c>
      <c r="P41" s="86"/>
      <c r="Q41" s="86">
        <v>20</v>
      </c>
      <c r="R41" s="87"/>
      <c r="S41" s="88"/>
      <c r="T41" s="91">
        <f t="shared" si="0"/>
        <v>9</v>
      </c>
      <c r="U41" s="91">
        <f>C41*12+M41*12+O41*12+Q41*12+T41</f>
        <v>15717</v>
      </c>
      <c r="V41" s="91">
        <f>U41/12</f>
        <v>1309.75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5940+8424+5400+3672+19+1</f>
        <v>23456</v>
      </c>
      <c r="D43" s="66"/>
      <c r="E43" s="66"/>
      <c r="F43" s="66"/>
      <c r="G43" s="66"/>
      <c r="H43" s="66"/>
      <c r="I43" s="66">
        <v>7</v>
      </c>
      <c r="J43" s="67">
        <f>9*6+3</f>
        <v>57</v>
      </c>
      <c r="K43" s="68">
        <f>93*6+5</f>
        <v>563</v>
      </c>
      <c r="L43" s="63"/>
      <c r="M43" s="64">
        <v>571</v>
      </c>
      <c r="N43" s="65"/>
      <c r="O43" s="66">
        <v>376</v>
      </c>
      <c r="P43" s="67"/>
      <c r="Q43" s="67">
        <v>523</v>
      </c>
      <c r="R43" s="68"/>
      <c r="S43" s="63"/>
      <c r="T43" s="78">
        <f t="shared" ref="T43" si="6">H43+I43+J43+K43+N43+P43+R43</f>
        <v>627</v>
      </c>
      <c r="U43" s="78">
        <f>C43*6+M43*6+O43*6+Q43*6+T43</f>
        <v>150183</v>
      </c>
      <c r="V43" s="78">
        <f>U43/6</f>
        <v>25030.5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6+2268+44</f>
        <v>2318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8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14086</v>
      </c>
      <c r="V47" s="78">
        <f>U47/6</f>
        <v>2347.6666666666665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35348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53</v>
      </c>
      <c r="I58" s="6">
        <f t="shared" si="11"/>
        <v>9</v>
      </c>
      <c r="J58" s="6">
        <f t="shared" si="11"/>
        <v>57</v>
      </c>
      <c r="K58" s="6">
        <f t="shared" si="11"/>
        <v>604</v>
      </c>
      <c r="M58" s="5">
        <f t="shared" ref="M58:R58" si="12">SUM(M7:M57)</f>
        <v>667</v>
      </c>
      <c r="N58" s="5">
        <f t="shared" si="12"/>
        <v>16</v>
      </c>
      <c r="O58" s="5">
        <f t="shared" si="12"/>
        <v>457</v>
      </c>
      <c r="P58" s="5">
        <f t="shared" si="12"/>
        <v>50</v>
      </c>
      <c r="Q58" s="5">
        <f t="shared" si="12"/>
        <v>679</v>
      </c>
      <c r="R58" s="5">
        <f t="shared" si="12"/>
        <v>10</v>
      </c>
      <c r="S58" s="56"/>
      <c r="T58" s="4">
        <f>SUM(T7:T57)</f>
        <v>799</v>
      </c>
      <c r="U58" s="95">
        <f>SUM(U7:U57)</f>
        <v>320137</v>
      </c>
      <c r="V58" s="4">
        <f>SUM(V7:V57)</f>
        <v>37265.291666666664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CA50-CEE7-4E30-B84B-F667B2AF4E21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82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6"/>
      <c r="Q5" s="106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6"/>
      <c r="K6" s="38"/>
      <c r="M6" s="37"/>
      <c r="N6" s="49"/>
      <c r="O6" s="40"/>
      <c r="P6" s="106"/>
      <c r="Q6" s="10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55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4</v>
      </c>
      <c r="R7" s="55"/>
      <c r="S7" s="56"/>
      <c r="T7" s="59">
        <f>H7+I7+J7+K7+N7+P7+R7</f>
        <v>21</v>
      </c>
      <c r="U7" s="59">
        <f>C7*24+M7*24+O7*24+Q7*24+T7</f>
        <v>1509</v>
      </c>
      <c r="V7" s="59">
        <f>U7/24</f>
        <v>62.875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22+63+15</f>
        <v>100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2400</v>
      </c>
      <c r="V8" s="70">
        <f>U8/24</f>
        <v>100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23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>
        <v>1</v>
      </c>
      <c r="P9" s="72"/>
      <c r="Q9" s="72">
        <v>2</v>
      </c>
      <c r="R9" s="73"/>
      <c r="S9" s="56"/>
      <c r="T9" s="76">
        <f t="shared" si="0"/>
        <v>0</v>
      </c>
      <c r="U9" s="77">
        <f t="shared" ref="U9:U11" si="2">C9*24+M9*24+O9*24+Q9*24+T9</f>
        <v>624</v>
      </c>
      <c r="V9" s="77">
        <f t="shared" ref="V9:V11" si="3">U9/24</f>
        <v>26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>
        <v>2</v>
      </c>
      <c r="R10" s="73"/>
      <c r="S10" s="56"/>
      <c r="T10" s="59">
        <f t="shared" si="0"/>
        <v>0</v>
      </c>
      <c r="U10" s="59">
        <f t="shared" si="2"/>
        <v>48</v>
      </c>
      <c r="V10" s="59">
        <f t="shared" si="3"/>
        <v>2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>
        <v>8</v>
      </c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>
        <v>1</v>
      </c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240</v>
      </c>
      <c r="V11" s="59">
        <f t="shared" si="3"/>
        <v>10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576+72+60+63+720+648+66+1440</f>
        <v>3645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5</v>
      </c>
      <c r="N12" s="65">
        <v>12</v>
      </c>
      <c r="O12" s="66">
        <v>17</v>
      </c>
      <c r="P12" s="67">
        <v>8</v>
      </c>
      <c r="Q12" s="67">
        <v>20</v>
      </c>
      <c r="R12" s="68">
        <v>22</v>
      </c>
      <c r="S12" s="63"/>
      <c r="T12" s="59">
        <f t="shared" si="0"/>
        <v>42</v>
      </c>
      <c r="U12" s="70">
        <f>C12*24+M12*24+O12*24+Q12*24+T12</f>
        <v>88530</v>
      </c>
      <c r="V12" s="70">
        <f>U12/24</f>
        <v>3688.75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5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120</v>
      </c>
      <c r="V13" s="77">
        <f>U13/24</f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3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4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3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2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48</v>
      </c>
      <c r="V22" s="76">
        <f t="shared" si="5"/>
        <v>2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7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168</v>
      </c>
      <c r="V24" s="76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f>2+49+63</f>
        <v>114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2867</v>
      </c>
      <c r="V25" s="76">
        <f t="shared" si="5"/>
        <v>119.45833333333333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15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384</v>
      </c>
      <c r="V26" s="76">
        <f t="shared" si="5"/>
        <v>16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f>8+63</f>
        <v>71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3</v>
      </c>
      <c r="N28" s="75"/>
      <c r="O28" s="71">
        <v>2</v>
      </c>
      <c r="P28" s="72"/>
      <c r="Q28" s="72">
        <v>5</v>
      </c>
      <c r="R28" s="73"/>
      <c r="S28" s="56"/>
      <c r="T28" s="59">
        <f t="shared" si="0"/>
        <v>0</v>
      </c>
      <c r="U28" s="76">
        <f t="shared" si="4"/>
        <v>1944</v>
      </c>
      <c r="V28" s="76">
        <f t="shared" si="5"/>
        <v>81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>
        <v>6</v>
      </c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144</v>
      </c>
      <c r="V29" s="76">
        <f t="shared" si="5"/>
        <v>6</v>
      </c>
    </row>
    <row r="30" spans="1:54" x14ac:dyDescent="0.25">
      <c r="A30" s="27">
        <f t="shared" si="1"/>
        <v>27</v>
      </c>
      <c r="B30" s="26" t="s">
        <v>15</v>
      </c>
      <c r="C30" s="71">
        <v>56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1392</v>
      </c>
      <c r="V30" s="76">
        <f t="shared" si="5"/>
        <v>58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>
        <v>1</v>
      </c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24</v>
      </c>
      <c r="V31" s="76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34+72</f>
        <v>106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2717</v>
      </c>
      <c r="V34" s="76">
        <f t="shared" si="5"/>
        <v>113.20833333333333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1836+83+1512</f>
        <v>3431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5</v>
      </c>
      <c r="N37" s="65"/>
      <c r="O37" s="66">
        <v>40</v>
      </c>
      <c r="P37" s="67"/>
      <c r="Q37" s="67">
        <v>54</v>
      </c>
      <c r="R37" s="68"/>
      <c r="S37" s="63"/>
      <c r="T37" s="78">
        <f t="shared" si="0"/>
        <v>8</v>
      </c>
      <c r="U37" s="78">
        <f>C37*6+M37*6+O37*6+Q37*6+T37</f>
        <v>21188</v>
      </c>
      <c r="V37" s="78">
        <f>U37/6</f>
        <v>3531.3333333333335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10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264</v>
      </c>
      <c r="V38" s="76">
        <f>U38/24</f>
        <v>11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441+56</f>
        <v>497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3</v>
      </c>
      <c r="R40" s="68"/>
      <c r="S40" s="63"/>
      <c r="T40" s="78">
        <f t="shared" si="0"/>
        <v>24</v>
      </c>
      <c r="U40" s="78">
        <f>C40*24+M40*24+O40*24+Q40*24+T40</f>
        <v>12096</v>
      </c>
      <c r="V40" s="78">
        <f>U40/24</f>
        <v>504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10+1248</f>
        <v>1258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/>
      <c r="N41" s="90"/>
      <c r="O41" s="85">
        <v>5</v>
      </c>
      <c r="P41" s="86"/>
      <c r="Q41" s="86">
        <v>14</v>
      </c>
      <c r="R41" s="87"/>
      <c r="S41" s="88"/>
      <c r="T41" s="91">
        <f t="shared" si="0"/>
        <v>9</v>
      </c>
      <c r="U41" s="91">
        <f>C41*12+M41*12+O41*12+Q41*12+T41</f>
        <v>15333</v>
      </c>
      <c r="V41" s="91">
        <f>U41/12</f>
        <v>1277.75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5940+8424+5400+2808</f>
        <v>22572</v>
      </c>
      <c r="D43" s="66"/>
      <c r="E43" s="66"/>
      <c r="F43" s="66"/>
      <c r="G43" s="66"/>
      <c r="H43" s="66">
        <v>5</v>
      </c>
      <c r="I43" s="66">
        <v>7</v>
      </c>
      <c r="J43" s="67">
        <f>10*6+4</f>
        <v>64</v>
      </c>
      <c r="K43" s="68">
        <f>93*6+5</f>
        <v>563</v>
      </c>
      <c r="L43" s="63"/>
      <c r="M43" s="64">
        <v>3</v>
      </c>
      <c r="N43" s="65"/>
      <c r="O43" s="66">
        <v>513</v>
      </c>
      <c r="P43" s="67"/>
      <c r="Q43" s="67">
        <v>530</v>
      </c>
      <c r="R43" s="68"/>
      <c r="S43" s="63"/>
      <c r="T43" s="78">
        <f t="shared" ref="T43" si="6">H43+I43+J43+K43+N43+P43+R43</f>
        <v>639</v>
      </c>
      <c r="U43" s="78">
        <f>C43*6+M43*6+O43*6+Q43*6+T43</f>
        <v>142347</v>
      </c>
      <c r="V43" s="78">
        <f>U43/6</f>
        <v>23724.5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2268+1+44</f>
        <v>2313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6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14044</v>
      </c>
      <c r="V47" s="78">
        <f>U47/6</f>
        <v>2340.6666666666665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34367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58</v>
      </c>
      <c r="I58" s="6">
        <f t="shared" si="11"/>
        <v>9</v>
      </c>
      <c r="J58" s="6">
        <f t="shared" si="11"/>
        <v>64</v>
      </c>
      <c r="K58" s="6">
        <f t="shared" si="11"/>
        <v>604</v>
      </c>
      <c r="M58" s="5">
        <f t="shared" ref="M58:R58" si="12">SUM(M7:M57)</f>
        <v>42</v>
      </c>
      <c r="N58" s="5">
        <f t="shared" si="12"/>
        <v>12</v>
      </c>
      <c r="O58" s="5">
        <f t="shared" si="12"/>
        <v>601</v>
      </c>
      <c r="P58" s="5">
        <f t="shared" si="12"/>
        <v>43</v>
      </c>
      <c r="Q58" s="5">
        <f t="shared" si="12"/>
        <v>658</v>
      </c>
      <c r="R58" s="5">
        <f t="shared" si="12"/>
        <v>22</v>
      </c>
      <c r="S58" s="56"/>
      <c r="T58" s="4">
        <f>SUM(T7:T57)</f>
        <v>812</v>
      </c>
      <c r="U58" s="95">
        <f>SUM(U7:U57)</f>
        <v>310142</v>
      </c>
      <c r="V58" s="4">
        <f>SUM(V7:V57)</f>
        <v>35784.333333333328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1771-D6A3-45ED-9E59-C97409F9D00A}">
  <sheetPr>
    <pageSetUpPr fitToPage="1"/>
  </sheetPr>
  <dimension ref="A1:BB81"/>
  <sheetViews>
    <sheetView zoomScaleNormal="100" zoomScaleSheetLayoutView="115" workbookViewId="0">
      <selection activeCell="C7" sqref="C7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81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7"/>
      <c r="Q5" s="107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7"/>
      <c r="K6" s="38"/>
      <c r="M6" s="37"/>
      <c r="N6" s="49"/>
      <c r="O6" s="40"/>
      <c r="P6" s="107"/>
      <c r="Q6" s="10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/>
      <c r="D7" s="53"/>
      <c r="E7" s="53"/>
      <c r="F7" s="53"/>
      <c r="G7" s="53"/>
      <c r="H7" s="53"/>
      <c r="I7" s="53"/>
      <c r="J7" s="54"/>
      <c r="K7" s="55"/>
      <c r="L7" s="56"/>
      <c r="M7" s="57"/>
      <c r="N7" s="58"/>
      <c r="O7" s="53"/>
      <c r="P7" s="54"/>
      <c r="Q7" s="54"/>
      <c r="R7" s="55"/>
      <c r="S7" s="56"/>
      <c r="T7" s="59">
        <f>H7+I7+J7+K7+N7+P7+R7</f>
        <v>0</v>
      </c>
      <c r="U7" s="59">
        <f>C7*24+M7*24+O7*24+Q7*24+T7</f>
        <v>0</v>
      </c>
      <c r="V7" s="59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/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0</v>
      </c>
      <c r="V8" s="70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/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0</v>
      </c>
      <c r="V9" s="77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/>
      <c r="I11" s="71"/>
      <c r="J11" s="72"/>
      <c r="K11" s="73"/>
      <c r="L11" s="56"/>
      <c r="M11" s="74"/>
      <c r="N11" s="75"/>
      <c r="O11" s="71"/>
      <c r="P11" s="72"/>
      <c r="Q11" s="72"/>
      <c r="R11" s="73"/>
      <c r="S11" s="56"/>
      <c r="T11" s="59">
        <f t="shared" si="0"/>
        <v>0</v>
      </c>
      <c r="U11" s="59">
        <f t="shared" si="2"/>
        <v>0</v>
      </c>
      <c r="V11" s="59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/>
      <c r="D12" s="60"/>
      <c r="E12" s="60"/>
      <c r="F12" s="60"/>
      <c r="G12" s="60"/>
      <c r="H12" s="60"/>
      <c r="I12" s="60"/>
      <c r="J12" s="61"/>
      <c r="K12" s="62"/>
      <c r="L12" s="63"/>
      <c r="M12" s="64"/>
      <c r="N12" s="65"/>
      <c r="O12" s="66"/>
      <c r="P12" s="67"/>
      <c r="Q12" s="67"/>
      <c r="R12" s="68"/>
      <c r="S12" s="63"/>
      <c r="T12" s="59">
        <f t="shared" si="0"/>
        <v>0</v>
      </c>
      <c r="U12" s="70">
        <f>C12*24+M12*24+O12*24+Q12*24+T12</f>
        <v>0</v>
      </c>
      <c r="V12" s="70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/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0</v>
      </c>
      <c r="V13" s="77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/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0</v>
      </c>
      <c r="V17" s="76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/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0</v>
      </c>
      <c r="V19" s="76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/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0</v>
      </c>
      <c r="V20" s="76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/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0</v>
      </c>
      <c r="V21" s="76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0</v>
      </c>
      <c r="V22" s="76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/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/>
      <c r="P23" s="72"/>
      <c r="Q23" s="72"/>
      <c r="R23" s="73"/>
      <c r="S23" s="56"/>
      <c r="T23" s="59">
        <f t="shared" si="0"/>
        <v>0</v>
      </c>
      <c r="U23" s="76">
        <f t="shared" si="4"/>
        <v>0</v>
      </c>
      <c r="V23" s="76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/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0</v>
      </c>
      <c r="V24" s="76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/>
      <c r="D25" s="71"/>
      <c r="E25" s="71"/>
      <c r="F25" s="71"/>
      <c r="G25" s="71"/>
      <c r="H25" s="71"/>
      <c r="I25" s="71"/>
      <c r="J25" s="72"/>
      <c r="K25" s="73"/>
      <c r="L25" s="56"/>
      <c r="M25" s="74"/>
      <c r="N25" s="75"/>
      <c r="O25" s="71"/>
      <c r="P25" s="72"/>
      <c r="Q25" s="72"/>
      <c r="R25" s="73"/>
      <c r="S25" s="56"/>
      <c r="T25" s="59">
        <f t="shared" si="0"/>
        <v>0</v>
      </c>
      <c r="U25" s="76">
        <f t="shared" si="4"/>
        <v>0</v>
      </c>
      <c r="V25" s="76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/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0</v>
      </c>
      <c r="V26" s="76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/>
      <c r="D28" s="71"/>
      <c r="E28" s="71"/>
      <c r="F28" s="71"/>
      <c r="G28" s="71"/>
      <c r="H28" s="71"/>
      <c r="I28" s="71"/>
      <c r="J28" s="72"/>
      <c r="K28" s="73"/>
      <c r="L28" s="56"/>
      <c r="M28" s="74"/>
      <c r="N28" s="75"/>
      <c r="O28" s="71"/>
      <c r="P28" s="72"/>
      <c r="Q28" s="72"/>
      <c r="R28" s="73"/>
      <c r="S28" s="56"/>
      <c r="T28" s="59">
        <f t="shared" si="0"/>
        <v>0</v>
      </c>
      <c r="U28" s="76">
        <f t="shared" si="4"/>
        <v>0</v>
      </c>
      <c r="V28" s="76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/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/>
      <c r="P30" s="72"/>
      <c r="Q30" s="72"/>
      <c r="R30" s="73"/>
      <c r="S30" s="56"/>
      <c r="T30" s="59">
        <f t="shared" si="0"/>
        <v>0</v>
      </c>
      <c r="U30" s="76">
        <f t="shared" si="4"/>
        <v>0</v>
      </c>
      <c r="V30" s="76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/>
      <c r="D34" s="71"/>
      <c r="E34" s="71"/>
      <c r="F34" s="71"/>
      <c r="G34" s="71"/>
      <c r="H34" s="71"/>
      <c r="I34" s="71"/>
      <c r="J34" s="72"/>
      <c r="K34" s="73"/>
      <c r="L34" s="56"/>
      <c r="M34" s="74"/>
      <c r="N34" s="75"/>
      <c r="O34" s="71"/>
      <c r="P34" s="72"/>
      <c r="Q34" s="72"/>
      <c r="R34" s="73"/>
      <c r="S34" s="56"/>
      <c r="T34" s="59">
        <f t="shared" si="0"/>
        <v>0</v>
      </c>
      <c r="U34" s="76">
        <f t="shared" si="4"/>
        <v>0</v>
      </c>
      <c r="V34" s="76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/>
      <c r="D37" s="60"/>
      <c r="E37" s="60"/>
      <c r="F37" s="60"/>
      <c r="G37" s="60"/>
      <c r="H37" s="60"/>
      <c r="I37" s="60"/>
      <c r="J37" s="61"/>
      <c r="K37" s="62"/>
      <c r="L37" s="63"/>
      <c r="M37" s="64"/>
      <c r="N37" s="65"/>
      <c r="O37" s="66"/>
      <c r="P37" s="67"/>
      <c r="Q37" s="67"/>
      <c r="R37" s="68"/>
      <c r="S37" s="63"/>
      <c r="T37" s="78">
        <f t="shared" si="0"/>
        <v>0</v>
      </c>
      <c r="U37" s="78">
        <f>C37*6+M37*6+O37*6+Q37*6+T37</f>
        <v>0</v>
      </c>
      <c r="V37" s="78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1"/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0</v>
      </c>
      <c r="V38" s="76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/>
      <c r="D40" s="60"/>
      <c r="E40" s="60"/>
      <c r="F40" s="60"/>
      <c r="G40" s="60"/>
      <c r="H40" s="60"/>
      <c r="I40" s="60"/>
      <c r="J40" s="61"/>
      <c r="K40" s="62"/>
      <c r="L40" s="63"/>
      <c r="M40" s="64"/>
      <c r="N40" s="65"/>
      <c r="O40" s="66"/>
      <c r="P40" s="67"/>
      <c r="Q40" s="67"/>
      <c r="R40" s="68"/>
      <c r="S40" s="63"/>
      <c r="T40" s="78">
        <f t="shared" si="0"/>
        <v>0</v>
      </c>
      <c r="U40" s="78">
        <f>C40*24+M40*24+O40*24+Q40*24+T40</f>
        <v>0</v>
      </c>
      <c r="V40" s="78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5"/>
      <c r="D41" s="85"/>
      <c r="E41" s="85"/>
      <c r="F41" s="85"/>
      <c r="G41" s="85"/>
      <c r="H41" s="85"/>
      <c r="I41" s="85"/>
      <c r="J41" s="86"/>
      <c r="K41" s="87"/>
      <c r="L41" s="88"/>
      <c r="M41" s="89"/>
      <c r="N41" s="90"/>
      <c r="O41" s="85"/>
      <c r="P41" s="86"/>
      <c r="Q41" s="86"/>
      <c r="R41" s="87"/>
      <c r="S41" s="88"/>
      <c r="T41" s="91">
        <f t="shared" si="0"/>
        <v>0</v>
      </c>
      <c r="U41" s="91">
        <f>C41*12+M41*12+O41*12+Q41*12+T41</f>
        <v>0</v>
      </c>
      <c r="V41" s="91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/>
      <c r="D43" s="66"/>
      <c r="E43" s="66"/>
      <c r="F43" s="66"/>
      <c r="G43" s="66"/>
      <c r="H43" s="66"/>
      <c r="I43" s="66"/>
      <c r="J43" s="67"/>
      <c r="K43" s="68"/>
      <c r="L43" s="63"/>
      <c r="M43" s="64"/>
      <c r="N43" s="65"/>
      <c r="O43" s="66"/>
      <c r="P43" s="67"/>
      <c r="Q43" s="67"/>
      <c r="R43" s="68"/>
      <c r="S43" s="63"/>
      <c r="T43" s="78">
        <f t="shared" ref="T43" si="6">H43+I43+J43+K43+N43+P43+R43</f>
        <v>0</v>
      </c>
      <c r="U43" s="78">
        <f>C43*6+M43*6+O43*6+Q43*6+T43</f>
        <v>0</v>
      </c>
      <c r="V43" s="78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/>
      <c r="D47" s="66"/>
      <c r="E47" s="66"/>
      <c r="F47" s="66"/>
      <c r="G47" s="66"/>
      <c r="H47" s="66"/>
      <c r="I47" s="66"/>
      <c r="J47" s="67"/>
      <c r="K47" s="68"/>
      <c r="L47" s="63"/>
      <c r="M47" s="64"/>
      <c r="N47" s="65"/>
      <c r="O47" s="66"/>
      <c r="P47" s="67"/>
      <c r="Q47" s="67"/>
      <c r="R47" s="68"/>
      <c r="S47" s="63"/>
      <c r="T47" s="78">
        <f t="shared" si="7"/>
        <v>0</v>
      </c>
      <c r="U47" s="78">
        <f>C47*6+M47*6+O47*6+Q47*6+T47</f>
        <v>0</v>
      </c>
      <c r="V47" s="78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1"/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0</v>
      </c>
      <c r="V48" s="76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/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0</v>
      </c>
      <c r="V51" s="78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/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0</v>
      </c>
      <c r="V53" s="76">
        <f t="shared" si="9"/>
        <v>0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6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18DA-50BA-446D-A669-D0F3DA86ED1F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83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8"/>
      <c r="Q5" s="108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8"/>
      <c r="K6" s="38"/>
      <c r="M6" s="37"/>
      <c r="N6" s="49"/>
      <c r="O6" s="40"/>
      <c r="P6" s="108"/>
      <c r="Q6" s="10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42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11</v>
      </c>
      <c r="N7" s="58"/>
      <c r="O7" s="53">
        <v>2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1389</v>
      </c>
      <c r="V7" s="59">
        <f>U7/24</f>
        <v>57.875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10+63+15</f>
        <v>88</v>
      </c>
      <c r="D8" s="60"/>
      <c r="E8" s="60"/>
      <c r="F8" s="60"/>
      <c r="G8" s="60"/>
      <c r="H8" s="60"/>
      <c r="I8" s="60"/>
      <c r="J8" s="61"/>
      <c r="K8" s="62"/>
      <c r="L8" s="63"/>
      <c r="M8" s="64">
        <v>5</v>
      </c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2280</v>
      </c>
      <c r="V8" s="70">
        <f>U8/24</f>
        <v>95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11</v>
      </c>
      <c r="D9" s="71"/>
      <c r="E9" s="71"/>
      <c r="F9" s="71"/>
      <c r="G9" s="71"/>
      <c r="H9" s="71"/>
      <c r="I9" s="71"/>
      <c r="J9" s="72"/>
      <c r="K9" s="73"/>
      <c r="L9" s="56"/>
      <c r="M9" s="74">
        <v>5</v>
      </c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384</v>
      </c>
      <c r="V9" s="77">
        <f t="shared" ref="V9:V11" si="3">U9/24</f>
        <v>16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>
        <v>3</v>
      </c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96</v>
      </c>
      <c r="V11" s="59">
        <f t="shared" si="3"/>
        <v>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72+720+60+63+576+70+1440+576</f>
        <v>3577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5</v>
      </c>
      <c r="N12" s="65">
        <v>6</v>
      </c>
      <c r="O12" s="66">
        <v>15</v>
      </c>
      <c r="P12" s="67">
        <v>11</v>
      </c>
      <c r="Q12" s="67">
        <v>20</v>
      </c>
      <c r="R12" s="68">
        <v>14</v>
      </c>
      <c r="S12" s="63"/>
      <c r="T12" s="59">
        <f t="shared" si="0"/>
        <v>31</v>
      </c>
      <c r="U12" s="70">
        <f>C12*24+M12*24+O12*24+Q12*24+T12</f>
        <v>86839</v>
      </c>
      <c r="V12" s="70">
        <f>U12/24</f>
        <v>3618.2916666666665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3</v>
      </c>
      <c r="D13" s="71"/>
      <c r="E13" s="71"/>
      <c r="F13" s="71"/>
      <c r="G13" s="71"/>
      <c r="H13" s="71"/>
      <c r="I13" s="71"/>
      <c r="J13" s="72"/>
      <c r="K13" s="73"/>
      <c r="L13" s="56"/>
      <c r="M13" s="74">
        <v>1</v>
      </c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96</v>
      </c>
      <c r="V13" s="77">
        <f>U13/24</f>
        <v>4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f>1+1</f>
        <v>2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2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96</v>
      </c>
      <c r="V17" s="76">
        <f t="shared" si="5"/>
        <v>4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3</v>
      </c>
      <c r="D19" s="71"/>
      <c r="E19" s="71"/>
      <c r="F19" s="71"/>
      <c r="G19" s="71"/>
      <c r="H19" s="71"/>
      <c r="I19" s="71"/>
      <c r="J19" s="72"/>
      <c r="K19" s="73"/>
      <c r="L19" s="56"/>
      <c r="M19" s="74">
        <v>1</v>
      </c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96</v>
      </c>
      <c r="V19" s="76">
        <f t="shared" si="5"/>
        <v>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f>1+5</f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2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2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96</v>
      </c>
      <c r="V21" s="76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1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24</v>
      </c>
      <c r="V22" s="76">
        <f t="shared" si="5"/>
        <v>1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6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144</v>
      </c>
      <c r="V24" s="76">
        <f t="shared" si="5"/>
        <v>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v>54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42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2387</v>
      </c>
      <c r="V25" s="76">
        <f t="shared" si="5"/>
        <v>99.458333333333329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7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6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312</v>
      </c>
      <c r="V26" s="76">
        <f t="shared" si="5"/>
        <v>13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v>6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28</v>
      </c>
      <c r="N28" s="75"/>
      <c r="O28" s="71"/>
      <c r="P28" s="72"/>
      <c r="Q28" s="72">
        <v>4</v>
      </c>
      <c r="R28" s="73"/>
      <c r="S28" s="56"/>
      <c r="T28" s="59">
        <f t="shared" si="0"/>
        <v>0</v>
      </c>
      <c r="U28" s="76">
        <f t="shared" si="4"/>
        <v>912</v>
      </c>
      <c r="V28" s="76">
        <f t="shared" si="5"/>
        <v>38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>
        <v>44</v>
      </c>
      <c r="D30" s="71"/>
      <c r="E30" s="71"/>
      <c r="F30" s="71"/>
      <c r="G30" s="71"/>
      <c r="H30" s="71"/>
      <c r="I30" s="71"/>
      <c r="J30" s="72"/>
      <c r="K30" s="73"/>
      <c r="L30" s="56"/>
      <c r="M30" s="74">
        <v>10</v>
      </c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1344</v>
      </c>
      <c r="V30" s="76">
        <f t="shared" si="5"/>
        <v>56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4+72</f>
        <v>76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2237</v>
      </c>
      <c r="V34" s="76">
        <f t="shared" si="5"/>
        <v>93.208333333333329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1512+1512</f>
        <v>3024</v>
      </c>
      <c r="D37" s="60"/>
      <c r="E37" s="60"/>
      <c r="F37" s="60"/>
      <c r="G37" s="60"/>
      <c r="H37" s="60">
        <v>2</v>
      </c>
      <c r="I37" s="60"/>
      <c r="J37" s="61"/>
      <c r="K37" s="62">
        <v>6</v>
      </c>
      <c r="L37" s="63"/>
      <c r="M37" s="64">
        <v>45</v>
      </c>
      <c r="N37" s="65"/>
      <c r="O37" s="66">
        <v>24</v>
      </c>
      <c r="P37" s="67"/>
      <c r="Q37" s="67">
        <v>111</v>
      </c>
      <c r="R37" s="68"/>
      <c r="S37" s="63"/>
      <c r="T37" s="78">
        <f t="shared" si="0"/>
        <v>8</v>
      </c>
      <c r="U37" s="78">
        <f>C37*6+M37*6+O37*6+Q37*6+T37</f>
        <v>19232</v>
      </c>
      <c r="V37" s="78">
        <f>U37/6</f>
        <v>3205.3333333333335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8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216</v>
      </c>
      <c r="V38" s="76">
        <f>U38/24</f>
        <v>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441+27</f>
        <v>468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12</v>
      </c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11616</v>
      </c>
      <c r="V40" s="78">
        <f>U40/24</f>
        <v>484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23+1152</f>
        <v>1175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21</v>
      </c>
      <c r="N41" s="90"/>
      <c r="O41" s="85">
        <v>5</v>
      </c>
      <c r="P41" s="86"/>
      <c r="Q41" s="86">
        <v>15</v>
      </c>
      <c r="R41" s="87"/>
      <c r="S41" s="88"/>
      <c r="T41" s="91">
        <f t="shared" si="0"/>
        <v>9</v>
      </c>
      <c r="U41" s="91">
        <f>C41*12+M41*12+O41*12+Q41*12+T41</f>
        <v>14601</v>
      </c>
      <c r="V41" s="91">
        <f>U41/12</f>
        <v>1216.75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5940+8424+5292+3672+1836</f>
        <v>25164</v>
      </c>
      <c r="D43" s="66"/>
      <c r="E43" s="66"/>
      <c r="F43" s="66"/>
      <c r="G43" s="66"/>
      <c r="H43" s="66">
        <v>2</v>
      </c>
      <c r="I43" s="66">
        <v>7</v>
      </c>
      <c r="J43" s="67">
        <f>11*6+1</f>
        <v>67</v>
      </c>
      <c r="K43" s="68">
        <f>93*6+5</f>
        <v>563</v>
      </c>
      <c r="L43" s="63"/>
      <c r="M43" s="64">
        <v>356</v>
      </c>
      <c r="N43" s="65"/>
      <c r="O43" s="66">
        <v>450</v>
      </c>
      <c r="P43" s="67"/>
      <c r="Q43" s="67">
        <v>554</v>
      </c>
      <c r="R43" s="68"/>
      <c r="S43" s="63"/>
      <c r="T43" s="78">
        <f t="shared" ref="T43" si="6">H43+I43+J43+K43+N43+P43+R43</f>
        <v>639</v>
      </c>
      <c r="U43" s="78">
        <f>C43*6+M43*6+O43*6+Q43*6+T43</f>
        <v>159783</v>
      </c>
      <c r="V43" s="78">
        <f>U43/6</f>
        <v>26630.5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2268+35</f>
        <v>2303</v>
      </c>
      <c r="D47" s="66"/>
      <c r="E47" s="66"/>
      <c r="F47" s="66"/>
      <c r="G47" s="66"/>
      <c r="H47" s="66"/>
      <c r="I47" s="66"/>
      <c r="J47" s="67"/>
      <c r="K47" s="68">
        <v>6</v>
      </c>
      <c r="L47" s="63"/>
      <c r="M47" s="64">
        <v>10</v>
      </c>
      <c r="N47" s="65"/>
      <c r="O47" s="66">
        <v>6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13984</v>
      </c>
      <c r="V47" s="78">
        <f>U47/6</f>
        <v>2330.6666666666665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36127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55</v>
      </c>
      <c r="I58" s="6">
        <f t="shared" si="11"/>
        <v>9</v>
      </c>
      <c r="J58" s="6">
        <f t="shared" si="11"/>
        <v>67</v>
      </c>
      <c r="K58" s="6">
        <f t="shared" si="11"/>
        <v>604</v>
      </c>
      <c r="M58" s="5">
        <f t="shared" ref="M58:R58" si="12">SUM(M7:M57)</f>
        <v>581</v>
      </c>
      <c r="N58" s="5">
        <f t="shared" si="12"/>
        <v>6</v>
      </c>
      <c r="O58" s="5">
        <f t="shared" si="12"/>
        <v>517</v>
      </c>
      <c r="P58" s="5">
        <f t="shared" si="12"/>
        <v>46</v>
      </c>
      <c r="Q58" s="5">
        <f t="shared" si="12"/>
        <v>734</v>
      </c>
      <c r="R58" s="5">
        <f t="shared" si="12"/>
        <v>14</v>
      </c>
      <c r="S58" s="56"/>
      <c r="T58" s="4">
        <f>SUM(T7:T57)</f>
        <v>801</v>
      </c>
      <c r="U58" s="95">
        <f>SUM(U7:U57)</f>
        <v>319587</v>
      </c>
      <c r="V58" s="4">
        <f>SUM(V7:V57)</f>
        <v>38074.875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DB1-C2C1-437F-82FE-1324F6CC2192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84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8"/>
      <c r="Q5" s="108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8"/>
      <c r="K6" s="38"/>
      <c r="M6" s="37"/>
      <c r="N6" s="49"/>
      <c r="O6" s="40"/>
      <c r="P6" s="108"/>
      <c r="Q6" s="10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41</f>
        <v>41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1</v>
      </c>
      <c r="N7" s="58"/>
      <c r="O7" s="53">
        <v>2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1125</v>
      </c>
      <c r="V7" s="59">
        <f>U7/24</f>
        <v>46.875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10+63+15</f>
        <v>88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2160</v>
      </c>
      <c r="V8" s="70">
        <f>U8/24</f>
        <v>90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11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264</v>
      </c>
      <c r="V9" s="77">
        <f t="shared" ref="V9:V11" si="3">U9/24</f>
        <v>11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</v>
      </c>
      <c r="V11" s="59">
        <f t="shared" si="3"/>
        <v>1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72+720+60+63+576+31+1440+576</f>
        <v>3538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18</v>
      </c>
      <c r="N12" s="65">
        <v>17</v>
      </c>
      <c r="O12" s="66">
        <v>13</v>
      </c>
      <c r="P12" s="67">
        <v>6</v>
      </c>
      <c r="Q12" s="67">
        <v>20</v>
      </c>
      <c r="R12" s="68">
        <v>10</v>
      </c>
      <c r="S12" s="63"/>
      <c r="T12" s="59">
        <f t="shared" si="0"/>
        <v>33</v>
      </c>
      <c r="U12" s="70">
        <f>C12*24+M12*24+O12*24+Q12*24+T12</f>
        <v>86169</v>
      </c>
      <c r="V12" s="70">
        <f>U12/24</f>
        <v>3590.375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3</v>
      </c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72</v>
      </c>
      <c r="V13" s="77">
        <f>U13/24</f>
        <v>3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f>1+1</f>
        <v>2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72</v>
      </c>
      <c r="V17" s="76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3</v>
      </c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72</v>
      </c>
      <c r="V19" s="76">
        <f t="shared" si="5"/>
        <v>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f>1+5</f>
        <v>6</v>
      </c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144</v>
      </c>
      <c r="V20" s="76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2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72</v>
      </c>
      <c r="V21" s="76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>
        <v>1</v>
      </c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24</v>
      </c>
      <c r="V22" s="76">
        <f t="shared" si="5"/>
        <v>1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6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144</v>
      </c>
      <c r="V24" s="76">
        <f t="shared" si="5"/>
        <v>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v>45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>
        <v>10</v>
      </c>
      <c r="R25" s="73"/>
      <c r="S25" s="56"/>
      <c r="T25" s="59">
        <f t="shared" si="0"/>
        <v>11</v>
      </c>
      <c r="U25" s="76">
        <f t="shared" si="4"/>
        <v>1403</v>
      </c>
      <c r="V25" s="76">
        <f t="shared" si="5"/>
        <v>58.458333333333336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7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192</v>
      </c>
      <c r="V26" s="76">
        <f t="shared" si="5"/>
        <v>8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v>5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3</v>
      </c>
      <c r="N28" s="75"/>
      <c r="O28" s="71">
        <v>1</v>
      </c>
      <c r="P28" s="72"/>
      <c r="Q28" s="72">
        <v>3</v>
      </c>
      <c r="R28" s="73"/>
      <c r="S28" s="56"/>
      <c r="T28" s="59">
        <f t="shared" si="0"/>
        <v>0</v>
      </c>
      <c r="U28" s="76">
        <f t="shared" si="4"/>
        <v>288</v>
      </c>
      <c r="V28" s="76">
        <f t="shared" si="5"/>
        <v>12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>
        <v>44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1104</v>
      </c>
      <c r="V30" s="76">
        <f t="shared" si="5"/>
        <v>46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71+4</f>
        <v>75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1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1973</v>
      </c>
      <c r="V34" s="76">
        <f t="shared" si="5"/>
        <v>82.208333333333329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1404+30+1512+1</f>
        <v>2947</v>
      </c>
      <c r="D37" s="60"/>
      <c r="E37" s="60"/>
      <c r="F37" s="60"/>
      <c r="G37" s="60"/>
      <c r="H37" s="60"/>
      <c r="I37" s="60"/>
      <c r="J37" s="61"/>
      <c r="K37" s="62">
        <v>2</v>
      </c>
      <c r="L37" s="63"/>
      <c r="M37" s="64">
        <v>37</v>
      </c>
      <c r="N37" s="65"/>
      <c r="O37" s="66">
        <v>17</v>
      </c>
      <c r="P37" s="67"/>
      <c r="Q37" s="67">
        <v>116</v>
      </c>
      <c r="R37" s="68"/>
      <c r="S37" s="63"/>
      <c r="T37" s="78">
        <f t="shared" si="0"/>
        <v>2</v>
      </c>
      <c r="U37" s="78">
        <f>C37*6+M37*6+O37*6+Q37*6+T37</f>
        <v>18704</v>
      </c>
      <c r="V37" s="78">
        <f>U37/6</f>
        <v>3117.3333333333335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8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216</v>
      </c>
      <c r="V38" s="76">
        <f>U38/24</f>
        <v>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441+26</f>
        <v>467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11304</v>
      </c>
      <c r="V40" s="78">
        <f>U40/24</f>
        <v>471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18+1152</f>
        <v>1170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5</v>
      </c>
      <c r="N41" s="90"/>
      <c r="O41" s="85">
        <v>4</v>
      </c>
      <c r="P41" s="86"/>
      <c r="Q41" s="86">
        <v>14</v>
      </c>
      <c r="R41" s="87"/>
      <c r="S41" s="88"/>
      <c r="T41" s="91">
        <f t="shared" si="0"/>
        <v>9</v>
      </c>
      <c r="U41" s="91">
        <f>C41*12+M41*12+O41*12+Q41*12+T41</f>
        <v>14325</v>
      </c>
      <c r="V41" s="91">
        <f>U41/12</f>
        <v>1193.75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5940+8424+4104+864+41+6480+1836+18</f>
        <v>27707</v>
      </c>
      <c r="D43" s="66"/>
      <c r="E43" s="66"/>
      <c r="F43" s="66"/>
      <c r="G43" s="66"/>
      <c r="H43" s="66">
        <v>3</v>
      </c>
      <c r="I43" s="66">
        <v>7</v>
      </c>
      <c r="J43" s="67">
        <f>11*6+3</f>
        <v>69</v>
      </c>
      <c r="K43" s="68">
        <f>21*6+2</f>
        <v>128</v>
      </c>
      <c r="L43" s="63"/>
      <c r="M43" s="64">
        <v>541</v>
      </c>
      <c r="N43" s="65"/>
      <c r="O43" s="66">
        <v>420</v>
      </c>
      <c r="P43" s="67"/>
      <c r="Q43" s="67">
        <v>566</v>
      </c>
      <c r="R43" s="68"/>
      <c r="S43" s="63"/>
      <c r="T43" s="78">
        <f t="shared" ref="T43" si="6">H43+I43+J43+K43+N43+P43+R43</f>
        <v>207</v>
      </c>
      <c r="U43" s="78">
        <f>C43*6+M43*6+O43*6+Q43*6+T43</f>
        <v>175611</v>
      </c>
      <c r="V43" s="78">
        <f>U43/6</f>
        <v>29268.5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2268+35</f>
        <v>2303</v>
      </c>
      <c r="D47" s="66"/>
      <c r="E47" s="66"/>
      <c r="F47" s="66"/>
      <c r="G47" s="66"/>
      <c r="H47" s="66">
        <v>2</v>
      </c>
      <c r="I47" s="66"/>
      <c r="J47" s="67"/>
      <c r="K47" s="68">
        <v>4</v>
      </c>
      <c r="L47" s="63"/>
      <c r="M47" s="64"/>
      <c r="N47" s="65"/>
      <c r="O47" s="66">
        <v>6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13924</v>
      </c>
      <c r="V47" s="78">
        <f>U47/6</f>
        <v>2320.6666666666665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38536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56</v>
      </c>
      <c r="I58" s="6">
        <f t="shared" si="11"/>
        <v>9</v>
      </c>
      <c r="J58" s="6">
        <f t="shared" si="11"/>
        <v>69</v>
      </c>
      <c r="K58" s="6">
        <f t="shared" si="11"/>
        <v>163</v>
      </c>
      <c r="M58" s="5">
        <f t="shared" ref="M58:R58" si="12">SUM(M7:M57)</f>
        <v>616</v>
      </c>
      <c r="N58" s="5">
        <f t="shared" si="12"/>
        <v>17</v>
      </c>
      <c r="O58" s="5">
        <f t="shared" si="12"/>
        <v>478</v>
      </c>
      <c r="P58" s="5">
        <f t="shared" si="12"/>
        <v>41</v>
      </c>
      <c r="Q58" s="5">
        <f t="shared" si="12"/>
        <v>757</v>
      </c>
      <c r="R58" s="5">
        <f t="shared" si="12"/>
        <v>10</v>
      </c>
      <c r="S58" s="56"/>
      <c r="T58" s="4">
        <f>SUM(T7:T57)</f>
        <v>365</v>
      </c>
      <c r="U58" s="95">
        <f>SUM(U7:U57)</f>
        <v>330665</v>
      </c>
      <c r="V58" s="4">
        <f>SUM(V7:V57)</f>
        <v>40429.958333333336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05CE-7D22-43DC-A171-02A7DBD1AB5D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85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9"/>
      <c r="Q5" s="109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9"/>
      <c r="K6" s="38"/>
      <c r="M6" s="37"/>
      <c r="N6" s="49"/>
      <c r="O6" s="40"/>
      <c r="P6" s="109"/>
      <c r="Q6" s="10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f>41</f>
        <v>41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/>
      <c r="N7" s="58"/>
      <c r="O7" s="53">
        <v>2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1101</v>
      </c>
      <c r="V7" s="59">
        <f>U7/24</f>
        <v>45.875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9+63+15</f>
        <v>87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2136</v>
      </c>
      <c r="V8" s="70">
        <f>U8/24</f>
        <v>89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9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>
        <v>2</v>
      </c>
      <c r="R9" s="73"/>
      <c r="S9" s="56"/>
      <c r="T9" s="76">
        <f t="shared" si="0"/>
        <v>0</v>
      </c>
      <c r="U9" s="77">
        <f t="shared" ref="U9:U11" si="2">C9*24+M9*24+O9*24+Q9*24+T9</f>
        <v>264</v>
      </c>
      <c r="V9" s="77">
        <f t="shared" ref="V9:V11" si="3">U9/24</f>
        <v>11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</v>
      </c>
      <c r="V11" s="59">
        <f t="shared" si="3"/>
        <v>1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72+720+60+63+504+67+1440+576</f>
        <v>3502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15</v>
      </c>
      <c r="N12" s="65">
        <v>1</v>
      </c>
      <c r="O12" s="66">
        <v>8</v>
      </c>
      <c r="P12" s="67">
        <v>1</v>
      </c>
      <c r="Q12" s="67">
        <v>21</v>
      </c>
      <c r="R12" s="68"/>
      <c r="S12" s="63"/>
      <c r="T12" s="59">
        <f t="shared" si="0"/>
        <v>2</v>
      </c>
      <c r="U12" s="70">
        <f>C12*24+M12*24+O12*24+Q12*24+T12</f>
        <v>85106</v>
      </c>
      <c r="V12" s="70">
        <f>U12/24</f>
        <v>3546.0833333333335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2</v>
      </c>
      <c r="D13" s="71"/>
      <c r="E13" s="71"/>
      <c r="F13" s="71"/>
      <c r="G13" s="71"/>
      <c r="H13" s="71">
        <v>16</v>
      </c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16</v>
      </c>
      <c r="U13" s="77">
        <f>C13*24+M13*24+O13*24+Q13*24+T13</f>
        <v>64</v>
      </c>
      <c r="V13" s="77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f>1+1</f>
        <v>2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72</v>
      </c>
      <c r="V17" s="76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2</v>
      </c>
      <c r="D19" s="71"/>
      <c r="E19" s="71"/>
      <c r="F19" s="71"/>
      <c r="G19" s="71"/>
      <c r="H19" s="71">
        <v>20</v>
      </c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20</v>
      </c>
      <c r="U19" s="76">
        <f t="shared" si="4"/>
        <v>68</v>
      </c>
      <c r="V19" s="76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5</v>
      </c>
      <c r="D20" s="71"/>
      <c r="E20" s="71"/>
      <c r="F20" s="71"/>
      <c r="G20" s="71"/>
      <c r="H20" s="71">
        <v>16</v>
      </c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16</v>
      </c>
      <c r="U20" s="76">
        <f t="shared" si="4"/>
        <v>136</v>
      </c>
      <c r="V20" s="76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2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72</v>
      </c>
      <c r="V21" s="76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>
        <v>20</v>
      </c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20</v>
      </c>
      <c r="U22" s="76">
        <f t="shared" si="4"/>
        <v>20</v>
      </c>
      <c r="V22" s="76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17</v>
      </c>
      <c r="D23" s="71"/>
      <c r="E23" s="71"/>
      <c r="F23" s="71"/>
      <c r="G23" s="71"/>
      <c r="H23" s="71"/>
      <c r="I23" s="71"/>
      <c r="J23" s="72"/>
      <c r="K23" s="73"/>
      <c r="L23" s="56"/>
      <c r="M23" s="74">
        <v>4</v>
      </c>
      <c r="N23" s="75"/>
      <c r="O23" s="71">
        <v>9</v>
      </c>
      <c r="P23" s="72">
        <v>19</v>
      </c>
      <c r="Q23" s="72">
        <v>8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6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144</v>
      </c>
      <c r="V24" s="76">
        <f t="shared" si="5"/>
        <v>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v>45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2</v>
      </c>
      <c r="N25" s="75"/>
      <c r="O25" s="71">
        <v>1</v>
      </c>
      <c r="P25" s="72"/>
      <c r="Q25" s="72"/>
      <c r="R25" s="73"/>
      <c r="S25" s="56"/>
      <c r="T25" s="59">
        <f t="shared" si="0"/>
        <v>11</v>
      </c>
      <c r="U25" s="76">
        <f t="shared" si="4"/>
        <v>1163</v>
      </c>
      <c r="V25" s="76">
        <f t="shared" si="5"/>
        <v>48.458333333333336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7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192</v>
      </c>
      <c r="V26" s="76">
        <f t="shared" si="5"/>
        <v>8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v>5</v>
      </c>
      <c r="D28" s="71"/>
      <c r="E28" s="71"/>
      <c r="F28" s="71"/>
      <c r="G28" s="71"/>
      <c r="H28" s="71"/>
      <c r="I28" s="71"/>
      <c r="J28" s="72"/>
      <c r="K28" s="73"/>
      <c r="L28" s="56"/>
      <c r="M28" s="74">
        <v>1</v>
      </c>
      <c r="N28" s="75"/>
      <c r="O28" s="71">
        <v>1</v>
      </c>
      <c r="P28" s="72"/>
      <c r="Q28" s="72">
        <v>3</v>
      </c>
      <c r="R28" s="73"/>
      <c r="S28" s="56"/>
      <c r="T28" s="59">
        <f t="shared" si="0"/>
        <v>0</v>
      </c>
      <c r="U28" s="76">
        <f t="shared" si="4"/>
        <v>240</v>
      </c>
      <c r="V28" s="76">
        <f t="shared" si="5"/>
        <v>10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>
        <v>44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2</v>
      </c>
      <c r="P30" s="72"/>
      <c r="Q30" s="72"/>
      <c r="R30" s="73"/>
      <c r="S30" s="56"/>
      <c r="T30" s="59">
        <f t="shared" si="0"/>
        <v>0</v>
      </c>
      <c r="U30" s="76">
        <f t="shared" si="4"/>
        <v>1104</v>
      </c>
      <c r="V30" s="76">
        <f t="shared" si="5"/>
        <v>46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70+4</f>
        <v>74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/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1925</v>
      </c>
      <c r="V34" s="76">
        <f t="shared" si="5"/>
        <v>80.208333333333329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1188+72+1512</f>
        <v>2772</v>
      </c>
      <c r="D37" s="60"/>
      <c r="E37" s="60"/>
      <c r="F37" s="60"/>
      <c r="G37" s="60"/>
      <c r="H37" s="60"/>
      <c r="I37" s="60"/>
      <c r="J37" s="61"/>
      <c r="K37" s="62">
        <v>2</v>
      </c>
      <c r="L37" s="63"/>
      <c r="M37" s="64">
        <v>18</v>
      </c>
      <c r="N37" s="65"/>
      <c r="O37" s="66">
        <v>36</v>
      </c>
      <c r="P37" s="67"/>
      <c r="Q37" s="67">
        <v>143</v>
      </c>
      <c r="R37" s="68"/>
      <c r="S37" s="63"/>
      <c r="T37" s="78">
        <f t="shared" si="0"/>
        <v>2</v>
      </c>
      <c r="U37" s="78">
        <f>C37*6+M37*6+O37*6+Q37*6+T37</f>
        <v>17816</v>
      </c>
      <c r="V37" s="78">
        <f>U37/6</f>
        <v>2969.3333333333335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8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216</v>
      </c>
      <c r="V38" s="76">
        <f>U38/24</f>
        <v>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378+23</f>
        <v>401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9720</v>
      </c>
      <c r="V40" s="78">
        <f>U40/24</f>
        <v>405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1152+14</f>
        <v>1166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/>
      <c r="N41" s="90"/>
      <c r="O41" s="85">
        <v>4</v>
      </c>
      <c r="P41" s="86"/>
      <c r="Q41" s="86">
        <v>7</v>
      </c>
      <c r="R41" s="87"/>
      <c r="S41" s="88"/>
      <c r="T41" s="91">
        <f t="shared" si="0"/>
        <v>9</v>
      </c>
      <c r="U41" s="91">
        <f>C41*12+M41*12+O41*12+Q41*12+T41</f>
        <v>14133</v>
      </c>
      <c r="V41" s="91">
        <f>U41/12</f>
        <v>1177.75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5940+8424+3132+2700+41+6480</f>
        <v>26717</v>
      </c>
      <c r="D43" s="66"/>
      <c r="E43" s="66"/>
      <c r="F43" s="66"/>
      <c r="G43" s="66"/>
      <c r="H43" s="66">
        <v>5</v>
      </c>
      <c r="I43" s="66">
        <v>7</v>
      </c>
      <c r="J43" s="67">
        <f>13*6</f>
        <v>78</v>
      </c>
      <c r="K43" s="68">
        <f>21*6+2</f>
        <v>128</v>
      </c>
      <c r="L43" s="63"/>
      <c r="M43" s="64">
        <v>534</v>
      </c>
      <c r="N43" s="65"/>
      <c r="O43" s="66">
        <v>309</v>
      </c>
      <c r="P43" s="67"/>
      <c r="Q43" s="67">
        <v>459</v>
      </c>
      <c r="R43" s="68"/>
      <c r="S43" s="63"/>
      <c r="T43" s="78">
        <f t="shared" ref="T43" si="6">H43+I43+J43+K43+N43+P43+R43</f>
        <v>218</v>
      </c>
      <c r="U43" s="78">
        <f>C43*6+M43*6+O43*6+Q43*6+T43</f>
        <v>168332</v>
      </c>
      <c r="V43" s="78">
        <f>U43/6</f>
        <v>28055.333333333332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2268+33</f>
        <v>2301</v>
      </c>
      <c r="D47" s="66"/>
      <c r="E47" s="66"/>
      <c r="F47" s="66"/>
      <c r="G47" s="66"/>
      <c r="H47" s="66">
        <v>2</v>
      </c>
      <c r="I47" s="66"/>
      <c r="J47" s="67"/>
      <c r="K47" s="68">
        <v>4</v>
      </c>
      <c r="L47" s="63"/>
      <c r="M47" s="64"/>
      <c r="N47" s="65"/>
      <c r="O47" s="66">
        <v>6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13912</v>
      </c>
      <c r="V47" s="78">
        <f>U47/6</f>
        <v>2318.6666666666665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37255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130</v>
      </c>
      <c r="I58" s="6">
        <f t="shared" si="11"/>
        <v>9</v>
      </c>
      <c r="J58" s="6">
        <f t="shared" si="11"/>
        <v>78</v>
      </c>
      <c r="K58" s="6">
        <f t="shared" si="11"/>
        <v>163</v>
      </c>
      <c r="M58" s="5">
        <f t="shared" ref="M58:R58" si="12">SUM(M7:M57)</f>
        <v>578</v>
      </c>
      <c r="N58" s="5">
        <f t="shared" si="12"/>
        <v>1</v>
      </c>
      <c r="O58" s="5">
        <f t="shared" si="12"/>
        <v>381</v>
      </c>
      <c r="P58" s="5">
        <f t="shared" si="12"/>
        <v>36</v>
      </c>
      <c r="Q58" s="5">
        <f t="shared" si="12"/>
        <v>663</v>
      </c>
      <c r="R58" s="5">
        <f t="shared" si="12"/>
        <v>0</v>
      </c>
      <c r="S58" s="56"/>
      <c r="T58" s="4">
        <f>SUM(T7:T57)</f>
        <v>417</v>
      </c>
      <c r="U58" s="95">
        <f>SUM(U7:U57)</f>
        <v>319239</v>
      </c>
      <c r="V58" s="4">
        <f>SUM(V7:V57)</f>
        <v>38923.499999999993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D993-F3E9-4FE3-983E-F3145948B2B7}">
  <sheetPr>
    <pageSetUpPr fitToPage="1"/>
  </sheetPr>
  <dimension ref="A1:BB81"/>
  <sheetViews>
    <sheetView topLeftCell="A34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86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9"/>
      <c r="Q5" s="109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9"/>
      <c r="K6" s="38"/>
      <c r="M6" s="37"/>
      <c r="N6" s="49"/>
      <c r="O6" s="40"/>
      <c r="P6" s="109"/>
      <c r="Q6" s="10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38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>
        <v>2</v>
      </c>
      <c r="N7" s="58"/>
      <c r="O7" s="53">
        <v>3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1101</v>
      </c>
      <c r="V7" s="59">
        <f>U7/24</f>
        <v>45.875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9+15+63</f>
        <v>87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2136</v>
      </c>
      <c r="V8" s="70">
        <f>U8/24</f>
        <v>89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5</v>
      </c>
      <c r="D9" s="71"/>
      <c r="E9" s="71"/>
      <c r="F9" s="71"/>
      <c r="G9" s="71"/>
      <c r="H9" s="71"/>
      <c r="I9" s="71"/>
      <c r="J9" s="72"/>
      <c r="K9" s="73"/>
      <c r="L9" s="56"/>
      <c r="M9" s="74">
        <v>2</v>
      </c>
      <c r="N9" s="75"/>
      <c r="O9" s="71">
        <v>2</v>
      </c>
      <c r="P9" s="72"/>
      <c r="Q9" s="72">
        <v>2</v>
      </c>
      <c r="R9" s="73"/>
      <c r="S9" s="56"/>
      <c r="T9" s="76">
        <f t="shared" si="0"/>
        <v>0</v>
      </c>
      <c r="U9" s="77">
        <f t="shared" ref="U9:U11" si="2">C9*24+M9*24+O9*24+Q9*24+T9</f>
        <v>264</v>
      </c>
      <c r="V9" s="77">
        <f t="shared" ref="V9:V11" si="3">U9/24</f>
        <v>11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</v>
      </c>
      <c r="V11" s="59">
        <f t="shared" si="3"/>
        <v>1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72+720+63+60+504+24+1440+576</f>
        <v>3459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22</v>
      </c>
      <c r="N12" s="65">
        <v>13</v>
      </c>
      <c r="O12" s="66">
        <v>19</v>
      </c>
      <c r="P12" s="67">
        <v>1</v>
      </c>
      <c r="Q12" s="67">
        <v>13</v>
      </c>
      <c r="R12" s="68">
        <v>13</v>
      </c>
      <c r="S12" s="63"/>
      <c r="T12" s="59">
        <f t="shared" si="0"/>
        <v>27</v>
      </c>
      <c r="U12" s="70">
        <f>C12*24+M12*24+O12*24+Q12*24+T12</f>
        <v>84339</v>
      </c>
      <c r="V12" s="70">
        <f>U12/24</f>
        <v>3514.125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2</v>
      </c>
      <c r="D13" s="71"/>
      <c r="E13" s="71"/>
      <c r="F13" s="71"/>
      <c r="G13" s="71"/>
      <c r="H13" s="71">
        <v>16</v>
      </c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16</v>
      </c>
      <c r="U13" s="77">
        <f>C13*24+M13*24+O13*24+Q13*24+T13</f>
        <v>64</v>
      </c>
      <c r="V13" s="77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2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72</v>
      </c>
      <c r="V17" s="76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2</v>
      </c>
      <c r="D19" s="71"/>
      <c r="E19" s="71"/>
      <c r="F19" s="71"/>
      <c r="G19" s="71"/>
      <c r="H19" s="71">
        <v>20</v>
      </c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20</v>
      </c>
      <c r="U19" s="76">
        <f t="shared" si="4"/>
        <v>68</v>
      </c>
      <c r="V19" s="76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5</v>
      </c>
      <c r="D20" s="71"/>
      <c r="E20" s="71"/>
      <c r="F20" s="71"/>
      <c r="G20" s="71"/>
      <c r="H20" s="71">
        <v>16</v>
      </c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16</v>
      </c>
      <c r="U20" s="76">
        <f t="shared" si="4"/>
        <v>136</v>
      </c>
      <c r="V20" s="76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2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72</v>
      </c>
      <c r="V21" s="76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>
        <v>20</v>
      </c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20</v>
      </c>
      <c r="U22" s="76">
        <f t="shared" si="4"/>
        <v>20</v>
      </c>
      <c r="V22" s="76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35</v>
      </c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>
        <v>1</v>
      </c>
      <c r="P23" s="72">
        <v>19</v>
      </c>
      <c r="Q23" s="72">
        <v>2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6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144</v>
      </c>
      <c r="V24" s="76">
        <f t="shared" si="5"/>
        <v>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v>40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3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1115</v>
      </c>
      <c r="V25" s="76">
        <f t="shared" si="5"/>
        <v>46.458333333333336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7</v>
      </c>
      <c r="D26" s="71"/>
      <c r="E26" s="71"/>
      <c r="F26" s="71"/>
      <c r="G26" s="71"/>
      <c r="H26" s="71"/>
      <c r="I26" s="71"/>
      <c r="J26" s="72"/>
      <c r="K26" s="73"/>
      <c r="L26" s="56"/>
      <c r="M26" s="74">
        <v>1</v>
      </c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192</v>
      </c>
      <c r="V26" s="76">
        <f t="shared" si="5"/>
        <v>8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/>
      <c r="D28" s="71"/>
      <c r="E28" s="71"/>
      <c r="F28" s="71"/>
      <c r="G28" s="71"/>
      <c r="H28" s="71"/>
      <c r="I28" s="71"/>
      <c r="J28" s="72"/>
      <c r="K28" s="73"/>
      <c r="L28" s="56"/>
      <c r="M28" s="74">
        <v>3</v>
      </c>
      <c r="N28" s="75"/>
      <c r="O28" s="71">
        <v>1</v>
      </c>
      <c r="P28" s="72"/>
      <c r="Q28" s="72"/>
      <c r="R28" s="73"/>
      <c r="S28" s="56"/>
      <c r="T28" s="59">
        <f t="shared" si="0"/>
        <v>0</v>
      </c>
      <c r="U28" s="76">
        <f t="shared" si="4"/>
        <v>96</v>
      </c>
      <c r="V28" s="76">
        <f t="shared" si="5"/>
        <v>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>
        <v>43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1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1080</v>
      </c>
      <c r="V30" s="76">
        <f t="shared" si="5"/>
        <v>45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67+4</f>
        <v>71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>
        <v>3</v>
      </c>
      <c r="N34" s="75"/>
      <c r="O34" s="71">
        <v>2</v>
      </c>
      <c r="P34" s="72"/>
      <c r="Q34" s="72">
        <v>4</v>
      </c>
      <c r="R34" s="73"/>
      <c r="S34" s="56"/>
      <c r="T34" s="59">
        <f t="shared" si="0"/>
        <v>5</v>
      </c>
      <c r="U34" s="76">
        <f t="shared" si="4"/>
        <v>1925</v>
      </c>
      <c r="V34" s="76">
        <f t="shared" si="5"/>
        <v>80.208333333333329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1080+1512</f>
        <v>2592</v>
      </c>
      <c r="D37" s="60"/>
      <c r="E37" s="60"/>
      <c r="F37" s="60"/>
      <c r="G37" s="60"/>
      <c r="H37" s="60"/>
      <c r="I37" s="60"/>
      <c r="J37" s="61"/>
      <c r="K37" s="62">
        <v>2</v>
      </c>
      <c r="L37" s="63"/>
      <c r="M37" s="64">
        <v>80</v>
      </c>
      <c r="N37" s="65"/>
      <c r="O37" s="66">
        <v>108</v>
      </c>
      <c r="P37" s="67"/>
      <c r="Q37" s="67">
        <v>118</v>
      </c>
      <c r="R37" s="68"/>
      <c r="S37" s="63"/>
      <c r="T37" s="78">
        <f t="shared" si="0"/>
        <v>2</v>
      </c>
      <c r="U37" s="78">
        <f>C37*6+M37*6+O37*6+Q37*6+T37</f>
        <v>17390</v>
      </c>
      <c r="V37" s="78">
        <f>U37/6</f>
        <v>2898.3333333333335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8</v>
      </c>
      <c r="D38" s="71"/>
      <c r="E38" s="71"/>
      <c r="F38" s="71"/>
      <c r="G38" s="71"/>
      <c r="H38" s="71"/>
      <c r="I38" s="71"/>
      <c r="J38" s="72"/>
      <c r="K38" s="73"/>
      <c r="L38" s="56"/>
      <c r="M38" s="74">
        <v>1</v>
      </c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216</v>
      </c>
      <c r="V38" s="76">
        <f>U38/24</f>
        <v>9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74"/>
      <c r="N39" s="75"/>
      <c r="O39" s="71"/>
      <c r="P39" s="72"/>
      <c r="Q39" s="72"/>
      <c r="R39" s="73"/>
      <c r="S39" s="103"/>
      <c r="T39" s="76"/>
      <c r="U39" s="76"/>
      <c r="V39" s="76"/>
    </row>
    <row r="40" spans="1:23" ht="19.5" thickBot="1" x14ac:dyDescent="0.3">
      <c r="A40" s="27">
        <f t="shared" si="1"/>
        <v>37</v>
      </c>
      <c r="B40" s="42" t="s">
        <v>21</v>
      </c>
      <c r="C40" s="60">
        <f>21+378</f>
        <v>399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>
        <v>2</v>
      </c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9720</v>
      </c>
      <c r="V40" s="78">
        <f>U40/24</f>
        <v>405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1056+70</f>
        <v>1126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10</v>
      </c>
      <c r="N41" s="90"/>
      <c r="O41" s="85">
        <v>5</v>
      </c>
      <c r="P41" s="86"/>
      <c r="Q41" s="86">
        <v>20</v>
      </c>
      <c r="R41" s="87"/>
      <c r="S41" s="88"/>
      <c r="T41" s="91">
        <f t="shared" si="0"/>
        <v>9</v>
      </c>
      <c r="U41" s="91">
        <f>C41*12+M41*12+O41*12+Q41*12+T41</f>
        <v>13941</v>
      </c>
      <c r="V41" s="91">
        <f>U41/12</f>
        <v>1161.75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5940+8424+65+2052+4536+6480</f>
        <v>27497</v>
      </c>
      <c r="D43" s="66"/>
      <c r="E43" s="66"/>
      <c r="F43" s="66"/>
      <c r="G43" s="66"/>
      <c r="H43" s="66">
        <v>5</v>
      </c>
      <c r="I43" s="66">
        <v>7</v>
      </c>
      <c r="J43" s="67">
        <f>13*6</f>
        <v>78</v>
      </c>
      <c r="K43" s="68">
        <f>21*6+2</f>
        <v>128</v>
      </c>
      <c r="L43" s="63"/>
      <c r="M43" s="64">
        <v>314</v>
      </c>
      <c r="N43" s="65"/>
      <c r="O43" s="66">
        <v>384</v>
      </c>
      <c r="P43" s="67"/>
      <c r="Q43" s="67">
        <v>454</v>
      </c>
      <c r="R43" s="68"/>
      <c r="S43" s="63"/>
      <c r="T43" s="78">
        <f t="shared" ref="T43" si="6">H43+I43+J43+K43+N43+P43+R43</f>
        <v>218</v>
      </c>
      <c r="U43" s="78">
        <f>C43*6+M43*6+O43*6+Q43*6+T43</f>
        <v>172112</v>
      </c>
      <c r="V43" s="78">
        <f>U43/6</f>
        <v>28685.333333333332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33+2268</f>
        <v>2301</v>
      </c>
      <c r="D47" s="66"/>
      <c r="E47" s="66"/>
      <c r="F47" s="66"/>
      <c r="G47" s="66"/>
      <c r="H47" s="66">
        <v>2</v>
      </c>
      <c r="I47" s="66"/>
      <c r="J47" s="67"/>
      <c r="K47" s="68">
        <v>4</v>
      </c>
      <c r="L47" s="63"/>
      <c r="M47" s="64"/>
      <c r="N47" s="65"/>
      <c r="O47" s="66">
        <v>1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13882</v>
      </c>
      <c r="V47" s="78">
        <f>U47/6</f>
        <v>2313.6666666666665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37767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130</v>
      </c>
      <c r="I58" s="6">
        <f t="shared" si="11"/>
        <v>9</v>
      </c>
      <c r="J58" s="6">
        <f t="shared" si="11"/>
        <v>78</v>
      </c>
      <c r="K58" s="6">
        <f t="shared" si="11"/>
        <v>163</v>
      </c>
      <c r="M58" s="5">
        <f t="shared" ref="M58:R58" si="12">SUM(M7:M57)</f>
        <v>445</v>
      </c>
      <c r="N58" s="5">
        <f t="shared" si="12"/>
        <v>13</v>
      </c>
      <c r="O58" s="5">
        <f t="shared" si="12"/>
        <v>529</v>
      </c>
      <c r="P58" s="5">
        <f t="shared" si="12"/>
        <v>36</v>
      </c>
      <c r="Q58" s="5">
        <f t="shared" si="12"/>
        <v>632</v>
      </c>
      <c r="R58" s="5">
        <f t="shared" si="12"/>
        <v>13</v>
      </c>
      <c r="S58" s="56"/>
      <c r="T58" s="4">
        <f>SUM(T7:T57)</f>
        <v>442</v>
      </c>
      <c r="U58" s="95">
        <f>SUM(U7:U57)</f>
        <v>321388</v>
      </c>
      <c r="V58" s="4">
        <f>SUM(V7:V57)</f>
        <v>39420.541666666664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4D12-0076-42A5-9528-69B257B3A780}">
  <sheetPr>
    <pageSetUpPr fitToPage="1"/>
  </sheetPr>
  <dimension ref="A1:BB81"/>
  <sheetViews>
    <sheetView tabSelected="1" zoomScaleNormal="100" zoomScaleSheetLayoutView="115" workbookViewId="0">
      <selection activeCell="B5" sqref="B5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87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09"/>
      <c r="Q5" s="109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9"/>
      <c r="K6" s="38"/>
      <c r="M6" s="37"/>
      <c r="N6" s="49"/>
      <c r="O6" s="40"/>
      <c r="P6" s="109"/>
      <c r="Q6" s="10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>
        <v>38</v>
      </c>
      <c r="D7" s="53"/>
      <c r="E7" s="53"/>
      <c r="F7" s="53"/>
      <c r="G7" s="53"/>
      <c r="H7" s="53">
        <v>2</v>
      </c>
      <c r="I7" s="53">
        <v>1</v>
      </c>
      <c r="J7" s="54"/>
      <c r="K7" s="55">
        <v>6</v>
      </c>
      <c r="L7" s="56"/>
      <c r="M7" s="57"/>
      <c r="N7" s="58"/>
      <c r="O7" s="53">
        <v>2</v>
      </c>
      <c r="P7" s="54">
        <v>12</v>
      </c>
      <c r="Q7" s="54">
        <v>2</v>
      </c>
      <c r="R7" s="55"/>
      <c r="S7" s="56"/>
      <c r="T7" s="59">
        <f>H7+I7+J7+K7+N7+P7+R7</f>
        <v>21</v>
      </c>
      <c r="U7" s="59">
        <f>C7*24+M7*24+O7*24+Q7*24+T7</f>
        <v>1029</v>
      </c>
      <c r="V7" s="59">
        <f>U7/24</f>
        <v>42.875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>
        <f>1+8+63+15</f>
        <v>87</v>
      </c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>
        <v>2</v>
      </c>
      <c r="R8" s="68"/>
      <c r="S8" s="63"/>
      <c r="T8" s="69">
        <f t="shared" ref="T8:T41" si="0">H8+I8+J8+K8+N8+P8+R8</f>
        <v>0</v>
      </c>
      <c r="U8" s="70">
        <f>C8*24+M8*24+O8*24+Q8*24+T8</f>
        <v>2136</v>
      </c>
      <c r="V8" s="70">
        <f>U8/24</f>
        <v>89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>
        <v>5</v>
      </c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120</v>
      </c>
      <c r="V9" s="77">
        <f t="shared" ref="V9:V11" si="3">U9/24</f>
        <v>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>
        <v>22</v>
      </c>
      <c r="I11" s="71"/>
      <c r="J11" s="72"/>
      <c r="K11" s="73">
        <v>2</v>
      </c>
      <c r="L11" s="56"/>
      <c r="M11" s="74"/>
      <c r="N11" s="75"/>
      <c r="O11" s="71"/>
      <c r="P11" s="72"/>
      <c r="Q11" s="72"/>
      <c r="R11" s="73"/>
      <c r="S11" s="56"/>
      <c r="T11" s="59">
        <f t="shared" si="0"/>
        <v>24</v>
      </c>
      <c r="U11" s="59">
        <f t="shared" si="2"/>
        <v>24</v>
      </c>
      <c r="V11" s="59">
        <f t="shared" si="3"/>
        <v>1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>
        <f>72+720+60+63+432+50+1440+576</f>
        <v>3413</v>
      </c>
      <c r="D12" s="60"/>
      <c r="E12" s="60"/>
      <c r="F12" s="60"/>
      <c r="G12" s="60"/>
      <c r="H12" s="60"/>
      <c r="I12" s="60"/>
      <c r="J12" s="61"/>
      <c r="K12" s="62"/>
      <c r="L12" s="63"/>
      <c r="M12" s="64">
        <v>36</v>
      </c>
      <c r="N12" s="65">
        <v>11</v>
      </c>
      <c r="O12" s="66">
        <v>11</v>
      </c>
      <c r="P12" s="67">
        <v>15</v>
      </c>
      <c r="Q12" s="67">
        <v>20</v>
      </c>
      <c r="R12" s="68">
        <v>12</v>
      </c>
      <c r="S12" s="63"/>
      <c r="T12" s="59">
        <f t="shared" si="0"/>
        <v>38</v>
      </c>
      <c r="U12" s="70">
        <f>C12*24+M12*24+O12*24+Q12*24+T12</f>
        <v>83558</v>
      </c>
      <c r="V12" s="70">
        <f>U12/24</f>
        <v>3481.5833333333335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>
        <v>2</v>
      </c>
      <c r="D13" s="71"/>
      <c r="E13" s="71"/>
      <c r="F13" s="71"/>
      <c r="G13" s="71"/>
      <c r="H13" s="71">
        <v>16</v>
      </c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16</v>
      </c>
      <c r="U13" s="77">
        <f>C13*24+M13*24+O13*24+Q13*24+T13</f>
        <v>64</v>
      </c>
      <c r="V13" s="77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>
        <v>2</v>
      </c>
      <c r="D17" s="71"/>
      <c r="E17" s="71"/>
      <c r="F17" s="71"/>
      <c r="G17" s="71"/>
      <c r="H17" s="71"/>
      <c r="I17" s="71"/>
      <c r="J17" s="72"/>
      <c r="K17" s="73"/>
      <c r="L17" s="56"/>
      <c r="M17" s="74">
        <v>1</v>
      </c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72</v>
      </c>
      <c r="V17" s="76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>
        <v>2</v>
      </c>
      <c r="D19" s="71"/>
      <c r="E19" s="71"/>
      <c r="F19" s="71"/>
      <c r="G19" s="71"/>
      <c r="H19" s="71">
        <v>20</v>
      </c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20</v>
      </c>
      <c r="U19" s="76">
        <f t="shared" si="4"/>
        <v>68</v>
      </c>
      <c r="V19" s="76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>
        <v>5</v>
      </c>
      <c r="D20" s="71"/>
      <c r="E20" s="71"/>
      <c r="F20" s="71"/>
      <c r="G20" s="71"/>
      <c r="H20" s="71">
        <v>16</v>
      </c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16</v>
      </c>
      <c r="U20" s="76">
        <f t="shared" si="4"/>
        <v>136</v>
      </c>
      <c r="V20" s="76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>
        <v>2</v>
      </c>
      <c r="D21" s="71"/>
      <c r="E21" s="71"/>
      <c r="F21" s="71"/>
      <c r="G21" s="71"/>
      <c r="H21" s="71"/>
      <c r="I21" s="71"/>
      <c r="J21" s="72"/>
      <c r="K21" s="73"/>
      <c r="L21" s="56"/>
      <c r="M21" s="74">
        <v>1</v>
      </c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72</v>
      </c>
      <c r="V21" s="76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>
        <v>20</v>
      </c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20</v>
      </c>
      <c r="U22" s="76">
        <f t="shared" si="4"/>
        <v>20</v>
      </c>
      <c r="V22" s="76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>
        <v>35</v>
      </c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>
        <v>1</v>
      </c>
      <c r="P23" s="72">
        <v>19</v>
      </c>
      <c r="Q23" s="72">
        <v>2</v>
      </c>
      <c r="R23" s="73"/>
      <c r="S23" s="56"/>
      <c r="T23" s="59">
        <f t="shared" si="0"/>
        <v>19</v>
      </c>
      <c r="U23" s="76">
        <f t="shared" si="4"/>
        <v>931</v>
      </c>
      <c r="V23" s="76">
        <f t="shared" si="5"/>
        <v>38.791666666666664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>
        <v>6</v>
      </c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144</v>
      </c>
      <c r="V24" s="76">
        <f t="shared" si="5"/>
        <v>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>
        <v>40</v>
      </c>
      <c r="D25" s="71"/>
      <c r="E25" s="71"/>
      <c r="F25" s="71"/>
      <c r="G25" s="71"/>
      <c r="H25" s="71">
        <v>10</v>
      </c>
      <c r="I25" s="71">
        <v>1</v>
      </c>
      <c r="J25" s="72"/>
      <c r="K25" s="73"/>
      <c r="L25" s="56"/>
      <c r="M25" s="74">
        <v>1</v>
      </c>
      <c r="N25" s="75"/>
      <c r="O25" s="71">
        <v>1</v>
      </c>
      <c r="P25" s="72"/>
      <c r="Q25" s="72">
        <v>2</v>
      </c>
      <c r="R25" s="73"/>
      <c r="S25" s="56"/>
      <c r="T25" s="59">
        <f t="shared" si="0"/>
        <v>11</v>
      </c>
      <c r="U25" s="76">
        <f t="shared" si="4"/>
        <v>1067</v>
      </c>
      <c r="V25" s="76">
        <f t="shared" si="5"/>
        <v>44.458333333333336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>
        <v>7</v>
      </c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168</v>
      </c>
      <c r="V26" s="76">
        <f t="shared" si="5"/>
        <v>7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>
        <v>63</v>
      </c>
      <c r="D28" s="71"/>
      <c r="E28" s="71"/>
      <c r="F28" s="71"/>
      <c r="G28" s="71"/>
      <c r="H28" s="71"/>
      <c r="I28" s="71"/>
      <c r="J28" s="72"/>
      <c r="K28" s="73"/>
      <c r="L28" s="56"/>
      <c r="M28" s="74"/>
      <c r="N28" s="75"/>
      <c r="O28" s="71"/>
      <c r="P28" s="72"/>
      <c r="Q28" s="72"/>
      <c r="R28" s="73"/>
      <c r="S28" s="56"/>
      <c r="T28" s="59">
        <f t="shared" si="0"/>
        <v>0</v>
      </c>
      <c r="U28" s="76">
        <f t="shared" si="4"/>
        <v>1512</v>
      </c>
      <c r="V28" s="76">
        <f t="shared" si="5"/>
        <v>63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>
        <v>43</v>
      </c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>
        <v>1</v>
      </c>
      <c r="P30" s="72"/>
      <c r="Q30" s="72">
        <v>1</v>
      </c>
      <c r="R30" s="73"/>
      <c r="S30" s="56"/>
      <c r="T30" s="59">
        <f t="shared" si="0"/>
        <v>0</v>
      </c>
      <c r="U30" s="76">
        <f t="shared" si="4"/>
        <v>1080</v>
      </c>
      <c r="V30" s="76">
        <f t="shared" si="5"/>
        <v>45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>
        <f>67+4</f>
        <v>71</v>
      </c>
      <c r="D34" s="71"/>
      <c r="E34" s="71"/>
      <c r="F34" s="71"/>
      <c r="G34" s="71"/>
      <c r="H34" s="71">
        <v>4</v>
      </c>
      <c r="I34" s="71"/>
      <c r="J34" s="72"/>
      <c r="K34" s="73">
        <v>1</v>
      </c>
      <c r="L34" s="56"/>
      <c r="M34" s="74"/>
      <c r="N34" s="75"/>
      <c r="O34" s="71">
        <v>2</v>
      </c>
      <c r="P34" s="72"/>
      <c r="Q34" s="72">
        <v>3</v>
      </c>
      <c r="R34" s="73"/>
      <c r="S34" s="56"/>
      <c r="T34" s="59">
        <f t="shared" si="0"/>
        <v>5</v>
      </c>
      <c r="U34" s="76">
        <f t="shared" si="4"/>
        <v>1829</v>
      </c>
      <c r="V34" s="76">
        <f t="shared" si="5"/>
        <v>76.208333333333329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>
        <f>972+47+1512</f>
        <v>2531</v>
      </c>
      <c r="D37" s="60"/>
      <c r="E37" s="60"/>
      <c r="F37" s="60"/>
      <c r="G37" s="60"/>
      <c r="H37" s="60"/>
      <c r="I37" s="60"/>
      <c r="J37" s="61"/>
      <c r="K37" s="62">
        <v>2</v>
      </c>
      <c r="L37" s="63"/>
      <c r="M37" s="64">
        <v>28</v>
      </c>
      <c r="N37" s="65"/>
      <c r="O37" s="66">
        <v>39</v>
      </c>
      <c r="P37" s="67"/>
      <c r="Q37" s="67">
        <v>90</v>
      </c>
      <c r="R37" s="68"/>
      <c r="S37" s="63"/>
      <c r="T37" s="78">
        <f t="shared" si="0"/>
        <v>2</v>
      </c>
      <c r="U37" s="78">
        <f>C37*6+M37*6+O37*6+Q37*6+T37</f>
        <v>16130</v>
      </c>
      <c r="V37" s="78">
        <f>U37/6</f>
        <v>2688.3333333333335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1">
        <v>8</v>
      </c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192</v>
      </c>
      <c r="V38" s="76">
        <f>U38/24</f>
        <v>8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>
        <f>20+1+378</f>
        <v>399</v>
      </c>
      <c r="D40" s="60"/>
      <c r="E40" s="60"/>
      <c r="F40" s="60"/>
      <c r="G40" s="60"/>
      <c r="H40" s="60">
        <v>4</v>
      </c>
      <c r="I40" s="60"/>
      <c r="J40" s="61"/>
      <c r="K40" s="62">
        <v>20</v>
      </c>
      <c r="L40" s="63"/>
      <c r="M40" s="64"/>
      <c r="N40" s="65"/>
      <c r="O40" s="66">
        <v>1</v>
      </c>
      <c r="P40" s="67"/>
      <c r="Q40" s="67">
        <v>2</v>
      </c>
      <c r="R40" s="68"/>
      <c r="S40" s="63"/>
      <c r="T40" s="78">
        <f t="shared" si="0"/>
        <v>24</v>
      </c>
      <c r="U40" s="78">
        <f>C40*24+M40*24+O40*24+Q40*24+T40</f>
        <v>9672</v>
      </c>
      <c r="V40" s="78">
        <f>U40/24</f>
        <v>403</v>
      </c>
    </row>
    <row r="41" spans="1:23" ht="19.5" thickBot="1" x14ac:dyDescent="0.3">
      <c r="A41" s="27">
        <f t="shared" si="1"/>
        <v>38</v>
      </c>
      <c r="B41" s="43" t="s">
        <v>22</v>
      </c>
      <c r="C41" s="85">
        <f>1056+57</f>
        <v>1113</v>
      </c>
      <c r="D41" s="85"/>
      <c r="E41" s="85"/>
      <c r="F41" s="85"/>
      <c r="G41" s="85"/>
      <c r="H41" s="85">
        <v>9</v>
      </c>
      <c r="I41" s="85"/>
      <c r="J41" s="86"/>
      <c r="K41" s="87"/>
      <c r="L41" s="88"/>
      <c r="M41" s="89">
        <v>5</v>
      </c>
      <c r="N41" s="90"/>
      <c r="O41" s="85">
        <v>4</v>
      </c>
      <c r="P41" s="86"/>
      <c r="Q41" s="86">
        <v>19</v>
      </c>
      <c r="R41" s="87"/>
      <c r="S41" s="88"/>
      <c r="T41" s="91">
        <f t="shared" si="0"/>
        <v>9</v>
      </c>
      <c r="U41" s="91">
        <f>C41*12+M41*12+O41*12+Q41*12+T41</f>
        <v>13701</v>
      </c>
      <c r="V41" s="91">
        <f>U41/12</f>
        <v>1141.75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>
        <f>5940+8424+432+4536+6480+1728</f>
        <v>27540</v>
      </c>
      <c r="D43" s="66"/>
      <c r="E43" s="66"/>
      <c r="F43" s="66"/>
      <c r="G43" s="66"/>
      <c r="H43" s="66">
        <v>5</v>
      </c>
      <c r="I43" s="66">
        <v>7</v>
      </c>
      <c r="J43" s="67">
        <f>6*13</f>
        <v>78</v>
      </c>
      <c r="K43" s="68">
        <f>21*6+2</f>
        <v>128</v>
      </c>
      <c r="L43" s="63"/>
      <c r="M43" s="64">
        <v>590</v>
      </c>
      <c r="N43" s="65"/>
      <c r="O43" s="66">
        <v>424</v>
      </c>
      <c r="P43" s="67"/>
      <c r="Q43" s="67">
        <v>543</v>
      </c>
      <c r="R43" s="68"/>
      <c r="S43" s="63"/>
      <c r="T43" s="78">
        <f t="shared" ref="T43" si="6">H43+I43+J43+K43+N43+P43+R43</f>
        <v>218</v>
      </c>
      <c r="U43" s="78">
        <f>C43*6+M43*6+O43*6+Q43*6+T43</f>
        <v>174800</v>
      </c>
      <c r="V43" s="78">
        <f>U43/6</f>
        <v>29133.333333333332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>
        <f>2268+29</f>
        <v>2297</v>
      </c>
      <c r="D47" s="66"/>
      <c r="E47" s="66"/>
      <c r="F47" s="66"/>
      <c r="G47" s="66"/>
      <c r="H47" s="66">
        <v>2</v>
      </c>
      <c r="I47" s="66"/>
      <c r="J47" s="67"/>
      <c r="K47" s="68">
        <v>4</v>
      </c>
      <c r="L47" s="63"/>
      <c r="M47" s="64"/>
      <c r="N47" s="65"/>
      <c r="O47" s="66">
        <v>5</v>
      </c>
      <c r="P47" s="67">
        <v>4</v>
      </c>
      <c r="Q47" s="67">
        <v>10</v>
      </c>
      <c r="R47" s="68"/>
      <c r="S47" s="63"/>
      <c r="T47" s="78">
        <f t="shared" si="7"/>
        <v>10</v>
      </c>
      <c r="U47" s="78">
        <f>C47*6+M47*6+O47*6+Q47*6+T47</f>
        <v>13882</v>
      </c>
      <c r="V47" s="78">
        <f>U47/6</f>
        <v>2313.6666666666665</v>
      </c>
    </row>
    <row r="48" spans="1:23" x14ac:dyDescent="0.25">
      <c r="A48" s="27">
        <f t="shared" si="1"/>
        <v>45</v>
      </c>
      <c r="B48" s="25" t="s">
        <v>58</v>
      </c>
      <c r="C48" s="71">
        <v>1</v>
      </c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24</v>
      </c>
      <c r="V48" s="76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>
        <v>34</v>
      </c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204</v>
      </c>
      <c r="V51" s="78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>
        <v>5</v>
      </c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120</v>
      </c>
      <c r="V53" s="76">
        <f t="shared" si="9"/>
        <v>5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37749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130</v>
      </c>
      <c r="I58" s="6">
        <f t="shared" si="11"/>
        <v>9</v>
      </c>
      <c r="J58" s="6">
        <f t="shared" si="11"/>
        <v>78</v>
      </c>
      <c r="K58" s="6">
        <f t="shared" si="11"/>
        <v>163</v>
      </c>
      <c r="M58" s="5">
        <f t="shared" ref="M58:R58" si="12">SUM(M7:M57)</f>
        <v>662</v>
      </c>
      <c r="N58" s="5">
        <f t="shared" si="12"/>
        <v>11</v>
      </c>
      <c r="O58" s="5">
        <f t="shared" si="12"/>
        <v>491</v>
      </c>
      <c r="P58" s="5">
        <f t="shared" si="12"/>
        <v>50</v>
      </c>
      <c r="Q58" s="5">
        <f t="shared" si="12"/>
        <v>696</v>
      </c>
      <c r="R58" s="5">
        <f t="shared" si="12"/>
        <v>12</v>
      </c>
      <c r="S58" s="56"/>
      <c r="T58" s="4">
        <f>SUM(T7:T57)</f>
        <v>453</v>
      </c>
      <c r="U58" s="95">
        <f>SUM(U7:U57)</f>
        <v>322755</v>
      </c>
      <c r="V58" s="4">
        <f>SUM(V7:V57)</f>
        <v>39645.999999999993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393D-A9F7-456B-9502-F2AABC9F6E8D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8" t="s">
        <v>43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54" x14ac:dyDescent="0.25">
      <c r="B2" s="28" t="s">
        <v>88</v>
      </c>
    </row>
    <row r="3" spans="1:54" ht="19.5" thickBot="1" x14ac:dyDescent="0.3"/>
    <row r="4" spans="1:54" s="10" customFormat="1" ht="15.75" x14ac:dyDescent="0.25">
      <c r="B4" s="41" t="s">
        <v>52</v>
      </c>
      <c r="C4" s="119" t="s">
        <v>41</v>
      </c>
      <c r="D4" s="119"/>
      <c r="E4" s="119"/>
      <c r="F4" s="119"/>
      <c r="G4" s="119"/>
      <c r="H4" s="119"/>
      <c r="I4" s="119"/>
      <c r="J4" s="120"/>
      <c r="K4" s="121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22" t="s">
        <v>68</v>
      </c>
      <c r="U4" s="128" t="s">
        <v>67</v>
      </c>
      <c r="V4" s="111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6" t="s">
        <v>65</v>
      </c>
      <c r="K5" s="127"/>
      <c r="M5" s="37"/>
      <c r="N5" s="49"/>
      <c r="O5" s="40"/>
      <c r="P5" s="110"/>
      <c r="Q5" s="110"/>
      <c r="R5" s="38"/>
      <c r="S5" s="9"/>
      <c r="T5" s="123"/>
      <c r="U5" s="129"/>
      <c r="V5" s="112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10"/>
      <c r="K6" s="38"/>
      <c r="M6" s="37"/>
      <c r="N6" s="49"/>
      <c r="O6" s="40"/>
      <c r="P6" s="110"/>
      <c r="Q6" s="110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3"/>
      <c r="D7" s="53"/>
      <c r="E7" s="53"/>
      <c r="F7" s="53"/>
      <c r="G7" s="53"/>
      <c r="H7" s="53"/>
      <c r="I7" s="53"/>
      <c r="J7" s="54"/>
      <c r="K7" s="55"/>
      <c r="L7" s="56"/>
      <c r="M7" s="57"/>
      <c r="N7" s="58"/>
      <c r="O7" s="53"/>
      <c r="P7" s="54"/>
      <c r="Q7" s="54"/>
      <c r="R7" s="55"/>
      <c r="S7" s="56"/>
      <c r="T7" s="59">
        <f>H7+I7+J7+K7+N7+P7+R7</f>
        <v>0</v>
      </c>
      <c r="U7" s="59">
        <f>C7*24+M7*24+O7*24+Q7*24+T7</f>
        <v>0</v>
      </c>
      <c r="V7" s="59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60"/>
      <c r="D8" s="60"/>
      <c r="E8" s="60"/>
      <c r="F8" s="60"/>
      <c r="G8" s="60"/>
      <c r="H8" s="60"/>
      <c r="I8" s="60"/>
      <c r="J8" s="61"/>
      <c r="K8" s="62"/>
      <c r="L8" s="63"/>
      <c r="M8" s="64"/>
      <c r="N8" s="65"/>
      <c r="O8" s="66"/>
      <c r="P8" s="67"/>
      <c r="Q8" s="67"/>
      <c r="R8" s="68"/>
      <c r="S8" s="63"/>
      <c r="T8" s="69">
        <f t="shared" ref="T8:T41" si="0">H8+I8+J8+K8+N8+P8+R8</f>
        <v>0</v>
      </c>
      <c r="U8" s="70">
        <f>C8*24+M8*24+O8*24+Q8*24+T8</f>
        <v>0</v>
      </c>
      <c r="V8" s="70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1"/>
      <c r="D9" s="71"/>
      <c r="E9" s="71"/>
      <c r="F9" s="71"/>
      <c r="G9" s="71"/>
      <c r="H9" s="71"/>
      <c r="I9" s="71"/>
      <c r="J9" s="72"/>
      <c r="K9" s="73"/>
      <c r="L9" s="56"/>
      <c r="M9" s="74"/>
      <c r="N9" s="75"/>
      <c r="O9" s="71"/>
      <c r="P9" s="72"/>
      <c r="Q9" s="72"/>
      <c r="R9" s="73"/>
      <c r="S9" s="56"/>
      <c r="T9" s="76">
        <f t="shared" si="0"/>
        <v>0</v>
      </c>
      <c r="U9" s="77">
        <f t="shared" ref="U9:U11" si="2">C9*24+M9*24+O9*24+Q9*24+T9</f>
        <v>0</v>
      </c>
      <c r="V9" s="77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1"/>
      <c r="D10" s="71"/>
      <c r="E10" s="71"/>
      <c r="F10" s="71"/>
      <c r="G10" s="71"/>
      <c r="H10" s="71"/>
      <c r="I10" s="71"/>
      <c r="J10" s="72"/>
      <c r="K10" s="73"/>
      <c r="L10" s="56"/>
      <c r="M10" s="74"/>
      <c r="N10" s="75"/>
      <c r="O10" s="71"/>
      <c r="P10" s="72"/>
      <c r="Q10" s="72"/>
      <c r="R10" s="73"/>
      <c r="S10" s="56"/>
      <c r="T10" s="59">
        <f t="shared" si="0"/>
        <v>0</v>
      </c>
      <c r="U10" s="59">
        <f t="shared" si="2"/>
        <v>0</v>
      </c>
      <c r="V10" s="59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1"/>
      <c r="D11" s="71"/>
      <c r="E11" s="71"/>
      <c r="F11" s="71"/>
      <c r="G11" s="71"/>
      <c r="H11" s="71"/>
      <c r="I11" s="71"/>
      <c r="J11" s="72"/>
      <c r="K11" s="73"/>
      <c r="L11" s="56"/>
      <c r="M11" s="74"/>
      <c r="N11" s="75"/>
      <c r="O11" s="71"/>
      <c r="P11" s="72"/>
      <c r="Q11" s="72"/>
      <c r="R11" s="73"/>
      <c r="S11" s="56"/>
      <c r="T11" s="59">
        <f t="shared" si="0"/>
        <v>0</v>
      </c>
      <c r="U11" s="59">
        <f t="shared" si="2"/>
        <v>0</v>
      </c>
      <c r="V11" s="59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60"/>
      <c r="D12" s="60"/>
      <c r="E12" s="60"/>
      <c r="F12" s="60"/>
      <c r="G12" s="60"/>
      <c r="H12" s="60"/>
      <c r="I12" s="60"/>
      <c r="J12" s="61"/>
      <c r="K12" s="62"/>
      <c r="L12" s="63"/>
      <c r="M12" s="64"/>
      <c r="N12" s="65"/>
      <c r="O12" s="66"/>
      <c r="P12" s="67"/>
      <c r="Q12" s="67"/>
      <c r="R12" s="68"/>
      <c r="S12" s="63"/>
      <c r="T12" s="59">
        <f t="shared" si="0"/>
        <v>0</v>
      </c>
      <c r="U12" s="70">
        <f>C12*24+M12*24+O12*24+Q12*24+T12</f>
        <v>0</v>
      </c>
      <c r="V12" s="70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1"/>
      <c r="D13" s="71"/>
      <c r="E13" s="71"/>
      <c r="F13" s="71"/>
      <c r="G13" s="71"/>
      <c r="H13" s="71"/>
      <c r="I13" s="71"/>
      <c r="J13" s="72"/>
      <c r="K13" s="73"/>
      <c r="L13" s="56"/>
      <c r="M13" s="74"/>
      <c r="N13" s="75"/>
      <c r="O13" s="71"/>
      <c r="P13" s="72"/>
      <c r="Q13" s="72"/>
      <c r="R13" s="73"/>
      <c r="S13" s="56"/>
      <c r="T13" s="59">
        <f t="shared" si="0"/>
        <v>0</v>
      </c>
      <c r="U13" s="77">
        <f>C13*24+M13*24+O13*24+Q13*24+T13</f>
        <v>0</v>
      </c>
      <c r="V13" s="77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1"/>
      <c r="D14" s="71"/>
      <c r="E14" s="71"/>
      <c r="F14" s="71"/>
      <c r="G14" s="71"/>
      <c r="H14" s="71"/>
      <c r="I14" s="71"/>
      <c r="J14" s="72"/>
      <c r="K14" s="73"/>
      <c r="L14" s="56"/>
      <c r="M14" s="74"/>
      <c r="N14" s="75"/>
      <c r="O14" s="71"/>
      <c r="P14" s="72"/>
      <c r="Q14" s="72"/>
      <c r="R14" s="73"/>
      <c r="S14" s="56"/>
      <c r="T14" s="59">
        <f t="shared" si="0"/>
        <v>0</v>
      </c>
      <c r="U14" s="76">
        <f t="shared" ref="U14:U36" si="4">C14*24+M14*24+O14*24+Q14*24+T14</f>
        <v>0</v>
      </c>
      <c r="V14" s="76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1"/>
      <c r="D15" s="71"/>
      <c r="E15" s="71"/>
      <c r="F15" s="71"/>
      <c r="G15" s="71"/>
      <c r="H15" s="71"/>
      <c r="I15" s="71"/>
      <c r="J15" s="72"/>
      <c r="K15" s="73"/>
      <c r="L15" s="56"/>
      <c r="M15" s="74"/>
      <c r="N15" s="75"/>
      <c r="O15" s="71"/>
      <c r="P15" s="72"/>
      <c r="Q15" s="72"/>
      <c r="R15" s="73"/>
      <c r="S15" s="56"/>
      <c r="T15" s="59">
        <f t="shared" si="0"/>
        <v>0</v>
      </c>
      <c r="U15" s="76">
        <f t="shared" si="4"/>
        <v>0</v>
      </c>
      <c r="V15" s="76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1"/>
      <c r="D16" s="71"/>
      <c r="E16" s="71"/>
      <c r="F16" s="71"/>
      <c r="G16" s="71"/>
      <c r="H16" s="71"/>
      <c r="I16" s="71"/>
      <c r="J16" s="72"/>
      <c r="K16" s="73"/>
      <c r="L16" s="56"/>
      <c r="M16" s="74"/>
      <c r="N16" s="75"/>
      <c r="O16" s="71"/>
      <c r="P16" s="72"/>
      <c r="Q16" s="72"/>
      <c r="R16" s="73"/>
      <c r="S16" s="56"/>
      <c r="T16" s="59">
        <f t="shared" si="0"/>
        <v>0</v>
      </c>
      <c r="U16" s="76">
        <f t="shared" si="4"/>
        <v>0</v>
      </c>
      <c r="V16" s="76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1"/>
      <c r="D17" s="71"/>
      <c r="E17" s="71"/>
      <c r="F17" s="71"/>
      <c r="G17" s="71"/>
      <c r="H17" s="71"/>
      <c r="I17" s="71"/>
      <c r="J17" s="72"/>
      <c r="K17" s="73"/>
      <c r="L17" s="56"/>
      <c r="M17" s="74"/>
      <c r="N17" s="75"/>
      <c r="O17" s="71"/>
      <c r="P17" s="72"/>
      <c r="Q17" s="72"/>
      <c r="R17" s="73"/>
      <c r="S17" s="56"/>
      <c r="T17" s="59">
        <f t="shared" si="0"/>
        <v>0</v>
      </c>
      <c r="U17" s="76">
        <f t="shared" si="4"/>
        <v>0</v>
      </c>
      <c r="V17" s="76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1"/>
      <c r="D18" s="71"/>
      <c r="E18" s="71"/>
      <c r="F18" s="71"/>
      <c r="G18" s="71"/>
      <c r="H18" s="71"/>
      <c r="I18" s="71"/>
      <c r="J18" s="72"/>
      <c r="K18" s="73"/>
      <c r="L18" s="56"/>
      <c r="M18" s="74"/>
      <c r="N18" s="75"/>
      <c r="O18" s="71"/>
      <c r="P18" s="72"/>
      <c r="Q18" s="72"/>
      <c r="R18" s="73"/>
      <c r="S18" s="56"/>
      <c r="T18" s="59">
        <f t="shared" si="0"/>
        <v>0</v>
      </c>
      <c r="U18" s="76">
        <f t="shared" si="4"/>
        <v>0</v>
      </c>
      <c r="V18" s="76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1"/>
      <c r="D19" s="71"/>
      <c r="E19" s="71"/>
      <c r="F19" s="71"/>
      <c r="G19" s="71"/>
      <c r="H19" s="71"/>
      <c r="I19" s="71"/>
      <c r="J19" s="72"/>
      <c r="K19" s="73"/>
      <c r="L19" s="56"/>
      <c r="M19" s="74"/>
      <c r="N19" s="75"/>
      <c r="O19" s="71"/>
      <c r="P19" s="72"/>
      <c r="Q19" s="72"/>
      <c r="R19" s="73"/>
      <c r="S19" s="56"/>
      <c r="T19" s="59">
        <f t="shared" si="0"/>
        <v>0</v>
      </c>
      <c r="U19" s="76">
        <f t="shared" si="4"/>
        <v>0</v>
      </c>
      <c r="V19" s="76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1"/>
      <c r="D20" s="71"/>
      <c r="E20" s="71"/>
      <c r="F20" s="71"/>
      <c r="G20" s="71"/>
      <c r="H20" s="71"/>
      <c r="I20" s="71"/>
      <c r="J20" s="72"/>
      <c r="K20" s="73"/>
      <c r="L20" s="56"/>
      <c r="M20" s="74"/>
      <c r="N20" s="75"/>
      <c r="O20" s="71"/>
      <c r="P20" s="72"/>
      <c r="Q20" s="72"/>
      <c r="R20" s="73"/>
      <c r="S20" s="56"/>
      <c r="T20" s="59">
        <f t="shared" si="0"/>
        <v>0</v>
      </c>
      <c r="U20" s="76">
        <f t="shared" si="4"/>
        <v>0</v>
      </c>
      <c r="V20" s="76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1"/>
      <c r="D21" s="71"/>
      <c r="E21" s="71"/>
      <c r="F21" s="71"/>
      <c r="G21" s="71"/>
      <c r="H21" s="71"/>
      <c r="I21" s="71"/>
      <c r="J21" s="72"/>
      <c r="K21" s="73"/>
      <c r="L21" s="56"/>
      <c r="M21" s="74"/>
      <c r="N21" s="75"/>
      <c r="O21" s="71"/>
      <c r="P21" s="72"/>
      <c r="Q21" s="72"/>
      <c r="R21" s="73"/>
      <c r="S21" s="56"/>
      <c r="T21" s="59">
        <f t="shared" si="0"/>
        <v>0</v>
      </c>
      <c r="U21" s="76">
        <f t="shared" si="4"/>
        <v>0</v>
      </c>
      <c r="V21" s="76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1"/>
      <c r="D22" s="71"/>
      <c r="E22" s="71"/>
      <c r="F22" s="71"/>
      <c r="G22" s="71"/>
      <c r="H22" s="71"/>
      <c r="I22" s="71"/>
      <c r="J22" s="72"/>
      <c r="K22" s="73"/>
      <c r="L22" s="56"/>
      <c r="M22" s="74"/>
      <c r="N22" s="75"/>
      <c r="O22" s="71"/>
      <c r="P22" s="72"/>
      <c r="Q22" s="72"/>
      <c r="R22" s="73"/>
      <c r="S22" s="56"/>
      <c r="T22" s="59">
        <f t="shared" si="0"/>
        <v>0</v>
      </c>
      <c r="U22" s="76">
        <f t="shared" si="4"/>
        <v>0</v>
      </c>
      <c r="V22" s="76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1"/>
      <c r="D23" s="71"/>
      <c r="E23" s="71"/>
      <c r="F23" s="71"/>
      <c r="G23" s="71"/>
      <c r="H23" s="71"/>
      <c r="I23" s="71"/>
      <c r="J23" s="72"/>
      <c r="K23" s="73"/>
      <c r="L23" s="56"/>
      <c r="M23" s="74"/>
      <c r="N23" s="75"/>
      <c r="O23" s="71"/>
      <c r="P23" s="72"/>
      <c r="Q23" s="72"/>
      <c r="R23" s="73"/>
      <c r="S23" s="56"/>
      <c r="T23" s="59">
        <f t="shared" si="0"/>
        <v>0</v>
      </c>
      <c r="U23" s="76">
        <f t="shared" si="4"/>
        <v>0</v>
      </c>
      <c r="V23" s="76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1"/>
      <c r="D24" s="71"/>
      <c r="E24" s="71"/>
      <c r="F24" s="71"/>
      <c r="G24" s="71"/>
      <c r="H24" s="71"/>
      <c r="I24" s="71"/>
      <c r="J24" s="72"/>
      <c r="K24" s="73"/>
      <c r="L24" s="56"/>
      <c r="M24" s="74"/>
      <c r="N24" s="75"/>
      <c r="O24" s="71"/>
      <c r="P24" s="72"/>
      <c r="Q24" s="72"/>
      <c r="R24" s="73"/>
      <c r="S24" s="56"/>
      <c r="T24" s="59">
        <f t="shared" si="0"/>
        <v>0</v>
      </c>
      <c r="U24" s="76">
        <f t="shared" si="4"/>
        <v>0</v>
      </c>
      <c r="V24" s="76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1"/>
      <c r="D25" s="71"/>
      <c r="E25" s="71"/>
      <c r="F25" s="71"/>
      <c r="G25" s="71"/>
      <c r="H25" s="71"/>
      <c r="I25" s="71"/>
      <c r="J25" s="72"/>
      <c r="K25" s="73"/>
      <c r="L25" s="56"/>
      <c r="M25" s="74"/>
      <c r="N25" s="75"/>
      <c r="O25" s="71"/>
      <c r="P25" s="72"/>
      <c r="Q25" s="72"/>
      <c r="R25" s="73"/>
      <c r="S25" s="56"/>
      <c r="T25" s="59">
        <f t="shared" si="0"/>
        <v>0</v>
      </c>
      <c r="U25" s="76">
        <f t="shared" si="4"/>
        <v>0</v>
      </c>
      <c r="V25" s="76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1"/>
      <c r="D26" s="71"/>
      <c r="E26" s="71"/>
      <c r="F26" s="71"/>
      <c r="G26" s="71"/>
      <c r="H26" s="71"/>
      <c r="I26" s="71"/>
      <c r="J26" s="72"/>
      <c r="K26" s="73"/>
      <c r="L26" s="56"/>
      <c r="M26" s="74"/>
      <c r="N26" s="75"/>
      <c r="O26" s="71"/>
      <c r="P26" s="72"/>
      <c r="Q26" s="72"/>
      <c r="R26" s="73"/>
      <c r="S26" s="56"/>
      <c r="T26" s="59">
        <f t="shared" si="0"/>
        <v>0</v>
      </c>
      <c r="U26" s="76">
        <f t="shared" si="4"/>
        <v>0</v>
      </c>
      <c r="V26" s="76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1"/>
      <c r="D27" s="71"/>
      <c r="E27" s="71"/>
      <c r="F27" s="71"/>
      <c r="G27" s="71"/>
      <c r="H27" s="71"/>
      <c r="I27" s="71"/>
      <c r="J27" s="72"/>
      <c r="K27" s="73"/>
      <c r="L27" s="56"/>
      <c r="M27" s="74"/>
      <c r="N27" s="75"/>
      <c r="O27" s="71"/>
      <c r="P27" s="72"/>
      <c r="Q27" s="72"/>
      <c r="R27" s="73"/>
      <c r="S27" s="56"/>
      <c r="T27" s="59"/>
      <c r="U27" s="76"/>
      <c r="V27" s="76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1"/>
      <c r="D28" s="71"/>
      <c r="E28" s="71"/>
      <c r="F28" s="71"/>
      <c r="G28" s="71"/>
      <c r="H28" s="71"/>
      <c r="I28" s="71"/>
      <c r="J28" s="72"/>
      <c r="K28" s="73"/>
      <c r="L28" s="56"/>
      <c r="M28" s="74"/>
      <c r="N28" s="75"/>
      <c r="O28" s="71"/>
      <c r="P28" s="72"/>
      <c r="Q28" s="72"/>
      <c r="R28" s="73"/>
      <c r="S28" s="56"/>
      <c r="T28" s="59">
        <f t="shared" si="0"/>
        <v>0</v>
      </c>
      <c r="U28" s="76">
        <f t="shared" si="4"/>
        <v>0</v>
      </c>
      <c r="V28" s="76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1"/>
      <c r="D29" s="71"/>
      <c r="E29" s="71"/>
      <c r="F29" s="71"/>
      <c r="G29" s="71"/>
      <c r="H29" s="71"/>
      <c r="I29" s="71"/>
      <c r="J29" s="72"/>
      <c r="K29" s="73"/>
      <c r="L29" s="56"/>
      <c r="M29" s="74"/>
      <c r="N29" s="75"/>
      <c r="O29" s="71"/>
      <c r="P29" s="72"/>
      <c r="Q29" s="72"/>
      <c r="R29" s="73"/>
      <c r="S29" s="56"/>
      <c r="T29" s="59">
        <f t="shared" si="0"/>
        <v>0</v>
      </c>
      <c r="U29" s="76">
        <f t="shared" si="4"/>
        <v>0</v>
      </c>
      <c r="V29" s="76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1"/>
      <c r="D30" s="71"/>
      <c r="E30" s="71"/>
      <c r="F30" s="71"/>
      <c r="G30" s="71"/>
      <c r="H30" s="71"/>
      <c r="I30" s="71"/>
      <c r="J30" s="72"/>
      <c r="K30" s="73"/>
      <c r="L30" s="56"/>
      <c r="M30" s="74"/>
      <c r="N30" s="75"/>
      <c r="O30" s="71"/>
      <c r="P30" s="72"/>
      <c r="Q30" s="72"/>
      <c r="R30" s="73"/>
      <c r="S30" s="56"/>
      <c r="T30" s="59">
        <f t="shared" si="0"/>
        <v>0</v>
      </c>
      <c r="U30" s="76">
        <f t="shared" si="4"/>
        <v>0</v>
      </c>
      <c r="V30" s="76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1"/>
      <c r="D31" s="71"/>
      <c r="E31" s="71"/>
      <c r="F31" s="71"/>
      <c r="G31" s="71"/>
      <c r="H31" s="71"/>
      <c r="I31" s="71"/>
      <c r="J31" s="72"/>
      <c r="K31" s="73"/>
      <c r="L31" s="56"/>
      <c r="M31" s="74"/>
      <c r="N31" s="75"/>
      <c r="O31" s="71"/>
      <c r="P31" s="72"/>
      <c r="Q31" s="72"/>
      <c r="R31" s="73"/>
      <c r="S31" s="56"/>
      <c r="T31" s="59">
        <f t="shared" si="0"/>
        <v>0</v>
      </c>
      <c r="U31" s="76">
        <f t="shared" si="4"/>
        <v>0</v>
      </c>
      <c r="V31" s="76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1"/>
      <c r="D32" s="71"/>
      <c r="E32" s="71"/>
      <c r="F32" s="71"/>
      <c r="G32" s="71"/>
      <c r="H32" s="71"/>
      <c r="I32" s="71"/>
      <c r="J32" s="72"/>
      <c r="K32" s="73"/>
      <c r="L32" s="56"/>
      <c r="M32" s="74"/>
      <c r="N32" s="75"/>
      <c r="O32" s="71"/>
      <c r="P32" s="72"/>
      <c r="Q32" s="72"/>
      <c r="R32" s="73"/>
      <c r="S32" s="56"/>
      <c r="T32" s="59">
        <f t="shared" si="0"/>
        <v>0</v>
      </c>
      <c r="U32" s="76">
        <f t="shared" si="4"/>
        <v>0</v>
      </c>
      <c r="V32" s="76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1"/>
      <c r="D33" s="71"/>
      <c r="E33" s="71"/>
      <c r="F33" s="71"/>
      <c r="G33" s="71"/>
      <c r="H33" s="71"/>
      <c r="I33" s="71"/>
      <c r="J33" s="72"/>
      <c r="K33" s="73"/>
      <c r="L33" s="56"/>
      <c r="M33" s="74"/>
      <c r="N33" s="75"/>
      <c r="O33" s="71"/>
      <c r="P33" s="72"/>
      <c r="Q33" s="72"/>
      <c r="R33" s="73"/>
      <c r="S33" s="56"/>
      <c r="T33" s="59">
        <f t="shared" si="0"/>
        <v>0</v>
      </c>
      <c r="U33" s="76">
        <f t="shared" si="4"/>
        <v>0</v>
      </c>
      <c r="V33" s="76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1"/>
      <c r="D34" s="71"/>
      <c r="E34" s="71"/>
      <c r="F34" s="71"/>
      <c r="G34" s="71"/>
      <c r="H34" s="71"/>
      <c r="I34" s="71"/>
      <c r="J34" s="72"/>
      <c r="K34" s="73"/>
      <c r="L34" s="56"/>
      <c r="M34" s="74"/>
      <c r="N34" s="75"/>
      <c r="O34" s="71"/>
      <c r="P34" s="72"/>
      <c r="Q34" s="72"/>
      <c r="R34" s="73"/>
      <c r="S34" s="56"/>
      <c r="T34" s="59">
        <f t="shared" si="0"/>
        <v>0</v>
      </c>
      <c r="U34" s="76">
        <f t="shared" si="4"/>
        <v>0</v>
      </c>
      <c r="V34" s="76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1"/>
      <c r="D35" s="71"/>
      <c r="E35" s="71"/>
      <c r="F35" s="71"/>
      <c r="G35" s="71"/>
      <c r="H35" s="71"/>
      <c r="I35" s="71"/>
      <c r="J35" s="72"/>
      <c r="K35" s="73"/>
      <c r="L35" s="56"/>
      <c r="M35" s="74"/>
      <c r="N35" s="75"/>
      <c r="O35" s="71"/>
      <c r="P35" s="72"/>
      <c r="Q35" s="72"/>
      <c r="R35" s="73"/>
      <c r="S35" s="56"/>
      <c r="T35" s="59">
        <f t="shared" si="0"/>
        <v>0</v>
      </c>
      <c r="U35" s="76">
        <f t="shared" si="4"/>
        <v>0</v>
      </c>
      <c r="V35" s="76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1"/>
      <c r="D36" s="71"/>
      <c r="E36" s="71"/>
      <c r="F36" s="71"/>
      <c r="G36" s="71"/>
      <c r="H36" s="71"/>
      <c r="I36" s="71"/>
      <c r="J36" s="72"/>
      <c r="K36" s="73"/>
      <c r="L36" s="56"/>
      <c r="M36" s="74"/>
      <c r="N36" s="75"/>
      <c r="O36" s="71"/>
      <c r="P36" s="72"/>
      <c r="Q36" s="72"/>
      <c r="R36" s="73"/>
      <c r="S36" s="56"/>
      <c r="T36" s="59">
        <f t="shared" si="0"/>
        <v>0</v>
      </c>
      <c r="U36" s="76">
        <f t="shared" si="4"/>
        <v>0</v>
      </c>
      <c r="V36" s="76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60"/>
      <c r="D37" s="60"/>
      <c r="E37" s="60"/>
      <c r="F37" s="60"/>
      <c r="G37" s="60"/>
      <c r="H37" s="60"/>
      <c r="I37" s="60"/>
      <c r="J37" s="61"/>
      <c r="K37" s="62"/>
      <c r="L37" s="63"/>
      <c r="M37" s="64"/>
      <c r="N37" s="65"/>
      <c r="O37" s="66"/>
      <c r="P37" s="67"/>
      <c r="Q37" s="67"/>
      <c r="R37" s="68"/>
      <c r="S37" s="63"/>
      <c r="T37" s="78">
        <f t="shared" si="0"/>
        <v>0</v>
      </c>
      <c r="U37" s="78">
        <f>C37*6+M37*6+O37*6+Q37*6+T37</f>
        <v>0</v>
      </c>
      <c r="V37" s="78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1"/>
      <c r="D38" s="71"/>
      <c r="E38" s="71"/>
      <c r="F38" s="71"/>
      <c r="G38" s="71"/>
      <c r="H38" s="71"/>
      <c r="I38" s="71"/>
      <c r="J38" s="72"/>
      <c r="K38" s="73"/>
      <c r="L38" s="56"/>
      <c r="M38" s="74"/>
      <c r="N38" s="75"/>
      <c r="O38" s="71"/>
      <c r="P38" s="72"/>
      <c r="Q38" s="72"/>
      <c r="R38" s="73"/>
      <c r="S38" s="56"/>
      <c r="T38" s="76">
        <f t="shared" si="0"/>
        <v>0</v>
      </c>
      <c r="U38" s="76">
        <f>C38*24+M38*24+O38*24+Q38*24+T38</f>
        <v>0</v>
      </c>
      <c r="V38" s="76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9"/>
      <c r="D39" s="79"/>
      <c r="E39" s="79"/>
      <c r="F39" s="79"/>
      <c r="G39" s="79"/>
      <c r="H39" s="79"/>
      <c r="I39" s="79"/>
      <c r="J39" s="80"/>
      <c r="K39" s="81"/>
      <c r="L39" s="56"/>
      <c r="M39" s="82"/>
      <c r="N39" s="83"/>
      <c r="O39" s="79"/>
      <c r="P39" s="80"/>
      <c r="Q39" s="80"/>
      <c r="R39" s="81"/>
      <c r="S39" s="56"/>
      <c r="T39" s="84"/>
      <c r="U39" s="84"/>
      <c r="V39" s="84"/>
    </row>
    <row r="40" spans="1:23" ht="19.5" thickBot="1" x14ac:dyDescent="0.3">
      <c r="A40" s="27">
        <f t="shared" si="1"/>
        <v>37</v>
      </c>
      <c r="B40" s="42" t="s">
        <v>21</v>
      </c>
      <c r="C40" s="60"/>
      <c r="D40" s="60"/>
      <c r="E40" s="60"/>
      <c r="F40" s="60"/>
      <c r="G40" s="60"/>
      <c r="H40" s="60"/>
      <c r="I40" s="60"/>
      <c r="J40" s="61"/>
      <c r="K40" s="62"/>
      <c r="L40" s="63"/>
      <c r="M40" s="64"/>
      <c r="N40" s="65"/>
      <c r="O40" s="66"/>
      <c r="P40" s="67"/>
      <c r="Q40" s="67"/>
      <c r="R40" s="68"/>
      <c r="S40" s="63"/>
      <c r="T40" s="78">
        <f t="shared" si="0"/>
        <v>0</v>
      </c>
      <c r="U40" s="78">
        <f>C40*24+M40*24+O40*24+Q40*24+T40</f>
        <v>0</v>
      </c>
      <c r="V40" s="78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5"/>
      <c r="D41" s="85"/>
      <c r="E41" s="85"/>
      <c r="F41" s="85"/>
      <c r="G41" s="85"/>
      <c r="H41" s="85"/>
      <c r="I41" s="85"/>
      <c r="J41" s="86"/>
      <c r="K41" s="87"/>
      <c r="L41" s="88"/>
      <c r="M41" s="89"/>
      <c r="N41" s="90"/>
      <c r="O41" s="85"/>
      <c r="P41" s="86"/>
      <c r="Q41" s="86"/>
      <c r="R41" s="87"/>
      <c r="S41" s="88"/>
      <c r="T41" s="91">
        <f t="shared" si="0"/>
        <v>0</v>
      </c>
      <c r="U41" s="91">
        <f>C41*12+M41*12+O41*12+Q41*12+T41</f>
        <v>0</v>
      </c>
      <c r="V41" s="91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1"/>
      <c r="D42" s="71"/>
      <c r="E42" s="71"/>
      <c r="F42" s="71"/>
      <c r="G42" s="71"/>
      <c r="H42" s="71"/>
      <c r="I42" s="71"/>
      <c r="J42" s="72"/>
      <c r="K42" s="73"/>
      <c r="L42" s="56"/>
      <c r="M42" s="74"/>
      <c r="N42" s="75"/>
      <c r="O42" s="71"/>
      <c r="P42" s="72"/>
      <c r="Q42" s="72"/>
      <c r="R42" s="73"/>
      <c r="S42" s="56"/>
      <c r="T42" s="76"/>
      <c r="U42" s="76"/>
      <c r="V42" s="76"/>
    </row>
    <row r="43" spans="1:23" ht="19.5" thickBot="1" x14ac:dyDescent="0.3">
      <c r="A43" s="27">
        <f t="shared" si="1"/>
        <v>40</v>
      </c>
      <c r="B43" s="42" t="s">
        <v>23</v>
      </c>
      <c r="C43" s="66"/>
      <c r="D43" s="66"/>
      <c r="E43" s="66"/>
      <c r="F43" s="66"/>
      <c r="G43" s="66"/>
      <c r="H43" s="66"/>
      <c r="I43" s="66"/>
      <c r="J43" s="67"/>
      <c r="K43" s="68"/>
      <c r="L43" s="63"/>
      <c r="M43" s="64"/>
      <c r="N43" s="65"/>
      <c r="O43" s="66"/>
      <c r="P43" s="67"/>
      <c r="Q43" s="67"/>
      <c r="R43" s="68"/>
      <c r="S43" s="63"/>
      <c r="T43" s="78">
        <f t="shared" ref="T43" si="6">H43+I43+J43+K43+N43+P43+R43</f>
        <v>0</v>
      </c>
      <c r="U43" s="78">
        <f>C43*6+M43*6+O43*6+Q43*6+T43</f>
        <v>0</v>
      </c>
      <c r="V43" s="78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1"/>
      <c r="D44" s="71"/>
      <c r="E44" s="71"/>
      <c r="F44" s="71"/>
      <c r="G44" s="71"/>
      <c r="H44" s="71"/>
      <c r="I44" s="71"/>
      <c r="J44" s="72"/>
      <c r="K44" s="73"/>
      <c r="L44" s="56"/>
      <c r="M44" s="74"/>
      <c r="N44" s="75"/>
      <c r="O44" s="71"/>
      <c r="P44" s="72"/>
      <c r="Q44" s="72"/>
      <c r="R44" s="73"/>
      <c r="S44" s="56"/>
      <c r="T44" s="76"/>
      <c r="U44" s="76"/>
      <c r="V44" s="76"/>
    </row>
    <row r="45" spans="1:23" x14ac:dyDescent="0.25">
      <c r="A45" s="27">
        <f t="shared" si="1"/>
        <v>42</v>
      </c>
      <c r="B45" s="26" t="s">
        <v>24</v>
      </c>
      <c r="C45" s="71"/>
      <c r="D45" s="71"/>
      <c r="E45" s="71"/>
      <c r="F45" s="71"/>
      <c r="G45" s="71"/>
      <c r="H45" s="71"/>
      <c r="I45" s="71"/>
      <c r="J45" s="72"/>
      <c r="K45" s="73"/>
      <c r="L45" s="56"/>
      <c r="M45" s="74"/>
      <c r="N45" s="75"/>
      <c r="O45" s="71"/>
      <c r="P45" s="72"/>
      <c r="Q45" s="72"/>
      <c r="R45" s="73"/>
      <c r="S45" s="56"/>
      <c r="T45" s="76">
        <f t="shared" ref="T45:T54" si="7">H45+I45+J45+K45+N45+P45+R45</f>
        <v>0</v>
      </c>
      <c r="U45" s="76">
        <f>C45*24+M45*24+O45*24+Q45*24+T45</f>
        <v>0</v>
      </c>
      <c r="V45" s="76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1"/>
      <c r="D46" s="71"/>
      <c r="E46" s="71"/>
      <c r="F46" s="71"/>
      <c r="G46" s="71"/>
      <c r="H46" s="71"/>
      <c r="I46" s="71"/>
      <c r="J46" s="72"/>
      <c r="K46" s="73"/>
      <c r="L46" s="56"/>
      <c r="M46" s="74"/>
      <c r="N46" s="75"/>
      <c r="O46" s="71"/>
      <c r="P46" s="72"/>
      <c r="Q46" s="72"/>
      <c r="R46" s="73"/>
      <c r="S46" s="56"/>
      <c r="T46" s="76">
        <f t="shared" si="7"/>
        <v>0</v>
      </c>
      <c r="U46" s="76">
        <f t="shared" ref="U46:U50" si="8">C46*24+M46*24+O46*24+Q46*24+T46</f>
        <v>0</v>
      </c>
      <c r="V46" s="76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6"/>
      <c r="D47" s="66"/>
      <c r="E47" s="66"/>
      <c r="F47" s="66"/>
      <c r="G47" s="66"/>
      <c r="H47" s="66"/>
      <c r="I47" s="66"/>
      <c r="J47" s="67"/>
      <c r="K47" s="68"/>
      <c r="L47" s="63"/>
      <c r="M47" s="64"/>
      <c r="N47" s="65"/>
      <c r="O47" s="66"/>
      <c r="P47" s="67"/>
      <c r="Q47" s="67"/>
      <c r="R47" s="68"/>
      <c r="S47" s="63"/>
      <c r="T47" s="78">
        <f t="shared" si="7"/>
        <v>0</v>
      </c>
      <c r="U47" s="78">
        <f>C47*6+M47*6+O47*6+Q47*6+T47</f>
        <v>0</v>
      </c>
      <c r="V47" s="78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1"/>
      <c r="D48" s="71"/>
      <c r="E48" s="71"/>
      <c r="F48" s="71"/>
      <c r="G48" s="71"/>
      <c r="H48" s="71"/>
      <c r="I48" s="71"/>
      <c r="J48" s="72"/>
      <c r="K48" s="73"/>
      <c r="L48" s="56"/>
      <c r="M48" s="74"/>
      <c r="N48" s="75"/>
      <c r="O48" s="71"/>
      <c r="P48" s="72"/>
      <c r="Q48" s="72"/>
      <c r="R48" s="73"/>
      <c r="S48" s="56"/>
      <c r="T48" s="76">
        <f t="shared" si="7"/>
        <v>0</v>
      </c>
      <c r="U48" s="76">
        <f t="shared" si="8"/>
        <v>0</v>
      </c>
      <c r="V48" s="76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1"/>
      <c r="D49" s="71"/>
      <c r="E49" s="71"/>
      <c r="F49" s="71"/>
      <c r="G49" s="71"/>
      <c r="H49" s="71"/>
      <c r="I49" s="71"/>
      <c r="J49" s="72"/>
      <c r="K49" s="73"/>
      <c r="L49" s="56"/>
      <c r="M49" s="74"/>
      <c r="N49" s="75"/>
      <c r="O49" s="71"/>
      <c r="P49" s="72"/>
      <c r="Q49" s="72"/>
      <c r="R49" s="73"/>
      <c r="S49" s="56"/>
      <c r="T49" s="76">
        <f t="shared" si="7"/>
        <v>0</v>
      </c>
      <c r="U49" s="76">
        <f t="shared" si="8"/>
        <v>0</v>
      </c>
      <c r="V49" s="76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1"/>
      <c r="D50" s="71"/>
      <c r="E50" s="71"/>
      <c r="F50" s="71"/>
      <c r="G50" s="71"/>
      <c r="H50" s="71"/>
      <c r="I50" s="71"/>
      <c r="J50" s="72"/>
      <c r="K50" s="73"/>
      <c r="L50" s="56"/>
      <c r="M50" s="74"/>
      <c r="N50" s="75"/>
      <c r="O50" s="71"/>
      <c r="P50" s="72"/>
      <c r="Q50" s="72"/>
      <c r="R50" s="73"/>
      <c r="S50" s="56"/>
      <c r="T50" s="76">
        <f t="shared" si="7"/>
        <v>0</v>
      </c>
      <c r="U50" s="76">
        <f t="shared" si="8"/>
        <v>0</v>
      </c>
      <c r="V50" s="76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6"/>
      <c r="D51" s="66"/>
      <c r="E51" s="66"/>
      <c r="F51" s="66"/>
      <c r="G51" s="66"/>
      <c r="H51" s="66"/>
      <c r="I51" s="66"/>
      <c r="J51" s="67"/>
      <c r="K51" s="68"/>
      <c r="L51" s="63"/>
      <c r="M51" s="64"/>
      <c r="N51" s="65"/>
      <c r="O51" s="66"/>
      <c r="P51" s="67"/>
      <c r="Q51" s="67"/>
      <c r="R51" s="68"/>
      <c r="S51" s="63"/>
      <c r="T51" s="78">
        <f t="shared" si="7"/>
        <v>0</v>
      </c>
      <c r="U51" s="78">
        <f>C51*6+M51*6+O51*6+Q51*6+T51</f>
        <v>0</v>
      </c>
      <c r="V51" s="78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1"/>
      <c r="D52" s="71"/>
      <c r="E52" s="71"/>
      <c r="F52" s="71"/>
      <c r="G52" s="71"/>
      <c r="H52" s="71"/>
      <c r="I52" s="71"/>
      <c r="J52" s="72"/>
      <c r="K52" s="73"/>
      <c r="L52" s="56"/>
      <c r="M52" s="74"/>
      <c r="N52" s="75"/>
      <c r="O52" s="71"/>
      <c r="P52" s="72"/>
      <c r="Q52" s="72"/>
      <c r="R52" s="73"/>
      <c r="S52" s="56"/>
      <c r="T52" s="76">
        <f t="shared" si="7"/>
        <v>0</v>
      </c>
      <c r="U52" s="76">
        <f t="shared" ref="U52:U54" si="10">C52*24+M52*24+O52*24+Q52*24+T52</f>
        <v>0</v>
      </c>
      <c r="V52" s="76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1"/>
      <c r="D53" s="71"/>
      <c r="E53" s="71"/>
      <c r="F53" s="71"/>
      <c r="G53" s="71"/>
      <c r="H53" s="71"/>
      <c r="I53" s="71"/>
      <c r="J53" s="72"/>
      <c r="K53" s="73"/>
      <c r="L53" s="56"/>
      <c r="M53" s="74"/>
      <c r="N53" s="75"/>
      <c r="O53" s="71"/>
      <c r="P53" s="72"/>
      <c r="Q53" s="72"/>
      <c r="R53" s="73"/>
      <c r="S53" s="56"/>
      <c r="T53" s="76">
        <f t="shared" si="7"/>
        <v>0</v>
      </c>
      <c r="U53" s="76">
        <f t="shared" si="10"/>
        <v>0</v>
      </c>
      <c r="V53" s="76">
        <f t="shared" si="9"/>
        <v>0</v>
      </c>
    </row>
    <row r="54" spans="1:22" x14ac:dyDescent="0.25">
      <c r="A54" s="27">
        <f t="shared" si="1"/>
        <v>51</v>
      </c>
      <c r="B54" s="26"/>
      <c r="C54" s="71"/>
      <c r="D54" s="71"/>
      <c r="E54" s="71"/>
      <c r="F54" s="71"/>
      <c r="G54" s="71"/>
      <c r="H54" s="71"/>
      <c r="I54" s="71"/>
      <c r="J54" s="72"/>
      <c r="K54" s="73"/>
      <c r="L54" s="56"/>
      <c r="M54" s="74"/>
      <c r="N54" s="75"/>
      <c r="O54" s="71"/>
      <c r="P54" s="72"/>
      <c r="Q54" s="72"/>
      <c r="R54" s="73"/>
      <c r="S54" s="56"/>
      <c r="T54" s="76">
        <f t="shared" si="7"/>
        <v>0</v>
      </c>
      <c r="U54" s="76">
        <f t="shared" si="10"/>
        <v>0</v>
      </c>
      <c r="V54" s="76">
        <f t="shared" si="9"/>
        <v>0</v>
      </c>
    </row>
    <row r="55" spans="1:22" x14ac:dyDescent="0.25">
      <c r="A55" s="27">
        <f t="shared" si="1"/>
        <v>52</v>
      </c>
      <c r="B55" s="26"/>
      <c r="C55" s="71"/>
      <c r="D55" s="71"/>
      <c r="E55" s="71"/>
      <c r="F55" s="71"/>
      <c r="G55" s="71"/>
      <c r="H55" s="71"/>
      <c r="I55" s="71"/>
      <c r="J55" s="72"/>
      <c r="K55" s="73"/>
      <c r="L55" s="56"/>
      <c r="M55" s="74"/>
      <c r="N55" s="75"/>
      <c r="O55" s="71"/>
      <c r="P55" s="72"/>
      <c r="Q55" s="72"/>
      <c r="R55" s="73"/>
      <c r="S55" s="56"/>
      <c r="T55" s="76"/>
      <c r="U55" s="76"/>
      <c r="V55" s="76"/>
    </row>
    <row r="56" spans="1:22" x14ac:dyDescent="0.25">
      <c r="A56" s="27">
        <f t="shared" si="1"/>
        <v>53</v>
      </c>
      <c r="B56" s="26"/>
      <c r="C56" s="71"/>
      <c r="D56" s="71"/>
      <c r="E56" s="71"/>
      <c r="F56" s="71"/>
      <c r="G56" s="71"/>
      <c r="H56" s="71"/>
      <c r="I56" s="71"/>
      <c r="J56" s="72"/>
      <c r="K56" s="73"/>
      <c r="L56" s="56"/>
      <c r="M56" s="74"/>
      <c r="N56" s="75"/>
      <c r="O56" s="71"/>
      <c r="P56" s="72"/>
      <c r="Q56" s="72"/>
      <c r="R56" s="73"/>
      <c r="S56" s="56"/>
      <c r="T56" s="76"/>
      <c r="U56" s="76"/>
      <c r="V56" s="76"/>
    </row>
    <row r="57" spans="1:22" x14ac:dyDescent="0.25">
      <c r="A57" s="27">
        <f t="shared" si="1"/>
        <v>54</v>
      </c>
      <c r="B57" s="26"/>
      <c r="C57" s="71"/>
      <c r="D57" s="71"/>
      <c r="E57" s="71"/>
      <c r="F57" s="71"/>
      <c r="G57" s="71"/>
      <c r="H57" s="71"/>
      <c r="I57" s="71"/>
      <c r="J57" s="72"/>
      <c r="K57" s="73"/>
      <c r="L57" s="56"/>
      <c r="M57" s="74"/>
      <c r="N57" s="75"/>
      <c r="O57" s="71"/>
      <c r="P57" s="72"/>
      <c r="Q57" s="72"/>
      <c r="R57" s="73"/>
      <c r="S57" s="56"/>
      <c r="T57" s="76"/>
      <c r="U57" s="76"/>
      <c r="V57" s="76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6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5" t="s">
        <v>41</v>
      </c>
      <c r="D60" s="116"/>
      <c r="E60" s="116"/>
      <c r="F60" s="116"/>
      <c r="G60" s="116"/>
      <c r="H60" s="116"/>
      <c r="I60" s="116"/>
      <c r="J60" s="116"/>
      <c r="K60" s="117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C60:K60"/>
    <mergeCell ref="I1:U1"/>
    <mergeCell ref="C4:K4"/>
    <mergeCell ref="T4:T5"/>
    <mergeCell ref="U4:U5"/>
    <mergeCell ref="V4:V5"/>
    <mergeCell ref="J5:K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SAMPLE</vt:lpstr>
      <vt:lpstr>03-02-20261</vt:lpstr>
      <vt:lpstr>03-04-2026</vt:lpstr>
      <vt:lpstr>03-05-2026</vt:lpstr>
      <vt:lpstr>03-06-2026</vt:lpstr>
      <vt:lpstr>03-07-2026</vt:lpstr>
      <vt:lpstr>03-09-2026</vt:lpstr>
      <vt:lpstr>03-10-2026</vt:lpstr>
      <vt:lpstr>03-11-2026</vt:lpstr>
      <vt:lpstr>03-12-2026</vt:lpstr>
      <vt:lpstr>03-14-2026</vt:lpstr>
      <vt:lpstr>03-16-2026</vt:lpstr>
      <vt:lpstr>03-17-2026</vt:lpstr>
      <vt:lpstr>03-18-2026</vt:lpstr>
      <vt:lpstr>03-19-2026</vt:lpstr>
      <vt:lpstr>03-20-2026</vt:lpstr>
      <vt:lpstr>03-23-2026</vt:lpstr>
      <vt:lpstr>03-24-2026</vt:lpstr>
      <vt:lpstr>03-25-2026</vt:lpstr>
      <vt:lpstr>'03-02-20261'!Print_Area</vt:lpstr>
      <vt:lpstr>'03-04-2026'!Print_Area</vt:lpstr>
      <vt:lpstr>'03-05-2026'!Print_Area</vt:lpstr>
      <vt:lpstr>'03-06-2026'!Print_Area</vt:lpstr>
      <vt:lpstr>'03-07-2026'!Print_Area</vt:lpstr>
      <vt:lpstr>'03-09-2026'!Print_Area</vt:lpstr>
      <vt:lpstr>'03-10-2026'!Print_Area</vt:lpstr>
      <vt:lpstr>'03-11-2026'!Print_Area</vt:lpstr>
      <vt:lpstr>'03-12-2026'!Print_Area</vt:lpstr>
      <vt:lpstr>'03-14-2026'!Print_Area</vt:lpstr>
      <vt:lpstr>'03-16-2026'!Print_Area</vt:lpstr>
      <vt:lpstr>'03-17-2026'!Print_Area</vt:lpstr>
      <vt:lpstr>'03-18-2026'!Print_Area</vt:lpstr>
      <vt:lpstr>'03-19-2026'!Print_Area</vt:lpstr>
      <vt:lpstr>'03-20-2026'!Print_Area</vt:lpstr>
      <vt:lpstr>'03-23-2026'!Print_Area</vt:lpstr>
      <vt:lpstr>'03-24-2026'!Print_Area</vt:lpstr>
      <vt:lpstr>'03-25-2026'!Print_Area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2026-02-16T05:13:57Z</cp:lastPrinted>
  <dcterms:created xsi:type="dcterms:W3CDTF">2024-08-17T00:07:58Z</dcterms:created>
  <dcterms:modified xsi:type="dcterms:W3CDTF">2026-03-24T07:34:01Z</dcterms:modified>
</cp:coreProperties>
</file>