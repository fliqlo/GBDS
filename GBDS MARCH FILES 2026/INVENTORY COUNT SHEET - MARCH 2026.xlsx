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C0B74EB-3C3C-4ED0-A556-1FDEEC19D88B}" xr6:coauthVersionLast="45" xr6:coauthVersionMax="45" xr10:uidLastSave="{00000000-0000-0000-0000-000000000000}"/>
  <bookViews>
    <workbookView xWindow="-120" yWindow="-120" windowWidth="29040" windowHeight="15840" firstSheet="8" activeTab="16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  <sheet name="03-18-2026" sheetId="43" r:id="rId14"/>
    <sheet name="03-19-2026" sheetId="44" r:id="rId15"/>
    <sheet name="03-20-2026" sheetId="45" r:id="rId16"/>
    <sheet name="03-23-2026" sheetId="46" r:id="rId17"/>
    <sheet name="03-22-2026" sheetId="47" r:id="rId18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13">'03-18-2026'!$A$1:$W$59</definedName>
    <definedName name="_xlnm.Print_Area" localSheetId="14">'03-19-2026'!$A$1:$W$59</definedName>
    <definedName name="_xlnm.Print_Area" localSheetId="15">'03-20-2026'!$A$1:$W$59</definedName>
    <definedName name="_xlnm.Print_Area" localSheetId="17">'03-22-2026'!$A$1:$W$59</definedName>
    <definedName name="_xlnm.Print_Area" localSheetId="16">'03-23-2026'!$A$1:$W$59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46" l="1"/>
  <c r="K43" i="46"/>
  <c r="J43" i="46"/>
  <c r="C43" i="46"/>
  <c r="C41" i="46"/>
  <c r="C40" i="46"/>
  <c r="C37" i="46"/>
  <c r="C34" i="46"/>
  <c r="C12" i="46"/>
  <c r="C8" i="46"/>
  <c r="C47" i="45" l="1"/>
  <c r="K43" i="45"/>
  <c r="J43" i="45"/>
  <c r="C43" i="45"/>
  <c r="C41" i="45"/>
  <c r="C40" i="45"/>
  <c r="C37" i="45"/>
  <c r="C34" i="45"/>
  <c r="C17" i="45"/>
  <c r="C12" i="45"/>
  <c r="C8" i="45"/>
  <c r="C7" i="45"/>
  <c r="C47" i="44"/>
  <c r="K43" i="44"/>
  <c r="J43" i="44"/>
  <c r="C43" i="44"/>
  <c r="C41" i="44"/>
  <c r="C40" i="44"/>
  <c r="C37" i="44"/>
  <c r="C34" i="44"/>
  <c r="C20" i="44"/>
  <c r="C17" i="44"/>
  <c r="C12" i="44"/>
  <c r="C8" i="44"/>
  <c r="C7" i="44"/>
  <c r="R58" i="47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U43" i="47"/>
  <c r="V43" i="47" s="1"/>
  <c r="T43" i="47"/>
  <c r="T41" i="47"/>
  <c r="U41" i="47" s="1"/>
  <c r="V41" i="47" s="1"/>
  <c r="V40" i="47"/>
  <c r="U40" i="47"/>
  <c r="T40" i="47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U25" i="47"/>
  <c r="V25" i="47" s="1"/>
  <c r="T25" i="47"/>
  <c r="U24" i="47"/>
  <c r="V24" i="47" s="1"/>
  <c r="T24" i="47"/>
  <c r="U23" i="47"/>
  <c r="V23" i="47" s="1"/>
  <c r="T23" i="47"/>
  <c r="U22" i="47"/>
  <c r="V22" i="47" s="1"/>
  <c r="T22" i="47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U20" i="47"/>
  <c r="V20" i="47" s="1"/>
  <c r="T20" i="47"/>
  <c r="A20" i="47"/>
  <c r="U19" i="47"/>
  <c r="V19" i="47" s="1"/>
  <c r="T19" i="47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T58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U54" i="46"/>
  <c r="V54" i="46" s="1"/>
  <c r="T54" i="46"/>
  <c r="T53" i="46"/>
  <c r="U53" i="46" s="1"/>
  <c r="V53" i="46" s="1"/>
  <c r="U52" i="46"/>
  <c r="V52" i="46" s="1"/>
  <c r="T52" i="46"/>
  <c r="T51" i="46"/>
  <c r="U51" i="46" s="1"/>
  <c r="V51" i="46" s="1"/>
  <c r="U50" i="46"/>
  <c r="V50" i="46" s="1"/>
  <c r="T50" i="46"/>
  <c r="T49" i="46"/>
  <c r="U49" i="46" s="1"/>
  <c r="V49" i="46" s="1"/>
  <c r="U48" i="46"/>
  <c r="V48" i="46" s="1"/>
  <c r="T48" i="46"/>
  <c r="T47" i="46"/>
  <c r="U47" i="46" s="1"/>
  <c r="V47" i="46" s="1"/>
  <c r="U46" i="46"/>
  <c r="V46" i="46" s="1"/>
  <c r="T46" i="46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U37" i="46"/>
  <c r="V37" i="46" s="1"/>
  <c r="T37" i="46"/>
  <c r="T36" i="46"/>
  <c r="U36" i="46" s="1"/>
  <c r="V36" i="46" s="1"/>
  <c r="U35" i="46"/>
  <c r="V35" i="46" s="1"/>
  <c r="T35" i="46"/>
  <c r="T34" i="46"/>
  <c r="U34" i="46" s="1"/>
  <c r="V34" i="46" s="1"/>
  <c r="U33" i="46"/>
  <c r="V33" i="46" s="1"/>
  <c r="T33" i="46"/>
  <c r="T32" i="46"/>
  <c r="U32" i="46" s="1"/>
  <c r="V32" i="46" s="1"/>
  <c r="U31" i="46"/>
  <c r="V31" i="46" s="1"/>
  <c r="T31" i="46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U21" i="46"/>
  <c r="V21" i="46" s="1"/>
  <c r="T21" i="46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U54" i="45"/>
  <c r="V54" i="45" s="1"/>
  <c r="T54" i="45"/>
  <c r="T53" i="45"/>
  <c r="U53" i="45" s="1"/>
  <c r="V53" i="45" s="1"/>
  <c r="V52" i="45"/>
  <c r="U52" i="45"/>
  <c r="T52" i="45"/>
  <c r="T51" i="45"/>
  <c r="U51" i="45" s="1"/>
  <c r="V51" i="45" s="1"/>
  <c r="U50" i="45"/>
  <c r="V50" i="45" s="1"/>
  <c r="T50" i="45"/>
  <c r="T49" i="45"/>
  <c r="U49" i="45" s="1"/>
  <c r="V49" i="45" s="1"/>
  <c r="U48" i="45"/>
  <c r="V48" i="45" s="1"/>
  <c r="T48" i="45"/>
  <c r="T47" i="45"/>
  <c r="U47" i="45" s="1"/>
  <c r="V47" i="45" s="1"/>
  <c r="U46" i="45"/>
  <c r="V46" i="45" s="1"/>
  <c r="T46" i="45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U37" i="45"/>
  <c r="V37" i="45" s="1"/>
  <c r="T37" i="45"/>
  <c r="T36" i="45"/>
  <c r="U36" i="45" s="1"/>
  <c r="V36" i="45" s="1"/>
  <c r="U35" i="45"/>
  <c r="V35" i="45" s="1"/>
  <c r="T35" i="45"/>
  <c r="T34" i="45"/>
  <c r="U34" i="45" s="1"/>
  <c r="V34" i="45" s="1"/>
  <c r="U33" i="45"/>
  <c r="V33" i="45" s="1"/>
  <c r="T33" i="45"/>
  <c r="T32" i="45"/>
  <c r="U32" i="45" s="1"/>
  <c r="V32" i="45" s="1"/>
  <c r="U31" i="45"/>
  <c r="V31" i="45" s="1"/>
  <c r="T31" i="45"/>
  <c r="U30" i="45"/>
  <c r="V30" i="45" s="1"/>
  <c r="T30" i="45"/>
  <c r="U29" i="45"/>
  <c r="V29" i="45" s="1"/>
  <c r="T29" i="45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U17" i="45"/>
  <c r="V17" i="45" s="1"/>
  <c r="T17" i="45"/>
  <c r="T16" i="45"/>
  <c r="U16" i="45" s="1"/>
  <c r="V16" i="45" s="1"/>
  <c r="U15" i="45"/>
  <c r="V15" i="45" s="1"/>
  <c r="T15" i="45"/>
  <c r="T14" i="45"/>
  <c r="U14" i="45" s="1"/>
  <c r="V14" i="45" s="1"/>
  <c r="A14" i="45"/>
  <c r="A15" i="45" s="1"/>
  <c r="A16" i="45" s="1"/>
  <c r="A17" i="45" s="1"/>
  <c r="A18" i="45" s="1"/>
  <c r="U13" i="45"/>
  <c r="V13" i="45" s="1"/>
  <c r="T13" i="45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6" l="1"/>
  <c r="C58" i="45"/>
  <c r="U7" i="45"/>
  <c r="U58" i="45" s="1"/>
  <c r="U7" i="47"/>
  <c r="U7" i="46"/>
  <c r="T58" i="45"/>
  <c r="C47" i="43"/>
  <c r="K43" i="43"/>
  <c r="J43" i="43"/>
  <c r="J58" i="43" s="1"/>
  <c r="C43" i="43"/>
  <c r="C41" i="43"/>
  <c r="C40" i="43"/>
  <c r="C37" i="43"/>
  <c r="C34" i="43"/>
  <c r="C20" i="43"/>
  <c r="C17" i="43"/>
  <c r="C58" i="43" s="1"/>
  <c r="C12" i="43"/>
  <c r="C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U52" i="44"/>
  <c r="V52" i="44" s="1"/>
  <c r="T52" i="44"/>
  <c r="T51" i="44"/>
  <c r="U51" i="44" s="1"/>
  <c r="V51" i="44" s="1"/>
  <c r="T50" i="44"/>
  <c r="U50" i="44" s="1"/>
  <c r="V50" i="44" s="1"/>
  <c r="T49" i="44"/>
  <c r="U49" i="44" s="1"/>
  <c r="V49" i="44" s="1"/>
  <c r="U48" i="44"/>
  <c r="V48" i="44" s="1"/>
  <c r="T48" i="44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U19" i="44"/>
  <c r="V19" i="44" s="1"/>
  <c r="T19" i="44"/>
  <c r="T18" i="44"/>
  <c r="U18" i="44" s="1"/>
  <c r="V18" i="44" s="1"/>
  <c r="U17" i="44"/>
  <c r="V17" i="44" s="1"/>
  <c r="T17" i="44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U13" i="44"/>
  <c r="V13" i="44" s="1"/>
  <c r="T13" i="44"/>
  <c r="T12" i="44"/>
  <c r="U12" i="44" s="1"/>
  <c r="V12" i="44" s="1"/>
  <c r="T11" i="44"/>
  <c r="U11" i="44" s="1"/>
  <c r="V11" i="44" s="1"/>
  <c r="T10" i="44"/>
  <c r="U10" i="44" s="1"/>
  <c r="V10" i="44" s="1"/>
  <c r="U9" i="44"/>
  <c r="V9" i="44" s="1"/>
  <c r="T9" i="44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U50" i="43"/>
  <c r="V50" i="43" s="1"/>
  <c r="T50" i="43"/>
  <c r="T49" i="43"/>
  <c r="U49" i="43" s="1"/>
  <c r="V49" i="43" s="1"/>
  <c r="T48" i="43"/>
  <c r="U48" i="43" s="1"/>
  <c r="V48" i="43" s="1"/>
  <c r="T47" i="43"/>
  <c r="U47" i="43" s="1"/>
  <c r="V47" i="43" s="1"/>
  <c r="U46" i="43"/>
  <c r="V46" i="43" s="1"/>
  <c r="T46" i="43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U33" i="43"/>
  <c r="V33" i="43" s="1"/>
  <c r="T33" i="43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U9" i="43"/>
  <c r="V9" i="43" s="1"/>
  <c r="T9" i="43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C47" i="4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<sst xmlns="http://schemas.openxmlformats.org/spreadsheetml/2006/main" count="1512" uniqueCount="88">
  <si>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</si>
  <si>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</si>
  <si>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</si>
  <si>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</si>
  <si>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</si>
  <si>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</si>
  <si>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</si>
  <si>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</si>
  <si>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</si>
  <si>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</si>
  <si>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</si>
  <si>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</si>
  <si>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</si>
  <si>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</si>
  <si>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</si>
  <si>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</si>
  <si>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</si>
  <si>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</si>
  <si>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</si>
  <si>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</si>
  <si>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</si>
  <si>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</si>
  <si>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</si>
  <si>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</si>
  <si>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</si>
  <si>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</si>
  <si>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</si>
  <si>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</si>
  <si>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</si>
  <si>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</si>
  <si>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</si>
  <si>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</si>
  <si>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</si>
  <si>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</si>
  <si>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</si>
  <si>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</si>
  <si>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</si>
  <si>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</si>
  <si>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</si>
  <si>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</si>
  <si>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</si>
  <si>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</si>
  <si>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</si>
  <si>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</si>
  <si>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</si>
  <si>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</si>
  <si>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</si>
  <si>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</si>
  <si>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</si>
  <si>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</si>
  <si>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</si>
  <si>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</si>
  <si>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</si>
  <si>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</si>
  <si>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</si>
  <si>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</si>
  <si>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</si>
  <si>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</si>
  <si>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</si>
  <si>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</si>
  <si>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</si>
  <si>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</si>
  <si>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</si>
  <si>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</si>
  <si>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</si>
  <si>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</si>
  <si>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</si>
  <si>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</si>
  <si>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</si>
  <si>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</si>
  <si>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</si>
  <si>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</si>
  <si>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</si>
  <si>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</si>
  <si>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</si>
  <si>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</si>
  <si>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</si>
  <si>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</si>
  <si>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</si>
  <si>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</si>
  <si>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</si>
  <si>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</si>
  <si>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</si>
  <si>
    <t>DATE: 03/18/2026</t>
  </si>
  <si>
    <t>DATE: 03/19/2026</t>
  </si>
  <si>
    <t>DATE: 03/20/2026</t>
  </si>
  <si>
    <t>DATE: 03/22/2026</t>
  </si>
  <si>
    <t>DATE: 03/23/2026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</si>
</sst>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1" t="s">
        <v>68</v>
      </c>
      <c r="U4" s="123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2" t="s">
        <v>65</v>
      </c>
      <c r="K5" s="113"/>
      <c r="M5" s="37"/>
      <c r="N5" s="49"/>
      <c r="O5" s="40"/>
      <c r="P5" s="93"/>
      <c r="Q5" s="93"/>
      <c r="R5" s="38"/>
      <c r="S5" s="9"/>
      <c r="T5" s="122"/>
      <c r="U5" s="124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4" t="s">
        <v>41</v>
      </c>
      <c r="D62" s="115"/>
      <c r="E62" s="115"/>
      <c r="F62" s="115"/>
      <c r="G62" s="115"/>
      <c r="H62" s="115"/>
      <c r="I62" s="115"/>
      <c r="J62" s="115"/>
      <c r="K62" s="11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4"/>
      <c r="Q5" s="94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52"/>
      <c r="Q5" s="52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1" t="s">
        <v>68</v>
      </c>
      <c r="U4" s="123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2" t="s">
        <v>65</v>
      </c>
      <c r="K5" s="113"/>
      <c r="M5" s="37"/>
      <c r="N5" s="49"/>
      <c r="O5" s="40"/>
      <c r="P5" s="92"/>
      <c r="Q5" s="92"/>
      <c r="R5" s="38"/>
      <c r="S5" s="9"/>
      <c r="T5" s="122"/>
      <c r="U5" s="124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0"/>
      <c r="Q5" s="100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0"/>
      <c r="Q5" s="100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4"/>
      <c r="Q5" s="104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4"/>
      <c r="Q5" s="104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5"/>
      <c r="Q5" s="105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6"/>
      <c r="Q5" s="106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8"/>
      <c r="Q5" s="10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42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1389</v>
      </c>
      <c r="V7" s="59">
        <f>U7/24</f>
        <v>57.875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>
        <v>5</v>
      </c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2280</v>
      </c>
      <c r="V8" s="70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>
        <v>5</v>
      </c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384</v>
      </c>
      <c r="V9" s="77">
        <f t="shared" ref="V9:V11" si="3">U9/24</f>
        <v>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3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96</v>
      </c>
      <c r="V11" s="59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72+720+60+63+576+70+1440+576</f>
        <v>3577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6</v>
      </c>
      <c r="O12" s="66">
        <v>15</v>
      </c>
      <c r="P12" s="67">
        <v>11</v>
      </c>
      <c r="Q12" s="67">
        <v>20</v>
      </c>
      <c r="R12" s="68">
        <v>14</v>
      </c>
      <c r="S12" s="63"/>
      <c r="T12" s="59">
        <f t="shared" si="0"/>
        <v>31</v>
      </c>
      <c r="U12" s="70">
        <f>C12*24+M12*24+O12*24+Q12*24+T12</f>
        <v>86839</v>
      </c>
      <c r="V12" s="70">
        <f>U12/24</f>
        <v>3618.2916666666665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>
        <v>1</v>
      </c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96</v>
      </c>
      <c r="V13" s="77">
        <f>U13/24</f>
        <v>4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2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>
        <v>1</v>
      </c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2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54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2387</v>
      </c>
      <c r="V25" s="76">
        <f t="shared" si="5"/>
        <v>99.458333333333329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6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312</v>
      </c>
      <c r="V26" s="76">
        <f t="shared" si="5"/>
        <v>13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28</v>
      </c>
      <c r="N28" s="75"/>
      <c r="O28" s="71"/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912</v>
      </c>
      <c r="V28" s="76">
        <f t="shared" si="5"/>
        <v>38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>
        <v>10</v>
      </c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1344</v>
      </c>
      <c r="V30" s="76">
        <f t="shared" si="5"/>
        <v>56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4+72</f>
        <v>76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2237</v>
      </c>
      <c r="V34" s="76">
        <f t="shared" si="5"/>
        <v>93.208333333333329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1512+1512</f>
        <v>3024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24</v>
      </c>
      <c r="P37" s="67"/>
      <c r="Q37" s="67">
        <v>111</v>
      </c>
      <c r="R37" s="68"/>
      <c r="S37" s="63"/>
      <c r="T37" s="78">
        <f t="shared" si="0"/>
        <v>8</v>
      </c>
      <c r="U37" s="78">
        <f>C37*6+M37*6+O37*6+Q37*6+T37</f>
        <v>19232</v>
      </c>
      <c r="V37" s="78">
        <f>U37/6</f>
        <v>3205.3333333333335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441+27</f>
        <v>468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12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11616</v>
      </c>
      <c r="V40" s="78">
        <f>U40/24</f>
        <v>484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23+1152</f>
        <v>1175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21</v>
      </c>
      <c r="N41" s="90"/>
      <c r="O41" s="85">
        <v>5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14601</v>
      </c>
      <c r="V41" s="91">
        <f>U41/12</f>
        <v>1216.75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5940+8424+5292+3672+1836</f>
        <v>25164</v>
      </c>
      <c r="D43" s="66"/>
      <c r="E43" s="66"/>
      <c r="F43" s="66"/>
      <c r="G43" s="66"/>
      <c r="H43" s="66">
        <v>2</v>
      </c>
      <c r="I43" s="66">
        <v>7</v>
      </c>
      <c r="J43" s="67">
        <f>11*6+1</f>
        <v>67</v>
      </c>
      <c r="K43" s="68">
        <f>93*6+5</f>
        <v>563</v>
      </c>
      <c r="L43" s="63"/>
      <c r="M43" s="64">
        <v>356</v>
      </c>
      <c r="N43" s="65"/>
      <c r="O43" s="66">
        <v>450</v>
      </c>
      <c r="P43" s="67"/>
      <c r="Q43" s="67">
        <v>554</v>
      </c>
      <c r="R43" s="68"/>
      <c r="S43" s="63"/>
      <c r="T43" s="78">
        <f t="shared" ref="T43" si="6">H43+I43+J43+K43+N43+P43+R43</f>
        <v>639</v>
      </c>
      <c r="U43" s="78">
        <f>C43*6+M43*6+O43*6+Q43*6+T43</f>
        <v>159783</v>
      </c>
      <c r="V43" s="78">
        <f>U43/6</f>
        <v>26630.5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13984</v>
      </c>
      <c r="V47" s="78">
        <f>U47/6</f>
        <v>2330.6666666666665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36127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55</v>
      </c>
      <c r="I58" s="6">
        <f t="shared" si="11"/>
        <v>9</v>
      </c>
      <c r="J58" s="6">
        <f t="shared" si="11"/>
        <v>67</v>
      </c>
      <c r="K58" s="6">
        <f t="shared" si="11"/>
        <v>604</v>
      </c>
      <c r="M58" s="5">
        <f t="shared" ref="M58:R58" si="12">SUM(M7:M57)</f>
        <v>581</v>
      </c>
      <c r="N58" s="5">
        <f t="shared" si="12"/>
        <v>6</v>
      </c>
      <c r="O58" s="5">
        <f t="shared" si="12"/>
        <v>517</v>
      </c>
      <c r="P58" s="5">
        <f t="shared" si="12"/>
        <v>46</v>
      </c>
      <c r="Q58" s="5">
        <f t="shared" si="12"/>
        <v>734</v>
      </c>
      <c r="R58" s="5">
        <f t="shared" si="12"/>
        <v>14</v>
      </c>
      <c r="S58" s="56"/>
      <c r="T58" s="4">
        <f>SUM(T7:T57)</f>
        <v>801</v>
      </c>
      <c r="U58" s="95">
        <f>SUM(U7:U57)</f>
        <v>319587</v>
      </c>
      <c r="V58" s="4">
        <f>SUM(V7:V57)</f>
        <v>38074.875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8"/>
      <c r="Q5" s="10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1125</v>
      </c>
      <c r="V7" s="59">
        <f>U7/24</f>
        <v>46.875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2160</v>
      </c>
      <c r="V8" s="70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72+720+60+63+576+31+1440+576</f>
        <v>3538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18</v>
      </c>
      <c r="N12" s="65">
        <v>17</v>
      </c>
      <c r="O12" s="66">
        <v>13</v>
      </c>
      <c r="P12" s="67">
        <v>6</v>
      </c>
      <c r="Q12" s="67">
        <v>20</v>
      </c>
      <c r="R12" s="68">
        <v>10</v>
      </c>
      <c r="S12" s="63"/>
      <c r="T12" s="59">
        <f t="shared" si="0"/>
        <v>33</v>
      </c>
      <c r="U12" s="70">
        <f>C12*24+M12*24+O12*24+Q12*24+T12</f>
        <v>86169</v>
      </c>
      <c r="V12" s="70">
        <f>U12/24</f>
        <v>3590.375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72</v>
      </c>
      <c r="V13" s="77">
        <f>U13/24</f>
        <v>3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72</v>
      </c>
      <c r="V19" s="76">
        <f t="shared" si="5"/>
        <v>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10</v>
      </c>
      <c r="R25" s="73"/>
      <c r="S25" s="56"/>
      <c r="T25" s="59">
        <f t="shared" si="0"/>
        <v>11</v>
      </c>
      <c r="U25" s="76">
        <f t="shared" si="4"/>
        <v>1403</v>
      </c>
      <c r="V25" s="76">
        <f t="shared" si="5"/>
        <v>58.458333333333336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288</v>
      </c>
      <c r="V28" s="76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71+4</f>
        <v>75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1973</v>
      </c>
      <c r="V34" s="76">
        <f t="shared" si="5"/>
        <v>82.208333333333329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1404+30+1512+1</f>
        <v>2947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37</v>
      </c>
      <c r="N37" s="65"/>
      <c r="O37" s="66">
        <v>17</v>
      </c>
      <c r="P37" s="67"/>
      <c r="Q37" s="67">
        <v>116</v>
      </c>
      <c r="R37" s="68"/>
      <c r="S37" s="63"/>
      <c r="T37" s="78">
        <f t="shared" si="0"/>
        <v>2</v>
      </c>
      <c r="U37" s="78">
        <f>C37*6+M37*6+O37*6+Q37*6+T37</f>
        <v>18704</v>
      </c>
      <c r="V37" s="78">
        <f>U37/6</f>
        <v>3117.3333333333335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441+26</f>
        <v>467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11304</v>
      </c>
      <c r="V40" s="78">
        <f>U40/24</f>
        <v>471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18+1152</f>
        <v>1170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14325</v>
      </c>
      <c r="V41" s="91">
        <f>U41/12</f>
        <v>1193.75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5940+8424+4104+864+41+6480+1836+18</f>
        <v>27707</v>
      </c>
      <c r="D43" s="66"/>
      <c r="E43" s="66"/>
      <c r="F43" s="66"/>
      <c r="G43" s="66"/>
      <c r="H43" s="66">
        <v>3</v>
      </c>
      <c r="I43" s="66">
        <v>7</v>
      </c>
      <c r="J43" s="67">
        <f>11*6+3</f>
        <v>69</v>
      </c>
      <c r="K43" s="68">
        <f>21*6+2</f>
        <v>128</v>
      </c>
      <c r="L43" s="63"/>
      <c r="M43" s="64">
        <v>541</v>
      </c>
      <c r="N43" s="65"/>
      <c r="O43" s="66">
        <v>420</v>
      </c>
      <c r="P43" s="67"/>
      <c r="Q43" s="67">
        <v>566</v>
      </c>
      <c r="R43" s="68"/>
      <c r="S43" s="63"/>
      <c r="T43" s="78">
        <f t="shared" ref="T43" si="6">H43+I43+J43+K43+N43+P43+R43</f>
        <v>207</v>
      </c>
      <c r="U43" s="78">
        <f>C43*6+M43*6+O43*6+Q43*6+T43</f>
        <v>175611</v>
      </c>
      <c r="V43" s="78">
        <f>U43/6</f>
        <v>29268.5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13924</v>
      </c>
      <c r="V47" s="78">
        <f>U47/6</f>
        <v>2320.6666666666665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38536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56</v>
      </c>
      <c r="I58" s="6">
        <f t="shared" si="11"/>
        <v>9</v>
      </c>
      <c r="J58" s="6">
        <f t="shared" si="11"/>
        <v>69</v>
      </c>
      <c r="K58" s="6">
        <f t="shared" si="11"/>
        <v>163</v>
      </c>
      <c r="M58" s="5">
        <f t="shared" ref="M58:R58" si="12">SUM(M7:M57)</f>
        <v>616</v>
      </c>
      <c r="N58" s="5">
        <f t="shared" si="12"/>
        <v>17</v>
      </c>
      <c r="O58" s="5">
        <f t="shared" si="12"/>
        <v>478</v>
      </c>
      <c r="P58" s="5">
        <f t="shared" si="12"/>
        <v>41</v>
      </c>
      <c r="Q58" s="5">
        <f t="shared" si="12"/>
        <v>757</v>
      </c>
      <c r="R58" s="5">
        <f t="shared" si="12"/>
        <v>10</v>
      </c>
      <c r="S58" s="56"/>
      <c r="T58" s="4">
        <f>SUM(T7:T57)</f>
        <v>365</v>
      </c>
      <c r="U58" s="95">
        <f>SUM(U7:U57)</f>
        <v>330665</v>
      </c>
      <c r="V58" s="4">
        <f>SUM(V7:V57)</f>
        <v>40429.958333333336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9"/>
      <c r="Q5" s="10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9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72+720+60+63+504+67+1440+576</f>
        <v>3502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15</v>
      </c>
      <c r="N12" s="65">
        <v>1</v>
      </c>
      <c r="O12" s="66">
        <v>8</v>
      </c>
      <c r="P12" s="67">
        <v>1</v>
      </c>
      <c r="Q12" s="67">
        <v>21</v>
      </c>
      <c r="R12" s="68"/>
      <c r="S12" s="63"/>
      <c r="T12" s="59">
        <f t="shared" si="0"/>
        <v>2</v>
      </c>
      <c r="U12" s="70">
        <f>C12*24+M12*24+O12*24+Q12*24+T12</f>
        <v>85106</v>
      </c>
      <c r="V12" s="70">
        <f>U12/24</f>
        <v>3546.0833333333335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1163</v>
      </c>
      <c r="V25" s="76">
        <f t="shared" si="5"/>
        <v>48.458333333333336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240</v>
      </c>
      <c r="V28" s="76">
        <f t="shared" si="5"/>
        <v>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70+4</f>
        <v>74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1188+72+1512</f>
        <v>2772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18</v>
      </c>
      <c r="N37" s="65"/>
      <c r="O37" s="66">
        <v>36</v>
      </c>
      <c r="P37" s="67"/>
      <c r="Q37" s="67">
        <v>143</v>
      </c>
      <c r="R37" s="68"/>
      <c r="S37" s="63"/>
      <c r="T37" s="78">
        <f t="shared" si="0"/>
        <v>2</v>
      </c>
      <c r="U37" s="78">
        <f>C37*6+M37*6+O37*6+Q37*6+T37</f>
        <v>17816</v>
      </c>
      <c r="V37" s="78">
        <f>U37/6</f>
        <v>2969.3333333333335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378+23</f>
        <v>401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1152+14</f>
        <v>1166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4</v>
      </c>
      <c r="P41" s="86"/>
      <c r="Q41" s="86">
        <v>7</v>
      </c>
      <c r="R41" s="87"/>
      <c r="S41" s="88"/>
      <c r="T41" s="91">
        <f t="shared" si="0"/>
        <v>9</v>
      </c>
      <c r="U41" s="91">
        <f>C41*12+M41*12+O41*12+Q41*12+T41</f>
        <v>14133</v>
      </c>
      <c r="V41" s="91">
        <f>U41/12</f>
        <v>1177.75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5940+8424+3132+2700+41+6480</f>
        <v>26717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534</v>
      </c>
      <c r="N43" s="65"/>
      <c r="O43" s="66">
        <v>309</v>
      </c>
      <c r="P43" s="67"/>
      <c r="Q43" s="67">
        <v>459</v>
      </c>
      <c r="R43" s="68"/>
      <c r="S43" s="63"/>
      <c r="T43" s="78">
        <f t="shared" ref="T43" si="6">H43+I43+J43+K43+N43+P43+R43</f>
        <v>218</v>
      </c>
      <c r="U43" s="78">
        <f>C43*6+M43*6+O43*6+Q43*6+T43</f>
        <v>168332</v>
      </c>
      <c r="V43" s="78">
        <f>U43/6</f>
        <v>28055.333333333332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2268+33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13912</v>
      </c>
      <c r="V47" s="78">
        <f>U47/6</f>
        <v>2318.6666666666665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37255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578</v>
      </c>
      <c r="N58" s="5">
        <f t="shared" si="12"/>
        <v>1</v>
      </c>
      <c r="O58" s="5">
        <f t="shared" si="12"/>
        <v>381</v>
      </c>
      <c r="P58" s="5">
        <f t="shared" si="12"/>
        <v>36</v>
      </c>
      <c r="Q58" s="5">
        <f t="shared" si="12"/>
        <v>663</v>
      </c>
      <c r="R58" s="5">
        <f t="shared" si="12"/>
        <v>0</v>
      </c>
      <c r="S58" s="56"/>
      <c r="T58" s="4">
        <f>SUM(T7:T57)</f>
        <v>417</v>
      </c>
      <c r="U58" s="95">
        <f>SUM(U7:U57)</f>
        <v>319239</v>
      </c>
      <c r="V58" s="4">
        <f>SUM(V7:V57)</f>
        <v>38923.499999999993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tabSelected="1" topLeftCell="A34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9"/>
      <c r="Q5" s="10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3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72+720+63+60+504+24+1440+576</f>
        <v>3459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13</v>
      </c>
      <c r="O12" s="66">
        <v>19</v>
      </c>
      <c r="P12" s="67">
        <v>1</v>
      </c>
      <c r="Q12" s="67">
        <v>13</v>
      </c>
      <c r="R12" s="68">
        <v>13</v>
      </c>
      <c r="S12" s="63"/>
      <c r="T12" s="59">
        <f t="shared" si="0"/>
        <v>27</v>
      </c>
      <c r="U12" s="70">
        <f>C12*24+M12*24+O12*24+Q12*24+T12</f>
        <v>84339</v>
      </c>
      <c r="V12" s="70">
        <f>U12/24</f>
        <v>3514.125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3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1115</v>
      </c>
      <c r="V25" s="76">
        <f t="shared" si="5"/>
        <v>46.458333333333336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/>
      <c r="R28" s="73"/>
      <c r="S28" s="56"/>
      <c r="T28" s="59">
        <f t="shared" si="0"/>
        <v>0</v>
      </c>
      <c r="U28" s="76">
        <f t="shared" si="4"/>
        <v>96</v>
      </c>
      <c r="V28" s="76">
        <f t="shared" si="5"/>
        <v>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3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1080+1512</f>
        <v>2592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80</v>
      </c>
      <c r="N37" s="65"/>
      <c r="O37" s="66">
        <v>108</v>
      </c>
      <c r="P37" s="67"/>
      <c r="Q37" s="67">
        <v>118</v>
      </c>
      <c r="R37" s="68"/>
      <c r="S37" s="63"/>
      <c r="T37" s="78">
        <f t="shared" si="0"/>
        <v>2</v>
      </c>
      <c r="U37" s="78">
        <f>C37*6+M37*6+O37*6+Q37*6+T37</f>
        <v>17390</v>
      </c>
      <c r="V37" s="78">
        <f>U37/6</f>
        <v>2898.3333333333335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1056+70</f>
        <v>1126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13941</v>
      </c>
      <c r="V41" s="91">
        <f>U41/12</f>
        <v>1161.75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5940+8424+65+2052+4536+6480</f>
        <v>27497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314</v>
      </c>
      <c r="N43" s="65"/>
      <c r="O43" s="66">
        <v>384</v>
      </c>
      <c r="P43" s="67"/>
      <c r="Q43" s="67">
        <v>454</v>
      </c>
      <c r="R43" s="68"/>
      <c r="S43" s="63"/>
      <c r="T43" s="78">
        <f t="shared" ref="T43" si="6">H43+I43+J43+K43+N43+P43+R43</f>
        <v>218</v>
      </c>
      <c r="U43" s="78">
        <f>C43*6+M43*6+O43*6+Q43*6+T43</f>
        <v>172112</v>
      </c>
      <c r="V43" s="78">
        <f>U43/6</f>
        <v>28685.333333333332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33+2268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1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445</v>
      </c>
      <c r="N58" s="5">
        <f t="shared" si="12"/>
        <v>13</v>
      </c>
      <c r="O58" s="5">
        <f t="shared" si="12"/>
        <v>529</v>
      </c>
      <c r="P58" s="5">
        <f t="shared" si="12"/>
        <v>36</v>
      </c>
      <c r="Q58" s="5">
        <f t="shared" si="12"/>
        <v>632</v>
      </c>
      <c r="R58" s="5">
        <f t="shared" si="12"/>
        <v>13</v>
      </c>
      <c r="S58" s="56"/>
      <c r="T58" s="4">
        <f>SUM(T7:T57)</f>
        <v>442</v>
      </c>
      <c r="U58" s="95">
        <f>SUM(U7:U57)</f>
        <v>321388</v>
      </c>
      <c r="V58" s="4">
        <f>SUM(V7:V57)</f>
        <v>39420.541666666664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9"/>
      <c r="Q5" s="10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03-18-2026</vt:lpstr>
      <vt:lpstr>03-19-2026</vt:lpstr>
      <vt:lpstr>03-20-2026</vt:lpstr>
      <vt:lpstr>03-23-2026</vt:lpstr>
      <vt:lpstr>03-22-2026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'03-18-2026'!Print_Area</vt:lpstr>
      <vt:lpstr>'03-19-2026'!Print_Area</vt:lpstr>
      <vt:lpstr>'03-20-2026'!Print_Area</vt:lpstr>
      <vt:lpstr>'03-22-2026'!Print_Area</vt:lpstr>
      <vt:lpstr>'03-23-2026'!Print_Area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2026-03-23T04:21:03Z</dcterms:modified>
</cp:coreProperties>
</file>