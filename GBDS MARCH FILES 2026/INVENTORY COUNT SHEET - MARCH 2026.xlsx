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MARCH FILES 2026\"/>
    </mc:Choice>
  </mc:AlternateContent>
  <xr:revisionPtr revIDLastSave="0" documentId="13_ncr:1_{A1B60001-BD37-4EAF-8292-385A4ECF23C9}" xr6:coauthVersionLast="45" xr6:coauthVersionMax="45" xr10:uidLastSave="{00000000-0000-0000-0000-000000000000}"/>
  <bookViews>
    <workbookView xWindow="-120" yWindow="-120" windowWidth="29040" windowHeight="15840" activeTab="6" xr2:uid="{D34C963E-9680-4B45-A4EE-B681FF0CEC08}"/>
  </bookViews>
  <sheets>
    <sheet name="SAMPLE" sheetId="32" r:id="rId1"/>
    <sheet name="03-02-20261" sheetId="33" r:id="rId2"/>
    <sheet name="03-04-2026" sheetId="30" r:id="rId3"/>
    <sheet name="03-05-2026" sheetId="34" r:id="rId4"/>
    <sheet name="03-06-2026" sheetId="31" r:id="rId5"/>
    <sheet name="03-07-2026" sheetId="36" r:id="rId6"/>
    <sheet name="03-09-2026" sheetId="35" r:id="rId7"/>
    <sheet name="03-10-2026" sheetId="37" r:id="rId8"/>
  </sheets>
  <definedNames>
    <definedName name="_xlnm.Print_Area" localSheetId="1">'03-02-20261'!$A$1:$W$59</definedName>
    <definedName name="_xlnm.Print_Area" localSheetId="2">'03-04-2026'!$A$1:$W$59</definedName>
    <definedName name="_xlnm.Print_Area" localSheetId="3">'03-05-2026'!$A$1:$W$59</definedName>
    <definedName name="_xlnm.Print_Area" localSheetId="4">'03-06-2026'!$A$1:$W$59</definedName>
    <definedName name="_xlnm.Print_Area" localSheetId="5">'03-07-2026'!$A$1:$W$59</definedName>
    <definedName name="_xlnm.Print_Area" localSheetId="6">'03-09-2026'!$A$1:$W$59</definedName>
    <definedName name="_xlnm.Print_Area" localSheetId="7">'03-10-2026'!$A$1:$W$59</definedName>
    <definedName name="_xlnm.Print_Area" localSheetId="0">SAMPLE!$A$1:$W$61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U41" i="35" l="1"/>
  <c r="U43" i="35"/>
  <c r="C43" i="35"/>
  <c r="C47" i="35"/>
  <c r="K43" i="35"/>
  <c r="J43" i="35"/>
  <c r="C41" i="35"/>
  <c r="C40" i="35"/>
  <c r="C37" i="35"/>
  <c r="C34" i="35"/>
  <c r="C28" i="35"/>
  <c r="C25" i="35"/>
  <c r="C12" i="35"/>
  <c r="C8" i="35"/>
  <c r="C7" i="35"/>
  <c r="R58" i="37" l="1"/>
  <c r="Q58" i="37"/>
  <c r="P58" i="37"/>
  <c r="O58" i="37"/>
  <c r="N58" i="37"/>
  <c r="M58" i="37"/>
  <c r="K58" i="37"/>
  <c r="J58" i="37"/>
  <c r="I58" i="37"/>
  <c r="H58" i="37"/>
  <c r="G58" i="37"/>
  <c r="F58" i="37"/>
  <c r="C58" i="37"/>
  <c r="T54" i="37"/>
  <c r="U54" i="37" s="1"/>
  <c r="V54" i="37" s="1"/>
  <c r="T53" i="37"/>
  <c r="U53" i="37" s="1"/>
  <c r="V53" i="37" s="1"/>
  <c r="T52" i="37"/>
  <c r="U52" i="37" s="1"/>
  <c r="V52" i="37" s="1"/>
  <c r="T51" i="37"/>
  <c r="U51" i="37" s="1"/>
  <c r="V51" i="37" s="1"/>
  <c r="T50" i="37"/>
  <c r="U50" i="37" s="1"/>
  <c r="V50" i="37" s="1"/>
  <c r="T49" i="37"/>
  <c r="U49" i="37" s="1"/>
  <c r="V49" i="37" s="1"/>
  <c r="T48" i="37"/>
  <c r="U48" i="37" s="1"/>
  <c r="V48" i="37" s="1"/>
  <c r="T47" i="37"/>
  <c r="U47" i="37" s="1"/>
  <c r="V47" i="37" s="1"/>
  <c r="T46" i="37"/>
  <c r="U46" i="37" s="1"/>
  <c r="V46" i="37" s="1"/>
  <c r="T45" i="37"/>
  <c r="U45" i="37" s="1"/>
  <c r="V45" i="37" s="1"/>
  <c r="T43" i="37"/>
  <c r="U43" i="37" s="1"/>
  <c r="V43" i="37" s="1"/>
  <c r="T41" i="37"/>
  <c r="U41" i="37" s="1"/>
  <c r="V41" i="37" s="1"/>
  <c r="T40" i="37"/>
  <c r="U40" i="37" s="1"/>
  <c r="V40" i="37" s="1"/>
  <c r="U38" i="37"/>
  <c r="V38" i="37" s="1"/>
  <c r="T38" i="37"/>
  <c r="U37" i="37"/>
  <c r="V37" i="37" s="1"/>
  <c r="T37" i="37"/>
  <c r="U36" i="37"/>
  <c r="V36" i="37" s="1"/>
  <c r="T36" i="37"/>
  <c r="T35" i="37"/>
  <c r="U35" i="37" s="1"/>
  <c r="V35" i="37" s="1"/>
  <c r="U34" i="37"/>
  <c r="V34" i="37" s="1"/>
  <c r="T34" i="37"/>
  <c r="U33" i="37"/>
  <c r="V33" i="37" s="1"/>
  <c r="T33" i="37"/>
  <c r="U32" i="37"/>
  <c r="V32" i="37" s="1"/>
  <c r="T32" i="37"/>
  <c r="T31" i="37"/>
  <c r="U31" i="37" s="1"/>
  <c r="V31" i="37" s="1"/>
  <c r="U30" i="37"/>
  <c r="V30" i="37" s="1"/>
  <c r="T30" i="37"/>
  <c r="U29" i="37"/>
  <c r="V29" i="37" s="1"/>
  <c r="T29" i="37"/>
  <c r="U28" i="37"/>
  <c r="V28" i="37" s="1"/>
  <c r="T28" i="37"/>
  <c r="T26" i="37"/>
  <c r="U26" i="37" s="1"/>
  <c r="V26" i="37" s="1"/>
  <c r="AY25" i="37"/>
  <c r="T25" i="37"/>
  <c r="U25" i="37" s="1"/>
  <c r="V25" i="37" s="1"/>
  <c r="T24" i="37"/>
  <c r="U24" i="37" s="1"/>
  <c r="V24" i="37" s="1"/>
  <c r="U23" i="37"/>
  <c r="V23" i="37" s="1"/>
  <c r="T23" i="37"/>
  <c r="U22" i="37"/>
  <c r="V22" i="37" s="1"/>
  <c r="T22" i="37"/>
  <c r="T21" i="37"/>
  <c r="U21" i="37" s="1"/>
  <c r="V21" i="37" s="1"/>
  <c r="A21" i="37"/>
  <c r="A22" i="37" s="1"/>
  <c r="A23" i="37" s="1"/>
  <c r="A24" i="37" s="1"/>
  <c r="A25" i="37" s="1"/>
  <c r="A26" i="37" s="1"/>
  <c r="A27" i="37" s="1"/>
  <c r="A28" i="37" s="1"/>
  <c r="A29" i="37" s="1"/>
  <c r="A30" i="37" s="1"/>
  <c r="A31" i="37" s="1"/>
  <c r="A32" i="37" s="1"/>
  <c r="A33" i="37" s="1"/>
  <c r="A34" i="37" s="1"/>
  <c r="A35" i="37" s="1"/>
  <c r="A36" i="37" s="1"/>
  <c r="A37" i="37" s="1"/>
  <c r="A38" i="37" s="1"/>
  <c r="A39" i="37" s="1"/>
  <c r="A40" i="37" s="1"/>
  <c r="A41" i="37" s="1"/>
  <c r="A42" i="37" s="1"/>
  <c r="A43" i="37" s="1"/>
  <c r="A44" i="37" s="1"/>
  <c r="A45" i="37" s="1"/>
  <c r="A46" i="37" s="1"/>
  <c r="A47" i="37" s="1"/>
  <c r="A48" i="37" s="1"/>
  <c r="A49" i="37" s="1"/>
  <c r="A50" i="37" s="1"/>
  <c r="A51" i="37" s="1"/>
  <c r="A52" i="37" s="1"/>
  <c r="A53" i="37" s="1"/>
  <c r="A54" i="37" s="1"/>
  <c r="A55" i="37" s="1"/>
  <c r="A56" i="37" s="1"/>
  <c r="A57" i="37" s="1"/>
  <c r="T20" i="37"/>
  <c r="U20" i="37" s="1"/>
  <c r="V20" i="37" s="1"/>
  <c r="A20" i="37"/>
  <c r="U19" i="37"/>
  <c r="V19" i="37" s="1"/>
  <c r="T19" i="37"/>
  <c r="T18" i="37"/>
  <c r="U18" i="37" s="1"/>
  <c r="V18" i="37" s="1"/>
  <c r="T17" i="37"/>
  <c r="U17" i="37" s="1"/>
  <c r="V17" i="37" s="1"/>
  <c r="T16" i="37"/>
  <c r="U16" i="37" s="1"/>
  <c r="V16" i="37" s="1"/>
  <c r="T15" i="37"/>
  <c r="U15" i="37" s="1"/>
  <c r="V15" i="37" s="1"/>
  <c r="T14" i="37"/>
  <c r="U14" i="37" s="1"/>
  <c r="V14" i="37" s="1"/>
  <c r="A14" i="37"/>
  <c r="A15" i="37" s="1"/>
  <c r="A16" i="37" s="1"/>
  <c r="A17" i="37" s="1"/>
  <c r="A18" i="37" s="1"/>
  <c r="T13" i="37"/>
  <c r="U13" i="37" s="1"/>
  <c r="V13" i="37" s="1"/>
  <c r="U12" i="37"/>
  <c r="V12" i="37" s="1"/>
  <c r="T12" i="37"/>
  <c r="T11" i="37"/>
  <c r="U11" i="37" s="1"/>
  <c r="V11" i="37" s="1"/>
  <c r="T10" i="37"/>
  <c r="U10" i="37" s="1"/>
  <c r="V10" i="37" s="1"/>
  <c r="T9" i="37"/>
  <c r="U9" i="37" s="1"/>
  <c r="V9" i="37" s="1"/>
  <c r="A9" i="37"/>
  <c r="A10" i="37" s="1"/>
  <c r="A11" i="37" s="1"/>
  <c r="T8" i="37"/>
  <c r="U8" i="37" s="1"/>
  <c r="V8" i="37" s="1"/>
  <c r="A8" i="37"/>
  <c r="T7" i="37"/>
  <c r="U7" i="37" s="1"/>
  <c r="C47" i="36"/>
  <c r="K43" i="36"/>
  <c r="J43" i="36"/>
  <c r="T43" i="36" s="1"/>
  <c r="U43" i="36" s="1"/>
  <c r="V43" i="36" s="1"/>
  <c r="C43" i="36"/>
  <c r="C41" i="36"/>
  <c r="C40" i="36"/>
  <c r="C37" i="36"/>
  <c r="C34" i="36"/>
  <c r="C30" i="36"/>
  <c r="C28" i="36"/>
  <c r="U28" i="36" s="1"/>
  <c r="V28" i="36" s="1"/>
  <c r="C25" i="36"/>
  <c r="C12" i="36"/>
  <c r="U12" i="36" s="1"/>
  <c r="V12" i="36" s="1"/>
  <c r="C8" i="36"/>
  <c r="T7" i="36"/>
  <c r="C7" i="36"/>
  <c r="R58" i="36"/>
  <c r="Q58" i="36"/>
  <c r="P58" i="36"/>
  <c r="O58" i="36"/>
  <c r="N58" i="36"/>
  <c r="M58" i="36"/>
  <c r="K58" i="36"/>
  <c r="I58" i="36"/>
  <c r="H58" i="36"/>
  <c r="G58" i="36"/>
  <c r="F58" i="36"/>
  <c r="T54" i="36"/>
  <c r="U54" i="36" s="1"/>
  <c r="V54" i="36" s="1"/>
  <c r="T53" i="36"/>
  <c r="U53" i="36" s="1"/>
  <c r="V53" i="36" s="1"/>
  <c r="T52" i="36"/>
  <c r="U52" i="36" s="1"/>
  <c r="V52" i="36" s="1"/>
  <c r="T51" i="36"/>
  <c r="U51" i="36" s="1"/>
  <c r="V51" i="36" s="1"/>
  <c r="T50" i="36"/>
  <c r="U50" i="36" s="1"/>
  <c r="V50" i="36" s="1"/>
  <c r="T49" i="36"/>
  <c r="U49" i="36" s="1"/>
  <c r="V49" i="36" s="1"/>
  <c r="T48" i="36"/>
  <c r="U48" i="36" s="1"/>
  <c r="V48" i="36" s="1"/>
  <c r="T47" i="36"/>
  <c r="U47" i="36" s="1"/>
  <c r="V47" i="36" s="1"/>
  <c r="T46" i="36"/>
  <c r="U46" i="36" s="1"/>
  <c r="V46" i="36" s="1"/>
  <c r="T45" i="36"/>
  <c r="U45" i="36" s="1"/>
  <c r="V45" i="36" s="1"/>
  <c r="T41" i="36"/>
  <c r="T40" i="36"/>
  <c r="U38" i="36"/>
  <c r="V38" i="36" s="1"/>
  <c r="T38" i="36"/>
  <c r="T37" i="36"/>
  <c r="U36" i="36"/>
  <c r="V36" i="36" s="1"/>
  <c r="T36" i="36"/>
  <c r="U35" i="36"/>
  <c r="V35" i="36" s="1"/>
  <c r="T35" i="36"/>
  <c r="T34" i="36"/>
  <c r="U33" i="36"/>
  <c r="V33" i="36" s="1"/>
  <c r="T33" i="36"/>
  <c r="U32" i="36"/>
  <c r="V32" i="36" s="1"/>
  <c r="T32" i="36"/>
  <c r="U31" i="36"/>
  <c r="V31" i="36" s="1"/>
  <c r="T31" i="36"/>
  <c r="T30" i="36"/>
  <c r="U29" i="36"/>
  <c r="V29" i="36" s="1"/>
  <c r="T29" i="36"/>
  <c r="T28" i="36"/>
  <c r="T26" i="36"/>
  <c r="U26" i="36" s="1"/>
  <c r="V26" i="36" s="1"/>
  <c r="AY25" i="36"/>
  <c r="T25" i="36"/>
  <c r="U24" i="36"/>
  <c r="V24" i="36" s="1"/>
  <c r="T24" i="36"/>
  <c r="U23" i="36"/>
  <c r="V23" i="36" s="1"/>
  <c r="T23" i="36"/>
  <c r="T22" i="36"/>
  <c r="U22" i="36" s="1"/>
  <c r="V22" i="36" s="1"/>
  <c r="T21" i="36"/>
  <c r="U21" i="36" s="1"/>
  <c r="V21" i="36" s="1"/>
  <c r="A21" i="36"/>
  <c r="A22" i="36" s="1"/>
  <c r="A23" i="36" s="1"/>
  <c r="A24" i="36" s="1"/>
  <c r="A25" i="36" s="1"/>
  <c r="A26" i="36" s="1"/>
  <c r="A27" i="36" s="1"/>
  <c r="A28" i="36" s="1"/>
  <c r="A29" i="36" s="1"/>
  <c r="A30" i="36" s="1"/>
  <c r="A31" i="36" s="1"/>
  <c r="A32" i="36" s="1"/>
  <c r="A33" i="36" s="1"/>
  <c r="A34" i="36" s="1"/>
  <c r="A35" i="36" s="1"/>
  <c r="A36" i="36" s="1"/>
  <c r="A37" i="36" s="1"/>
  <c r="A38" i="36" s="1"/>
  <c r="A39" i="36" s="1"/>
  <c r="A40" i="36" s="1"/>
  <c r="A41" i="36" s="1"/>
  <c r="A42" i="36" s="1"/>
  <c r="A43" i="36" s="1"/>
  <c r="A44" i="36" s="1"/>
  <c r="A45" i="36" s="1"/>
  <c r="A46" i="36" s="1"/>
  <c r="A47" i="36" s="1"/>
  <c r="A48" i="36" s="1"/>
  <c r="A49" i="36" s="1"/>
  <c r="A50" i="36" s="1"/>
  <c r="A51" i="36" s="1"/>
  <c r="A52" i="36" s="1"/>
  <c r="A53" i="36" s="1"/>
  <c r="A54" i="36" s="1"/>
  <c r="A55" i="36" s="1"/>
  <c r="A56" i="36" s="1"/>
  <c r="A57" i="36" s="1"/>
  <c r="U20" i="36"/>
  <c r="V20" i="36" s="1"/>
  <c r="T20" i="36"/>
  <c r="A20" i="36"/>
  <c r="U19" i="36"/>
  <c r="V19" i="36" s="1"/>
  <c r="T19" i="36"/>
  <c r="T18" i="36"/>
  <c r="U18" i="36" s="1"/>
  <c r="V18" i="36" s="1"/>
  <c r="T17" i="36"/>
  <c r="U17" i="36" s="1"/>
  <c r="V17" i="36" s="1"/>
  <c r="T16" i="36"/>
  <c r="U16" i="36" s="1"/>
  <c r="V16" i="36" s="1"/>
  <c r="T15" i="36"/>
  <c r="U15" i="36" s="1"/>
  <c r="V15" i="36" s="1"/>
  <c r="T14" i="36"/>
  <c r="U14" i="36" s="1"/>
  <c r="V14" i="36" s="1"/>
  <c r="A14" i="36"/>
  <c r="A15" i="36" s="1"/>
  <c r="A16" i="36" s="1"/>
  <c r="A17" i="36" s="1"/>
  <c r="A18" i="36" s="1"/>
  <c r="T13" i="36"/>
  <c r="U13" i="36" s="1"/>
  <c r="V13" i="36" s="1"/>
  <c r="T12" i="36"/>
  <c r="T11" i="36"/>
  <c r="U11" i="36" s="1"/>
  <c r="V11" i="36" s="1"/>
  <c r="T10" i="36"/>
  <c r="U10" i="36" s="1"/>
  <c r="V10" i="36" s="1"/>
  <c r="T9" i="36"/>
  <c r="U9" i="36" s="1"/>
  <c r="V9" i="36" s="1"/>
  <c r="A9" i="36"/>
  <c r="A10" i="36" s="1"/>
  <c r="A11" i="36" s="1"/>
  <c r="T8" i="36"/>
  <c r="A8" i="36"/>
  <c r="U58" i="37" l="1"/>
  <c r="V7" i="37"/>
  <c r="V58" i="37" s="1"/>
  <c r="T58" i="37"/>
  <c r="U34" i="36"/>
  <c r="V34" i="36" s="1"/>
  <c r="J58" i="36"/>
  <c r="U41" i="36"/>
  <c r="V41" i="36" s="1"/>
  <c r="U40" i="36"/>
  <c r="V40" i="36" s="1"/>
  <c r="U37" i="36"/>
  <c r="V37" i="36" s="1"/>
  <c r="U30" i="36"/>
  <c r="V30" i="36" s="1"/>
  <c r="C58" i="36"/>
  <c r="U25" i="36"/>
  <c r="V25" i="36" s="1"/>
  <c r="T58" i="36"/>
  <c r="U8" i="36"/>
  <c r="V8" i="36" s="1"/>
  <c r="U7" i="36"/>
  <c r="C12" i="31"/>
  <c r="C47" i="31"/>
  <c r="K43" i="31"/>
  <c r="J43" i="31"/>
  <c r="C43" i="31"/>
  <c r="C41" i="31"/>
  <c r="C40" i="31"/>
  <c r="C37" i="31"/>
  <c r="C34" i="31"/>
  <c r="C28" i="31"/>
  <c r="C25" i="31"/>
  <c r="C8" i="31"/>
  <c r="C7" i="31"/>
  <c r="R58" i="35"/>
  <c r="Q58" i="35"/>
  <c r="P58" i="35"/>
  <c r="O58" i="35"/>
  <c r="N58" i="35"/>
  <c r="M58" i="35"/>
  <c r="K58" i="35"/>
  <c r="J58" i="35"/>
  <c r="I58" i="35"/>
  <c r="H58" i="35"/>
  <c r="G58" i="35"/>
  <c r="F58" i="35"/>
  <c r="C58" i="35"/>
  <c r="U54" i="35"/>
  <c r="V54" i="35" s="1"/>
  <c r="T54" i="35"/>
  <c r="T53" i="35"/>
  <c r="U53" i="35" s="1"/>
  <c r="V53" i="35" s="1"/>
  <c r="T52" i="35"/>
  <c r="U52" i="35" s="1"/>
  <c r="V52" i="35" s="1"/>
  <c r="T51" i="35"/>
  <c r="U51" i="35" s="1"/>
  <c r="V51" i="35" s="1"/>
  <c r="U50" i="35"/>
  <c r="V50" i="35" s="1"/>
  <c r="T50" i="35"/>
  <c r="T49" i="35"/>
  <c r="U49" i="35" s="1"/>
  <c r="V49" i="35" s="1"/>
  <c r="T48" i="35"/>
  <c r="U48" i="35" s="1"/>
  <c r="V48" i="35" s="1"/>
  <c r="T47" i="35"/>
  <c r="U47" i="35" s="1"/>
  <c r="V47" i="35" s="1"/>
  <c r="U46" i="35"/>
  <c r="V46" i="35" s="1"/>
  <c r="T46" i="35"/>
  <c r="T45" i="35"/>
  <c r="U45" i="35" s="1"/>
  <c r="V45" i="35" s="1"/>
  <c r="T43" i="35"/>
  <c r="V43" i="35" s="1"/>
  <c r="T41" i="35"/>
  <c r="V41" i="35" s="1"/>
  <c r="T40" i="35"/>
  <c r="U40" i="35" s="1"/>
  <c r="V40" i="35" s="1"/>
  <c r="U38" i="35"/>
  <c r="V38" i="35" s="1"/>
  <c r="T38" i="35"/>
  <c r="T37" i="35"/>
  <c r="U37" i="35" s="1"/>
  <c r="V37" i="35" s="1"/>
  <c r="T36" i="35"/>
  <c r="U36" i="35" s="1"/>
  <c r="V36" i="35" s="1"/>
  <c r="T35" i="35"/>
  <c r="U35" i="35" s="1"/>
  <c r="V35" i="35" s="1"/>
  <c r="T34" i="35"/>
  <c r="U34" i="35" s="1"/>
  <c r="V34" i="35" s="1"/>
  <c r="T33" i="35"/>
  <c r="U33" i="35" s="1"/>
  <c r="V33" i="35" s="1"/>
  <c r="T32" i="35"/>
  <c r="U32" i="35" s="1"/>
  <c r="V32" i="35" s="1"/>
  <c r="T31" i="35"/>
  <c r="U31" i="35" s="1"/>
  <c r="V31" i="35" s="1"/>
  <c r="U30" i="35"/>
  <c r="V30" i="35" s="1"/>
  <c r="T30" i="35"/>
  <c r="T29" i="35"/>
  <c r="U29" i="35" s="1"/>
  <c r="V29" i="35" s="1"/>
  <c r="T28" i="35"/>
  <c r="U28" i="35" s="1"/>
  <c r="V28" i="35" s="1"/>
  <c r="T26" i="35"/>
  <c r="U26" i="35" s="1"/>
  <c r="V26" i="35" s="1"/>
  <c r="AY25" i="35"/>
  <c r="T25" i="35"/>
  <c r="U25" i="35" s="1"/>
  <c r="V25" i="35" s="1"/>
  <c r="U24" i="35"/>
  <c r="V24" i="35" s="1"/>
  <c r="T24" i="35"/>
  <c r="T23" i="35"/>
  <c r="U23" i="35" s="1"/>
  <c r="V23" i="35" s="1"/>
  <c r="U22" i="35"/>
  <c r="V22" i="35" s="1"/>
  <c r="T22" i="35"/>
  <c r="T21" i="35"/>
  <c r="U21" i="35" s="1"/>
  <c r="V21" i="35" s="1"/>
  <c r="U20" i="35"/>
  <c r="V20" i="35" s="1"/>
  <c r="T20" i="35"/>
  <c r="A20" i="35"/>
  <c r="A21" i="35" s="1"/>
  <c r="A22" i="35" s="1"/>
  <c r="A23" i="35" s="1"/>
  <c r="A24" i="35" s="1"/>
  <c r="A25" i="35" s="1"/>
  <c r="A26" i="35" s="1"/>
  <c r="A27" i="35" s="1"/>
  <c r="A28" i="35" s="1"/>
  <c r="A29" i="35" s="1"/>
  <c r="A30" i="35" s="1"/>
  <c r="A31" i="35" s="1"/>
  <c r="A32" i="35" s="1"/>
  <c r="A33" i="35" s="1"/>
  <c r="A34" i="35" s="1"/>
  <c r="A35" i="35" s="1"/>
  <c r="A36" i="35" s="1"/>
  <c r="A37" i="35" s="1"/>
  <c r="A38" i="35" s="1"/>
  <c r="A39" i="35" s="1"/>
  <c r="A40" i="35" s="1"/>
  <c r="A41" i="35" s="1"/>
  <c r="A42" i="35" s="1"/>
  <c r="A43" i="35" s="1"/>
  <c r="A44" i="35" s="1"/>
  <c r="A45" i="35" s="1"/>
  <c r="A46" i="35" s="1"/>
  <c r="A47" i="35" s="1"/>
  <c r="A48" i="35" s="1"/>
  <c r="A49" i="35" s="1"/>
  <c r="A50" i="35" s="1"/>
  <c r="A51" i="35" s="1"/>
  <c r="A52" i="35" s="1"/>
  <c r="A53" i="35" s="1"/>
  <c r="A54" i="35" s="1"/>
  <c r="A55" i="35" s="1"/>
  <c r="A56" i="35" s="1"/>
  <c r="A57" i="35" s="1"/>
  <c r="T19" i="35"/>
  <c r="U19" i="35" s="1"/>
  <c r="V19" i="35" s="1"/>
  <c r="T18" i="35"/>
  <c r="U18" i="35" s="1"/>
  <c r="V18" i="35" s="1"/>
  <c r="T17" i="35"/>
  <c r="U17" i="35" s="1"/>
  <c r="V17" i="35" s="1"/>
  <c r="T16" i="35"/>
  <c r="U16" i="35" s="1"/>
  <c r="V16" i="35" s="1"/>
  <c r="U15" i="35"/>
  <c r="V15" i="35" s="1"/>
  <c r="T15" i="35"/>
  <c r="T14" i="35"/>
  <c r="U14" i="35" s="1"/>
  <c r="V14" i="35" s="1"/>
  <c r="A14" i="35"/>
  <c r="A15" i="35" s="1"/>
  <c r="A16" i="35" s="1"/>
  <c r="A17" i="35" s="1"/>
  <c r="A18" i="35" s="1"/>
  <c r="T13" i="35"/>
  <c r="U13" i="35" s="1"/>
  <c r="V13" i="35" s="1"/>
  <c r="T12" i="35"/>
  <c r="U12" i="35" s="1"/>
  <c r="V12" i="35" s="1"/>
  <c r="T11" i="35"/>
  <c r="U11" i="35" s="1"/>
  <c r="V11" i="35" s="1"/>
  <c r="U10" i="35"/>
  <c r="V10" i="35" s="1"/>
  <c r="T10" i="35"/>
  <c r="T9" i="35"/>
  <c r="U9" i="35" s="1"/>
  <c r="V9" i="35" s="1"/>
  <c r="T8" i="35"/>
  <c r="U8" i="35" s="1"/>
  <c r="V8" i="35" s="1"/>
  <c r="A8" i="35"/>
  <c r="A9" i="35" s="1"/>
  <c r="A10" i="35" s="1"/>
  <c r="A11" i="35" s="1"/>
  <c r="T7" i="35"/>
  <c r="T58" i="35" l="1"/>
  <c r="U58" i="36"/>
  <c r="V7" i="36"/>
  <c r="V58" i="36" s="1"/>
  <c r="U7" i="35"/>
  <c r="J43" i="34"/>
  <c r="J58" i="34"/>
  <c r="C28" i="34"/>
  <c r="C47" i="34"/>
  <c r="K43" i="34"/>
  <c r="K58" i="34" s="1"/>
  <c r="C43" i="34"/>
  <c r="C41" i="34"/>
  <c r="C40" i="34"/>
  <c r="C37" i="34"/>
  <c r="C34" i="34"/>
  <c r="C25" i="34"/>
  <c r="C12" i="34"/>
  <c r="C8" i="34"/>
  <c r="C7" i="34"/>
  <c r="R58" i="34"/>
  <c r="Q58" i="34"/>
  <c r="P58" i="34"/>
  <c r="O58" i="34"/>
  <c r="N58" i="34"/>
  <c r="M58" i="34"/>
  <c r="I58" i="34"/>
  <c r="H58" i="34"/>
  <c r="G58" i="34"/>
  <c r="F58" i="34"/>
  <c r="T54" i="34"/>
  <c r="U54" i="34" s="1"/>
  <c r="V54" i="34" s="1"/>
  <c r="U53" i="34"/>
  <c r="V53" i="34" s="1"/>
  <c r="T53" i="34"/>
  <c r="T52" i="34"/>
  <c r="U52" i="34" s="1"/>
  <c r="V52" i="34" s="1"/>
  <c r="U51" i="34"/>
  <c r="V51" i="34" s="1"/>
  <c r="T51" i="34"/>
  <c r="T50" i="34"/>
  <c r="U50" i="34" s="1"/>
  <c r="V50" i="34" s="1"/>
  <c r="U49" i="34"/>
  <c r="V49" i="34" s="1"/>
  <c r="T49" i="34"/>
  <c r="T48" i="34"/>
  <c r="U48" i="34" s="1"/>
  <c r="V48" i="34" s="1"/>
  <c r="T47" i="34"/>
  <c r="U47" i="34" s="1"/>
  <c r="V47" i="34" s="1"/>
  <c r="U46" i="34"/>
  <c r="V46" i="34" s="1"/>
  <c r="T46" i="34"/>
  <c r="U45" i="34"/>
  <c r="V45" i="34" s="1"/>
  <c r="T45" i="34"/>
  <c r="T41" i="34"/>
  <c r="T40" i="34"/>
  <c r="U40" i="34" s="1"/>
  <c r="V40" i="34" s="1"/>
  <c r="T38" i="34"/>
  <c r="U38" i="34" s="1"/>
  <c r="V38" i="34" s="1"/>
  <c r="T37" i="34"/>
  <c r="U37" i="34" s="1"/>
  <c r="V37" i="34" s="1"/>
  <c r="T36" i="34"/>
  <c r="U36" i="34" s="1"/>
  <c r="V36" i="34" s="1"/>
  <c r="T35" i="34"/>
  <c r="U35" i="34" s="1"/>
  <c r="V35" i="34" s="1"/>
  <c r="T34" i="34"/>
  <c r="T33" i="34"/>
  <c r="U33" i="34" s="1"/>
  <c r="V33" i="34" s="1"/>
  <c r="T32" i="34"/>
  <c r="U32" i="34" s="1"/>
  <c r="V32" i="34" s="1"/>
  <c r="T31" i="34"/>
  <c r="U31" i="34" s="1"/>
  <c r="V31" i="34" s="1"/>
  <c r="T30" i="34"/>
  <c r="U30" i="34" s="1"/>
  <c r="V30" i="34" s="1"/>
  <c r="T29" i="34"/>
  <c r="U29" i="34" s="1"/>
  <c r="V29" i="34" s="1"/>
  <c r="T28" i="34"/>
  <c r="U26" i="34"/>
  <c r="V26" i="34" s="1"/>
  <c r="T26" i="34"/>
  <c r="AY25" i="34"/>
  <c r="T25" i="34"/>
  <c r="T24" i="34"/>
  <c r="U24" i="34" s="1"/>
  <c r="V24" i="34" s="1"/>
  <c r="T23" i="34"/>
  <c r="U23" i="34" s="1"/>
  <c r="V23" i="34" s="1"/>
  <c r="T22" i="34"/>
  <c r="U22" i="34" s="1"/>
  <c r="V22" i="34" s="1"/>
  <c r="A22" i="34"/>
  <c r="A23" i="34" s="1"/>
  <c r="A24" i="34" s="1"/>
  <c r="A25" i="34" s="1"/>
  <c r="A26" i="34" s="1"/>
  <c r="A27" i="34" s="1"/>
  <c r="A28" i="34" s="1"/>
  <c r="A29" i="34" s="1"/>
  <c r="A30" i="34" s="1"/>
  <c r="A31" i="34" s="1"/>
  <c r="A32" i="34" s="1"/>
  <c r="A33" i="34" s="1"/>
  <c r="A34" i="34" s="1"/>
  <c r="A35" i="34" s="1"/>
  <c r="A36" i="34" s="1"/>
  <c r="A37" i="34" s="1"/>
  <c r="A38" i="34" s="1"/>
  <c r="A39" i="34" s="1"/>
  <c r="A40" i="34" s="1"/>
  <c r="A41" i="34" s="1"/>
  <c r="A42" i="34" s="1"/>
  <c r="A43" i="34" s="1"/>
  <c r="A44" i="34" s="1"/>
  <c r="A45" i="34" s="1"/>
  <c r="A46" i="34" s="1"/>
  <c r="A47" i="34" s="1"/>
  <c r="A48" i="34" s="1"/>
  <c r="A49" i="34" s="1"/>
  <c r="A50" i="34" s="1"/>
  <c r="A51" i="34" s="1"/>
  <c r="A52" i="34" s="1"/>
  <c r="A53" i="34" s="1"/>
  <c r="A54" i="34" s="1"/>
  <c r="A55" i="34" s="1"/>
  <c r="A56" i="34" s="1"/>
  <c r="A57" i="34" s="1"/>
  <c r="T21" i="34"/>
  <c r="U21" i="34" s="1"/>
  <c r="V21" i="34" s="1"/>
  <c r="A21" i="34"/>
  <c r="T20" i="34"/>
  <c r="U20" i="34" s="1"/>
  <c r="V20" i="34" s="1"/>
  <c r="A20" i="34"/>
  <c r="T19" i="34"/>
  <c r="U19" i="34" s="1"/>
  <c r="V19" i="34" s="1"/>
  <c r="U18" i="34"/>
  <c r="V18" i="34" s="1"/>
  <c r="T18" i="34"/>
  <c r="T17" i="34"/>
  <c r="U17" i="34" s="1"/>
  <c r="V17" i="34" s="1"/>
  <c r="U16" i="34"/>
  <c r="V16" i="34" s="1"/>
  <c r="T16" i="34"/>
  <c r="T15" i="34"/>
  <c r="U15" i="34" s="1"/>
  <c r="V15" i="34" s="1"/>
  <c r="A15" i="34"/>
  <c r="A16" i="34" s="1"/>
  <c r="A17" i="34" s="1"/>
  <c r="A18" i="34" s="1"/>
  <c r="U14" i="34"/>
  <c r="V14" i="34" s="1"/>
  <c r="T14" i="34"/>
  <c r="A14" i="34"/>
  <c r="T13" i="34"/>
  <c r="U13" i="34" s="1"/>
  <c r="V13" i="34" s="1"/>
  <c r="T12" i="34"/>
  <c r="T11" i="34"/>
  <c r="U11" i="34" s="1"/>
  <c r="V11" i="34" s="1"/>
  <c r="T10" i="34"/>
  <c r="U10" i="34" s="1"/>
  <c r="V10" i="34" s="1"/>
  <c r="T9" i="34"/>
  <c r="U9" i="34" s="1"/>
  <c r="V9" i="34" s="1"/>
  <c r="T8" i="34"/>
  <c r="U8" i="34" s="1"/>
  <c r="V8" i="34" s="1"/>
  <c r="A8" i="34"/>
  <c r="A9" i="34" s="1"/>
  <c r="A10" i="34" s="1"/>
  <c r="A11" i="34" s="1"/>
  <c r="T7" i="34"/>
  <c r="U58" i="35" l="1"/>
  <c r="V7" i="35"/>
  <c r="V58" i="35" s="1"/>
  <c r="T43" i="34"/>
  <c r="U43" i="34" s="1"/>
  <c r="V43" i="34" s="1"/>
  <c r="U41" i="34"/>
  <c r="V41" i="34" s="1"/>
  <c r="U34" i="34"/>
  <c r="V34" i="34" s="1"/>
  <c r="U28" i="34"/>
  <c r="V28" i="34" s="1"/>
  <c r="U25" i="34"/>
  <c r="V25" i="34" s="1"/>
  <c r="U12" i="34"/>
  <c r="V12" i="34" s="1"/>
  <c r="C58" i="34"/>
  <c r="U7" i="34"/>
  <c r="C41" i="30"/>
  <c r="C23" i="30"/>
  <c r="C12" i="30"/>
  <c r="C8" i="30"/>
  <c r="C53" i="30"/>
  <c r="C47" i="30"/>
  <c r="K43" i="30"/>
  <c r="J43" i="30"/>
  <c r="C43" i="30"/>
  <c r="C40" i="30"/>
  <c r="C38" i="30"/>
  <c r="C37" i="30"/>
  <c r="C34" i="30"/>
  <c r="C31" i="30"/>
  <c r="C28" i="30"/>
  <c r="C25" i="30"/>
  <c r="C7" i="30"/>
  <c r="T58" i="34" l="1"/>
  <c r="U58" i="34"/>
  <c r="V7" i="34"/>
  <c r="V58" i="34" s="1"/>
  <c r="R58" i="33"/>
  <c r="Q58" i="33"/>
  <c r="P58" i="33"/>
  <c r="O58" i="33"/>
  <c r="N58" i="33"/>
  <c r="M58" i="33"/>
  <c r="I58" i="33"/>
  <c r="H58" i="33"/>
  <c r="G58" i="33"/>
  <c r="F58" i="33"/>
  <c r="T54" i="33"/>
  <c r="U54" i="33" s="1"/>
  <c r="V54" i="33" s="1"/>
  <c r="T53" i="33"/>
  <c r="C53" i="33"/>
  <c r="U53" i="33" s="1"/>
  <c r="V53" i="33" s="1"/>
  <c r="U52" i="33"/>
  <c r="V52" i="33" s="1"/>
  <c r="T52" i="33"/>
  <c r="T51" i="33"/>
  <c r="U51" i="33" s="1"/>
  <c r="V51" i="33" s="1"/>
  <c r="U50" i="33"/>
  <c r="V50" i="33" s="1"/>
  <c r="T50" i="33"/>
  <c r="T49" i="33"/>
  <c r="U49" i="33" s="1"/>
  <c r="V49" i="33" s="1"/>
  <c r="U48" i="33"/>
  <c r="V48" i="33" s="1"/>
  <c r="T48" i="33"/>
  <c r="T47" i="33"/>
  <c r="C47" i="33"/>
  <c r="U47" i="33" s="1"/>
  <c r="V47" i="33" s="1"/>
  <c r="V46" i="33"/>
  <c r="U46" i="33"/>
  <c r="T46" i="33"/>
  <c r="U45" i="33"/>
  <c r="V45" i="33" s="1"/>
  <c r="T45" i="33"/>
  <c r="K43" i="33"/>
  <c r="K58" i="33" s="1"/>
  <c r="J43" i="33"/>
  <c r="J58" i="33" s="1"/>
  <c r="C43" i="33"/>
  <c r="T41" i="33"/>
  <c r="C41" i="33"/>
  <c r="U41" i="33" s="1"/>
  <c r="V41" i="33" s="1"/>
  <c r="T40" i="33"/>
  <c r="C40" i="33"/>
  <c r="U40" i="33" s="1"/>
  <c r="V40" i="33" s="1"/>
  <c r="T38" i="33"/>
  <c r="C38" i="33"/>
  <c r="U38" i="33" s="1"/>
  <c r="V38" i="33" s="1"/>
  <c r="T37" i="33"/>
  <c r="C37" i="33"/>
  <c r="U37" i="33" s="1"/>
  <c r="V37" i="33" s="1"/>
  <c r="T36" i="33"/>
  <c r="U36" i="33" s="1"/>
  <c r="V36" i="33" s="1"/>
  <c r="T35" i="33"/>
  <c r="U35" i="33" s="1"/>
  <c r="V35" i="33" s="1"/>
  <c r="T34" i="33"/>
  <c r="U34" i="33" s="1"/>
  <c r="V34" i="33" s="1"/>
  <c r="C34" i="33"/>
  <c r="T33" i="33"/>
  <c r="U33" i="33" s="1"/>
  <c r="V33" i="33" s="1"/>
  <c r="U32" i="33"/>
  <c r="V32" i="33" s="1"/>
  <c r="T32" i="33"/>
  <c r="T31" i="33"/>
  <c r="C31" i="33"/>
  <c r="U31" i="33" s="1"/>
  <c r="V31" i="33" s="1"/>
  <c r="V30" i="33"/>
  <c r="U30" i="33"/>
  <c r="T30" i="33"/>
  <c r="U29" i="33"/>
  <c r="V29" i="33" s="1"/>
  <c r="T29" i="33"/>
  <c r="T28" i="33"/>
  <c r="C28" i="33"/>
  <c r="U28" i="33" s="1"/>
  <c r="V28" i="33" s="1"/>
  <c r="T26" i="33"/>
  <c r="U26" i="33" s="1"/>
  <c r="V26" i="33" s="1"/>
  <c r="AY25" i="33"/>
  <c r="T25" i="33"/>
  <c r="U25" i="33" s="1"/>
  <c r="V25" i="33" s="1"/>
  <c r="C25" i="33"/>
  <c r="T24" i="33"/>
  <c r="U24" i="33" s="1"/>
  <c r="V24" i="33" s="1"/>
  <c r="T23" i="33"/>
  <c r="U23" i="33" s="1"/>
  <c r="V23" i="33" s="1"/>
  <c r="V22" i="33"/>
  <c r="U22" i="33"/>
  <c r="T22" i="33"/>
  <c r="U21" i="33"/>
  <c r="V21" i="33" s="1"/>
  <c r="T21" i="33"/>
  <c r="T20" i="33"/>
  <c r="U20" i="33" s="1"/>
  <c r="V20" i="33" s="1"/>
  <c r="A20" i="33"/>
  <c r="A21" i="33" s="1"/>
  <c r="A22" i="33" s="1"/>
  <c r="A23" i="33" s="1"/>
  <c r="A24" i="33" s="1"/>
  <c r="A25" i="33" s="1"/>
  <c r="A26" i="33" s="1"/>
  <c r="A27" i="33" s="1"/>
  <c r="A28" i="33" s="1"/>
  <c r="A29" i="33" s="1"/>
  <c r="A30" i="33" s="1"/>
  <c r="A31" i="33" s="1"/>
  <c r="A32" i="33" s="1"/>
  <c r="A33" i="33" s="1"/>
  <c r="A34" i="33" s="1"/>
  <c r="A35" i="33" s="1"/>
  <c r="A36" i="33" s="1"/>
  <c r="A37" i="33" s="1"/>
  <c r="A38" i="33" s="1"/>
  <c r="A39" i="33" s="1"/>
  <c r="A40" i="33" s="1"/>
  <c r="A41" i="33" s="1"/>
  <c r="A42" i="33" s="1"/>
  <c r="A43" i="33" s="1"/>
  <c r="A44" i="33" s="1"/>
  <c r="A45" i="33" s="1"/>
  <c r="A46" i="33" s="1"/>
  <c r="A47" i="33" s="1"/>
  <c r="A48" i="33" s="1"/>
  <c r="A49" i="33" s="1"/>
  <c r="A50" i="33" s="1"/>
  <c r="A51" i="33" s="1"/>
  <c r="A52" i="33" s="1"/>
  <c r="A53" i="33" s="1"/>
  <c r="A54" i="33" s="1"/>
  <c r="A55" i="33" s="1"/>
  <c r="A56" i="33" s="1"/>
  <c r="A57" i="33" s="1"/>
  <c r="T19" i="33"/>
  <c r="U19" i="33" s="1"/>
  <c r="V19" i="33" s="1"/>
  <c r="U18" i="33"/>
  <c r="V18" i="33" s="1"/>
  <c r="T18" i="33"/>
  <c r="T17" i="33"/>
  <c r="U17" i="33" s="1"/>
  <c r="V17" i="33" s="1"/>
  <c r="U16" i="33"/>
  <c r="V16" i="33" s="1"/>
  <c r="T16" i="33"/>
  <c r="T15" i="33"/>
  <c r="U15" i="33" s="1"/>
  <c r="V15" i="33" s="1"/>
  <c r="A15" i="33"/>
  <c r="A16" i="33" s="1"/>
  <c r="A17" i="33" s="1"/>
  <c r="A18" i="33" s="1"/>
  <c r="U14" i="33"/>
  <c r="V14" i="33" s="1"/>
  <c r="T14" i="33"/>
  <c r="A14" i="33"/>
  <c r="T13" i="33"/>
  <c r="U13" i="33" s="1"/>
  <c r="V13" i="33" s="1"/>
  <c r="T12" i="33"/>
  <c r="C12" i="33"/>
  <c r="U12" i="33" s="1"/>
  <c r="V12" i="33" s="1"/>
  <c r="T11" i="33"/>
  <c r="U11" i="33" s="1"/>
  <c r="V11" i="33" s="1"/>
  <c r="T10" i="33"/>
  <c r="U10" i="33" s="1"/>
  <c r="V10" i="33" s="1"/>
  <c r="T9" i="33"/>
  <c r="C9" i="33"/>
  <c r="U9" i="33" s="1"/>
  <c r="V9" i="33" s="1"/>
  <c r="T8" i="33"/>
  <c r="C8" i="33"/>
  <c r="U8" i="33" s="1"/>
  <c r="V8" i="33" s="1"/>
  <c r="A8" i="33"/>
  <c r="A9" i="33" s="1"/>
  <c r="A10" i="33" s="1"/>
  <c r="A11" i="33" s="1"/>
  <c r="T7" i="33"/>
  <c r="C7" i="33"/>
  <c r="C58" i="33" s="1"/>
  <c r="U43" i="33" l="1"/>
  <c r="V43" i="33" s="1"/>
  <c r="T58" i="33"/>
  <c r="U7" i="33"/>
  <c r="T43" i="33"/>
  <c r="R58" i="32"/>
  <c r="Q58" i="32"/>
  <c r="P58" i="32"/>
  <c r="O58" i="32"/>
  <c r="N58" i="32"/>
  <c r="M58" i="32"/>
  <c r="K58" i="32"/>
  <c r="J58" i="32"/>
  <c r="I58" i="32"/>
  <c r="H58" i="32"/>
  <c r="G58" i="32"/>
  <c r="F58" i="32"/>
  <c r="C58" i="32"/>
  <c r="T54" i="32"/>
  <c r="U54" i="32" s="1"/>
  <c r="V54" i="32" s="1"/>
  <c r="T53" i="32"/>
  <c r="U53" i="32" s="1"/>
  <c r="V53" i="32" s="1"/>
  <c r="T52" i="32"/>
  <c r="U52" i="32" s="1"/>
  <c r="V52" i="32" s="1"/>
  <c r="T51" i="32"/>
  <c r="U51" i="32" s="1"/>
  <c r="V51" i="32" s="1"/>
  <c r="T50" i="32"/>
  <c r="U50" i="32" s="1"/>
  <c r="V50" i="32" s="1"/>
  <c r="T49" i="32"/>
  <c r="U49" i="32" s="1"/>
  <c r="V49" i="32" s="1"/>
  <c r="T48" i="32"/>
  <c r="U48" i="32" s="1"/>
  <c r="V48" i="32" s="1"/>
  <c r="T47" i="32"/>
  <c r="U47" i="32" s="1"/>
  <c r="V47" i="32" s="1"/>
  <c r="T46" i="32"/>
  <c r="U46" i="32" s="1"/>
  <c r="V46" i="32" s="1"/>
  <c r="T45" i="32"/>
  <c r="U45" i="32" s="1"/>
  <c r="V45" i="32" s="1"/>
  <c r="T43" i="32"/>
  <c r="U43" i="32" s="1"/>
  <c r="V43" i="32" s="1"/>
  <c r="T41" i="32"/>
  <c r="U41" i="32" s="1"/>
  <c r="V41" i="32" s="1"/>
  <c r="T40" i="32"/>
  <c r="U40" i="32"/>
  <c r="V40" i="32" s="1"/>
  <c r="T38" i="32"/>
  <c r="U38" i="32"/>
  <c r="V38" i="32" s="1"/>
  <c r="T37" i="32"/>
  <c r="U37" i="32" s="1"/>
  <c r="V37" i="32" s="1"/>
  <c r="T36" i="32"/>
  <c r="U36" i="32" s="1"/>
  <c r="V36" i="32" s="1"/>
  <c r="T35" i="32"/>
  <c r="U35" i="32" s="1"/>
  <c r="V35" i="32" s="1"/>
  <c r="T34" i="32"/>
  <c r="U34" i="32" s="1"/>
  <c r="V34" i="32" s="1"/>
  <c r="T33" i="32"/>
  <c r="U33" i="32" s="1"/>
  <c r="V33" i="32" s="1"/>
  <c r="T32" i="32"/>
  <c r="U32" i="32" s="1"/>
  <c r="V32" i="32" s="1"/>
  <c r="T31" i="32"/>
  <c r="U31" i="32" s="1"/>
  <c r="V31" i="32" s="1"/>
  <c r="T30" i="32"/>
  <c r="U30" i="32" s="1"/>
  <c r="V30" i="32" s="1"/>
  <c r="T29" i="32"/>
  <c r="U29" i="32" s="1"/>
  <c r="V29" i="32" s="1"/>
  <c r="T28" i="32"/>
  <c r="U28" i="32" s="1"/>
  <c r="V28" i="32" s="1"/>
  <c r="T26" i="32"/>
  <c r="U26" i="32" s="1"/>
  <c r="V26" i="32" s="1"/>
  <c r="AY25" i="32"/>
  <c r="T25" i="32"/>
  <c r="U25" i="32" s="1"/>
  <c r="V25" i="32" s="1"/>
  <c r="T24" i="32"/>
  <c r="U24" i="32" s="1"/>
  <c r="V24" i="32" s="1"/>
  <c r="T23" i="32"/>
  <c r="U23" i="32" s="1"/>
  <c r="V23" i="32" s="1"/>
  <c r="T22" i="32"/>
  <c r="U22" i="32" s="1"/>
  <c r="V22" i="32" s="1"/>
  <c r="T21" i="32"/>
  <c r="U21" i="32" s="1"/>
  <c r="V21" i="32" s="1"/>
  <c r="T20" i="32"/>
  <c r="U20" i="32" s="1"/>
  <c r="V20" i="32" s="1"/>
  <c r="A20" i="32"/>
  <c r="A21" i="32" s="1"/>
  <c r="A22" i="32" s="1"/>
  <c r="A23" i="32" s="1"/>
  <c r="A24" i="32" s="1"/>
  <c r="A25" i="32" s="1"/>
  <c r="A26" i="32" s="1"/>
  <c r="A27" i="32" s="1"/>
  <c r="A28" i="32" s="1"/>
  <c r="A29" i="32" s="1"/>
  <c r="A30" i="32" s="1"/>
  <c r="A31" i="32" s="1"/>
  <c r="A32" i="32" s="1"/>
  <c r="A33" i="32" s="1"/>
  <c r="A34" i="32" s="1"/>
  <c r="A35" i="32" s="1"/>
  <c r="A36" i="32" s="1"/>
  <c r="A37" i="32" s="1"/>
  <c r="A38" i="32" s="1"/>
  <c r="A39" i="32" s="1"/>
  <c r="A40" i="32" s="1"/>
  <c r="A41" i="32" s="1"/>
  <c r="A42" i="32" s="1"/>
  <c r="A43" i="32" s="1"/>
  <c r="A44" i="32" s="1"/>
  <c r="A45" i="32" s="1"/>
  <c r="A46" i="32" s="1"/>
  <c r="A47" i="32" s="1"/>
  <c r="A48" i="32" s="1"/>
  <c r="A49" i="32" s="1"/>
  <c r="A50" i="32" s="1"/>
  <c r="A51" i="32" s="1"/>
  <c r="A52" i="32" s="1"/>
  <c r="A53" i="32" s="1"/>
  <c r="A54" i="32" s="1"/>
  <c r="A55" i="32" s="1"/>
  <c r="A56" i="32" s="1"/>
  <c r="A57" i="32" s="1"/>
  <c r="T19" i="32"/>
  <c r="U19" i="32" s="1"/>
  <c r="V19" i="32" s="1"/>
  <c r="T18" i="32"/>
  <c r="U18" i="32" s="1"/>
  <c r="V18" i="32" s="1"/>
  <c r="T17" i="32"/>
  <c r="U17" i="32" s="1"/>
  <c r="V17" i="32" s="1"/>
  <c r="T16" i="32"/>
  <c r="U16" i="32" s="1"/>
  <c r="V16" i="32" s="1"/>
  <c r="T15" i="32"/>
  <c r="U15" i="32" s="1"/>
  <c r="V15" i="32" s="1"/>
  <c r="T14" i="32"/>
  <c r="U14" i="32" s="1"/>
  <c r="V14" i="32" s="1"/>
  <c r="A14" i="32"/>
  <c r="A15" i="32" s="1"/>
  <c r="A16" i="32" s="1"/>
  <c r="A17" i="32" s="1"/>
  <c r="A18" i="32" s="1"/>
  <c r="T13" i="32"/>
  <c r="U13" i="32" s="1"/>
  <c r="V13" i="32" s="1"/>
  <c r="T12" i="32"/>
  <c r="U12" i="32" s="1"/>
  <c r="V12" i="32" s="1"/>
  <c r="T11" i="32"/>
  <c r="U11" i="32" s="1"/>
  <c r="V11" i="32" s="1"/>
  <c r="T10" i="32"/>
  <c r="U10" i="32" s="1"/>
  <c r="V10" i="32" s="1"/>
  <c r="T9" i="32"/>
  <c r="U9" i="32" s="1"/>
  <c r="V9" i="32" s="1"/>
  <c r="A9" i="32"/>
  <c r="A10" i="32" s="1"/>
  <c r="A11" i="32" s="1"/>
  <c r="T8" i="32"/>
  <c r="U8" i="32"/>
  <c r="V8" i="32" s="1"/>
  <c r="A8" i="32"/>
  <c r="T7" i="32"/>
  <c r="V7" i="33" l="1"/>
  <c r="V58" i="33" s="1"/>
  <c r="U58" i="33"/>
  <c r="T58" i="32"/>
  <c r="U7" i="32"/>
  <c r="R58" i="31"/>
  <c r="Q58" i="31"/>
  <c r="P58" i="31"/>
  <c r="O58" i="31"/>
  <c r="N58" i="31"/>
  <c r="M58" i="31"/>
  <c r="K58" i="31"/>
  <c r="J58" i="31"/>
  <c r="I58" i="31"/>
  <c r="H58" i="31"/>
  <c r="G58" i="31"/>
  <c r="F58" i="31"/>
  <c r="C58" i="31"/>
  <c r="T54" i="31"/>
  <c r="U54" i="31" s="1"/>
  <c r="V54" i="31" s="1"/>
  <c r="T53" i="31"/>
  <c r="U53" i="31" s="1"/>
  <c r="V53" i="31" s="1"/>
  <c r="U52" i="31"/>
  <c r="V52" i="31" s="1"/>
  <c r="T52" i="31"/>
  <c r="T51" i="31"/>
  <c r="U51" i="31" s="1"/>
  <c r="V51" i="31" s="1"/>
  <c r="T50" i="31"/>
  <c r="U50" i="31" s="1"/>
  <c r="V50" i="31" s="1"/>
  <c r="T49" i="31"/>
  <c r="U49" i="31" s="1"/>
  <c r="V49" i="31" s="1"/>
  <c r="U48" i="31"/>
  <c r="V48" i="31" s="1"/>
  <c r="T48" i="31"/>
  <c r="T47" i="31"/>
  <c r="U47" i="31" s="1"/>
  <c r="V47" i="31" s="1"/>
  <c r="T46" i="31"/>
  <c r="U46" i="31" s="1"/>
  <c r="V46" i="31" s="1"/>
  <c r="T45" i="31"/>
  <c r="U45" i="31" s="1"/>
  <c r="V45" i="31" s="1"/>
  <c r="T43" i="31"/>
  <c r="U43" i="31" s="1"/>
  <c r="V43" i="31" s="1"/>
  <c r="U41" i="31"/>
  <c r="V41" i="31" s="1"/>
  <c r="T41" i="31"/>
  <c r="T40" i="31"/>
  <c r="U40" i="31" s="1"/>
  <c r="V40" i="31" s="1"/>
  <c r="T38" i="31"/>
  <c r="U38" i="31" s="1"/>
  <c r="V38" i="31" s="1"/>
  <c r="T37" i="31"/>
  <c r="U37" i="31" s="1"/>
  <c r="V37" i="31" s="1"/>
  <c r="T36" i="31"/>
  <c r="U36" i="31" s="1"/>
  <c r="V36" i="31" s="1"/>
  <c r="U35" i="31"/>
  <c r="V35" i="31" s="1"/>
  <c r="T35" i="31"/>
  <c r="T34" i="31"/>
  <c r="U34" i="31" s="1"/>
  <c r="V34" i="31" s="1"/>
  <c r="T33" i="31"/>
  <c r="U33" i="31" s="1"/>
  <c r="V33" i="31" s="1"/>
  <c r="T32" i="31"/>
  <c r="U32" i="31" s="1"/>
  <c r="V32" i="31" s="1"/>
  <c r="U31" i="31"/>
  <c r="V31" i="31" s="1"/>
  <c r="T31" i="31"/>
  <c r="T30" i="31"/>
  <c r="U30" i="31" s="1"/>
  <c r="V30" i="31" s="1"/>
  <c r="T29" i="31"/>
  <c r="U29" i="31" s="1"/>
  <c r="V29" i="31" s="1"/>
  <c r="T28" i="31"/>
  <c r="U28" i="31" s="1"/>
  <c r="V28" i="31" s="1"/>
  <c r="T26" i="31"/>
  <c r="U26" i="31" s="1"/>
  <c r="V26" i="31" s="1"/>
  <c r="AY25" i="31"/>
  <c r="T25" i="31"/>
  <c r="U25" i="31" s="1"/>
  <c r="V25" i="31" s="1"/>
  <c r="T24" i="31"/>
  <c r="U24" i="31" s="1"/>
  <c r="V24" i="31" s="1"/>
  <c r="U23" i="31"/>
  <c r="V23" i="31" s="1"/>
  <c r="T23" i="31"/>
  <c r="T22" i="31"/>
  <c r="U22" i="31" s="1"/>
  <c r="V22" i="31" s="1"/>
  <c r="T21" i="31"/>
  <c r="U21" i="31" s="1"/>
  <c r="V21" i="31" s="1"/>
  <c r="A21" i="31"/>
  <c r="A22" i="31" s="1"/>
  <c r="A23" i="31" s="1"/>
  <c r="A24" i="31" s="1"/>
  <c r="A25" i="31" s="1"/>
  <c r="A26" i="31" s="1"/>
  <c r="A27" i="31" s="1"/>
  <c r="A28" i="31" s="1"/>
  <c r="A29" i="31" s="1"/>
  <c r="A30" i="31" s="1"/>
  <c r="A31" i="31" s="1"/>
  <c r="A32" i="31" s="1"/>
  <c r="A33" i="31" s="1"/>
  <c r="A34" i="31" s="1"/>
  <c r="A35" i="31" s="1"/>
  <c r="A36" i="31" s="1"/>
  <c r="A37" i="31" s="1"/>
  <c r="A38" i="31" s="1"/>
  <c r="A39" i="31" s="1"/>
  <c r="A40" i="31" s="1"/>
  <c r="A41" i="31" s="1"/>
  <c r="A42" i="31" s="1"/>
  <c r="A43" i="31" s="1"/>
  <c r="A44" i="31" s="1"/>
  <c r="A45" i="31" s="1"/>
  <c r="A46" i="31" s="1"/>
  <c r="A47" i="31" s="1"/>
  <c r="A48" i="31" s="1"/>
  <c r="A49" i="31" s="1"/>
  <c r="A50" i="31" s="1"/>
  <c r="A51" i="31" s="1"/>
  <c r="A52" i="31" s="1"/>
  <c r="A53" i="31" s="1"/>
  <c r="A54" i="31" s="1"/>
  <c r="A55" i="31" s="1"/>
  <c r="A56" i="31" s="1"/>
  <c r="A57" i="31" s="1"/>
  <c r="T20" i="31"/>
  <c r="U20" i="31" s="1"/>
  <c r="V20" i="31" s="1"/>
  <c r="A20" i="31"/>
  <c r="U19" i="31"/>
  <c r="V19" i="31" s="1"/>
  <c r="T19" i="31"/>
  <c r="T18" i="31"/>
  <c r="U18" i="31" s="1"/>
  <c r="V18" i="31" s="1"/>
  <c r="U17" i="31"/>
  <c r="V17" i="31" s="1"/>
  <c r="T17" i="31"/>
  <c r="T16" i="31"/>
  <c r="T15" i="31"/>
  <c r="U15" i="31" s="1"/>
  <c r="V15" i="31" s="1"/>
  <c r="T14" i="31"/>
  <c r="U14" i="31" s="1"/>
  <c r="V14" i="31" s="1"/>
  <c r="A14" i="31"/>
  <c r="A15" i="31" s="1"/>
  <c r="A16" i="31" s="1"/>
  <c r="A17" i="31" s="1"/>
  <c r="A18" i="31" s="1"/>
  <c r="U13" i="31"/>
  <c r="V13" i="31" s="1"/>
  <c r="T13" i="31"/>
  <c r="T12" i="31"/>
  <c r="U12" i="31" s="1"/>
  <c r="V12" i="31" s="1"/>
  <c r="T11" i="31"/>
  <c r="U11" i="31" s="1"/>
  <c r="V11" i="31" s="1"/>
  <c r="T10" i="31"/>
  <c r="U10" i="31" s="1"/>
  <c r="V10" i="31" s="1"/>
  <c r="U9" i="31"/>
  <c r="V9" i="31" s="1"/>
  <c r="T9" i="31"/>
  <c r="T8" i="31"/>
  <c r="U8" i="31" s="1"/>
  <c r="V8" i="31" s="1"/>
  <c r="A8" i="31"/>
  <c r="A9" i="31" s="1"/>
  <c r="A10" i="31" s="1"/>
  <c r="A11" i="31" s="1"/>
  <c r="T7" i="31"/>
  <c r="U7" i="31" s="1"/>
  <c r="T58" i="31" l="1"/>
  <c r="U58" i="32"/>
  <c r="V7" i="32"/>
  <c r="V58" i="32" s="1"/>
  <c r="U16" i="31"/>
  <c r="V16" i="31" s="1"/>
  <c r="V7" i="31"/>
  <c r="R58" i="30"/>
  <c r="Q58" i="30"/>
  <c r="P58" i="30"/>
  <c r="O58" i="30"/>
  <c r="N58" i="30"/>
  <c r="M58" i="30"/>
  <c r="K58" i="30"/>
  <c r="J58" i="30"/>
  <c r="I58" i="30"/>
  <c r="H58" i="30"/>
  <c r="G58" i="30"/>
  <c r="F58" i="30"/>
  <c r="C58" i="30"/>
  <c r="T54" i="30"/>
  <c r="U54" i="30" s="1"/>
  <c r="V54" i="30" s="1"/>
  <c r="T53" i="30"/>
  <c r="U53" i="30" s="1"/>
  <c r="V53" i="30" s="1"/>
  <c r="T52" i="30"/>
  <c r="U52" i="30" s="1"/>
  <c r="V52" i="30" s="1"/>
  <c r="T51" i="30"/>
  <c r="U51" i="30" s="1"/>
  <c r="V51" i="30" s="1"/>
  <c r="T50" i="30"/>
  <c r="U50" i="30" s="1"/>
  <c r="V50" i="30" s="1"/>
  <c r="T49" i="30"/>
  <c r="U49" i="30" s="1"/>
  <c r="V49" i="30" s="1"/>
  <c r="T48" i="30"/>
  <c r="U48" i="30" s="1"/>
  <c r="V48" i="30" s="1"/>
  <c r="T47" i="30"/>
  <c r="U47" i="30" s="1"/>
  <c r="V47" i="30" s="1"/>
  <c r="T46" i="30"/>
  <c r="U46" i="30" s="1"/>
  <c r="V46" i="30" s="1"/>
  <c r="T45" i="30"/>
  <c r="U45" i="30" s="1"/>
  <c r="V45" i="30" s="1"/>
  <c r="T43" i="30"/>
  <c r="U43" i="30" s="1"/>
  <c r="V43" i="30" s="1"/>
  <c r="T41" i="30"/>
  <c r="U41" i="30" s="1"/>
  <c r="V41" i="30" s="1"/>
  <c r="T40" i="30"/>
  <c r="U40" i="30" s="1"/>
  <c r="V40" i="30" s="1"/>
  <c r="U38" i="30"/>
  <c r="V38" i="30" s="1"/>
  <c r="T38" i="30"/>
  <c r="T37" i="30"/>
  <c r="U37" i="30" s="1"/>
  <c r="V37" i="30" s="1"/>
  <c r="T36" i="30"/>
  <c r="U36" i="30" s="1"/>
  <c r="V36" i="30" s="1"/>
  <c r="T35" i="30"/>
  <c r="U35" i="30" s="1"/>
  <c r="V35" i="30" s="1"/>
  <c r="T34" i="30"/>
  <c r="U34" i="30" s="1"/>
  <c r="V34" i="30" s="1"/>
  <c r="T33" i="30"/>
  <c r="U33" i="30" s="1"/>
  <c r="V33" i="30" s="1"/>
  <c r="U32" i="30"/>
  <c r="V32" i="30" s="1"/>
  <c r="T32" i="30"/>
  <c r="T31" i="30"/>
  <c r="U31" i="30" s="1"/>
  <c r="V31" i="30" s="1"/>
  <c r="T30" i="30"/>
  <c r="U30" i="30" s="1"/>
  <c r="V30" i="30" s="1"/>
  <c r="T29" i="30"/>
  <c r="U29" i="30" s="1"/>
  <c r="V29" i="30" s="1"/>
  <c r="T28" i="30"/>
  <c r="U28" i="30" s="1"/>
  <c r="V28" i="30" s="1"/>
  <c r="T26" i="30"/>
  <c r="U26" i="30" s="1"/>
  <c r="V26" i="30" s="1"/>
  <c r="AY25" i="30"/>
  <c r="T25" i="30"/>
  <c r="U25" i="30" s="1"/>
  <c r="V25" i="30" s="1"/>
  <c r="T24" i="30"/>
  <c r="U24" i="30" s="1"/>
  <c r="V24" i="30" s="1"/>
  <c r="T23" i="30"/>
  <c r="U23" i="30" s="1"/>
  <c r="V23" i="30" s="1"/>
  <c r="T22" i="30"/>
  <c r="U22" i="30" s="1"/>
  <c r="V22" i="30" s="1"/>
  <c r="A22" i="30"/>
  <c r="A23" i="30" s="1"/>
  <c r="A24" i="30" s="1"/>
  <c r="A25" i="30" s="1"/>
  <c r="A26" i="30" s="1"/>
  <c r="A27" i="30" s="1"/>
  <c r="A28" i="30" s="1"/>
  <c r="A29" i="30" s="1"/>
  <c r="A30" i="30" s="1"/>
  <c r="A31" i="30" s="1"/>
  <c r="A32" i="30" s="1"/>
  <c r="A33" i="30" s="1"/>
  <c r="A34" i="30" s="1"/>
  <c r="A35" i="30" s="1"/>
  <c r="A36" i="30" s="1"/>
  <c r="A37" i="30" s="1"/>
  <c r="A38" i="30" s="1"/>
  <c r="A39" i="30" s="1"/>
  <c r="A40" i="30" s="1"/>
  <c r="A41" i="30" s="1"/>
  <c r="A42" i="30" s="1"/>
  <c r="A43" i="30" s="1"/>
  <c r="A44" i="30" s="1"/>
  <c r="A45" i="30" s="1"/>
  <c r="A46" i="30" s="1"/>
  <c r="A47" i="30" s="1"/>
  <c r="A48" i="30" s="1"/>
  <c r="A49" i="30" s="1"/>
  <c r="A50" i="30" s="1"/>
  <c r="A51" i="30" s="1"/>
  <c r="A52" i="30" s="1"/>
  <c r="A53" i="30" s="1"/>
  <c r="A54" i="30" s="1"/>
  <c r="A55" i="30" s="1"/>
  <c r="A56" i="30" s="1"/>
  <c r="A57" i="30" s="1"/>
  <c r="T21" i="30"/>
  <c r="U21" i="30" s="1"/>
  <c r="V21" i="30" s="1"/>
  <c r="A21" i="30"/>
  <c r="T20" i="30"/>
  <c r="U20" i="30" s="1"/>
  <c r="V20" i="30" s="1"/>
  <c r="A20" i="30"/>
  <c r="T19" i="30"/>
  <c r="U19" i="30" s="1"/>
  <c r="V19" i="30" s="1"/>
  <c r="T18" i="30"/>
  <c r="U18" i="30" s="1"/>
  <c r="V18" i="30" s="1"/>
  <c r="T17" i="30"/>
  <c r="U17" i="30" s="1"/>
  <c r="V17" i="30" s="1"/>
  <c r="T16" i="30"/>
  <c r="U16" i="30" s="1"/>
  <c r="V16" i="30" s="1"/>
  <c r="T15" i="30"/>
  <c r="U15" i="30" s="1"/>
  <c r="V15" i="30" s="1"/>
  <c r="T14" i="30"/>
  <c r="U14" i="30" s="1"/>
  <c r="V14" i="30" s="1"/>
  <c r="A14" i="30"/>
  <c r="A15" i="30" s="1"/>
  <c r="A16" i="30" s="1"/>
  <c r="A17" i="30" s="1"/>
  <c r="A18" i="30" s="1"/>
  <c r="T13" i="30"/>
  <c r="U13" i="30" s="1"/>
  <c r="V13" i="30" s="1"/>
  <c r="T12" i="30"/>
  <c r="U12" i="30" s="1"/>
  <c r="V12" i="30" s="1"/>
  <c r="T11" i="30"/>
  <c r="U11" i="30" s="1"/>
  <c r="V11" i="30" s="1"/>
  <c r="T10" i="30"/>
  <c r="U10" i="30" s="1"/>
  <c r="V10" i="30" s="1"/>
  <c r="T9" i="30"/>
  <c r="U9" i="30" s="1"/>
  <c r="V9" i="30" s="1"/>
  <c r="T8" i="30"/>
  <c r="U8" i="30" s="1"/>
  <c r="V8" i="30" s="1"/>
  <c r="A8" i="30"/>
  <c r="A9" i="30" s="1"/>
  <c r="A10" i="30" s="1"/>
  <c r="A11" i="30" s="1"/>
  <c r="T7" i="30"/>
  <c r="U7" i="30" s="1"/>
  <c r="U58" i="31" l="1"/>
  <c r="V58" i="31"/>
  <c r="U58" i="30"/>
  <c r="V7" i="30"/>
  <c r="V58" i="30" s="1"/>
  <c r="T58" i="30"/>
</calcChain>
</file>

<file path=xl/sharedStrings.xml><?xml version="1.0" encoding="utf-8"?>
<sst xmlns="http://schemas.openxmlformats.org/spreadsheetml/2006/main" count="672" uniqueCount="78">
  <si>
    <t>ROUTE 1</t>
  </si>
  <si>
    <t>PAMB</t>
  </si>
  <si>
    <t>PAMC</t>
  </si>
  <si>
    <t>KRB</t>
  </si>
  <si>
    <t>KRC</t>
  </si>
  <si>
    <t>CBC</t>
  </si>
  <si>
    <t>SDB</t>
  </si>
  <si>
    <t>SDC</t>
  </si>
  <si>
    <t>SMLB</t>
  </si>
  <si>
    <t>SMLL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</si>
  <si>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</si>
  <si>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</si>
  <si>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</si>
  <si>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</si>
  <si>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</si>
  <si>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</si>
  <si>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</si>
  <si>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</si>
  <si>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</si>
  <si>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</si>
  <si>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</si>
  <si>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</si>
  <si>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</si>
  <si>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</si>
  <si>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</si>
  <si>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</si>
  <si>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</si>
  <si>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</si>
  <si>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</si>
  <si>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HTL</t>
  </si>
  <si>
    <t>HTA</t>
  </si>
  <si>
    <t>HTS</t>
  </si>
  <si>
    <t>CB</t>
  </si>
  <si>
    <t>CC</t>
  </si>
  <si>
    <t>C10C</t>
  </si>
  <si>
    <t>CIB</t>
  </si>
  <si>
    <t>CIC</t>
  </si>
  <si>
    <t>EMPTIES</t>
  </si>
  <si>
    <t>RH5</t>
  </si>
  <si>
    <t>ROUTE 2</t>
  </si>
  <si>
    <t>ROUTE 3</t>
  </si>
  <si>
    <t>FLOOR STOCKS</t>
  </si>
  <si>
    <t>INVENTORY COUNT SHEET</t>
  </si>
  <si>
    <t>GUILLERMO BEVERAGE DISTRIBUTION SERVICES</t>
  </si>
  <si>
    <t>BOT</t>
  </si>
  <si>
    <t>SHL</t>
  </si>
  <si>
    <t>PL/RHL/GEK</t>
  </si>
  <si>
    <t>FB/SML/RHS</t>
  </si>
  <si>
    <t>HT</t>
  </si>
  <si>
    <t>PALLETS</t>
  </si>
  <si>
    <t>TOTAL</t>
  </si>
  <si>
    <t>TOTAL EMPTIES</t>
  </si>
  <si>
    <t>FULLS
 SKU</t>
  </si>
  <si>
    <t>CBB</t>
  </si>
  <si>
    <t>CNB</t>
  </si>
  <si>
    <t>CLC</t>
  </si>
  <si>
    <t>SMZB</t>
  </si>
  <si>
    <t>RH500C</t>
  </si>
  <si>
    <t>SMFB</t>
  </si>
  <si>
    <t>GE320</t>
  </si>
  <si>
    <t>M</t>
  </si>
  <si>
    <t>bot</t>
  </si>
  <si>
    <t>PP500C</t>
  </si>
  <si>
    <t>MGYZ</t>
  </si>
  <si>
    <t>WB</t>
  </si>
  <si>
    <t>WB BO LIL</t>
  </si>
  <si>
    <t>TOTAL INVENTORY PER CASE</t>
  </si>
  <si>
    <t>TOTAL INVENTORY BOTTLE PER CASE</t>
  </si>
  <si>
    <t>WAREHOUSE,  MISSING, BO, LILOY</t>
  </si>
  <si>
    <t>SML500C</t>
  </si>
  <si>
    <t xml:space="preserve">DATE: </t>
  </si>
  <si>
    <t>DATE: 03/02/2026</t>
  </si>
  <si>
    <t>DATE: 03/04/2026</t>
  </si>
  <si>
    <t>DATE: 03/06/2026</t>
  </si>
  <si>
    <t>DATE: 03/05/2026</t>
  </si>
  <si>
    <t>DATE: 03/07/2026</t>
  </si>
  <si>
    <t>DATE: 03/09/2026</t>
  </si>
  <si>
    <t>DATE: 03/10/2026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</si>
</sst>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(* #,##0.00_);_(* \(#,##0.00\);_(* &quot;-&quot;??_);_(@_)"/>
    <numFmt numFmtId="165" formatCode="[$-F800]dddd\,\ mmmm\ dd\,\ yyyy"/>
    <numFmt numFmtId="166" formatCode="_(* #,##0_);_(* \(#,##0\);_(* &quot;-&quot;??_);_(@_)"/>
  </numFmts>
  <fonts count="16" x14ac:knownFonts="1">
    <font>
      <sz val="11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0"/>
      <name val="Calibri"/>
      <family val="2"/>
      <scheme val="minor"/>
    </font>
    <font>
      <sz val="11"/>
      <color indexed="8"/>
      <name val="Calibri"/>
      <family val="2"/>
    </font>
    <font>
      <b/>
      <sz val="8"/>
      <name val="Calibri"/>
      <family val="2"/>
      <scheme val="minor"/>
    </font>
    <font>
      <sz val="10"/>
      <name val="Arial"/>
      <family val="2"/>
    </font>
    <font>
      <b/>
      <sz val="11"/>
      <name val="Calibri"/>
      <family val="2"/>
      <scheme val="minor"/>
    </font>
    <font>
      <b/>
      <sz val="12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b/>
      <sz val="9"/>
      <name val="Calibri"/>
      <family val="2"/>
      <scheme val="minor"/>
    </font>
    <font>
      <b/>
      <sz val="14"/>
      <name val="Calibri"/>
      <family val="2"/>
      <scheme val="minor"/>
    </font>
    <font>
      <sz val="14"/>
      <name val="Calibri"/>
      <family val="2"/>
      <scheme val="minor"/>
    </font>
    <font>
      <sz val="12"/>
      <name val="Calibri"/>
      <family val="2"/>
      <scheme val="minor"/>
    </font>
    <font>
      <b/>
      <sz val="9"/>
      <color rgb="FFFF0000"/>
      <name val="Calibri"/>
      <family val="2"/>
      <scheme val="minor"/>
    </font>
    <font>
      <b/>
      <sz val="12"/>
      <color rgb="FFFF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65">
    <border>
      <left/>
      <right/>
      <top/>
      <bottom/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rgb="FFFF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rgb="FFFF0000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rgb="FFFF0000"/>
      </bottom>
      <diagonal/>
    </border>
    <border>
      <left style="thin">
        <color auto="1"/>
      </left>
      <right style="thin">
        <color auto="1"/>
      </right>
      <top/>
      <bottom style="medium">
        <color rgb="FFFF0000"/>
      </bottom>
      <diagonal/>
    </border>
    <border>
      <left style="thin">
        <color auto="1"/>
      </left>
      <right style="medium">
        <color auto="1"/>
      </right>
      <top/>
      <bottom style="medium">
        <color rgb="FFFF0000"/>
      </bottom>
      <diagonal/>
    </border>
    <border>
      <left style="medium">
        <color auto="1"/>
      </left>
      <right style="thin">
        <color auto="1"/>
      </right>
      <top style="medium">
        <color rgb="FFFF0000"/>
      </top>
      <bottom style="medium">
        <color rgb="FFFF0000"/>
      </bottom>
      <diagonal/>
    </border>
    <border>
      <left style="thin">
        <color auto="1"/>
      </left>
      <right style="thin">
        <color auto="1"/>
      </right>
      <top style="medium">
        <color rgb="FFFF0000"/>
      </top>
      <bottom style="medium">
        <color rgb="FFFF0000"/>
      </bottom>
      <diagonal/>
    </border>
    <border>
      <left style="thin">
        <color auto="1"/>
      </left>
      <right style="medium">
        <color auto="1"/>
      </right>
      <top style="medium">
        <color rgb="FFFF0000"/>
      </top>
      <bottom style="medium">
        <color rgb="FFFF0000"/>
      </bottom>
      <diagonal/>
    </border>
    <border>
      <left/>
      <right/>
      <top/>
      <bottom style="medium">
        <color rgb="FFFF0000"/>
      </bottom>
      <diagonal/>
    </border>
    <border>
      <left style="medium">
        <color auto="1"/>
      </left>
      <right style="thin">
        <color auto="1"/>
      </right>
      <top/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/>
      <bottom style="medium">
        <color rgb="FFFF0000"/>
      </bottom>
      <diagonal/>
    </border>
    <border>
      <left/>
      <right/>
      <top style="medium">
        <color rgb="FFFF0000"/>
      </top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 style="medium">
        <color rgb="FFFF0000"/>
      </top>
      <bottom style="medium">
        <color rgb="FFFF0000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indexed="64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rgb="FFFF0000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medium">
        <color rgb="FFFF0000"/>
      </top>
      <bottom style="medium">
        <color rgb="FFFF0000"/>
      </bottom>
      <diagonal/>
    </border>
    <border>
      <left style="thin">
        <color auto="1"/>
      </left>
      <right/>
      <top/>
      <bottom style="medium">
        <color rgb="FFFF0000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medium">
        <color rgb="FFFF0000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medium">
        <color rgb="FFFF0000"/>
      </top>
      <bottom style="medium">
        <color rgb="FFFF0000"/>
      </bottom>
      <diagonal/>
    </border>
    <border>
      <left/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medium">
        <color rgb="FFFF0000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rgb="FFFF0000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 style="thin">
        <color indexed="64"/>
      </bottom>
      <diagonal/>
    </border>
  </borders>
  <cellStyleXfs count="4">
    <xf numFmtId="0" fontId="0" fillId="0" borderId="0"/>
    <xf numFmtId="164" fontId="3" fillId="0" borderId="0" applyFont="0" applyFill="0" applyBorder="0" applyAlignment="0" applyProtection="0"/>
    <xf numFmtId="0" fontId="5" fillId="0" borderId="0"/>
    <xf numFmtId="164" fontId="5" fillId="0" borderId="0" applyFont="0" applyFill="0" applyBorder="0" applyAlignment="0" applyProtection="0"/>
  </cellStyleXfs>
  <cellXfs count="123">
    <xf numFmtId="0" fontId="0" fillId="0" borderId="0" xfId="0"/>
    <xf numFmtId="166" fontId="2" fillId="0" borderId="6" xfId="3" applyNumberFormat="1" applyFont="1" applyFill="1" applyBorder="1" applyAlignment="1">
      <alignment vertical="center"/>
    </xf>
    <xf numFmtId="166" fontId="7" fillId="0" borderId="20" xfId="2" applyNumberFormat="1" applyFont="1" applyFill="1" applyBorder="1" applyAlignment="1">
      <alignment vertical="center"/>
    </xf>
    <xf numFmtId="166" fontId="2" fillId="0" borderId="23" xfId="3" applyNumberFormat="1" applyFont="1" applyFill="1" applyBorder="1" applyAlignment="1">
      <alignment vertical="center"/>
    </xf>
    <xf numFmtId="166" fontId="7" fillId="0" borderId="24" xfId="2" applyNumberFormat="1" applyFont="1" applyFill="1" applyBorder="1" applyAlignment="1">
      <alignment vertical="center"/>
    </xf>
    <xf numFmtId="166" fontId="7" fillId="0" borderId="19" xfId="2" applyNumberFormat="1" applyFont="1" applyFill="1" applyBorder="1" applyAlignment="1">
      <alignment vertical="center"/>
    </xf>
    <xf numFmtId="166" fontId="7" fillId="0" borderId="21" xfId="2" applyNumberFormat="1" applyFont="1" applyFill="1" applyBorder="1" applyAlignment="1">
      <alignment vertical="center"/>
    </xf>
    <xf numFmtId="166" fontId="2" fillId="0" borderId="25" xfId="3" applyNumberFormat="1" applyFont="1" applyFill="1" applyBorder="1" applyAlignment="1">
      <alignment vertical="center"/>
    </xf>
    <xf numFmtId="166" fontId="2" fillId="0" borderId="7" xfId="3" applyNumberFormat="1" applyFont="1" applyFill="1" applyBorder="1" applyAlignment="1">
      <alignment vertical="center"/>
    </xf>
    <xf numFmtId="0" fontId="2" fillId="0" borderId="0" xfId="2" applyFont="1" applyFill="1" applyAlignment="1">
      <alignment vertical="center"/>
    </xf>
    <xf numFmtId="0" fontId="7" fillId="0" borderId="0" xfId="2" applyFont="1" applyFill="1" applyAlignment="1">
      <alignment horizontal="center" vertical="center"/>
    </xf>
    <xf numFmtId="165" fontId="7" fillId="0" borderId="0" xfId="2" applyNumberFormat="1" applyFont="1" applyFill="1" applyAlignment="1">
      <alignment horizontal="center" vertical="center"/>
    </xf>
    <xf numFmtId="165" fontId="1" fillId="0" borderId="0" xfId="2" applyNumberFormat="1" applyFont="1" applyFill="1" applyAlignment="1">
      <alignment vertical="center"/>
    </xf>
    <xf numFmtId="0" fontId="1" fillId="0" borderId="0" xfId="2" applyFont="1" applyFill="1" applyAlignment="1">
      <alignment vertical="center"/>
    </xf>
    <xf numFmtId="166" fontId="8" fillId="0" borderId="0" xfId="2" applyNumberFormat="1" applyFont="1" applyFill="1" applyAlignment="1">
      <alignment vertical="center"/>
    </xf>
    <xf numFmtId="0" fontId="7" fillId="0" borderId="0" xfId="2" applyFont="1" applyFill="1" applyAlignment="1">
      <alignment vertical="center"/>
    </xf>
    <xf numFmtId="166" fontId="2" fillId="0" borderId="3" xfId="3" applyNumberFormat="1" applyFont="1" applyFill="1" applyBorder="1" applyAlignment="1">
      <alignment vertical="center"/>
    </xf>
    <xf numFmtId="166" fontId="2" fillId="0" borderId="2" xfId="3" applyNumberFormat="1" applyFont="1" applyFill="1" applyBorder="1" applyAlignment="1">
      <alignment vertical="center"/>
    </xf>
    <xf numFmtId="166" fontId="2" fillId="0" borderId="11" xfId="3" applyNumberFormat="1" applyFont="1" applyFill="1" applyBorder="1" applyAlignment="1">
      <alignment vertical="center"/>
    </xf>
    <xf numFmtId="166" fontId="2" fillId="0" borderId="13" xfId="3" applyNumberFormat="1" applyFont="1" applyFill="1" applyBorder="1" applyAlignment="1">
      <alignment vertical="center"/>
    </xf>
    <xf numFmtId="166" fontId="2" fillId="0" borderId="14" xfId="3" applyNumberFormat="1" applyFont="1" applyFill="1" applyBorder="1" applyAlignment="1">
      <alignment vertical="center"/>
    </xf>
    <xf numFmtId="166" fontId="2" fillId="0" borderId="15" xfId="3" applyNumberFormat="1" applyFont="1" applyFill="1" applyBorder="1" applyAlignment="1">
      <alignment vertical="center"/>
    </xf>
    <xf numFmtId="166" fontId="2" fillId="0" borderId="20" xfId="3" applyNumberFormat="1" applyFont="1" applyFill="1" applyBorder="1" applyAlignment="1">
      <alignment vertical="center"/>
    </xf>
    <xf numFmtId="166" fontId="2" fillId="0" borderId="21" xfId="3" applyNumberFormat="1" applyFont="1" applyFill="1" applyBorder="1" applyAlignment="1">
      <alignment vertical="center"/>
    </xf>
    <xf numFmtId="0" fontId="6" fillId="0" borderId="3" xfId="2" applyFont="1" applyFill="1" applyBorder="1" applyAlignment="1">
      <alignment horizontal="center" vertical="center"/>
    </xf>
    <xf numFmtId="0" fontId="11" fillId="0" borderId="16" xfId="2" applyFont="1" applyFill="1" applyBorder="1" applyAlignment="1">
      <alignment vertical="center"/>
    </xf>
    <xf numFmtId="0" fontId="11" fillId="0" borderId="5" xfId="2" applyFont="1" applyFill="1" applyBorder="1" applyAlignment="1">
      <alignment vertical="center"/>
    </xf>
    <xf numFmtId="0" fontId="11" fillId="0" borderId="0" xfId="2" applyFont="1" applyFill="1" applyAlignment="1">
      <alignment vertical="center"/>
    </xf>
    <xf numFmtId="0" fontId="12" fillId="0" borderId="0" xfId="2" applyFont="1" applyFill="1" applyAlignment="1">
      <alignment vertical="center"/>
    </xf>
    <xf numFmtId="0" fontId="11" fillId="0" borderId="19" xfId="2" applyFont="1" applyFill="1" applyBorder="1" applyAlignment="1">
      <alignment vertical="center" wrapText="1"/>
    </xf>
    <xf numFmtId="0" fontId="11" fillId="0" borderId="1" xfId="2" applyFont="1" applyFill="1" applyBorder="1" applyAlignment="1">
      <alignment vertical="center"/>
    </xf>
    <xf numFmtId="0" fontId="11" fillId="0" borderId="12" xfId="2" applyFont="1" applyFill="1" applyBorder="1" applyAlignment="1">
      <alignment vertical="center"/>
    </xf>
    <xf numFmtId="0" fontId="12" fillId="0" borderId="5" xfId="2" applyFont="1" applyFill="1" applyBorder="1" applyAlignment="1">
      <alignment vertical="center"/>
    </xf>
    <xf numFmtId="0" fontId="12" fillId="0" borderId="19" xfId="2" applyFont="1" applyFill="1" applyBorder="1" applyAlignment="1">
      <alignment vertical="center"/>
    </xf>
    <xf numFmtId="0" fontId="7" fillId="0" borderId="26" xfId="2" applyFont="1" applyFill="1" applyBorder="1" applyAlignment="1">
      <alignment horizontal="center" vertical="center"/>
    </xf>
    <xf numFmtId="0" fontId="7" fillId="0" borderId="27" xfId="2" applyFont="1" applyFill="1" applyBorder="1" applyAlignment="1">
      <alignment horizontal="center" vertical="center"/>
    </xf>
    <xf numFmtId="0" fontId="7" fillId="0" borderId="28" xfId="2" applyFont="1" applyFill="1" applyBorder="1" applyAlignment="1">
      <alignment horizontal="center" vertical="center"/>
    </xf>
    <xf numFmtId="0" fontId="7" fillId="0" borderId="5" xfId="2" applyFont="1" applyFill="1" applyBorder="1" applyAlignment="1">
      <alignment horizontal="center" vertical="center"/>
    </xf>
    <xf numFmtId="0" fontId="7" fillId="0" borderId="15" xfId="2" applyFont="1" applyFill="1" applyBorder="1" applyAlignment="1">
      <alignment horizontal="center" vertical="center"/>
    </xf>
    <xf numFmtId="0" fontId="10" fillId="0" borderId="29" xfId="2" applyFont="1" applyFill="1" applyBorder="1" applyAlignment="1">
      <alignment horizontal="center" vertical="center"/>
    </xf>
    <xf numFmtId="0" fontId="7" fillId="0" borderId="6" xfId="2" applyFont="1" applyFill="1" applyBorder="1" applyAlignment="1">
      <alignment horizontal="center" vertical="center"/>
    </xf>
    <xf numFmtId="0" fontId="7" fillId="0" borderId="12" xfId="2" applyFont="1" applyFill="1" applyBorder="1" applyAlignment="1">
      <alignment horizontal="center" vertical="center"/>
    </xf>
    <xf numFmtId="0" fontId="11" fillId="0" borderId="30" xfId="2" applyFont="1" applyFill="1" applyBorder="1" applyAlignment="1">
      <alignment vertical="center"/>
    </xf>
    <xf numFmtId="0" fontId="11" fillId="0" borderId="35" xfId="2" applyFont="1" applyFill="1" applyBorder="1" applyAlignment="1">
      <alignment vertical="center"/>
    </xf>
    <xf numFmtId="166" fontId="2" fillId="0" borderId="45" xfId="3" applyNumberFormat="1" applyFont="1" applyFill="1" applyBorder="1" applyAlignment="1">
      <alignment vertical="center"/>
    </xf>
    <xf numFmtId="166" fontId="2" fillId="0" borderId="44" xfId="3" applyNumberFormat="1" applyFont="1" applyFill="1" applyBorder="1" applyAlignment="1">
      <alignment vertical="center"/>
    </xf>
    <xf numFmtId="166" fontId="2" fillId="0" borderId="43" xfId="3" applyNumberFormat="1" applyFont="1" applyFill="1" applyBorder="1" applyAlignment="1">
      <alignment vertical="center"/>
    </xf>
    <xf numFmtId="166" fontId="2" fillId="0" borderId="22" xfId="3" applyNumberFormat="1" applyFont="1" applyFill="1" applyBorder="1" applyAlignment="1">
      <alignment vertical="center"/>
    </xf>
    <xf numFmtId="0" fontId="7" fillId="0" borderId="50" xfId="2" applyFont="1" applyFill="1" applyBorder="1" applyAlignment="1">
      <alignment horizontal="center" vertical="center"/>
    </xf>
    <xf numFmtId="0" fontId="7" fillId="0" borderId="51" xfId="2" applyFont="1" applyFill="1" applyBorder="1" applyAlignment="1">
      <alignment horizontal="center" vertical="center"/>
    </xf>
    <xf numFmtId="166" fontId="2" fillId="0" borderId="0" xfId="2" applyNumberFormat="1" applyFont="1" applyFill="1" applyAlignment="1">
      <alignment vertical="center"/>
    </xf>
    <xf numFmtId="0" fontId="11" fillId="0" borderId="59" xfId="2" applyFont="1" applyFill="1" applyBorder="1" applyAlignment="1">
      <alignment vertical="center"/>
    </xf>
    <xf numFmtId="0" fontId="7" fillId="0" borderId="45" xfId="2" applyFont="1" applyFill="1" applyBorder="1" applyAlignment="1">
      <alignment horizontal="center" vertical="center"/>
    </xf>
    <xf numFmtId="166" fontId="13" fillId="0" borderId="6" xfId="3" applyNumberFormat="1" applyFont="1" applyFill="1" applyBorder="1" applyAlignment="1">
      <alignment vertical="center"/>
    </xf>
    <xf numFmtId="166" fontId="13" fillId="0" borderId="45" xfId="3" applyNumberFormat="1" applyFont="1" applyFill="1" applyBorder="1" applyAlignment="1">
      <alignment vertical="center"/>
    </xf>
    <xf numFmtId="166" fontId="13" fillId="0" borderId="15" xfId="3" applyNumberFormat="1" applyFont="1" applyFill="1" applyBorder="1" applyAlignment="1">
      <alignment vertical="center"/>
    </xf>
    <xf numFmtId="0" fontId="13" fillId="0" borderId="0" xfId="2" applyFont="1" applyFill="1" applyAlignment="1">
      <alignment vertical="center"/>
    </xf>
    <xf numFmtId="166" fontId="13" fillId="0" borderId="5" xfId="3" applyNumberFormat="1" applyFont="1" applyFill="1" applyBorder="1" applyAlignment="1">
      <alignment vertical="center"/>
    </xf>
    <xf numFmtId="166" fontId="13" fillId="0" borderId="51" xfId="3" applyNumberFormat="1" applyFont="1" applyFill="1" applyBorder="1" applyAlignment="1">
      <alignment vertical="center"/>
    </xf>
    <xf numFmtId="166" fontId="13" fillId="0" borderId="29" xfId="3" applyNumberFormat="1" applyFont="1" applyFill="1" applyBorder="1" applyAlignment="1">
      <alignment vertical="center"/>
    </xf>
    <xf numFmtId="166" fontId="13" fillId="0" borderId="31" xfId="3" applyNumberFormat="1" applyFont="1" applyFill="1" applyBorder="1" applyAlignment="1">
      <alignment vertical="center"/>
    </xf>
    <xf numFmtId="166" fontId="13" fillId="0" borderId="46" xfId="3" applyNumberFormat="1" applyFont="1" applyFill="1" applyBorder="1" applyAlignment="1">
      <alignment vertical="center"/>
    </xf>
    <xf numFmtId="166" fontId="13" fillId="0" borderId="32" xfId="3" applyNumberFormat="1" applyFont="1" applyFill="1" applyBorder="1" applyAlignment="1">
      <alignment vertical="center"/>
    </xf>
    <xf numFmtId="0" fontId="13" fillId="0" borderId="38" xfId="2" applyFont="1" applyFill="1" applyBorder="1" applyAlignment="1">
      <alignment vertical="center"/>
    </xf>
    <xf numFmtId="166" fontId="13" fillId="0" borderId="39" xfId="3" applyNumberFormat="1" applyFont="1" applyFill="1" applyBorder="1" applyAlignment="1">
      <alignment vertical="center"/>
    </xf>
    <xf numFmtId="166" fontId="13" fillId="0" borderId="52" xfId="3" applyNumberFormat="1" applyFont="1" applyFill="1" applyBorder="1" applyAlignment="1">
      <alignment vertical="center"/>
    </xf>
    <xf numFmtId="166" fontId="13" fillId="0" borderId="33" xfId="3" applyNumberFormat="1" applyFont="1" applyFill="1" applyBorder="1" applyAlignment="1">
      <alignment vertical="center"/>
    </xf>
    <xf numFmtId="166" fontId="13" fillId="0" borderId="49" xfId="3" applyNumberFormat="1" applyFont="1" applyFill="1" applyBorder="1" applyAlignment="1">
      <alignment vertical="center"/>
    </xf>
    <xf numFmtId="166" fontId="13" fillId="0" borderId="34" xfId="3" applyNumberFormat="1" applyFont="1" applyFill="1" applyBorder="1" applyAlignment="1">
      <alignment vertical="center"/>
    </xf>
    <xf numFmtId="166" fontId="13" fillId="0" borderId="58" xfId="3" applyNumberFormat="1" applyFont="1" applyFill="1" applyBorder="1" applyAlignment="1">
      <alignment vertical="center"/>
    </xf>
    <xf numFmtId="166" fontId="13" fillId="0" borderId="57" xfId="3" applyNumberFormat="1" applyFont="1" applyFill="1" applyBorder="1" applyAlignment="1">
      <alignment vertical="center"/>
    </xf>
    <xf numFmtId="166" fontId="13" fillId="0" borderId="17" xfId="3" applyNumberFormat="1" applyFont="1" applyFill="1" applyBorder="1" applyAlignment="1">
      <alignment vertical="center"/>
    </xf>
    <xf numFmtId="166" fontId="13" fillId="0" borderId="47" xfId="3" applyNumberFormat="1" applyFont="1" applyFill="1" applyBorder="1" applyAlignment="1">
      <alignment vertical="center"/>
    </xf>
    <xf numFmtId="166" fontId="13" fillId="0" borderId="18" xfId="3" applyNumberFormat="1" applyFont="1" applyFill="1" applyBorder="1" applyAlignment="1">
      <alignment vertical="center"/>
    </xf>
    <xf numFmtId="166" fontId="13" fillId="0" borderId="16" xfId="3" applyNumberFormat="1" applyFont="1" applyFill="1" applyBorder="1" applyAlignment="1">
      <alignment vertical="center"/>
    </xf>
    <xf numFmtId="166" fontId="13" fillId="0" borderId="53" xfId="3" applyNumberFormat="1" applyFont="1" applyFill="1" applyBorder="1" applyAlignment="1">
      <alignment vertical="center"/>
    </xf>
    <xf numFmtId="166" fontId="13" fillId="0" borderId="23" xfId="3" applyNumberFormat="1" applyFont="1" applyFill="1" applyBorder="1" applyAlignment="1">
      <alignment vertical="center"/>
    </xf>
    <xf numFmtId="166" fontId="13" fillId="0" borderId="56" xfId="3" applyNumberFormat="1" applyFont="1" applyFill="1" applyBorder="1" applyAlignment="1">
      <alignment vertical="center"/>
    </xf>
    <xf numFmtId="166" fontId="13" fillId="0" borderId="40" xfId="3" applyNumberFormat="1" applyFont="1" applyFill="1" applyBorder="1" applyAlignment="1">
      <alignment vertical="center"/>
    </xf>
    <xf numFmtId="166" fontId="13" fillId="0" borderId="60" xfId="3" applyNumberFormat="1" applyFont="1" applyFill="1" applyBorder="1" applyAlignment="1">
      <alignment vertical="center"/>
    </xf>
    <xf numFmtId="166" fontId="13" fillId="0" borderId="61" xfId="3" applyNumberFormat="1" applyFont="1" applyFill="1" applyBorder="1" applyAlignment="1">
      <alignment vertical="center"/>
    </xf>
    <xf numFmtId="166" fontId="13" fillId="0" borderId="62" xfId="3" applyNumberFormat="1" applyFont="1" applyFill="1" applyBorder="1" applyAlignment="1">
      <alignment vertical="center"/>
    </xf>
    <xf numFmtId="166" fontId="13" fillId="0" borderId="59" xfId="3" applyNumberFormat="1" applyFont="1" applyFill="1" applyBorder="1" applyAlignment="1">
      <alignment vertical="center"/>
    </xf>
    <xf numFmtId="166" fontId="13" fillId="0" borderId="63" xfId="3" applyNumberFormat="1" applyFont="1" applyFill="1" applyBorder="1" applyAlignment="1">
      <alignment vertical="center"/>
    </xf>
    <xf numFmtId="166" fontId="13" fillId="0" borderId="8" xfId="3" applyNumberFormat="1" applyFont="1" applyFill="1" applyBorder="1" applyAlignment="1">
      <alignment vertical="center"/>
    </xf>
    <xf numFmtId="166" fontId="13" fillId="0" borderId="36" xfId="3" applyNumberFormat="1" applyFont="1" applyFill="1" applyBorder="1" applyAlignment="1">
      <alignment vertical="center"/>
    </xf>
    <xf numFmtId="166" fontId="13" fillId="0" borderId="48" xfId="3" applyNumberFormat="1" applyFont="1" applyFill="1" applyBorder="1" applyAlignment="1">
      <alignment vertical="center"/>
    </xf>
    <xf numFmtId="166" fontId="13" fillId="0" borderId="37" xfId="3" applyNumberFormat="1" applyFont="1" applyFill="1" applyBorder="1" applyAlignment="1">
      <alignment vertical="center"/>
    </xf>
    <xf numFmtId="0" fontId="13" fillId="0" borderId="41" xfId="2" applyFont="1" applyFill="1" applyBorder="1" applyAlignment="1">
      <alignment vertical="center"/>
    </xf>
    <xf numFmtId="166" fontId="13" fillId="0" borderId="35" xfId="3" applyNumberFormat="1" applyFont="1" applyFill="1" applyBorder="1" applyAlignment="1">
      <alignment vertical="center"/>
    </xf>
    <xf numFmtId="166" fontId="13" fillId="0" borderId="54" xfId="3" applyNumberFormat="1" applyFont="1" applyFill="1" applyBorder="1" applyAlignment="1">
      <alignment vertical="center"/>
    </xf>
    <xf numFmtId="166" fontId="13" fillId="0" borderId="42" xfId="3" applyNumberFormat="1" applyFont="1" applyFill="1" applyBorder="1" applyAlignment="1">
      <alignment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45" xfId="2" applyFont="1" applyFill="1" applyBorder="1" applyAlignment="1">
      <alignment horizontal="center" vertical="center"/>
    </xf>
    <xf numFmtId="166" fontId="7" fillId="2" borderId="24" xfId="2" applyNumberFormat="1" applyFont="1" applyFill="1" applyBorder="1" applyAlignment="1">
      <alignment vertical="center"/>
    </xf>
    <xf numFmtId="0" fontId="11" fillId="0" borderId="0" xfId="2" applyFont="1" applyFill="1" applyBorder="1" applyAlignment="1">
      <alignment vertical="center" wrapText="1"/>
    </xf>
    <xf numFmtId="166" fontId="7" fillId="0" borderId="0" xfId="2" applyNumberFormat="1" applyFont="1" applyFill="1" applyBorder="1" applyAlignment="1">
      <alignment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45" xfId="2" applyFont="1" applyFill="1" applyBorder="1" applyAlignment="1">
      <alignment horizontal="center" vertical="center"/>
    </xf>
    <xf numFmtId="0" fontId="15" fillId="0" borderId="6" xfId="2" applyFont="1" applyFill="1" applyBorder="1" applyAlignment="1">
      <alignment horizontal="center" vertical="center"/>
    </xf>
    <xf numFmtId="0" fontId="15" fillId="0" borderId="50" xfId="2" applyFont="1" applyFill="1" applyBorder="1" applyAlignment="1">
      <alignment horizontal="center" vertical="center"/>
    </xf>
    <xf numFmtId="0" fontId="13" fillId="0" borderId="64" xfId="2" applyFont="1" applyFill="1" applyBorder="1" applyAlignment="1">
      <alignment vertical="center"/>
    </xf>
    <xf numFmtId="0" fontId="7" fillId="0" borderId="9" xfId="2" applyFont="1" applyFill="1" applyBorder="1" applyAlignment="1">
      <alignment horizontal="center" vertical="center" wrapText="1"/>
    </xf>
    <xf numFmtId="0" fontId="7" fillId="0" borderId="23" xfId="2" applyFont="1" applyFill="1" applyBorder="1" applyAlignment="1">
      <alignment horizontal="center" vertical="center" wrapText="1"/>
    </xf>
    <xf numFmtId="0" fontId="15" fillId="0" borderId="45" xfId="2" applyFont="1" applyFill="1" applyBorder="1" applyAlignment="1">
      <alignment horizontal="center" vertical="center"/>
    </xf>
    <xf numFmtId="0" fontId="15" fillId="0" borderId="55" xfId="2" applyFont="1" applyFill="1" applyBorder="1" applyAlignment="1">
      <alignment horizontal="center" vertical="center"/>
    </xf>
    <xf numFmtId="0" fontId="7" fillId="0" borderId="22" xfId="2" applyFont="1" applyFill="1" applyBorder="1" applyAlignment="1">
      <alignment horizontal="center" vertical="center"/>
    </xf>
    <xf numFmtId="0" fontId="7" fillId="0" borderId="10" xfId="2" applyFont="1" applyFill="1" applyBorder="1" applyAlignment="1">
      <alignment horizontal="center" vertical="center"/>
    </xf>
    <xf numFmtId="0" fontId="7" fillId="0" borderId="4" xfId="2" applyFont="1" applyFill="1" applyBorder="1" applyAlignment="1">
      <alignment horizontal="center" vertical="center"/>
    </xf>
    <xf numFmtId="0" fontId="9" fillId="0" borderId="0" xfId="2" applyFont="1" applyFill="1" applyAlignment="1">
      <alignment horizontal="right" vertical="center"/>
    </xf>
    <xf numFmtId="0" fontId="7" fillId="0" borderId="13" xfId="2" applyFont="1" applyFill="1" applyBorder="1" applyAlignment="1">
      <alignment horizontal="center" vertical="center"/>
    </xf>
    <xf numFmtId="0" fontId="7" fillId="0" borderId="44" xfId="2" applyFont="1" applyFill="1" applyBorder="1" applyAlignment="1">
      <alignment horizontal="center" vertical="center"/>
    </xf>
    <xf numFmtId="0" fontId="7" fillId="0" borderId="14" xfId="2" applyFont="1" applyFill="1" applyBorder="1" applyAlignment="1">
      <alignment horizontal="center" vertical="center"/>
    </xf>
    <xf numFmtId="0" fontId="4" fillId="0" borderId="9" xfId="2" applyFont="1" applyFill="1" applyBorder="1" applyAlignment="1">
      <alignment horizontal="center" vertical="center" wrapText="1"/>
    </xf>
    <xf numFmtId="0" fontId="4" fillId="0" borderId="23" xfId="2" applyFont="1" applyFill="1" applyBorder="1" applyAlignment="1">
      <alignment horizontal="center" vertical="center" wrapText="1"/>
    </xf>
    <xf numFmtId="0" fontId="14" fillId="0" borderId="9" xfId="2" applyFont="1" applyFill="1" applyBorder="1" applyAlignment="1">
      <alignment horizontal="center" vertical="center" wrapText="1"/>
    </xf>
    <xf numFmtId="0" fontId="14" fillId="0" borderId="23" xfId="2" applyFont="1" applyFill="1" applyBorder="1" applyAlignment="1">
      <alignment horizontal="center" vertical="center" wrapText="1"/>
    </xf>
    <xf numFmtId="0" fontId="7" fillId="0" borderId="45" xfId="2" applyFont="1" applyFill="1" applyBorder="1" applyAlignment="1">
      <alignment horizontal="center" vertical="center"/>
    </xf>
    <xf numFmtId="0" fontId="7" fillId="0" borderId="55" xfId="2" applyFont="1" applyFill="1" applyBorder="1" applyAlignment="1">
      <alignment horizontal="center" vertical="center"/>
    </xf>
    <xf numFmtId="0" fontId="10" fillId="0" borderId="9" xfId="2" applyFont="1" applyFill="1" applyBorder="1" applyAlignment="1">
      <alignment horizontal="center" vertical="center" wrapText="1"/>
    </xf>
    <xf numFmtId="0" fontId="10" fillId="0" borderId="23" xfId="2" applyFont="1" applyFill="1" applyBorder="1" applyAlignment="1">
      <alignment horizontal="center" vertical="center" wrapText="1"/>
    </xf>
  </cellXfs>
  <cellStyles count="4">
    <cellStyle name="Comma 2" xfId="1" xr:uid="{7E3C6B93-9232-4BE3-88EC-0E92E18B612E}"/>
    <cellStyle name="Comma 3" xfId="3" xr:uid="{B13EF1CC-7615-4728-8423-930D2E0A2DD0}"/>
    <cellStyle name="Normal" xfId="0" builtinId="0"/>
    <cellStyle name="Normal 2" xfId="2" xr:uid="{673CC06A-9352-4BA0-8197-2C6B88CEA13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AAD0B5-9BBE-4B8F-9457-EBD483EDFB0D}">
  <sheetPr>
    <pageSetUpPr fitToPage="1"/>
  </sheetPr>
  <dimension ref="A1:BB83"/>
  <sheetViews>
    <sheetView zoomScaleNormal="100" zoomScaleSheetLayoutView="115" workbookViewId="0">
      <selection activeCell="K8" sqref="K8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6.710937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1" t="s">
        <v>43</v>
      </c>
      <c r="J1" s="111"/>
      <c r="K1" s="111"/>
      <c r="L1" s="111"/>
      <c r="M1" s="111"/>
      <c r="N1" s="111"/>
      <c r="O1" s="111"/>
      <c r="P1" s="111"/>
      <c r="Q1" s="111"/>
      <c r="R1" s="111"/>
      <c r="S1" s="111"/>
      <c r="T1" s="111"/>
      <c r="U1" s="111"/>
    </row>
    <row r="2" spans="1:54" x14ac:dyDescent="0.25">
      <c r="B2" s="28" t="s">
        <v>70</v>
      </c>
    </row>
    <row r="3" spans="1:54" ht="19.5" thickBot="1" x14ac:dyDescent="0.3"/>
    <row r="4" spans="1:54" s="10" customFormat="1" ht="15.75" x14ac:dyDescent="0.25">
      <c r="B4" s="41" t="s">
        <v>52</v>
      </c>
      <c r="C4" s="112" t="s">
        <v>41</v>
      </c>
      <c r="D4" s="112"/>
      <c r="E4" s="112"/>
      <c r="F4" s="112"/>
      <c r="G4" s="112"/>
      <c r="H4" s="112"/>
      <c r="I4" s="112"/>
      <c r="J4" s="113"/>
      <c r="K4" s="114"/>
      <c r="M4" s="34" t="s">
        <v>0</v>
      </c>
      <c r="N4" s="102" t="s">
        <v>61</v>
      </c>
      <c r="O4" s="35" t="s">
        <v>39</v>
      </c>
      <c r="P4" s="102" t="s">
        <v>61</v>
      </c>
      <c r="Q4" s="36" t="s">
        <v>40</v>
      </c>
      <c r="R4" s="102" t="s">
        <v>61</v>
      </c>
      <c r="S4" s="9"/>
      <c r="T4" s="115" t="s">
        <v>68</v>
      </c>
      <c r="U4" s="117" t="s">
        <v>67</v>
      </c>
      <c r="V4" s="104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101" t="s">
        <v>64</v>
      </c>
      <c r="I5" s="101" t="s">
        <v>60</v>
      </c>
      <c r="J5" s="106" t="s">
        <v>65</v>
      </c>
      <c r="K5" s="107"/>
      <c r="M5" s="37"/>
      <c r="N5" s="49"/>
      <c r="O5" s="40"/>
      <c r="P5" s="93"/>
      <c r="Q5" s="93"/>
      <c r="R5" s="38"/>
      <c r="S5" s="9"/>
      <c r="T5" s="116"/>
      <c r="U5" s="118"/>
      <c r="V5" s="105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93"/>
      <c r="K6" s="38"/>
      <c r="M6" s="37"/>
      <c r="N6" s="49"/>
      <c r="O6" s="40"/>
      <c r="P6" s="93"/>
      <c r="Q6" s="93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3"/>
      <c r="D7" s="53"/>
      <c r="E7" s="53"/>
      <c r="F7" s="53"/>
      <c r="G7" s="53"/>
      <c r="H7" s="53"/>
      <c r="I7" s="53"/>
      <c r="J7" s="54"/>
      <c r="K7" s="55"/>
      <c r="L7" s="56"/>
      <c r="M7" s="57"/>
      <c r="N7" s="58"/>
      <c r="O7" s="53"/>
      <c r="P7" s="54"/>
      <c r="Q7" s="54"/>
      <c r="R7" s="55"/>
      <c r="S7" s="56"/>
      <c r="T7" s="59">
        <f>H7+I7+J7+K7+N7+P7+R7</f>
        <v>0</v>
      </c>
      <c r="U7" s="59">
        <f>C7*24+M7*24+O7*24+Q7*24+T7</f>
        <v>0</v>
      </c>
      <c r="V7" s="59">
        <f>U7/24</f>
        <v>0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60"/>
      <c r="D8" s="60"/>
      <c r="E8" s="60"/>
      <c r="F8" s="60"/>
      <c r="G8" s="60"/>
      <c r="H8" s="60"/>
      <c r="I8" s="60"/>
      <c r="J8" s="61"/>
      <c r="K8" s="62"/>
      <c r="L8" s="63"/>
      <c r="M8" s="64"/>
      <c r="N8" s="65"/>
      <c r="O8" s="66"/>
      <c r="P8" s="67"/>
      <c r="Q8" s="67"/>
      <c r="R8" s="68"/>
      <c r="S8" s="63"/>
      <c r="T8" s="69">
        <f t="shared" ref="T8:T41" si="0">H8+I8+J8+K8+N8+P8+R8</f>
        <v>0</v>
      </c>
      <c r="U8" s="70">
        <f>C8*24+M8*24+O8*24+Q8*24+T8</f>
        <v>0</v>
      </c>
      <c r="V8" s="70">
        <f>U8/24</f>
        <v>0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1"/>
      <c r="D9" s="71"/>
      <c r="E9" s="71"/>
      <c r="F9" s="71"/>
      <c r="G9" s="71"/>
      <c r="H9" s="71"/>
      <c r="I9" s="71"/>
      <c r="J9" s="72"/>
      <c r="K9" s="73"/>
      <c r="L9" s="56"/>
      <c r="M9" s="74"/>
      <c r="N9" s="75"/>
      <c r="O9" s="71"/>
      <c r="P9" s="72"/>
      <c r="Q9" s="72"/>
      <c r="R9" s="73"/>
      <c r="S9" s="56"/>
      <c r="T9" s="76">
        <f t="shared" si="0"/>
        <v>0</v>
      </c>
      <c r="U9" s="77">
        <f t="shared" ref="U9:U11" si="2">C9*24+M9*24+O9*24+Q9*24+T9</f>
        <v>0</v>
      </c>
      <c r="V9" s="77">
        <f t="shared" ref="V9:V11" si="3">U9/24</f>
        <v>0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1"/>
      <c r="D10" s="71"/>
      <c r="E10" s="71"/>
      <c r="F10" s="71"/>
      <c r="G10" s="71"/>
      <c r="H10" s="71"/>
      <c r="I10" s="71"/>
      <c r="J10" s="72"/>
      <c r="K10" s="73"/>
      <c r="L10" s="56"/>
      <c r="M10" s="74"/>
      <c r="N10" s="75"/>
      <c r="O10" s="71"/>
      <c r="P10" s="72"/>
      <c r="Q10" s="72"/>
      <c r="R10" s="73"/>
      <c r="S10" s="56"/>
      <c r="T10" s="59">
        <f t="shared" si="0"/>
        <v>0</v>
      </c>
      <c r="U10" s="59">
        <f t="shared" si="2"/>
        <v>0</v>
      </c>
      <c r="V10" s="59">
        <f t="shared" si="3"/>
        <v>0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1"/>
      <c r="D11" s="71"/>
      <c r="E11" s="71"/>
      <c r="F11" s="71"/>
      <c r="G11" s="71"/>
      <c r="H11" s="71"/>
      <c r="I11" s="71"/>
      <c r="J11" s="72"/>
      <c r="K11" s="73"/>
      <c r="L11" s="56"/>
      <c r="M11" s="74"/>
      <c r="N11" s="75"/>
      <c r="O11" s="71"/>
      <c r="P11" s="72"/>
      <c r="Q11" s="72"/>
      <c r="R11" s="73"/>
      <c r="S11" s="56"/>
      <c r="T11" s="59">
        <f t="shared" si="0"/>
        <v>0</v>
      </c>
      <c r="U11" s="59">
        <f t="shared" si="2"/>
        <v>0</v>
      </c>
      <c r="V11" s="59">
        <f t="shared" si="3"/>
        <v>0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60"/>
      <c r="D12" s="60"/>
      <c r="E12" s="60"/>
      <c r="F12" s="60"/>
      <c r="G12" s="60"/>
      <c r="H12" s="60"/>
      <c r="I12" s="60"/>
      <c r="J12" s="61"/>
      <c r="K12" s="62"/>
      <c r="L12" s="63"/>
      <c r="M12" s="64"/>
      <c r="N12" s="65"/>
      <c r="O12" s="66"/>
      <c r="P12" s="67"/>
      <c r="Q12" s="67"/>
      <c r="R12" s="68"/>
      <c r="S12" s="63"/>
      <c r="T12" s="59">
        <f t="shared" si="0"/>
        <v>0</v>
      </c>
      <c r="U12" s="70">
        <f>C12*24+M12*24+O12*24+Q12*24+T12</f>
        <v>0</v>
      </c>
      <c r="V12" s="70">
        <f>U12/24</f>
        <v>0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1"/>
      <c r="D13" s="71"/>
      <c r="E13" s="71"/>
      <c r="F13" s="71"/>
      <c r="G13" s="71"/>
      <c r="H13" s="71"/>
      <c r="I13" s="71"/>
      <c r="J13" s="72"/>
      <c r="K13" s="73"/>
      <c r="L13" s="56"/>
      <c r="M13" s="74"/>
      <c r="N13" s="75"/>
      <c r="O13" s="71"/>
      <c r="P13" s="72"/>
      <c r="Q13" s="72"/>
      <c r="R13" s="73"/>
      <c r="S13" s="56"/>
      <c r="T13" s="59">
        <f t="shared" si="0"/>
        <v>0</v>
      </c>
      <c r="U13" s="77">
        <f>C13*24+M13*24+O13*24+Q13*24+T13</f>
        <v>0</v>
      </c>
      <c r="V13" s="77">
        <f>U13/24</f>
        <v>0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1"/>
      <c r="D14" s="71"/>
      <c r="E14" s="71"/>
      <c r="F14" s="71"/>
      <c r="G14" s="71"/>
      <c r="H14" s="71"/>
      <c r="I14" s="71"/>
      <c r="J14" s="72"/>
      <c r="K14" s="73"/>
      <c r="L14" s="56"/>
      <c r="M14" s="74"/>
      <c r="N14" s="75"/>
      <c r="O14" s="71"/>
      <c r="P14" s="72"/>
      <c r="Q14" s="72"/>
      <c r="R14" s="73"/>
      <c r="S14" s="56"/>
      <c r="T14" s="59">
        <f t="shared" si="0"/>
        <v>0</v>
      </c>
      <c r="U14" s="76">
        <f t="shared" ref="U14:U36" si="4">C14*24+M14*24+O14*24+Q14*24+T14</f>
        <v>0</v>
      </c>
      <c r="V14" s="76">
        <f t="shared" ref="V14:V36" si="5">U14/24</f>
        <v>0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1"/>
      <c r="D15" s="71"/>
      <c r="E15" s="71"/>
      <c r="F15" s="71"/>
      <c r="G15" s="71"/>
      <c r="H15" s="71"/>
      <c r="I15" s="71"/>
      <c r="J15" s="72"/>
      <c r="K15" s="73"/>
      <c r="L15" s="56"/>
      <c r="M15" s="74"/>
      <c r="N15" s="75"/>
      <c r="O15" s="71"/>
      <c r="P15" s="72"/>
      <c r="Q15" s="72"/>
      <c r="R15" s="73"/>
      <c r="S15" s="56"/>
      <c r="T15" s="59">
        <f t="shared" si="0"/>
        <v>0</v>
      </c>
      <c r="U15" s="76">
        <f t="shared" si="4"/>
        <v>0</v>
      </c>
      <c r="V15" s="76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1"/>
      <c r="D16" s="71"/>
      <c r="E16" s="71"/>
      <c r="F16" s="71"/>
      <c r="G16" s="71"/>
      <c r="H16" s="71"/>
      <c r="I16" s="71"/>
      <c r="J16" s="72"/>
      <c r="K16" s="73"/>
      <c r="L16" s="56"/>
      <c r="M16" s="74"/>
      <c r="N16" s="75"/>
      <c r="O16" s="71"/>
      <c r="P16" s="72"/>
      <c r="Q16" s="72"/>
      <c r="R16" s="73"/>
      <c r="S16" s="56"/>
      <c r="T16" s="59">
        <f t="shared" si="0"/>
        <v>0</v>
      </c>
      <c r="U16" s="76">
        <f t="shared" si="4"/>
        <v>0</v>
      </c>
      <c r="V16" s="76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1"/>
      <c r="D17" s="71"/>
      <c r="E17" s="71"/>
      <c r="F17" s="71"/>
      <c r="G17" s="71"/>
      <c r="H17" s="71"/>
      <c r="I17" s="71"/>
      <c r="J17" s="72"/>
      <c r="K17" s="73"/>
      <c r="L17" s="56"/>
      <c r="M17" s="74"/>
      <c r="N17" s="75"/>
      <c r="O17" s="71"/>
      <c r="P17" s="72"/>
      <c r="Q17" s="72"/>
      <c r="R17" s="73"/>
      <c r="S17" s="56"/>
      <c r="T17" s="59">
        <f t="shared" si="0"/>
        <v>0</v>
      </c>
      <c r="U17" s="76">
        <f t="shared" si="4"/>
        <v>0</v>
      </c>
      <c r="V17" s="76">
        <f t="shared" si="5"/>
        <v>0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1"/>
      <c r="D18" s="71"/>
      <c r="E18" s="71"/>
      <c r="F18" s="71"/>
      <c r="G18" s="71"/>
      <c r="H18" s="71"/>
      <c r="I18" s="71"/>
      <c r="J18" s="72"/>
      <c r="K18" s="73"/>
      <c r="L18" s="56"/>
      <c r="M18" s="74"/>
      <c r="N18" s="75"/>
      <c r="O18" s="71"/>
      <c r="P18" s="72"/>
      <c r="Q18" s="72"/>
      <c r="R18" s="73"/>
      <c r="S18" s="56"/>
      <c r="T18" s="59">
        <f t="shared" si="0"/>
        <v>0</v>
      </c>
      <c r="U18" s="76">
        <f t="shared" si="4"/>
        <v>0</v>
      </c>
      <c r="V18" s="76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1"/>
      <c r="D19" s="71"/>
      <c r="E19" s="71"/>
      <c r="F19" s="71"/>
      <c r="G19" s="71"/>
      <c r="H19" s="71"/>
      <c r="I19" s="71"/>
      <c r="J19" s="72"/>
      <c r="K19" s="73"/>
      <c r="L19" s="56"/>
      <c r="M19" s="74"/>
      <c r="N19" s="75"/>
      <c r="O19" s="71"/>
      <c r="P19" s="72"/>
      <c r="Q19" s="72"/>
      <c r="R19" s="73"/>
      <c r="S19" s="56"/>
      <c r="T19" s="59">
        <f t="shared" si="0"/>
        <v>0</v>
      </c>
      <c r="U19" s="76">
        <f t="shared" si="4"/>
        <v>0</v>
      </c>
      <c r="V19" s="76">
        <f t="shared" si="5"/>
        <v>0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1"/>
      <c r="D20" s="71"/>
      <c r="E20" s="71"/>
      <c r="F20" s="71"/>
      <c r="G20" s="71"/>
      <c r="H20" s="71"/>
      <c r="I20" s="71"/>
      <c r="J20" s="72"/>
      <c r="K20" s="73"/>
      <c r="L20" s="56"/>
      <c r="M20" s="74"/>
      <c r="N20" s="75"/>
      <c r="O20" s="71"/>
      <c r="P20" s="72"/>
      <c r="Q20" s="72"/>
      <c r="R20" s="73"/>
      <c r="S20" s="56"/>
      <c r="T20" s="59">
        <f t="shared" si="0"/>
        <v>0</v>
      </c>
      <c r="U20" s="76">
        <f t="shared" si="4"/>
        <v>0</v>
      </c>
      <c r="V20" s="76">
        <f t="shared" si="5"/>
        <v>0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1"/>
      <c r="D21" s="71"/>
      <c r="E21" s="71"/>
      <c r="F21" s="71"/>
      <c r="G21" s="71"/>
      <c r="H21" s="71"/>
      <c r="I21" s="71"/>
      <c r="J21" s="72"/>
      <c r="K21" s="73"/>
      <c r="L21" s="56"/>
      <c r="M21" s="74"/>
      <c r="N21" s="75"/>
      <c r="O21" s="71"/>
      <c r="P21" s="72"/>
      <c r="Q21" s="72"/>
      <c r="R21" s="73"/>
      <c r="S21" s="56"/>
      <c r="T21" s="59">
        <f t="shared" si="0"/>
        <v>0</v>
      </c>
      <c r="U21" s="76">
        <f t="shared" si="4"/>
        <v>0</v>
      </c>
      <c r="V21" s="76">
        <f t="shared" si="5"/>
        <v>0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1"/>
      <c r="D22" s="71"/>
      <c r="E22" s="71"/>
      <c r="F22" s="71"/>
      <c r="G22" s="71"/>
      <c r="H22" s="71"/>
      <c r="I22" s="71"/>
      <c r="J22" s="72"/>
      <c r="K22" s="73"/>
      <c r="L22" s="56"/>
      <c r="M22" s="74"/>
      <c r="N22" s="75"/>
      <c r="O22" s="71"/>
      <c r="P22" s="72"/>
      <c r="Q22" s="72"/>
      <c r="R22" s="73"/>
      <c r="S22" s="56"/>
      <c r="T22" s="59">
        <f t="shared" si="0"/>
        <v>0</v>
      </c>
      <c r="U22" s="76">
        <f t="shared" si="4"/>
        <v>0</v>
      </c>
      <c r="V22" s="76">
        <f t="shared" si="5"/>
        <v>0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1"/>
      <c r="D23" s="71"/>
      <c r="E23" s="71"/>
      <c r="F23" s="71"/>
      <c r="G23" s="71"/>
      <c r="H23" s="71"/>
      <c r="I23" s="71"/>
      <c r="J23" s="72"/>
      <c r="K23" s="73"/>
      <c r="L23" s="56"/>
      <c r="M23" s="74"/>
      <c r="N23" s="75"/>
      <c r="O23" s="71"/>
      <c r="P23" s="72"/>
      <c r="Q23" s="72"/>
      <c r="R23" s="73"/>
      <c r="S23" s="56"/>
      <c r="T23" s="59">
        <f t="shared" si="0"/>
        <v>0</v>
      </c>
      <c r="U23" s="76">
        <f t="shared" si="4"/>
        <v>0</v>
      </c>
      <c r="V23" s="76">
        <f t="shared" si="5"/>
        <v>0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1"/>
      <c r="D24" s="71"/>
      <c r="E24" s="71"/>
      <c r="F24" s="71"/>
      <c r="G24" s="71"/>
      <c r="H24" s="71"/>
      <c r="I24" s="71"/>
      <c r="J24" s="72"/>
      <c r="K24" s="73"/>
      <c r="L24" s="56"/>
      <c r="M24" s="74"/>
      <c r="N24" s="75"/>
      <c r="O24" s="71"/>
      <c r="P24" s="72"/>
      <c r="Q24" s="72"/>
      <c r="R24" s="73"/>
      <c r="S24" s="56"/>
      <c r="T24" s="59">
        <f t="shared" si="0"/>
        <v>0</v>
      </c>
      <c r="U24" s="76">
        <f t="shared" si="4"/>
        <v>0</v>
      </c>
      <c r="V24" s="76">
        <f t="shared" si="5"/>
        <v>0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1"/>
      <c r="D25" s="71"/>
      <c r="E25" s="71"/>
      <c r="F25" s="71"/>
      <c r="G25" s="71"/>
      <c r="H25" s="71"/>
      <c r="I25" s="71"/>
      <c r="J25" s="72"/>
      <c r="K25" s="73"/>
      <c r="L25" s="56"/>
      <c r="M25" s="74"/>
      <c r="N25" s="75"/>
      <c r="O25" s="71"/>
      <c r="P25" s="72"/>
      <c r="Q25" s="72"/>
      <c r="R25" s="73"/>
      <c r="S25" s="56"/>
      <c r="T25" s="59">
        <f t="shared" si="0"/>
        <v>0</v>
      </c>
      <c r="U25" s="76">
        <f t="shared" si="4"/>
        <v>0</v>
      </c>
      <c r="V25" s="76">
        <f t="shared" si="5"/>
        <v>0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1"/>
      <c r="D26" s="71"/>
      <c r="E26" s="71"/>
      <c r="F26" s="71"/>
      <c r="G26" s="71"/>
      <c r="H26" s="71"/>
      <c r="I26" s="71"/>
      <c r="J26" s="72"/>
      <c r="K26" s="73"/>
      <c r="L26" s="56"/>
      <c r="M26" s="74"/>
      <c r="N26" s="75"/>
      <c r="O26" s="71"/>
      <c r="P26" s="72"/>
      <c r="Q26" s="72"/>
      <c r="R26" s="73"/>
      <c r="S26" s="56"/>
      <c r="T26" s="59">
        <f t="shared" si="0"/>
        <v>0</v>
      </c>
      <c r="U26" s="76">
        <f t="shared" si="4"/>
        <v>0</v>
      </c>
      <c r="V26" s="76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1"/>
      <c r="D27" s="71"/>
      <c r="E27" s="71"/>
      <c r="F27" s="71"/>
      <c r="G27" s="71"/>
      <c r="H27" s="71"/>
      <c r="I27" s="71"/>
      <c r="J27" s="72"/>
      <c r="K27" s="73"/>
      <c r="L27" s="56"/>
      <c r="M27" s="74"/>
      <c r="N27" s="75"/>
      <c r="O27" s="71"/>
      <c r="P27" s="72"/>
      <c r="Q27" s="72"/>
      <c r="R27" s="73"/>
      <c r="S27" s="56"/>
      <c r="T27" s="59"/>
      <c r="U27" s="76"/>
      <c r="V27" s="76"/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1"/>
      <c r="D28" s="71"/>
      <c r="E28" s="71"/>
      <c r="F28" s="71"/>
      <c r="G28" s="71"/>
      <c r="H28" s="71"/>
      <c r="I28" s="71"/>
      <c r="J28" s="72"/>
      <c r="K28" s="73"/>
      <c r="L28" s="56"/>
      <c r="M28" s="74"/>
      <c r="N28" s="75"/>
      <c r="O28" s="71"/>
      <c r="P28" s="72"/>
      <c r="Q28" s="72"/>
      <c r="R28" s="73"/>
      <c r="S28" s="56"/>
      <c r="T28" s="59">
        <f t="shared" si="0"/>
        <v>0</v>
      </c>
      <c r="U28" s="76">
        <f t="shared" si="4"/>
        <v>0</v>
      </c>
      <c r="V28" s="76">
        <f t="shared" si="5"/>
        <v>0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1"/>
      <c r="D29" s="71"/>
      <c r="E29" s="71"/>
      <c r="F29" s="71"/>
      <c r="G29" s="71"/>
      <c r="H29" s="71"/>
      <c r="I29" s="71"/>
      <c r="J29" s="72"/>
      <c r="K29" s="73"/>
      <c r="L29" s="56"/>
      <c r="M29" s="74"/>
      <c r="N29" s="75"/>
      <c r="O29" s="71"/>
      <c r="P29" s="72"/>
      <c r="Q29" s="72"/>
      <c r="R29" s="73"/>
      <c r="S29" s="56"/>
      <c r="T29" s="59">
        <f t="shared" si="0"/>
        <v>0</v>
      </c>
      <c r="U29" s="76">
        <f t="shared" si="4"/>
        <v>0</v>
      </c>
      <c r="V29" s="76">
        <f t="shared" si="5"/>
        <v>0</v>
      </c>
    </row>
    <row r="30" spans="1:54" x14ac:dyDescent="0.25">
      <c r="A30" s="27">
        <f t="shared" si="1"/>
        <v>27</v>
      </c>
      <c r="B30" s="26" t="s">
        <v>15</v>
      </c>
      <c r="C30" s="71"/>
      <c r="D30" s="71"/>
      <c r="E30" s="71"/>
      <c r="F30" s="71"/>
      <c r="G30" s="71"/>
      <c r="H30" s="71"/>
      <c r="I30" s="71"/>
      <c r="J30" s="72"/>
      <c r="K30" s="73"/>
      <c r="L30" s="56"/>
      <c r="M30" s="74"/>
      <c r="N30" s="75"/>
      <c r="O30" s="71"/>
      <c r="P30" s="72"/>
      <c r="Q30" s="72"/>
      <c r="R30" s="73"/>
      <c r="S30" s="56"/>
      <c r="T30" s="59">
        <f t="shared" si="0"/>
        <v>0</v>
      </c>
      <c r="U30" s="76">
        <f t="shared" si="4"/>
        <v>0</v>
      </c>
      <c r="V30" s="76">
        <f t="shared" si="5"/>
        <v>0</v>
      </c>
    </row>
    <row r="31" spans="1:54" x14ac:dyDescent="0.25">
      <c r="A31" s="27">
        <f t="shared" si="1"/>
        <v>28</v>
      </c>
      <c r="B31" s="26" t="s">
        <v>12</v>
      </c>
      <c r="C31" s="71"/>
      <c r="D31" s="71"/>
      <c r="E31" s="71"/>
      <c r="F31" s="71"/>
      <c r="G31" s="71"/>
      <c r="H31" s="71"/>
      <c r="I31" s="71"/>
      <c r="J31" s="72"/>
      <c r="K31" s="73"/>
      <c r="L31" s="56"/>
      <c r="M31" s="74"/>
      <c r="N31" s="75"/>
      <c r="O31" s="71"/>
      <c r="P31" s="72"/>
      <c r="Q31" s="72"/>
      <c r="R31" s="73"/>
      <c r="S31" s="56"/>
      <c r="T31" s="59">
        <f t="shared" si="0"/>
        <v>0</v>
      </c>
      <c r="U31" s="76">
        <f t="shared" si="4"/>
        <v>0</v>
      </c>
      <c r="V31" s="76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1"/>
      <c r="D32" s="71"/>
      <c r="E32" s="71"/>
      <c r="F32" s="71"/>
      <c r="G32" s="71"/>
      <c r="H32" s="71"/>
      <c r="I32" s="71"/>
      <c r="J32" s="72"/>
      <c r="K32" s="73"/>
      <c r="L32" s="56"/>
      <c r="M32" s="74"/>
      <c r="N32" s="75"/>
      <c r="O32" s="71"/>
      <c r="P32" s="72"/>
      <c r="Q32" s="72"/>
      <c r="R32" s="73"/>
      <c r="S32" s="56"/>
      <c r="T32" s="59">
        <f t="shared" si="0"/>
        <v>0</v>
      </c>
      <c r="U32" s="76">
        <f t="shared" si="4"/>
        <v>0</v>
      </c>
      <c r="V32" s="76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1"/>
      <c r="D33" s="71"/>
      <c r="E33" s="71"/>
      <c r="F33" s="71"/>
      <c r="G33" s="71"/>
      <c r="H33" s="71"/>
      <c r="I33" s="71"/>
      <c r="J33" s="72"/>
      <c r="K33" s="73"/>
      <c r="L33" s="56"/>
      <c r="M33" s="74"/>
      <c r="N33" s="75"/>
      <c r="O33" s="71"/>
      <c r="P33" s="72"/>
      <c r="Q33" s="72"/>
      <c r="R33" s="73"/>
      <c r="S33" s="56"/>
      <c r="T33" s="59">
        <f t="shared" si="0"/>
        <v>0</v>
      </c>
      <c r="U33" s="76">
        <f t="shared" si="4"/>
        <v>0</v>
      </c>
      <c r="V33" s="76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1"/>
      <c r="D34" s="71"/>
      <c r="E34" s="71"/>
      <c r="F34" s="71"/>
      <c r="G34" s="71"/>
      <c r="H34" s="71"/>
      <c r="I34" s="71"/>
      <c r="J34" s="72"/>
      <c r="K34" s="73"/>
      <c r="L34" s="56"/>
      <c r="M34" s="74"/>
      <c r="N34" s="75"/>
      <c r="O34" s="71"/>
      <c r="P34" s="72"/>
      <c r="Q34" s="72"/>
      <c r="R34" s="73"/>
      <c r="S34" s="56"/>
      <c r="T34" s="59">
        <f t="shared" si="0"/>
        <v>0</v>
      </c>
      <c r="U34" s="76">
        <f t="shared" si="4"/>
        <v>0</v>
      </c>
      <c r="V34" s="76">
        <f t="shared" si="5"/>
        <v>0</v>
      </c>
    </row>
    <row r="35" spans="1:23" hidden="1" x14ac:dyDescent="0.25">
      <c r="A35" s="27">
        <f t="shared" si="1"/>
        <v>32</v>
      </c>
      <c r="B35" s="26" t="s">
        <v>25</v>
      </c>
      <c r="C35" s="71"/>
      <c r="D35" s="71"/>
      <c r="E35" s="71"/>
      <c r="F35" s="71"/>
      <c r="G35" s="71"/>
      <c r="H35" s="71"/>
      <c r="I35" s="71"/>
      <c r="J35" s="72"/>
      <c r="K35" s="73"/>
      <c r="L35" s="56"/>
      <c r="M35" s="74"/>
      <c r="N35" s="75"/>
      <c r="O35" s="71"/>
      <c r="P35" s="72"/>
      <c r="Q35" s="72"/>
      <c r="R35" s="73"/>
      <c r="S35" s="56"/>
      <c r="T35" s="59">
        <f t="shared" si="0"/>
        <v>0</v>
      </c>
      <c r="U35" s="76">
        <f t="shared" si="4"/>
        <v>0</v>
      </c>
      <c r="V35" s="76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1"/>
      <c r="D36" s="71"/>
      <c r="E36" s="71"/>
      <c r="F36" s="71"/>
      <c r="G36" s="71"/>
      <c r="H36" s="71"/>
      <c r="I36" s="71"/>
      <c r="J36" s="72"/>
      <c r="K36" s="73"/>
      <c r="L36" s="56"/>
      <c r="M36" s="74"/>
      <c r="N36" s="75"/>
      <c r="O36" s="71"/>
      <c r="P36" s="72"/>
      <c r="Q36" s="72"/>
      <c r="R36" s="73"/>
      <c r="S36" s="56"/>
      <c r="T36" s="59">
        <f t="shared" si="0"/>
        <v>0</v>
      </c>
      <c r="U36" s="76">
        <f t="shared" si="4"/>
        <v>0</v>
      </c>
      <c r="V36" s="76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60"/>
      <c r="D37" s="60"/>
      <c r="E37" s="60"/>
      <c r="F37" s="60"/>
      <c r="G37" s="60"/>
      <c r="H37" s="60"/>
      <c r="I37" s="60"/>
      <c r="J37" s="61"/>
      <c r="K37" s="62"/>
      <c r="L37" s="63"/>
      <c r="M37" s="64"/>
      <c r="N37" s="65"/>
      <c r="O37" s="66"/>
      <c r="P37" s="67"/>
      <c r="Q37" s="67"/>
      <c r="R37" s="68"/>
      <c r="S37" s="63"/>
      <c r="T37" s="78">
        <f t="shared" si="0"/>
        <v>0</v>
      </c>
      <c r="U37" s="78">
        <f>C37*6+M37*6+O37*6+Q37*6+T37</f>
        <v>0</v>
      </c>
      <c r="V37" s="78">
        <f>U37/6</f>
        <v>0</v>
      </c>
      <c r="W37" s="50"/>
    </row>
    <row r="38" spans="1:23" x14ac:dyDescent="0.25">
      <c r="A38" s="27">
        <f t="shared" si="1"/>
        <v>35</v>
      </c>
      <c r="B38" s="25" t="s">
        <v>20</v>
      </c>
      <c r="C38" s="71"/>
      <c r="D38" s="71"/>
      <c r="E38" s="71"/>
      <c r="F38" s="71"/>
      <c r="G38" s="71"/>
      <c r="H38" s="71"/>
      <c r="I38" s="71"/>
      <c r="J38" s="72"/>
      <c r="K38" s="73"/>
      <c r="L38" s="56"/>
      <c r="M38" s="74"/>
      <c r="N38" s="75"/>
      <c r="O38" s="71"/>
      <c r="P38" s="72"/>
      <c r="Q38" s="72"/>
      <c r="R38" s="73"/>
      <c r="S38" s="56"/>
      <c r="T38" s="76">
        <f t="shared" si="0"/>
        <v>0</v>
      </c>
      <c r="U38" s="76">
        <f>C38*24+M38*24+O38*24+Q38*24+T38</f>
        <v>0</v>
      </c>
      <c r="V38" s="76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9"/>
      <c r="D39" s="79"/>
      <c r="E39" s="79"/>
      <c r="F39" s="79"/>
      <c r="G39" s="79"/>
      <c r="H39" s="79"/>
      <c r="I39" s="79"/>
      <c r="J39" s="80"/>
      <c r="K39" s="81"/>
      <c r="L39" s="56"/>
      <c r="M39" s="57"/>
      <c r="N39" s="58"/>
      <c r="O39" s="53"/>
      <c r="P39" s="54"/>
      <c r="Q39" s="53"/>
      <c r="R39" s="81"/>
      <c r="S39" s="56"/>
      <c r="T39" s="84"/>
      <c r="U39" s="84"/>
      <c r="V39" s="84"/>
    </row>
    <row r="40" spans="1:23" ht="19.5" thickBot="1" x14ac:dyDescent="0.3">
      <c r="A40" s="27">
        <f t="shared" si="1"/>
        <v>37</v>
      </c>
      <c r="B40" s="42" t="s">
        <v>21</v>
      </c>
      <c r="C40" s="60"/>
      <c r="D40" s="60"/>
      <c r="E40" s="60"/>
      <c r="F40" s="60"/>
      <c r="G40" s="60"/>
      <c r="H40" s="60"/>
      <c r="I40" s="60"/>
      <c r="J40" s="61"/>
      <c r="K40" s="62"/>
      <c r="L40" s="63"/>
      <c r="M40" s="64"/>
      <c r="N40" s="65"/>
      <c r="O40" s="66"/>
      <c r="P40" s="67"/>
      <c r="Q40" s="67"/>
      <c r="R40" s="68"/>
      <c r="S40" s="63"/>
      <c r="T40" s="78">
        <f t="shared" si="0"/>
        <v>0</v>
      </c>
      <c r="U40" s="78">
        <f>C40*24+M40*24+O40*24+Q40*24+T40</f>
        <v>0</v>
      </c>
      <c r="V40" s="78">
        <f>U40/24</f>
        <v>0</v>
      </c>
    </row>
    <row r="41" spans="1:23" ht="19.5" thickBot="1" x14ac:dyDescent="0.3">
      <c r="A41" s="27">
        <f t="shared" si="1"/>
        <v>38</v>
      </c>
      <c r="B41" s="43" t="s">
        <v>22</v>
      </c>
      <c r="C41" s="85"/>
      <c r="D41" s="85"/>
      <c r="E41" s="85"/>
      <c r="F41" s="85"/>
      <c r="G41" s="85"/>
      <c r="H41" s="85"/>
      <c r="I41" s="85"/>
      <c r="J41" s="86"/>
      <c r="K41" s="87"/>
      <c r="L41" s="88"/>
      <c r="M41" s="89"/>
      <c r="N41" s="90"/>
      <c r="O41" s="85"/>
      <c r="P41" s="86"/>
      <c r="Q41" s="86"/>
      <c r="R41" s="87"/>
      <c r="S41" s="88"/>
      <c r="T41" s="91">
        <f t="shared" si="0"/>
        <v>0</v>
      </c>
      <c r="U41" s="91">
        <f>C41*12+M41*12+O41*12+Q41*12+T41</f>
        <v>0</v>
      </c>
      <c r="V41" s="91">
        <f>U41/12</f>
        <v>0</v>
      </c>
    </row>
    <row r="42" spans="1:23" hidden="1" x14ac:dyDescent="0.25">
      <c r="A42" s="27">
        <f t="shared" si="1"/>
        <v>39</v>
      </c>
      <c r="B42" s="25" t="s">
        <v>29</v>
      </c>
      <c r="C42" s="71"/>
      <c r="D42" s="71"/>
      <c r="E42" s="71"/>
      <c r="F42" s="71"/>
      <c r="G42" s="71"/>
      <c r="H42" s="71"/>
      <c r="I42" s="71"/>
      <c r="J42" s="72"/>
      <c r="K42" s="73"/>
      <c r="L42" s="56"/>
      <c r="M42" s="74"/>
      <c r="N42" s="75"/>
      <c r="O42" s="71"/>
      <c r="P42" s="72"/>
      <c r="Q42" s="72"/>
      <c r="R42" s="73"/>
      <c r="S42" s="56"/>
      <c r="T42" s="76"/>
      <c r="U42" s="76"/>
      <c r="V42" s="76"/>
    </row>
    <row r="43" spans="1:23" ht="19.5" thickBot="1" x14ac:dyDescent="0.3">
      <c r="A43" s="27">
        <f t="shared" si="1"/>
        <v>40</v>
      </c>
      <c r="B43" s="42" t="s">
        <v>23</v>
      </c>
      <c r="C43" s="66"/>
      <c r="D43" s="66"/>
      <c r="E43" s="66"/>
      <c r="F43" s="66"/>
      <c r="G43" s="66"/>
      <c r="H43" s="66"/>
      <c r="I43" s="66"/>
      <c r="J43" s="67"/>
      <c r="K43" s="68"/>
      <c r="L43" s="63"/>
      <c r="M43" s="64"/>
      <c r="N43" s="65"/>
      <c r="O43" s="66"/>
      <c r="P43" s="67"/>
      <c r="Q43" s="67"/>
      <c r="R43" s="68"/>
      <c r="S43" s="63"/>
      <c r="T43" s="78">
        <f t="shared" ref="T43" si="6">H43+I43+J43+K43+N43+P43+R43</f>
        <v>0</v>
      </c>
      <c r="U43" s="78">
        <f>C43*6+M43*6+O43*6+Q43*6+T43</f>
        <v>0</v>
      </c>
      <c r="V43" s="78">
        <f>U43/6</f>
        <v>0</v>
      </c>
    </row>
    <row r="44" spans="1:23" hidden="1" x14ac:dyDescent="0.25">
      <c r="A44" s="27">
        <f t="shared" si="1"/>
        <v>41</v>
      </c>
      <c r="B44" s="25" t="s">
        <v>31</v>
      </c>
      <c r="C44" s="71"/>
      <c r="D44" s="71"/>
      <c r="E44" s="71"/>
      <c r="F44" s="71"/>
      <c r="G44" s="71"/>
      <c r="H44" s="71"/>
      <c r="I44" s="71"/>
      <c r="J44" s="72"/>
      <c r="K44" s="73"/>
      <c r="L44" s="56"/>
      <c r="M44" s="74"/>
      <c r="N44" s="75"/>
      <c r="O44" s="71"/>
      <c r="P44" s="72"/>
      <c r="Q44" s="72"/>
      <c r="R44" s="73"/>
      <c r="S44" s="56"/>
      <c r="T44" s="76"/>
      <c r="U44" s="76"/>
      <c r="V44" s="76"/>
    </row>
    <row r="45" spans="1:23" x14ac:dyDescent="0.25">
      <c r="A45" s="27">
        <f t="shared" si="1"/>
        <v>42</v>
      </c>
      <c r="B45" s="26" t="s">
        <v>24</v>
      </c>
      <c r="C45" s="71"/>
      <c r="D45" s="71"/>
      <c r="E45" s="71"/>
      <c r="F45" s="71"/>
      <c r="G45" s="71"/>
      <c r="H45" s="71"/>
      <c r="I45" s="71"/>
      <c r="J45" s="72"/>
      <c r="K45" s="73"/>
      <c r="L45" s="56"/>
      <c r="M45" s="74"/>
      <c r="N45" s="75"/>
      <c r="O45" s="71"/>
      <c r="P45" s="72"/>
      <c r="Q45" s="72"/>
      <c r="R45" s="73"/>
      <c r="S45" s="56"/>
      <c r="T45" s="76">
        <f t="shared" ref="T45:T54" si="7">H45+I45+J45+K45+N45+P45+R45</f>
        <v>0</v>
      </c>
      <c r="U45" s="76">
        <f>C45*24+M45*24+O45*24+Q45*24+T45</f>
        <v>0</v>
      </c>
      <c r="V45" s="76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1"/>
      <c r="D46" s="71"/>
      <c r="E46" s="71"/>
      <c r="F46" s="71"/>
      <c r="G46" s="71"/>
      <c r="H46" s="71"/>
      <c r="I46" s="71"/>
      <c r="J46" s="72"/>
      <c r="K46" s="73"/>
      <c r="L46" s="56"/>
      <c r="M46" s="74"/>
      <c r="N46" s="75"/>
      <c r="O46" s="71"/>
      <c r="P46" s="72"/>
      <c r="Q46" s="72"/>
      <c r="R46" s="73"/>
      <c r="S46" s="56"/>
      <c r="T46" s="76">
        <f t="shared" si="7"/>
        <v>0</v>
      </c>
      <c r="U46" s="76">
        <f t="shared" ref="U46:U50" si="8">C46*24+M46*24+O46*24+Q46*24+T46</f>
        <v>0</v>
      </c>
      <c r="V46" s="76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6"/>
      <c r="D47" s="66"/>
      <c r="E47" s="66"/>
      <c r="F47" s="66"/>
      <c r="G47" s="66"/>
      <c r="H47" s="66"/>
      <c r="I47" s="66"/>
      <c r="J47" s="67"/>
      <c r="K47" s="68"/>
      <c r="L47" s="63"/>
      <c r="M47" s="64"/>
      <c r="N47" s="65"/>
      <c r="O47" s="66"/>
      <c r="P47" s="67"/>
      <c r="Q47" s="67"/>
      <c r="R47" s="68"/>
      <c r="S47" s="63"/>
      <c r="T47" s="78">
        <f t="shared" si="7"/>
        <v>0</v>
      </c>
      <c r="U47" s="78">
        <f>C47*6+M47*6+O47*6+Q47*6+T47</f>
        <v>0</v>
      </c>
      <c r="V47" s="78">
        <f>U47/6</f>
        <v>0</v>
      </c>
    </row>
    <row r="48" spans="1:23" x14ac:dyDescent="0.25">
      <c r="A48" s="27">
        <f t="shared" si="1"/>
        <v>45</v>
      </c>
      <c r="B48" s="25" t="s">
        <v>58</v>
      </c>
      <c r="C48" s="71"/>
      <c r="D48" s="71"/>
      <c r="E48" s="71"/>
      <c r="F48" s="71"/>
      <c r="G48" s="71"/>
      <c r="H48" s="71"/>
      <c r="I48" s="71"/>
      <c r="J48" s="72"/>
      <c r="K48" s="73"/>
      <c r="L48" s="56"/>
      <c r="M48" s="74"/>
      <c r="N48" s="75"/>
      <c r="O48" s="71"/>
      <c r="P48" s="72"/>
      <c r="Q48" s="72"/>
      <c r="R48" s="73"/>
      <c r="S48" s="56"/>
      <c r="T48" s="76">
        <f t="shared" si="7"/>
        <v>0</v>
      </c>
      <c r="U48" s="76">
        <f t="shared" si="8"/>
        <v>0</v>
      </c>
      <c r="V48" s="76">
        <f t="shared" si="9"/>
        <v>0</v>
      </c>
    </row>
    <row r="49" spans="1:22" x14ac:dyDescent="0.25">
      <c r="A49" s="27">
        <f t="shared" si="1"/>
        <v>46</v>
      </c>
      <c r="B49" s="26" t="s">
        <v>26</v>
      </c>
      <c r="C49" s="71"/>
      <c r="D49" s="71"/>
      <c r="E49" s="71"/>
      <c r="F49" s="71"/>
      <c r="G49" s="71"/>
      <c r="H49" s="71"/>
      <c r="I49" s="71"/>
      <c r="J49" s="72"/>
      <c r="K49" s="73"/>
      <c r="L49" s="56"/>
      <c r="M49" s="74"/>
      <c r="N49" s="75"/>
      <c r="O49" s="71"/>
      <c r="P49" s="72"/>
      <c r="Q49" s="72"/>
      <c r="R49" s="73"/>
      <c r="S49" s="56"/>
      <c r="T49" s="76">
        <f t="shared" si="7"/>
        <v>0</v>
      </c>
      <c r="U49" s="76">
        <f t="shared" si="8"/>
        <v>0</v>
      </c>
      <c r="V49" s="76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1"/>
      <c r="D50" s="71"/>
      <c r="E50" s="71"/>
      <c r="F50" s="71"/>
      <c r="G50" s="71"/>
      <c r="H50" s="71"/>
      <c r="I50" s="71"/>
      <c r="J50" s="72"/>
      <c r="K50" s="73"/>
      <c r="L50" s="56"/>
      <c r="M50" s="74"/>
      <c r="N50" s="75"/>
      <c r="O50" s="71"/>
      <c r="P50" s="72"/>
      <c r="Q50" s="72"/>
      <c r="R50" s="73"/>
      <c r="S50" s="56"/>
      <c r="T50" s="76">
        <f t="shared" si="7"/>
        <v>0</v>
      </c>
      <c r="U50" s="76">
        <f t="shared" si="8"/>
        <v>0</v>
      </c>
      <c r="V50" s="76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6"/>
      <c r="D51" s="66"/>
      <c r="E51" s="66"/>
      <c r="F51" s="66"/>
      <c r="G51" s="66"/>
      <c r="H51" s="66"/>
      <c r="I51" s="66"/>
      <c r="J51" s="67"/>
      <c r="K51" s="68"/>
      <c r="L51" s="63"/>
      <c r="M51" s="64"/>
      <c r="N51" s="65"/>
      <c r="O51" s="66"/>
      <c r="P51" s="67"/>
      <c r="Q51" s="67"/>
      <c r="R51" s="68"/>
      <c r="S51" s="63"/>
      <c r="T51" s="78">
        <f t="shared" si="7"/>
        <v>0</v>
      </c>
      <c r="U51" s="78">
        <f>C51*6+M51*6+O51*6+Q51*6+T51</f>
        <v>0</v>
      </c>
      <c r="V51" s="78">
        <f>U51/6</f>
        <v>0</v>
      </c>
    </row>
    <row r="52" spans="1:22" x14ac:dyDescent="0.25">
      <c r="A52" s="27">
        <f t="shared" si="1"/>
        <v>49</v>
      </c>
      <c r="B52" s="25" t="s">
        <v>28</v>
      </c>
      <c r="C52" s="71"/>
      <c r="D52" s="71"/>
      <c r="E52" s="71"/>
      <c r="F52" s="71"/>
      <c r="G52" s="71"/>
      <c r="H52" s="71"/>
      <c r="I52" s="71"/>
      <c r="J52" s="72"/>
      <c r="K52" s="73"/>
      <c r="L52" s="56"/>
      <c r="M52" s="74"/>
      <c r="N52" s="75"/>
      <c r="O52" s="71"/>
      <c r="P52" s="72"/>
      <c r="Q52" s="72"/>
      <c r="R52" s="73"/>
      <c r="S52" s="56"/>
      <c r="T52" s="76">
        <f t="shared" si="7"/>
        <v>0</v>
      </c>
      <c r="U52" s="76">
        <f t="shared" ref="U52:U54" si="10">C52*24+M52*24+O52*24+Q52*24+T52</f>
        <v>0</v>
      </c>
      <c r="V52" s="76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1"/>
      <c r="D53" s="71"/>
      <c r="E53" s="71"/>
      <c r="F53" s="71"/>
      <c r="G53" s="71"/>
      <c r="H53" s="71"/>
      <c r="I53" s="71"/>
      <c r="J53" s="72"/>
      <c r="K53" s="73"/>
      <c r="L53" s="56"/>
      <c r="M53" s="74"/>
      <c r="N53" s="75"/>
      <c r="O53" s="71"/>
      <c r="P53" s="72"/>
      <c r="Q53" s="72"/>
      <c r="R53" s="73"/>
      <c r="S53" s="56"/>
      <c r="T53" s="76">
        <f t="shared" si="7"/>
        <v>0</v>
      </c>
      <c r="U53" s="76">
        <f t="shared" si="10"/>
        <v>0</v>
      </c>
      <c r="V53" s="76">
        <f t="shared" si="9"/>
        <v>0</v>
      </c>
    </row>
    <row r="54" spans="1:22" x14ac:dyDescent="0.25">
      <c r="A54" s="27">
        <f t="shared" si="1"/>
        <v>51</v>
      </c>
      <c r="B54" s="26"/>
      <c r="C54" s="71"/>
      <c r="D54" s="71"/>
      <c r="E54" s="71"/>
      <c r="F54" s="71"/>
      <c r="G54" s="71"/>
      <c r="H54" s="71"/>
      <c r="I54" s="71"/>
      <c r="J54" s="72"/>
      <c r="K54" s="73"/>
      <c r="L54" s="56"/>
      <c r="M54" s="74"/>
      <c r="N54" s="75"/>
      <c r="O54" s="71"/>
      <c r="P54" s="72"/>
      <c r="Q54" s="72"/>
      <c r="R54" s="73"/>
      <c r="S54" s="56"/>
      <c r="T54" s="76">
        <f t="shared" si="7"/>
        <v>0</v>
      </c>
      <c r="U54" s="76">
        <f t="shared" si="10"/>
        <v>0</v>
      </c>
      <c r="V54" s="76">
        <f t="shared" si="9"/>
        <v>0</v>
      </c>
    </row>
    <row r="55" spans="1:22" x14ac:dyDescent="0.25">
      <c r="A55" s="27">
        <f t="shared" si="1"/>
        <v>52</v>
      </c>
      <c r="B55" s="26"/>
      <c r="C55" s="71"/>
      <c r="D55" s="71"/>
      <c r="E55" s="71"/>
      <c r="F55" s="71"/>
      <c r="G55" s="71"/>
      <c r="H55" s="71"/>
      <c r="I55" s="71"/>
      <c r="J55" s="72"/>
      <c r="K55" s="73"/>
      <c r="L55" s="56"/>
      <c r="M55" s="74"/>
      <c r="N55" s="75"/>
      <c r="O55" s="71"/>
      <c r="P55" s="72"/>
      <c r="Q55" s="72"/>
      <c r="R55" s="73"/>
      <c r="S55" s="56"/>
      <c r="T55" s="76"/>
      <c r="U55" s="76"/>
      <c r="V55" s="76"/>
    </row>
    <row r="56" spans="1:22" x14ac:dyDescent="0.25">
      <c r="A56" s="27">
        <f t="shared" si="1"/>
        <v>53</v>
      </c>
      <c r="B56" s="26"/>
      <c r="C56" s="71"/>
      <c r="D56" s="71"/>
      <c r="E56" s="71"/>
      <c r="F56" s="71"/>
      <c r="G56" s="71"/>
      <c r="H56" s="71"/>
      <c r="I56" s="71"/>
      <c r="J56" s="72"/>
      <c r="K56" s="73"/>
      <c r="L56" s="56"/>
      <c r="M56" s="74"/>
      <c r="N56" s="75"/>
      <c r="O56" s="71"/>
      <c r="P56" s="72"/>
      <c r="Q56" s="72"/>
      <c r="R56" s="73"/>
      <c r="S56" s="56"/>
      <c r="T56" s="76"/>
      <c r="U56" s="76"/>
      <c r="V56" s="76"/>
    </row>
    <row r="57" spans="1:22" x14ac:dyDescent="0.25">
      <c r="A57" s="27">
        <f t="shared" si="1"/>
        <v>54</v>
      </c>
      <c r="B57" s="26"/>
      <c r="C57" s="71"/>
      <c r="D57" s="71"/>
      <c r="E57" s="71"/>
      <c r="F57" s="71"/>
      <c r="G57" s="71"/>
      <c r="H57" s="71"/>
      <c r="I57" s="71"/>
      <c r="J57" s="72"/>
      <c r="K57" s="73"/>
      <c r="L57" s="56"/>
      <c r="M57" s="74"/>
      <c r="N57" s="75"/>
      <c r="O57" s="71"/>
      <c r="P57" s="72"/>
      <c r="Q57" s="72"/>
      <c r="R57" s="73"/>
      <c r="S57" s="56"/>
      <c r="T57" s="76"/>
      <c r="U57" s="76"/>
      <c r="V57" s="76"/>
    </row>
    <row r="58" spans="1:22" s="15" customFormat="1" ht="19.5" thickBot="1" x14ac:dyDescent="0.3">
      <c r="B58" s="29" t="s">
        <v>50</v>
      </c>
      <c r="C58" s="2">
        <f>SUM(C7:C57)</f>
        <v>0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0</v>
      </c>
      <c r="I58" s="6">
        <f t="shared" si="11"/>
        <v>0</v>
      </c>
      <c r="J58" s="6">
        <f t="shared" si="11"/>
        <v>0</v>
      </c>
      <c r="K58" s="6">
        <f t="shared" si="11"/>
        <v>0</v>
      </c>
      <c r="M58" s="5">
        <f t="shared" ref="M58:R58" si="12">SUM(M7:M57)</f>
        <v>0</v>
      </c>
      <c r="N58" s="5">
        <f t="shared" si="12"/>
        <v>0</v>
      </c>
      <c r="O58" s="5">
        <f t="shared" si="12"/>
        <v>0</v>
      </c>
      <c r="P58" s="5">
        <f t="shared" si="12"/>
        <v>0</v>
      </c>
      <c r="Q58" s="5">
        <f t="shared" si="12"/>
        <v>0</v>
      </c>
      <c r="R58" s="5">
        <f t="shared" si="12"/>
        <v>0</v>
      </c>
      <c r="S58" s="56"/>
      <c r="T58" s="4">
        <f>SUM(T7:T57)</f>
        <v>0</v>
      </c>
      <c r="U58" s="4">
        <f>SUM(U7:U57)</f>
        <v>0</v>
      </c>
      <c r="V58" s="4">
        <f>SUM(V7:V57)</f>
        <v>0</v>
      </c>
    </row>
    <row r="59" spans="1:22" s="15" customFormat="1" x14ac:dyDescent="0.25">
      <c r="B59" s="96"/>
      <c r="C59" s="97"/>
      <c r="D59" s="97"/>
      <c r="E59" s="97"/>
      <c r="F59" s="97"/>
      <c r="G59" s="97"/>
      <c r="H59" s="97"/>
      <c r="I59" s="97"/>
      <c r="J59" s="97"/>
      <c r="K59" s="97"/>
      <c r="M59" s="97"/>
      <c r="N59" s="97"/>
      <c r="O59" s="97"/>
      <c r="P59" s="97"/>
      <c r="Q59" s="97"/>
      <c r="R59" s="97"/>
      <c r="S59" s="56"/>
      <c r="T59" s="97"/>
      <c r="U59" s="97"/>
      <c r="V59" s="97"/>
    </row>
    <row r="60" spans="1:22" s="15" customFormat="1" x14ac:dyDescent="0.25">
      <c r="B60" s="96"/>
      <c r="C60" s="97"/>
      <c r="D60" s="97"/>
      <c r="E60" s="97"/>
      <c r="F60" s="97"/>
      <c r="G60" s="97"/>
      <c r="H60" s="97"/>
      <c r="I60" s="97"/>
      <c r="J60" s="97"/>
      <c r="K60" s="97"/>
      <c r="M60" s="97"/>
      <c r="N60" s="97"/>
      <c r="O60" s="97"/>
      <c r="P60" s="97"/>
      <c r="Q60" s="97"/>
      <c r="R60" s="97"/>
      <c r="S60" s="56"/>
      <c r="T60" s="97"/>
      <c r="U60" s="97"/>
      <c r="V60" s="97"/>
    </row>
    <row r="61" spans="1:22" ht="20.25" customHeight="1" thickBot="1" x14ac:dyDescent="0.3"/>
    <row r="62" spans="1:22" ht="19.5" thickBot="1" x14ac:dyDescent="0.3">
      <c r="B62" s="30" t="s">
        <v>37</v>
      </c>
      <c r="C62" s="108" t="s">
        <v>41</v>
      </c>
      <c r="D62" s="109"/>
      <c r="E62" s="109"/>
      <c r="F62" s="109"/>
      <c r="G62" s="109"/>
      <c r="H62" s="109"/>
      <c r="I62" s="109"/>
      <c r="J62" s="109"/>
      <c r="K62" s="110"/>
      <c r="U62" s="24" t="s">
        <v>51</v>
      </c>
    </row>
    <row r="63" spans="1:22" x14ac:dyDescent="0.25">
      <c r="B63" s="31" t="s">
        <v>17</v>
      </c>
      <c r="C63" s="19"/>
      <c r="D63" s="19"/>
      <c r="E63" s="19"/>
      <c r="F63" s="19"/>
      <c r="G63" s="19"/>
      <c r="H63" s="19"/>
      <c r="I63" s="19"/>
      <c r="J63" s="45"/>
      <c r="K63" s="20"/>
      <c r="U63" s="7"/>
    </row>
    <row r="64" spans="1:22" x14ac:dyDescent="0.25">
      <c r="B64" s="32" t="s">
        <v>45</v>
      </c>
      <c r="C64" s="1"/>
      <c r="D64" s="1"/>
      <c r="E64" s="1"/>
      <c r="F64" s="1"/>
      <c r="G64" s="1"/>
      <c r="H64" s="1"/>
      <c r="I64" s="1"/>
      <c r="J64" s="44"/>
      <c r="K64" s="21"/>
      <c r="U64" s="3"/>
    </row>
    <row r="65" spans="2:21" ht="19.5" thickBot="1" x14ac:dyDescent="0.3">
      <c r="B65" s="33" t="s">
        <v>44</v>
      </c>
      <c r="C65" s="22"/>
      <c r="D65" s="22"/>
      <c r="E65" s="22"/>
      <c r="F65" s="22"/>
      <c r="G65" s="22"/>
      <c r="H65" s="22"/>
      <c r="I65" s="22"/>
      <c r="J65" s="46"/>
      <c r="K65" s="23"/>
      <c r="U65" s="8"/>
    </row>
    <row r="66" spans="2:21" ht="7.5" customHeight="1" thickBot="1" x14ac:dyDescent="0.3"/>
    <row r="67" spans="2:21" x14ac:dyDescent="0.25">
      <c r="B67" s="31" t="s">
        <v>46</v>
      </c>
      <c r="C67" s="19"/>
      <c r="D67" s="19"/>
      <c r="E67" s="19"/>
      <c r="F67" s="19"/>
      <c r="G67" s="19"/>
      <c r="H67" s="19"/>
      <c r="I67" s="19"/>
      <c r="J67" s="45"/>
      <c r="K67" s="20"/>
      <c r="U67" s="7"/>
    </row>
    <row r="68" spans="2:21" x14ac:dyDescent="0.25">
      <c r="B68" s="32" t="s">
        <v>45</v>
      </c>
      <c r="C68" s="1"/>
      <c r="D68" s="1"/>
      <c r="E68" s="1"/>
      <c r="F68" s="1"/>
      <c r="G68" s="1"/>
      <c r="H68" s="1"/>
      <c r="I68" s="1"/>
      <c r="J68" s="44"/>
      <c r="K68" s="21"/>
      <c r="U68" s="3"/>
    </row>
    <row r="69" spans="2:21" ht="19.5" thickBot="1" x14ac:dyDescent="0.3">
      <c r="B69" s="33" t="s">
        <v>44</v>
      </c>
      <c r="C69" s="22"/>
      <c r="D69" s="22"/>
      <c r="E69" s="22"/>
      <c r="F69" s="22"/>
      <c r="G69" s="22"/>
      <c r="H69" s="22"/>
      <c r="I69" s="22"/>
      <c r="J69" s="46"/>
      <c r="K69" s="23"/>
      <c r="U69" s="8"/>
    </row>
    <row r="70" spans="2:21" ht="7.5" customHeight="1" thickBot="1" x14ac:dyDescent="0.3"/>
    <row r="71" spans="2:21" x14ac:dyDescent="0.25">
      <c r="B71" s="31" t="s">
        <v>38</v>
      </c>
      <c r="C71" s="19"/>
      <c r="D71" s="19"/>
      <c r="E71" s="19"/>
      <c r="F71" s="19"/>
      <c r="G71" s="19"/>
      <c r="H71" s="19"/>
      <c r="I71" s="19"/>
      <c r="J71" s="45"/>
      <c r="K71" s="20"/>
      <c r="U71" s="7"/>
    </row>
    <row r="72" spans="2:21" x14ac:dyDescent="0.25">
      <c r="B72" s="32" t="s">
        <v>45</v>
      </c>
      <c r="C72" s="1"/>
      <c r="D72" s="1"/>
      <c r="E72" s="1"/>
      <c r="F72" s="1"/>
      <c r="G72" s="1"/>
      <c r="H72" s="1"/>
      <c r="I72" s="1"/>
      <c r="J72" s="44"/>
      <c r="K72" s="21"/>
      <c r="U72" s="3"/>
    </row>
    <row r="73" spans="2:21" ht="19.5" thickBot="1" x14ac:dyDescent="0.3">
      <c r="B73" s="33" t="s">
        <v>44</v>
      </c>
      <c r="C73" s="22"/>
      <c r="D73" s="22"/>
      <c r="E73" s="22"/>
      <c r="F73" s="22"/>
      <c r="G73" s="22"/>
      <c r="H73" s="22"/>
      <c r="I73" s="22"/>
      <c r="J73" s="46"/>
      <c r="K73" s="23"/>
      <c r="U73" s="8"/>
    </row>
    <row r="74" spans="2:21" ht="7.5" customHeight="1" thickBot="1" x14ac:dyDescent="0.3"/>
    <row r="75" spans="2:21" x14ac:dyDescent="0.25">
      <c r="B75" s="31" t="s">
        <v>47</v>
      </c>
      <c r="C75" s="19"/>
      <c r="D75" s="19"/>
      <c r="E75" s="19"/>
      <c r="F75" s="19"/>
      <c r="G75" s="19"/>
      <c r="H75" s="19"/>
      <c r="I75" s="19"/>
      <c r="J75" s="45"/>
      <c r="K75" s="20"/>
      <c r="U75" s="7"/>
    </row>
    <row r="76" spans="2:21" x14ac:dyDescent="0.25">
      <c r="B76" s="32" t="s">
        <v>45</v>
      </c>
      <c r="C76" s="1"/>
      <c r="D76" s="1"/>
      <c r="E76" s="1"/>
      <c r="F76" s="1"/>
      <c r="G76" s="1"/>
      <c r="H76" s="1"/>
      <c r="I76" s="1"/>
      <c r="J76" s="44"/>
      <c r="K76" s="21"/>
      <c r="U76" s="3"/>
    </row>
    <row r="77" spans="2:21" ht="19.5" thickBot="1" x14ac:dyDescent="0.3">
      <c r="B77" s="33" t="s">
        <v>44</v>
      </c>
      <c r="C77" s="22"/>
      <c r="D77" s="22"/>
      <c r="E77" s="22"/>
      <c r="F77" s="22"/>
      <c r="G77" s="22"/>
      <c r="H77" s="22"/>
      <c r="I77" s="22"/>
      <c r="J77" s="46"/>
      <c r="K77" s="23"/>
      <c r="U77" s="8"/>
    </row>
    <row r="78" spans="2:21" ht="7.5" customHeight="1" thickBot="1" x14ac:dyDescent="0.3"/>
    <row r="79" spans="2:21" x14ac:dyDescent="0.25">
      <c r="B79" s="31" t="s">
        <v>48</v>
      </c>
      <c r="C79" s="19"/>
      <c r="D79" s="19"/>
      <c r="E79" s="19"/>
      <c r="F79" s="19"/>
      <c r="G79" s="19"/>
      <c r="H79" s="19"/>
      <c r="I79" s="19"/>
      <c r="J79" s="45"/>
      <c r="K79" s="20"/>
      <c r="U79" s="7"/>
    </row>
    <row r="80" spans="2:21" x14ac:dyDescent="0.25">
      <c r="B80" s="32" t="s">
        <v>45</v>
      </c>
      <c r="C80" s="1"/>
      <c r="D80" s="1"/>
      <c r="E80" s="1"/>
      <c r="F80" s="1"/>
      <c r="G80" s="1"/>
      <c r="H80" s="1"/>
      <c r="I80" s="1"/>
      <c r="J80" s="44"/>
      <c r="K80" s="21"/>
      <c r="U80" s="3"/>
    </row>
    <row r="81" spans="2:21" ht="19.5" thickBot="1" x14ac:dyDescent="0.3">
      <c r="B81" s="33" t="s">
        <v>44</v>
      </c>
      <c r="C81" s="22"/>
      <c r="D81" s="22"/>
      <c r="E81" s="22"/>
      <c r="F81" s="22"/>
      <c r="G81" s="22"/>
      <c r="H81" s="22"/>
      <c r="I81" s="22"/>
      <c r="J81" s="46"/>
      <c r="K81" s="23"/>
      <c r="U81" s="8"/>
    </row>
    <row r="82" spans="2:21" ht="7.5" customHeight="1" thickBot="1" x14ac:dyDescent="0.3"/>
    <row r="83" spans="2:21" ht="19.5" thickBot="1" x14ac:dyDescent="0.3">
      <c r="B83" s="30" t="s">
        <v>49</v>
      </c>
      <c r="C83" s="17"/>
      <c r="D83" s="17"/>
      <c r="E83" s="17"/>
      <c r="F83" s="17"/>
      <c r="G83" s="17"/>
      <c r="H83" s="17"/>
      <c r="I83" s="17"/>
      <c r="J83" s="47"/>
      <c r="K83" s="18"/>
      <c r="U83" s="16"/>
    </row>
  </sheetData>
  <mergeCells count="7">
    <mergeCell ref="V4:V5"/>
    <mergeCell ref="J5:K5"/>
    <mergeCell ref="C62:K62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B6E3F5-60FD-438D-9CA9-F1C4B96DB6D9}">
  <sheetPr>
    <pageSetUpPr fitToPage="1"/>
  </sheetPr>
  <dimension ref="A1:BB81"/>
  <sheetViews>
    <sheetView zoomScaleNormal="100" zoomScaleSheetLayoutView="115" workbookViewId="0">
      <selection activeCell="B2" sqref="B2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6.710937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1" t="s">
        <v>43</v>
      </c>
      <c r="J1" s="111"/>
      <c r="K1" s="111"/>
      <c r="L1" s="111"/>
      <c r="M1" s="111"/>
      <c r="N1" s="111"/>
      <c r="O1" s="111"/>
      <c r="P1" s="111"/>
      <c r="Q1" s="111"/>
      <c r="R1" s="111"/>
      <c r="S1" s="111"/>
      <c r="T1" s="111"/>
      <c r="U1" s="111"/>
    </row>
    <row r="2" spans="1:54" x14ac:dyDescent="0.25">
      <c r="B2" s="28" t="s">
        <v>71</v>
      </c>
    </row>
    <row r="3" spans="1:54" ht="19.5" thickBot="1" x14ac:dyDescent="0.3"/>
    <row r="4" spans="1:54" s="10" customFormat="1" ht="15.75" x14ac:dyDescent="0.25">
      <c r="B4" s="41" t="s">
        <v>52</v>
      </c>
      <c r="C4" s="112" t="s">
        <v>41</v>
      </c>
      <c r="D4" s="112"/>
      <c r="E4" s="112"/>
      <c r="F4" s="112"/>
      <c r="G4" s="112"/>
      <c r="H4" s="112"/>
      <c r="I4" s="112"/>
      <c r="J4" s="113"/>
      <c r="K4" s="114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5" t="s">
        <v>68</v>
      </c>
      <c r="U4" s="121" t="s">
        <v>67</v>
      </c>
      <c r="V4" s="104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19" t="s">
        <v>65</v>
      </c>
      <c r="K5" s="120"/>
      <c r="M5" s="37"/>
      <c r="N5" s="49"/>
      <c r="O5" s="40"/>
      <c r="P5" s="94"/>
      <c r="Q5" s="94"/>
      <c r="R5" s="38"/>
      <c r="S5" s="9"/>
      <c r="T5" s="116"/>
      <c r="U5" s="122"/>
      <c r="V5" s="105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94"/>
      <c r="K6" s="38"/>
      <c r="M6" s="37"/>
      <c r="N6" s="49"/>
      <c r="O6" s="40"/>
      <c r="P6" s="94"/>
      <c r="Q6" s="94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3">
        <f>21+41</f>
        <v>62</v>
      </c>
      <c r="D7" s="53"/>
      <c r="E7" s="53"/>
      <c r="F7" s="53"/>
      <c r="G7" s="53"/>
      <c r="H7" s="53">
        <v>2</v>
      </c>
      <c r="I7" s="53">
        <v>1</v>
      </c>
      <c r="J7" s="54"/>
      <c r="K7" s="55">
        <v>6</v>
      </c>
      <c r="L7" s="56"/>
      <c r="M7" s="57">
        <v>1</v>
      </c>
      <c r="N7" s="58"/>
      <c r="O7" s="53">
        <v>2</v>
      </c>
      <c r="P7" s="54">
        <v>12</v>
      </c>
      <c r="Q7" s="54">
        <v>2</v>
      </c>
      <c r="R7" s="55"/>
      <c r="S7" s="56"/>
      <c r="T7" s="59">
        <f>H7+I7+J7+K7+N7+P7+R7</f>
        <v>21</v>
      </c>
      <c r="U7" s="59">
        <f>C7*24+M7*24+O7*24+Q7*24+T7</f>
        <v>1629</v>
      </c>
      <c r="V7" s="59">
        <f>U7/24</f>
        <v>67.875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60">
        <f>15+62+25</f>
        <v>102</v>
      </c>
      <c r="D8" s="60"/>
      <c r="E8" s="60"/>
      <c r="F8" s="60"/>
      <c r="G8" s="60"/>
      <c r="H8" s="60"/>
      <c r="I8" s="60"/>
      <c r="J8" s="61"/>
      <c r="K8" s="62"/>
      <c r="L8" s="63"/>
      <c r="M8" s="64"/>
      <c r="N8" s="65"/>
      <c r="O8" s="66"/>
      <c r="P8" s="67"/>
      <c r="Q8" s="67"/>
      <c r="R8" s="68"/>
      <c r="S8" s="63"/>
      <c r="T8" s="69">
        <f t="shared" ref="T8:T41" si="0">H8+I8+J8+K8+N8+P8+R8</f>
        <v>0</v>
      </c>
      <c r="U8" s="70">
        <f>C8*24+M8*24+O8*24+Q8*24+T8</f>
        <v>2448</v>
      </c>
      <c r="V8" s="70">
        <f>U8/24</f>
        <v>102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1">
        <f>5+71</f>
        <v>76</v>
      </c>
      <c r="D9" s="71"/>
      <c r="E9" s="71"/>
      <c r="F9" s="71"/>
      <c r="G9" s="71"/>
      <c r="H9" s="71"/>
      <c r="I9" s="71"/>
      <c r="J9" s="72"/>
      <c r="K9" s="73"/>
      <c r="L9" s="56"/>
      <c r="M9" s="74">
        <v>1</v>
      </c>
      <c r="N9" s="75"/>
      <c r="O9" s="71">
        <v>2</v>
      </c>
      <c r="P9" s="72"/>
      <c r="Q9" s="72">
        <v>1</v>
      </c>
      <c r="R9" s="73"/>
      <c r="S9" s="56"/>
      <c r="T9" s="76">
        <f t="shared" si="0"/>
        <v>0</v>
      </c>
      <c r="U9" s="77">
        <f t="shared" ref="U9:U11" si="2">C9*24+M9*24+O9*24+Q9*24+T9</f>
        <v>1920</v>
      </c>
      <c r="V9" s="77">
        <f t="shared" ref="V9:V11" si="3">U9/24</f>
        <v>80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1">
        <v>38</v>
      </c>
      <c r="D10" s="71"/>
      <c r="E10" s="71"/>
      <c r="F10" s="71"/>
      <c r="G10" s="71"/>
      <c r="H10" s="71"/>
      <c r="I10" s="71"/>
      <c r="J10" s="72"/>
      <c r="K10" s="73"/>
      <c r="L10" s="56"/>
      <c r="M10" s="74">
        <v>1</v>
      </c>
      <c r="N10" s="75"/>
      <c r="O10" s="71">
        <v>1</v>
      </c>
      <c r="P10" s="72"/>
      <c r="Q10" s="72"/>
      <c r="R10" s="73"/>
      <c r="S10" s="56"/>
      <c r="T10" s="59">
        <f t="shared" si="0"/>
        <v>0</v>
      </c>
      <c r="U10" s="59">
        <f t="shared" si="2"/>
        <v>960</v>
      </c>
      <c r="V10" s="59">
        <f t="shared" si="3"/>
        <v>40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1">
        <v>9</v>
      </c>
      <c r="D11" s="71"/>
      <c r="E11" s="71"/>
      <c r="F11" s="71"/>
      <c r="G11" s="71"/>
      <c r="H11" s="71">
        <v>22</v>
      </c>
      <c r="I11" s="71"/>
      <c r="J11" s="72"/>
      <c r="K11" s="73">
        <v>2</v>
      </c>
      <c r="L11" s="56"/>
      <c r="M11" s="74"/>
      <c r="N11" s="75"/>
      <c r="O11" s="71"/>
      <c r="P11" s="72"/>
      <c r="Q11" s="72"/>
      <c r="R11" s="73"/>
      <c r="S11" s="56"/>
      <c r="T11" s="59">
        <f t="shared" si="0"/>
        <v>24</v>
      </c>
      <c r="U11" s="59">
        <f t="shared" si="2"/>
        <v>240</v>
      </c>
      <c r="V11" s="59">
        <f t="shared" si="3"/>
        <v>10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60">
        <f>576+72+1+720+63+60+1008+36+1440</f>
        <v>3976</v>
      </c>
      <c r="D12" s="60"/>
      <c r="E12" s="60"/>
      <c r="F12" s="60"/>
      <c r="G12" s="60"/>
      <c r="H12" s="60"/>
      <c r="I12" s="60"/>
      <c r="J12" s="61"/>
      <c r="K12" s="62"/>
      <c r="L12" s="63"/>
      <c r="M12" s="64">
        <v>11</v>
      </c>
      <c r="N12" s="65">
        <v>23</v>
      </c>
      <c r="O12" s="66">
        <v>14</v>
      </c>
      <c r="P12" s="67"/>
      <c r="Q12" s="67">
        <v>20</v>
      </c>
      <c r="R12" s="68">
        <v>20</v>
      </c>
      <c r="S12" s="63"/>
      <c r="T12" s="59">
        <f t="shared" si="0"/>
        <v>43</v>
      </c>
      <c r="U12" s="70">
        <f>C12*24+M12*24+O12*24+Q12*24+T12</f>
        <v>96547</v>
      </c>
      <c r="V12" s="70">
        <f>U12/24</f>
        <v>4022.7916666666665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1">
        <v>5</v>
      </c>
      <c r="D13" s="71"/>
      <c r="E13" s="71"/>
      <c r="F13" s="71"/>
      <c r="G13" s="71"/>
      <c r="H13" s="71"/>
      <c r="I13" s="71"/>
      <c r="J13" s="72"/>
      <c r="K13" s="73"/>
      <c r="L13" s="56"/>
      <c r="M13" s="74"/>
      <c r="N13" s="75"/>
      <c r="O13" s="71"/>
      <c r="P13" s="72"/>
      <c r="Q13" s="72"/>
      <c r="R13" s="73"/>
      <c r="S13" s="56"/>
      <c r="T13" s="59">
        <f t="shared" si="0"/>
        <v>0</v>
      </c>
      <c r="U13" s="77">
        <f>C13*24+M13*24+O13*24+Q13*24+T13</f>
        <v>120</v>
      </c>
      <c r="V13" s="77">
        <f>U13/24</f>
        <v>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1"/>
      <c r="D14" s="71"/>
      <c r="E14" s="71"/>
      <c r="F14" s="71"/>
      <c r="G14" s="71"/>
      <c r="H14" s="71"/>
      <c r="I14" s="71"/>
      <c r="J14" s="72"/>
      <c r="K14" s="73"/>
      <c r="L14" s="56"/>
      <c r="M14" s="74"/>
      <c r="N14" s="75"/>
      <c r="O14" s="71"/>
      <c r="P14" s="72"/>
      <c r="Q14" s="72"/>
      <c r="R14" s="73"/>
      <c r="S14" s="56"/>
      <c r="T14" s="59">
        <f t="shared" si="0"/>
        <v>0</v>
      </c>
      <c r="U14" s="76">
        <f t="shared" ref="U14:U36" si="4">C14*24+M14*24+O14*24+Q14*24+T14</f>
        <v>0</v>
      </c>
      <c r="V14" s="76">
        <f t="shared" ref="V14:V36" si="5">U14/24</f>
        <v>0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1"/>
      <c r="D15" s="71"/>
      <c r="E15" s="71"/>
      <c r="F15" s="71"/>
      <c r="G15" s="71"/>
      <c r="H15" s="71"/>
      <c r="I15" s="71"/>
      <c r="J15" s="72"/>
      <c r="K15" s="73"/>
      <c r="L15" s="56"/>
      <c r="M15" s="74"/>
      <c r="N15" s="75"/>
      <c r="O15" s="71"/>
      <c r="P15" s="72"/>
      <c r="Q15" s="72"/>
      <c r="R15" s="73"/>
      <c r="S15" s="56"/>
      <c r="T15" s="59">
        <f t="shared" si="0"/>
        <v>0</v>
      </c>
      <c r="U15" s="76">
        <f t="shared" si="4"/>
        <v>0</v>
      </c>
      <c r="V15" s="76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1"/>
      <c r="D16" s="71"/>
      <c r="E16" s="71"/>
      <c r="F16" s="71"/>
      <c r="G16" s="71"/>
      <c r="H16" s="71"/>
      <c r="I16" s="71"/>
      <c r="J16" s="72"/>
      <c r="K16" s="73"/>
      <c r="L16" s="56"/>
      <c r="M16" s="74"/>
      <c r="N16" s="75"/>
      <c r="O16" s="71"/>
      <c r="P16" s="72"/>
      <c r="Q16" s="72"/>
      <c r="R16" s="73"/>
      <c r="S16" s="56"/>
      <c r="T16" s="59">
        <f t="shared" si="0"/>
        <v>0</v>
      </c>
      <c r="U16" s="76">
        <f t="shared" si="4"/>
        <v>0</v>
      </c>
      <c r="V16" s="76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1">
        <v>4</v>
      </c>
      <c r="D17" s="71"/>
      <c r="E17" s="71"/>
      <c r="F17" s="71"/>
      <c r="G17" s="71"/>
      <c r="H17" s="71"/>
      <c r="I17" s="71"/>
      <c r="J17" s="72"/>
      <c r="K17" s="73"/>
      <c r="L17" s="56"/>
      <c r="M17" s="74"/>
      <c r="N17" s="75"/>
      <c r="O17" s="71"/>
      <c r="P17" s="72"/>
      <c r="Q17" s="72"/>
      <c r="R17" s="73"/>
      <c r="S17" s="56"/>
      <c r="T17" s="59">
        <f t="shared" si="0"/>
        <v>0</v>
      </c>
      <c r="U17" s="76">
        <f t="shared" si="4"/>
        <v>96</v>
      </c>
      <c r="V17" s="76">
        <f t="shared" si="5"/>
        <v>4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1"/>
      <c r="D18" s="71"/>
      <c r="E18" s="71"/>
      <c r="F18" s="71"/>
      <c r="G18" s="71"/>
      <c r="H18" s="71"/>
      <c r="I18" s="71"/>
      <c r="J18" s="72"/>
      <c r="K18" s="73"/>
      <c r="L18" s="56"/>
      <c r="M18" s="74"/>
      <c r="N18" s="75"/>
      <c r="O18" s="71"/>
      <c r="P18" s="72"/>
      <c r="Q18" s="72"/>
      <c r="R18" s="73"/>
      <c r="S18" s="56"/>
      <c r="T18" s="59">
        <f t="shared" si="0"/>
        <v>0</v>
      </c>
      <c r="U18" s="76">
        <f t="shared" si="4"/>
        <v>0</v>
      </c>
      <c r="V18" s="76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1">
        <v>4</v>
      </c>
      <c r="D19" s="71"/>
      <c r="E19" s="71"/>
      <c r="F19" s="71"/>
      <c r="G19" s="71"/>
      <c r="H19" s="71"/>
      <c r="I19" s="71"/>
      <c r="J19" s="72"/>
      <c r="K19" s="73"/>
      <c r="L19" s="56"/>
      <c r="M19" s="74"/>
      <c r="N19" s="75"/>
      <c r="O19" s="71"/>
      <c r="P19" s="72"/>
      <c r="Q19" s="72"/>
      <c r="R19" s="73"/>
      <c r="S19" s="56"/>
      <c r="T19" s="59">
        <f t="shared" si="0"/>
        <v>0</v>
      </c>
      <c r="U19" s="76">
        <f t="shared" si="4"/>
        <v>96</v>
      </c>
      <c r="V19" s="76">
        <f t="shared" si="5"/>
        <v>4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1">
        <v>6</v>
      </c>
      <c r="D20" s="71"/>
      <c r="E20" s="71"/>
      <c r="F20" s="71"/>
      <c r="G20" s="71"/>
      <c r="H20" s="71"/>
      <c r="I20" s="71"/>
      <c r="J20" s="72"/>
      <c r="K20" s="73"/>
      <c r="L20" s="56"/>
      <c r="M20" s="74"/>
      <c r="N20" s="75"/>
      <c r="O20" s="71"/>
      <c r="P20" s="72"/>
      <c r="Q20" s="72"/>
      <c r="R20" s="73"/>
      <c r="S20" s="56"/>
      <c r="T20" s="59">
        <f t="shared" si="0"/>
        <v>0</v>
      </c>
      <c r="U20" s="76">
        <f t="shared" si="4"/>
        <v>144</v>
      </c>
      <c r="V20" s="76">
        <f t="shared" si="5"/>
        <v>6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1">
        <v>4</v>
      </c>
      <c r="D21" s="71"/>
      <c r="E21" s="71"/>
      <c r="F21" s="71"/>
      <c r="G21" s="71"/>
      <c r="H21" s="71"/>
      <c r="I21" s="71"/>
      <c r="J21" s="72"/>
      <c r="K21" s="73"/>
      <c r="L21" s="56"/>
      <c r="M21" s="74"/>
      <c r="N21" s="75"/>
      <c r="O21" s="71"/>
      <c r="P21" s="72"/>
      <c r="Q21" s="72"/>
      <c r="R21" s="73"/>
      <c r="S21" s="56"/>
      <c r="T21" s="59">
        <f t="shared" si="0"/>
        <v>0</v>
      </c>
      <c r="U21" s="76">
        <f t="shared" si="4"/>
        <v>96</v>
      </c>
      <c r="V21" s="76">
        <f t="shared" si="5"/>
        <v>4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1">
        <v>2</v>
      </c>
      <c r="D22" s="71"/>
      <c r="E22" s="71"/>
      <c r="F22" s="71"/>
      <c r="G22" s="71"/>
      <c r="H22" s="71"/>
      <c r="I22" s="71"/>
      <c r="J22" s="72"/>
      <c r="K22" s="73"/>
      <c r="L22" s="56"/>
      <c r="M22" s="74"/>
      <c r="N22" s="75"/>
      <c r="O22" s="71"/>
      <c r="P22" s="72"/>
      <c r="Q22" s="72"/>
      <c r="R22" s="73"/>
      <c r="S22" s="56"/>
      <c r="T22" s="59">
        <f t="shared" si="0"/>
        <v>0</v>
      </c>
      <c r="U22" s="76">
        <f t="shared" si="4"/>
        <v>48</v>
      </c>
      <c r="V22" s="76">
        <f t="shared" si="5"/>
        <v>2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1">
        <v>42</v>
      </c>
      <c r="D23" s="71"/>
      <c r="E23" s="71"/>
      <c r="F23" s="71"/>
      <c r="G23" s="71"/>
      <c r="H23" s="71"/>
      <c r="I23" s="71"/>
      <c r="J23" s="72"/>
      <c r="K23" s="73"/>
      <c r="L23" s="56"/>
      <c r="M23" s="74">
        <v>2</v>
      </c>
      <c r="N23" s="75"/>
      <c r="O23" s="71">
        <v>1</v>
      </c>
      <c r="P23" s="72"/>
      <c r="Q23" s="72">
        <v>2</v>
      </c>
      <c r="R23" s="73"/>
      <c r="S23" s="56"/>
      <c r="T23" s="59">
        <f t="shared" si="0"/>
        <v>0</v>
      </c>
      <c r="U23" s="76">
        <f t="shared" si="4"/>
        <v>1128</v>
      </c>
      <c r="V23" s="76">
        <f t="shared" si="5"/>
        <v>47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1">
        <v>7</v>
      </c>
      <c r="D24" s="71"/>
      <c r="E24" s="71"/>
      <c r="F24" s="71"/>
      <c r="G24" s="71"/>
      <c r="H24" s="71"/>
      <c r="I24" s="71"/>
      <c r="J24" s="72"/>
      <c r="K24" s="73"/>
      <c r="L24" s="56"/>
      <c r="M24" s="74"/>
      <c r="N24" s="75"/>
      <c r="O24" s="71"/>
      <c r="P24" s="72"/>
      <c r="Q24" s="72"/>
      <c r="R24" s="73"/>
      <c r="S24" s="56"/>
      <c r="T24" s="59">
        <f t="shared" si="0"/>
        <v>0</v>
      </c>
      <c r="U24" s="76">
        <f t="shared" si="4"/>
        <v>168</v>
      </c>
      <c r="V24" s="76">
        <f t="shared" si="5"/>
        <v>7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1">
        <f>63+59+1</f>
        <v>123</v>
      </c>
      <c r="D25" s="71"/>
      <c r="E25" s="71"/>
      <c r="F25" s="71"/>
      <c r="G25" s="71"/>
      <c r="H25" s="71">
        <v>10</v>
      </c>
      <c r="I25" s="71">
        <v>1</v>
      </c>
      <c r="J25" s="72"/>
      <c r="K25" s="73"/>
      <c r="L25" s="56"/>
      <c r="M25" s="74">
        <v>2</v>
      </c>
      <c r="N25" s="75"/>
      <c r="O25" s="71"/>
      <c r="P25" s="72"/>
      <c r="Q25" s="72"/>
      <c r="R25" s="73"/>
      <c r="S25" s="56"/>
      <c r="T25" s="59">
        <f t="shared" si="0"/>
        <v>11</v>
      </c>
      <c r="U25" s="76">
        <f t="shared" si="4"/>
        <v>3011</v>
      </c>
      <c r="V25" s="76">
        <f t="shared" si="5"/>
        <v>125.45833333333333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1">
        <v>20</v>
      </c>
      <c r="D26" s="71"/>
      <c r="E26" s="71"/>
      <c r="F26" s="71"/>
      <c r="G26" s="71"/>
      <c r="H26" s="71"/>
      <c r="I26" s="71"/>
      <c r="J26" s="72"/>
      <c r="K26" s="73"/>
      <c r="L26" s="56"/>
      <c r="M26" s="74"/>
      <c r="N26" s="75"/>
      <c r="O26" s="71"/>
      <c r="P26" s="72"/>
      <c r="Q26" s="72"/>
      <c r="R26" s="73"/>
      <c r="S26" s="56"/>
      <c r="T26" s="59">
        <f t="shared" si="0"/>
        <v>0</v>
      </c>
      <c r="U26" s="76">
        <f t="shared" si="4"/>
        <v>480</v>
      </c>
      <c r="V26" s="76">
        <f t="shared" si="5"/>
        <v>20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1"/>
      <c r="D27" s="71"/>
      <c r="E27" s="71"/>
      <c r="F27" s="71"/>
      <c r="G27" s="71"/>
      <c r="H27" s="71"/>
      <c r="I27" s="71"/>
      <c r="J27" s="72"/>
      <c r="K27" s="73"/>
      <c r="L27" s="56"/>
      <c r="M27" s="74"/>
      <c r="N27" s="75"/>
      <c r="O27" s="71"/>
      <c r="P27" s="72"/>
      <c r="Q27" s="72"/>
      <c r="R27" s="73"/>
      <c r="S27" s="56"/>
      <c r="T27" s="59"/>
      <c r="U27" s="76"/>
      <c r="V27" s="76"/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1">
        <f>64+32</f>
        <v>96</v>
      </c>
      <c r="D28" s="71"/>
      <c r="E28" s="71"/>
      <c r="F28" s="71"/>
      <c r="G28" s="71"/>
      <c r="H28" s="71"/>
      <c r="I28" s="71"/>
      <c r="J28" s="72"/>
      <c r="K28" s="73"/>
      <c r="L28" s="56"/>
      <c r="M28" s="74">
        <v>2</v>
      </c>
      <c r="N28" s="75"/>
      <c r="O28" s="71">
        <v>2</v>
      </c>
      <c r="P28" s="72"/>
      <c r="Q28" s="72">
        <v>3</v>
      </c>
      <c r="R28" s="73"/>
      <c r="S28" s="56"/>
      <c r="T28" s="59">
        <f t="shared" si="0"/>
        <v>0</v>
      </c>
      <c r="U28" s="76">
        <f t="shared" si="4"/>
        <v>2472</v>
      </c>
      <c r="V28" s="76">
        <f t="shared" si="5"/>
        <v>103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1">
        <v>10</v>
      </c>
      <c r="D29" s="71"/>
      <c r="E29" s="71"/>
      <c r="F29" s="71"/>
      <c r="G29" s="71"/>
      <c r="H29" s="71"/>
      <c r="I29" s="71"/>
      <c r="J29" s="72"/>
      <c r="K29" s="73"/>
      <c r="L29" s="56"/>
      <c r="M29" s="74"/>
      <c r="N29" s="75"/>
      <c r="O29" s="71"/>
      <c r="P29" s="72"/>
      <c r="Q29" s="72"/>
      <c r="R29" s="73"/>
      <c r="S29" s="56"/>
      <c r="T29" s="59">
        <f t="shared" si="0"/>
        <v>0</v>
      </c>
      <c r="U29" s="76">
        <f t="shared" si="4"/>
        <v>240</v>
      </c>
      <c r="V29" s="76">
        <f t="shared" si="5"/>
        <v>10</v>
      </c>
    </row>
    <row r="30" spans="1:54" x14ac:dyDescent="0.25">
      <c r="A30" s="27">
        <f t="shared" si="1"/>
        <v>27</v>
      </c>
      <c r="B30" s="26" t="s">
        <v>15</v>
      </c>
      <c r="C30" s="71">
        <v>57</v>
      </c>
      <c r="D30" s="71"/>
      <c r="E30" s="71"/>
      <c r="F30" s="71"/>
      <c r="G30" s="71"/>
      <c r="H30" s="71"/>
      <c r="I30" s="71"/>
      <c r="J30" s="72"/>
      <c r="K30" s="73"/>
      <c r="L30" s="56"/>
      <c r="M30" s="74"/>
      <c r="N30" s="75"/>
      <c r="O30" s="71">
        <v>2</v>
      </c>
      <c r="P30" s="72"/>
      <c r="Q30" s="72">
        <v>1</v>
      </c>
      <c r="R30" s="73"/>
      <c r="S30" s="56"/>
      <c r="T30" s="59">
        <f t="shared" si="0"/>
        <v>0</v>
      </c>
      <c r="U30" s="76">
        <f t="shared" si="4"/>
        <v>1440</v>
      </c>
      <c r="V30" s="76">
        <f t="shared" si="5"/>
        <v>60</v>
      </c>
    </row>
    <row r="31" spans="1:54" x14ac:dyDescent="0.25">
      <c r="A31" s="27">
        <f t="shared" si="1"/>
        <v>28</v>
      </c>
      <c r="B31" s="26" t="s">
        <v>12</v>
      </c>
      <c r="C31" s="71">
        <f>11+4</f>
        <v>15</v>
      </c>
      <c r="D31" s="71"/>
      <c r="E31" s="71"/>
      <c r="F31" s="71"/>
      <c r="G31" s="71"/>
      <c r="H31" s="71"/>
      <c r="I31" s="71"/>
      <c r="J31" s="72"/>
      <c r="K31" s="73"/>
      <c r="L31" s="56"/>
      <c r="M31" s="74"/>
      <c r="N31" s="75"/>
      <c r="O31" s="71">
        <v>1</v>
      </c>
      <c r="P31" s="72"/>
      <c r="Q31" s="72"/>
      <c r="R31" s="73"/>
      <c r="S31" s="56"/>
      <c r="T31" s="59">
        <f t="shared" si="0"/>
        <v>0</v>
      </c>
      <c r="U31" s="76">
        <f t="shared" si="4"/>
        <v>384</v>
      </c>
      <c r="V31" s="76">
        <f t="shared" si="5"/>
        <v>16</v>
      </c>
    </row>
    <row r="32" spans="1:54" x14ac:dyDescent="0.25">
      <c r="A32" s="27">
        <f t="shared" si="1"/>
        <v>29</v>
      </c>
      <c r="B32" s="26" t="s">
        <v>14</v>
      </c>
      <c r="C32" s="71"/>
      <c r="D32" s="71"/>
      <c r="E32" s="71"/>
      <c r="F32" s="71"/>
      <c r="G32" s="71"/>
      <c r="H32" s="71"/>
      <c r="I32" s="71"/>
      <c r="J32" s="72"/>
      <c r="K32" s="73"/>
      <c r="L32" s="56"/>
      <c r="M32" s="74"/>
      <c r="N32" s="75"/>
      <c r="O32" s="71"/>
      <c r="P32" s="72"/>
      <c r="Q32" s="72"/>
      <c r="R32" s="73"/>
      <c r="S32" s="56"/>
      <c r="T32" s="59">
        <f t="shared" si="0"/>
        <v>0</v>
      </c>
      <c r="U32" s="76">
        <f t="shared" si="4"/>
        <v>0</v>
      </c>
      <c r="V32" s="76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1">
        <v>3</v>
      </c>
      <c r="D33" s="71"/>
      <c r="E33" s="71"/>
      <c r="F33" s="71"/>
      <c r="G33" s="71"/>
      <c r="H33" s="71"/>
      <c r="I33" s="71"/>
      <c r="J33" s="72"/>
      <c r="K33" s="73"/>
      <c r="L33" s="56"/>
      <c r="M33" s="74"/>
      <c r="N33" s="75"/>
      <c r="O33" s="71"/>
      <c r="P33" s="72"/>
      <c r="Q33" s="72"/>
      <c r="R33" s="73"/>
      <c r="S33" s="56"/>
      <c r="T33" s="59">
        <f t="shared" si="0"/>
        <v>0</v>
      </c>
      <c r="U33" s="76">
        <f t="shared" si="4"/>
        <v>72</v>
      </c>
      <c r="V33" s="76">
        <f t="shared" si="5"/>
        <v>3</v>
      </c>
    </row>
    <row r="34" spans="1:23" x14ac:dyDescent="0.25">
      <c r="A34" s="27">
        <f t="shared" si="1"/>
        <v>31</v>
      </c>
      <c r="B34" s="26" t="s">
        <v>17</v>
      </c>
      <c r="C34" s="71">
        <f>70+72</f>
        <v>142</v>
      </c>
      <c r="D34" s="71"/>
      <c r="E34" s="71"/>
      <c r="F34" s="71"/>
      <c r="G34" s="71"/>
      <c r="H34" s="71">
        <v>4</v>
      </c>
      <c r="I34" s="71"/>
      <c r="J34" s="72"/>
      <c r="K34" s="73">
        <v>1</v>
      </c>
      <c r="L34" s="56"/>
      <c r="M34" s="74">
        <v>1</v>
      </c>
      <c r="N34" s="75">
        <v>12</v>
      </c>
      <c r="O34" s="71"/>
      <c r="P34" s="72"/>
      <c r="Q34" s="72">
        <v>2</v>
      </c>
      <c r="R34" s="73"/>
      <c r="S34" s="56"/>
      <c r="T34" s="59">
        <f t="shared" si="0"/>
        <v>17</v>
      </c>
      <c r="U34" s="76">
        <f t="shared" si="4"/>
        <v>3497</v>
      </c>
      <c r="V34" s="76">
        <f t="shared" si="5"/>
        <v>145.70833333333334</v>
      </c>
    </row>
    <row r="35" spans="1:23" hidden="1" x14ac:dyDescent="0.25">
      <c r="A35" s="27">
        <f t="shared" si="1"/>
        <v>32</v>
      </c>
      <c r="B35" s="26" t="s">
        <v>25</v>
      </c>
      <c r="C35" s="71"/>
      <c r="D35" s="71"/>
      <c r="E35" s="71"/>
      <c r="F35" s="71"/>
      <c r="G35" s="71"/>
      <c r="H35" s="71"/>
      <c r="I35" s="71"/>
      <c r="J35" s="72"/>
      <c r="K35" s="73"/>
      <c r="L35" s="56"/>
      <c r="M35" s="74"/>
      <c r="N35" s="75"/>
      <c r="O35" s="71"/>
      <c r="P35" s="72"/>
      <c r="Q35" s="72"/>
      <c r="R35" s="73"/>
      <c r="S35" s="56"/>
      <c r="T35" s="59">
        <f t="shared" si="0"/>
        <v>0</v>
      </c>
      <c r="U35" s="76">
        <f t="shared" si="4"/>
        <v>0</v>
      </c>
      <c r="V35" s="76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1"/>
      <c r="D36" s="71"/>
      <c r="E36" s="71"/>
      <c r="F36" s="71"/>
      <c r="G36" s="71"/>
      <c r="H36" s="71"/>
      <c r="I36" s="71"/>
      <c r="J36" s="72"/>
      <c r="K36" s="73"/>
      <c r="L36" s="56"/>
      <c r="M36" s="74"/>
      <c r="N36" s="75"/>
      <c r="O36" s="71"/>
      <c r="P36" s="72"/>
      <c r="Q36" s="72"/>
      <c r="R36" s="73"/>
      <c r="S36" s="56"/>
      <c r="T36" s="59">
        <f t="shared" si="0"/>
        <v>0</v>
      </c>
      <c r="U36" s="76">
        <f t="shared" si="4"/>
        <v>0</v>
      </c>
      <c r="V36" s="76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60">
        <f>540+51+2376+1512</f>
        <v>4479</v>
      </c>
      <c r="D37" s="60"/>
      <c r="E37" s="60"/>
      <c r="F37" s="60"/>
      <c r="G37" s="60"/>
      <c r="H37" s="60">
        <v>2</v>
      </c>
      <c r="I37" s="60"/>
      <c r="J37" s="61"/>
      <c r="K37" s="62">
        <v>6</v>
      </c>
      <c r="L37" s="63"/>
      <c r="M37" s="64">
        <v>35</v>
      </c>
      <c r="N37" s="65"/>
      <c r="O37" s="66">
        <v>42</v>
      </c>
      <c r="P37" s="67"/>
      <c r="Q37" s="67">
        <v>79</v>
      </c>
      <c r="R37" s="68"/>
      <c r="S37" s="63"/>
      <c r="T37" s="78">
        <f t="shared" si="0"/>
        <v>8</v>
      </c>
      <c r="U37" s="78">
        <f>C37*6+M37*6+O37*6+Q37*6+T37</f>
        <v>27818</v>
      </c>
      <c r="V37" s="78">
        <f>U37/6</f>
        <v>4636.333333333333</v>
      </c>
      <c r="W37" s="50"/>
    </row>
    <row r="38" spans="1:23" x14ac:dyDescent="0.25">
      <c r="A38" s="27">
        <f t="shared" si="1"/>
        <v>35</v>
      </c>
      <c r="B38" s="25" t="s">
        <v>20</v>
      </c>
      <c r="C38" s="71">
        <f>15+2+2</f>
        <v>19</v>
      </c>
      <c r="D38" s="71"/>
      <c r="E38" s="71"/>
      <c r="F38" s="71"/>
      <c r="G38" s="71"/>
      <c r="H38" s="71"/>
      <c r="I38" s="71"/>
      <c r="J38" s="72"/>
      <c r="K38" s="73"/>
      <c r="L38" s="56"/>
      <c r="M38" s="74"/>
      <c r="N38" s="75"/>
      <c r="O38" s="71"/>
      <c r="P38" s="72"/>
      <c r="Q38" s="72"/>
      <c r="R38" s="73"/>
      <c r="S38" s="56"/>
      <c r="T38" s="76">
        <f t="shared" si="0"/>
        <v>0</v>
      </c>
      <c r="U38" s="76">
        <f>C38*24+M38*24+O38*24+Q38*24+T38</f>
        <v>456</v>
      </c>
      <c r="V38" s="76">
        <f>U38/24</f>
        <v>19</v>
      </c>
    </row>
    <row r="39" spans="1:23" x14ac:dyDescent="0.25">
      <c r="A39" s="27">
        <f t="shared" si="1"/>
        <v>36</v>
      </c>
      <c r="B39" s="51" t="s">
        <v>62</v>
      </c>
      <c r="C39" s="79"/>
      <c r="D39" s="79"/>
      <c r="E39" s="79"/>
      <c r="F39" s="79"/>
      <c r="G39" s="79"/>
      <c r="H39" s="79"/>
      <c r="I39" s="79"/>
      <c r="J39" s="80"/>
      <c r="K39" s="81"/>
      <c r="L39" s="56"/>
      <c r="M39" s="57"/>
      <c r="N39" s="58"/>
      <c r="O39" s="53"/>
      <c r="P39" s="54"/>
      <c r="Q39" s="53"/>
      <c r="R39" s="81"/>
      <c r="S39" s="56"/>
      <c r="T39" s="84"/>
      <c r="U39" s="84"/>
      <c r="V39" s="84"/>
    </row>
    <row r="40" spans="1:23" ht="19.5" thickBot="1" x14ac:dyDescent="0.3">
      <c r="A40" s="27">
        <f t="shared" si="1"/>
        <v>37</v>
      </c>
      <c r="B40" s="42" t="s">
        <v>21</v>
      </c>
      <c r="C40" s="60">
        <f>51+504</f>
        <v>555</v>
      </c>
      <c r="D40" s="60"/>
      <c r="E40" s="60"/>
      <c r="F40" s="60"/>
      <c r="G40" s="60"/>
      <c r="H40" s="60">
        <v>4</v>
      </c>
      <c r="I40" s="60"/>
      <c r="J40" s="61"/>
      <c r="K40" s="62">
        <v>20</v>
      </c>
      <c r="L40" s="63"/>
      <c r="M40" s="64"/>
      <c r="N40" s="65"/>
      <c r="O40" s="66">
        <v>1</v>
      </c>
      <c r="P40" s="67"/>
      <c r="Q40" s="67">
        <v>2</v>
      </c>
      <c r="R40" s="68"/>
      <c r="S40" s="63"/>
      <c r="T40" s="78">
        <f t="shared" si="0"/>
        <v>24</v>
      </c>
      <c r="U40" s="78">
        <f>C40*24+M40*24+O40*24+Q40*24+T40</f>
        <v>13416</v>
      </c>
      <c r="V40" s="78">
        <f>U40/24</f>
        <v>559</v>
      </c>
    </row>
    <row r="41" spans="1:23" ht="19.5" thickBot="1" x14ac:dyDescent="0.3">
      <c r="A41" s="27">
        <f t="shared" si="1"/>
        <v>38</v>
      </c>
      <c r="B41" s="43" t="s">
        <v>22</v>
      </c>
      <c r="C41" s="85">
        <f>1440+6</f>
        <v>1446</v>
      </c>
      <c r="D41" s="85"/>
      <c r="E41" s="85"/>
      <c r="F41" s="85"/>
      <c r="G41" s="85"/>
      <c r="H41" s="85"/>
      <c r="I41" s="85"/>
      <c r="J41" s="86"/>
      <c r="K41" s="87"/>
      <c r="L41" s="88"/>
      <c r="M41" s="89">
        <v>10</v>
      </c>
      <c r="N41" s="90"/>
      <c r="O41" s="85">
        <v>9</v>
      </c>
      <c r="P41" s="86"/>
      <c r="Q41" s="86">
        <v>20</v>
      </c>
      <c r="R41" s="87"/>
      <c r="S41" s="88"/>
      <c r="T41" s="91">
        <f t="shared" si="0"/>
        <v>0</v>
      </c>
      <c r="U41" s="91">
        <f>C41*12+M41*12+O41*12+Q41*12+T41</f>
        <v>17820</v>
      </c>
      <c r="V41" s="91">
        <f>U41/12</f>
        <v>1485</v>
      </c>
    </row>
    <row r="42" spans="1:23" hidden="1" x14ac:dyDescent="0.25">
      <c r="A42" s="27">
        <f t="shared" si="1"/>
        <v>39</v>
      </c>
      <c r="B42" s="25" t="s">
        <v>29</v>
      </c>
      <c r="C42" s="71"/>
      <c r="D42" s="71"/>
      <c r="E42" s="71"/>
      <c r="F42" s="71"/>
      <c r="G42" s="71"/>
      <c r="H42" s="71"/>
      <c r="I42" s="71"/>
      <c r="J42" s="72"/>
      <c r="K42" s="73"/>
      <c r="L42" s="56"/>
      <c r="M42" s="74"/>
      <c r="N42" s="75"/>
      <c r="O42" s="71"/>
      <c r="P42" s="72"/>
      <c r="Q42" s="72"/>
      <c r="R42" s="73"/>
      <c r="S42" s="56"/>
      <c r="T42" s="76"/>
      <c r="U42" s="76"/>
      <c r="V42" s="76"/>
    </row>
    <row r="43" spans="1:23" ht="19.5" thickBot="1" x14ac:dyDescent="0.3">
      <c r="A43" s="27">
        <f t="shared" si="1"/>
        <v>40</v>
      </c>
      <c r="B43" s="42" t="s">
        <v>23</v>
      </c>
      <c r="C43" s="66">
        <f>864+84+5940+8424+5400+4644+7128</f>
        <v>32484</v>
      </c>
      <c r="D43" s="66"/>
      <c r="E43" s="66"/>
      <c r="F43" s="66"/>
      <c r="G43" s="66"/>
      <c r="H43" s="66">
        <v>1</v>
      </c>
      <c r="I43" s="66">
        <v>7</v>
      </c>
      <c r="J43" s="67">
        <f>4*6+3</f>
        <v>27</v>
      </c>
      <c r="K43" s="68">
        <f>93*6+5</f>
        <v>563</v>
      </c>
      <c r="L43" s="63"/>
      <c r="M43" s="64">
        <v>419</v>
      </c>
      <c r="N43" s="65"/>
      <c r="O43" s="66">
        <v>364</v>
      </c>
      <c r="P43" s="67"/>
      <c r="Q43" s="67">
        <v>425</v>
      </c>
      <c r="R43" s="68"/>
      <c r="S43" s="63"/>
      <c r="T43" s="78">
        <f t="shared" ref="T43" si="6">H43+I43+J43+K43+N43+P43+R43</f>
        <v>598</v>
      </c>
      <c r="U43" s="78">
        <f>C43*6+M43*6+O43*6+Q43*6+T43</f>
        <v>202750</v>
      </c>
      <c r="V43" s="78">
        <f>U43/6</f>
        <v>33791.666666666664</v>
      </c>
    </row>
    <row r="44" spans="1:23" hidden="1" x14ac:dyDescent="0.25">
      <c r="A44" s="27">
        <f t="shared" si="1"/>
        <v>41</v>
      </c>
      <c r="B44" s="25" t="s">
        <v>31</v>
      </c>
      <c r="C44" s="71"/>
      <c r="D44" s="71"/>
      <c r="E44" s="71"/>
      <c r="F44" s="71"/>
      <c r="G44" s="71"/>
      <c r="H44" s="71"/>
      <c r="I44" s="71"/>
      <c r="J44" s="72"/>
      <c r="K44" s="73"/>
      <c r="L44" s="56"/>
      <c r="M44" s="74"/>
      <c r="N44" s="75"/>
      <c r="O44" s="71"/>
      <c r="P44" s="72"/>
      <c r="Q44" s="72"/>
      <c r="R44" s="73"/>
      <c r="S44" s="56"/>
      <c r="T44" s="76"/>
      <c r="U44" s="76"/>
      <c r="V44" s="76"/>
    </row>
    <row r="45" spans="1:23" x14ac:dyDescent="0.25">
      <c r="A45" s="27">
        <f t="shared" si="1"/>
        <v>42</v>
      </c>
      <c r="B45" s="26" t="s">
        <v>24</v>
      </c>
      <c r="C45" s="71"/>
      <c r="D45" s="71"/>
      <c r="E45" s="71"/>
      <c r="F45" s="71"/>
      <c r="G45" s="71"/>
      <c r="H45" s="71"/>
      <c r="I45" s="71"/>
      <c r="J45" s="72"/>
      <c r="K45" s="73"/>
      <c r="L45" s="56"/>
      <c r="M45" s="74"/>
      <c r="N45" s="75"/>
      <c r="O45" s="71"/>
      <c r="P45" s="72"/>
      <c r="Q45" s="72"/>
      <c r="R45" s="73"/>
      <c r="S45" s="56"/>
      <c r="T45" s="76">
        <f t="shared" ref="T45:T54" si="7">H45+I45+J45+K45+N45+P45+R45</f>
        <v>0</v>
      </c>
      <c r="U45" s="76">
        <f>C45*24+M45*24+O45*24+Q45*24+T45</f>
        <v>0</v>
      </c>
      <c r="V45" s="76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1">
        <v>4</v>
      </c>
      <c r="D46" s="71"/>
      <c r="E46" s="71"/>
      <c r="F46" s="71"/>
      <c r="G46" s="71"/>
      <c r="H46" s="71"/>
      <c r="I46" s="71"/>
      <c r="J46" s="72"/>
      <c r="K46" s="73"/>
      <c r="L46" s="56"/>
      <c r="M46" s="74"/>
      <c r="N46" s="75"/>
      <c r="O46" s="71"/>
      <c r="P46" s="72"/>
      <c r="Q46" s="72"/>
      <c r="R46" s="73"/>
      <c r="S46" s="56"/>
      <c r="T46" s="76">
        <f t="shared" si="7"/>
        <v>0</v>
      </c>
      <c r="U46" s="76">
        <f t="shared" ref="U46:U50" si="8">C46*24+M46*24+O46*24+Q46*24+T46</f>
        <v>96</v>
      </c>
      <c r="V46" s="76">
        <f t="shared" ref="V46:V54" si="9">U46/24</f>
        <v>4</v>
      </c>
    </row>
    <row r="47" spans="1:23" ht="19.5" thickBot="1" x14ac:dyDescent="0.3">
      <c r="A47" s="27">
        <f t="shared" si="1"/>
        <v>44</v>
      </c>
      <c r="B47" s="42" t="s">
        <v>25</v>
      </c>
      <c r="C47" s="66">
        <f>22+2268+44</f>
        <v>2334</v>
      </c>
      <c r="D47" s="66"/>
      <c r="E47" s="66"/>
      <c r="F47" s="66"/>
      <c r="G47" s="66"/>
      <c r="H47" s="66"/>
      <c r="I47" s="66"/>
      <c r="J47" s="67"/>
      <c r="K47" s="68">
        <v>6</v>
      </c>
      <c r="L47" s="63"/>
      <c r="M47" s="64">
        <v>7</v>
      </c>
      <c r="N47" s="65"/>
      <c r="O47" s="66">
        <v>3</v>
      </c>
      <c r="P47" s="67">
        <v>4</v>
      </c>
      <c r="Q47" s="67">
        <v>10</v>
      </c>
      <c r="R47" s="68"/>
      <c r="S47" s="63"/>
      <c r="T47" s="78">
        <f t="shared" si="7"/>
        <v>10</v>
      </c>
      <c r="U47" s="78">
        <f>C47*6+M47*6+O47*6+Q47*6+T47</f>
        <v>14134</v>
      </c>
      <c r="V47" s="78">
        <f>U47/6</f>
        <v>2355.6666666666665</v>
      </c>
    </row>
    <row r="48" spans="1:23" x14ac:dyDescent="0.25">
      <c r="A48" s="27">
        <f t="shared" si="1"/>
        <v>45</v>
      </c>
      <c r="B48" s="25" t="s">
        <v>58</v>
      </c>
      <c r="C48" s="71">
        <v>1</v>
      </c>
      <c r="D48" s="71"/>
      <c r="E48" s="71"/>
      <c r="F48" s="71"/>
      <c r="G48" s="71"/>
      <c r="H48" s="71"/>
      <c r="I48" s="71"/>
      <c r="J48" s="72"/>
      <c r="K48" s="73"/>
      <c r="L48" s="56"/>
      <c r="M48" s="74"/>
      <c r="N48" s="75"/>
      <c r="O48" s="71"/>
      <c r="P48" s="72"/>
      <c r="Q48" s="72"/>
      <c r="R48" s="73"/>
      <c r="S48" s="56"/>
      <c r="T48" s="76">
        <f t="shared" si="7"/>
        <v>0</v>
      </c>
      <c r="U48" s="76">
        <f t="shared" si="8"/>
        <v>24</v>
      </c>
      <c r="V48" s="76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1"/>
      <c r="D49" s="71"/>
      <c r="E49" s="71"/>
      <c r="F49" s="71"/>
      <c r="G49" s="71"/>
      <c r="H49" s="71"/>
      <c r="I49" s="71"/>
      <c r="J49" s="72"/>
      <c r="K49" s="73"/>
      <c r="L49" s="56"/>
      <c r="M49" s="74"/>
      <c r="N49" s="75"/>
      <c r="O49" s="71"/>
      <c r="P49" s="72"/>
      <c r="Q49" s="72"/>
      <c r="R49" s="73"/>
      <c r="S49" s="56"/>
      <c r="T49" s="76">
        <f t="shared" si="7"/>
        <v>0</v>
      </c>
      <c r="U49" s="76">
        <f t="shared" si="8"/>
        <v>0</v>
      </c>
      <c r="V49" s="76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1"/>
      <c r="D50" s="71"/>
      <c r="E50" s="71"/>
      <c r="F50" s="71"/>
      <c r="G50" s="71"/>
      <c r="H50" s="71"/>
      <c r="I50" s="71"/>
      <c r="J50" s="72"/>
      <c r="K50" s="73"/>
      <c r="L50" s="56"/>
      <c r="M50" s="74"/>
      <c r="N50" s="75"/>
      <c r="O50" s="71"/>
      <c r="P50" s="72"/>
      <c r="Q50" s="72"/>
      <c r="R50" s="73"/>
      <c r="S50" s="56"/>
      <c r="T50" s="76">
        <f t="shared" si="7"/>
        <v>0</v>
      </c>
      <c r="U50" s="76">
        <f t="shared" si="8"/>
        <v>0</v>
      </c>
      <c r="V50" s="76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6">
        <v>34</v>
      </c>
      <c r="D51" s="66"/>
      <c r="E51" s="66"/>
      <c r="F51" s="66"/>
      <c r="G51" s="66"/>
      <c r="H51" s="66"/>
      <c r="I51" s="66"/>
      <c r="J51" s="67"/>
      <c r="K51" s="68"/>
      <c r="L51" s="63"/>
      <c r="M51" s="64"/>
      <c r="N51" s="65"/>
      <c r="O51" s="66"/>
      <c r="P51" s="67"/>
      <c r="Q51" s="67"/>
      <c r="R51" s="68"/>
      <c r="S51" s="63"/>
      <c r="T51" s="78">
        <f t="shared" si="7"/>
        <v>0</v>
      </c>
      <c r="U51" s="78">
        <f>C51*6+M51*6+O51*6+Q51*6+T51</f>
        <v>204</v>
      </c>
      <c r="V51" s="78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1"/>
      <c r="D52" s="71"/>
      <c r="E52" s="71"/>
      <c r="F52" s="71"/>
      <c r="G52" s="71"/>
      <c r="H52" s="71"/>
      <c r="I52" s="71"/>
      <c r="J52" s="72"/>
      <c r="K52" s="73"/>
      <c r="L52" s="56"/>
      <c r="M52" s="74"/>
      <c r="N52" s="75"/>
      <c r="O52" s="71"/>
      <c r="P52" s="72"/>
      <c r="Q52" s="72"/>
      <c r="R52" s="73"/>
      <c r="S52" s="56"/>
      <c r="T52" s="76">
        <f t="shared" si="7"/>
        <v>0</v>
      </c>
      <c r="U52" s="76">
        <f t="shared" ref="U52:U54" si="10">C52*24+M52*24+O52*24+Q52*24+T52</f>
        <v>0</v>
      </c>
      <c r="V52" s="76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1">
        <f>4+2</f>
        <v>6</v>
      </c>
      <c r="D53" s="71"/>
      <c r="E53" s="71"/>
      <c r="F53" s="71"/>
      <c r="G53" s="71"/>
      <c r="H53" s="71"/>
      <c r="I53" s="71"/>
      <c r="J53" s="72"/>
      <c r="K53" s="73"/>
      <c r="L53" s="56"/>
      <c r="M53" s="74"/>
      <c r="N53" s="75"/>
      <c r="O53" s="71"/>
      <c r="P53" s="72"/>
      <c r="Q53" s="72"/>
      <c r="R53" s="73"/>
      <c r="S53" s="56"/>
      <c r="T53" s="76">
        <f t="shared" si="7"/>
        <v>0</v>
      </c>
      <c r="U53" s="76">
        <f t="shared" si="10"/>
        <v>144</v>
      </c>
      <c r="V53" s="76">
        <f t="shared" si="9"/>
        <v>6</v>
      </c>
    </row>
    <row r="54" spans="1:22" x14ac:dyDescent="0.25">
      <c r="A54" s="27">
        <f t="shared" si="1"/>
        <v>51</v>
      </c>
      <c r="B54" s="26"/>
      <c r="C54" s="71"/>
      <c r="D54" s="71"/>
      <c r="E54" s="71"/>
      <c r="F54" s="71"/>
      <c r="G54" s="71"/>
      <c r="H54" s="71"/>
      <c r="I54" s="71"/>
      <c r="J54" s="72"/>
      <c r="K54" s="73"/>
      <c r="L54" s="56"/>
      <c r="M54" s="74"/>
      <c r="N54" s="75"/>
      <c r="O54" s="71"/>
      <c r="P54" s="72"/>
      <c r="Q54" s="72"/>
      <c r="R54" s="73"/>
      <c r="S54" s="56"/>
      <c r="T54" s="76">
        <f t="shared" si="7"/>
        <v>0</v>
      </c>
      <c r="U54" s="76">
        <f t="shared" si="10"/>
        <v>0</v>
      </c>
      <c r="V54" s="76">
        <f t="shared" si="9"/>
        <v>0</v>
      </c>
    </row>
    <row r="55" spans="1:22" x14ac:dyDescent="0.25">
      <c r="A55" s="27">
        <f t="shared" si="1"/>
        <v>52</v>
      </c>
      <c r="B55" s="26"/>
      <c r="C55" s="71"/>
      <c r="D55" s="71"/>
      <c r="E55" s="71"/>
      <c r="F55" s="71"/>
      <c r="G55" s="71"/>
      <c r="H55" s="71"/>
      <c r="I55" s="71"/>
      <c r="J55" s="72"/>
      <c r="K55" s="73"/>
      <c r="L55" s="56"/>
      <c r="M55" s="74"/>
      <c r="N55" s="75"/>
      <c r="O55" s="71"/>
      <c r="P55" s="72"/>
      <c r="Q55" s="72"/>
      <c r="R55" s="73"/>
      <c r="S55" s="56"/>
      <c r="T55" s="76"/>
      <c r="U55" s="76"/>
      <c r="V55" s="76"/>
    </row>
    <row r="56" spans="1:22" x14ac:dyDescent="0.25">
      <c r="A56" s="27">
        <f t="shared" si="1"/>
        <v>53</v>
      </c>
      <c r="B56" s="26"/>
      <c r="C56" s="71"/>
      <c r="D56" s="71"/>
      <c r="E56" s="71"/>
      <c r="F56" s="71"/>
      <c r="G56" s="71"/>
      <c r="H56" s="71"/>
      <c r="I56" s="71"/>
      <c r="J56" s="72"/>
      <c r="K56" s="73"/>
      <c r="L56" s="56"/>
      <c r="M56" s="74"/>
      <c r="N56" s="75"/>
      <c r="O56" s="71"/>
      <c r="P56" s="72"/>
      <c r="Q56" s="72"/>
      <c r="R56" s="73"/>
      <c r="S56" s="56"/>
      <c r="T56" s="76"/>
      <c r="U56" s="76"/>
      <c r="V56" s="76"/>
    </row>
    <row r="57" spans="1:22" x14ac:dyDescent="0.25">
      <c r="A57" s="27">
        <f t="shared" si="1"/>
        <v>54</v>
      </c>
      <c r="B57" s="26"/>
      <c r="C57" s="71"/>
      <c r="D57" s="71"/>
      <c r="E57" s="71"/>
      <c r="F57" s="71"/>
      <c r="G57" s="71"/>
      <c r="H57" s="71"/>
      <c r="I57" s="71"/>
      <c r="J57" s="72"/>
      <c r="K57" s="73"/>
      <c r="L57" s="56"/>
      <c r="M57" s="74"/>
      <c r="N57" s="75"/>
      <c r="O57" s="71"/>
      <c r="P57" s="72"/>
      <c r="Q57" s="72"/>
      <c r="R57" s="73"/>
      <c r="S57" s="56"/>
      <c r="T57" s="76"/>
      <c r="U57" s="76"/>
      <c r="V57" s="76"/>
    </row>
    <row r="58" spans="1:22" s="15" customFormat="1" ht="19.5" thickBot="1" x14ac:dyDescent="0.3">
      <c r="B58" s="29" t="s">
        <v>50</v>
      </c>
      <c r="C58" s="2">
        <f>SUM(C7:C57)</f>
        <v>46165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45</v>
      </c>
      <c r="I58" s="6">
        <f t="shared" si="11"/>
        <v>9</v>
      </c>
      <c r="J58" s="6">
        <f t="shared" si="11"/>
        <v>27</v>
      </c>
      <c r="K58" s="6">
        <f t="shared" si="11"/>
        <v>604</v>
      </c>
      <c r="M58" s="5">
        <f t="shared" ref="M58:R58" si="12">SUM(M7:M57)</f>
        <v>492</v>
      </c>
      <c r="N58" s="5">
        <f t="shared" si="12"/>
        <v>35</v>
      </c>
      <c r="O58" s="5">
        <f t="shared" si="12"/>
        <v>444</v>
      </c>
      <c r="P58" s="5">
        <f t="shared" si="12"/>
        <v>16</v>
      </c>
      <c r="Q58" s="5">
        <f t="shared" si="12"/>
        <v>567</v>
      </c>
      <c r="R58" s="5">
        <f t="shared" si="12"/>
        <v>20</v>
      </c>
      <c r="S58" s="56"/>
      <c r="T58" s="4">
        <f>SUM(T7:T57)</f>
        <v>756</v>
      </c>
      <c r="U58" s="95">
        <f>SUM(U7:U57)</f>
        <v>394098</v>
      </c>
      <c r="V58" s="4">
        <f>SUM(V7:V57)</f>
        <v>47776.499999999993</v>
      </c>
    </row>
    <row r="59" spans="1:22" ht="7.5" customHeight="1" thickBot="1" x14ac:dyDescent="0.3"/>
    <row r="60" spans="1:22" ht="19.5" thickBot="1" x14ac:dyDescent="0.3">
      <c r="B60" s="30" t="s">
        <v>37</v>
      </c>
      <c r="C60" s="108" t="s">
        <v>41</v>
      </c>
      <c r="D60" s="109"/>
      <c r="E60" s="109"/>
      <c r="F60" s="109"/>
      <c r="G60" s="109"/>
      <c r="H60" s="109"/>
      <c r="I60" s="109"/>
      <c r="J60" s="109"/>
      <c r="K60" s="110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5107-2D0F-49CA-A3C8-528FF5A5B42C}">
  <sheetPr>
    <pageSetUpPr fitToPage="1"/>
  </sheetPr>
  <dimension ref="A1:BB81"/>
  <sheetViews>
    <sheetView zoomScaleNormal="100" zoomScaleSheetLayoutView="115" workbookViewId="0">
      <selection activeCell="U58" sqref="U58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6.710937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1" t="s">
        <v>43</v>
      </c>
      <c r="J1" s="111"/>
      <c r="K1" s="111"/>
      <c r="L1" s="111"/>
      <c r="M1" s="111"/>
      <c r="N1" s="111"/>
      <c r="O1" s="111"/>
      <c r="P1" s="111"/>
      <c r="Q1" s="111"/>
      <c r="R1" s="111"/>
      <c r="S1" s="111"/>
      <c r="T1" s="111"/>
      <c r="U1" s="111"/>
    </row>
    <row r="2" spans="1:54" x14ac:dyDescent="0.25">
      <c r="B2" s="28" t="s">
        <v>72</v>
      </c>
    </row>
    <row r="3" spans="1:54" ht="19.5" thickBot="1" x14ac:dyDescent="0.3"/>
    <row r="4" spans="1:54" s="10" customFormat="1" ht="15.75" x14ac:dyDescent="0.25">
      <c r="B4" s="41" t="s">
        <v>52</v>
      </c>
      <c r="C4" s="112" t="s">
        <v>41</v>
      </c>
      <c r="D4" s="112"/>
      <c r="E4" s="112"/>
      <c r="F4" s="112"/>
      <c r="G4" s="112"/>
      <c r="H4" s="112"/>
      <c r="I4" s="112"/>
      <c r="J4" s="113"/>
      <c r="K4" s="114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5" t="s">
        <v>68</v>
      </c>
      <c r="U4" s="121" t="s">
        <v>67</v>
      </c>
      <c r="V4" s="104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19" t="s">
        <v>65</v>
      </c>
      <c r="K5" s="120"/>
      <c r="M5" s="37"/>
      <c r="N5" s="49"/>
      <c r="O5" s="40"/>
      <c r="P5" s="52"/>
      <c r="Q5" s="52"/>
      <c r="R5" s="38"/>
      <c r="S5" s="9"/>
      <c r="T5" s="116"/>
      <c r="U5" s="122"/>
      <c r="V5" s="105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52"/>
      <c r="K6" s="38"/>
      <c r="M6" s="37"/>
      <c r="N6" s="49"/>
      <c r="O6" s="40"/>
      <c r="P6" s="52"/>
      <c r="Q6" s="52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3">
        <f>21+41</f>
        <v>62</v>
      </c>
      <c r="D7" s="53"/>
      <c r="E7" s="53"/>
      <c r="F7" s="53"/>
      <c r="G7" s="53"/>
      <c r="H7" s="53">
        <v>2</v>
      </c>
      <c r="I7" s="53">
        <v>1</v>
      </c>
      <c r="J7" s="54"/>
      <c r="K7" s="55">
        <v>6</v>
      </c>
      <c r="L7" s="56"/>
      <c r="M7" s="57">
        <v>1</v>
      </c>
      <c r="N7" s="58"/>
      <c r="O7" s="53">
        <v>2</v>
      </c>
      <c r="P7" s="54">
        <v>12</v>
      </c>
      <c r="Q7" s="54">
        <v>1</v>
      </c>
      <c r="R7" s="55"/>
      <c r="S7" s="56"/>
      <c r="T7" s="59">
        <f>H7+I7+J7+K7+N7+P7+R7</f>
        <v>21</v>
      </c>
      <c r="U7" s="59">
        <f>C7*24+M7*24+O7*24+Q7*24+T7</f>
        <v>1605</v>
      </c>
      <c r="V7" s="59">
        <f>U7/24</f>
        <v>66.875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60">
        <f>62+23+15</f>
        <v>100</v>
      </c>
      <c r="D8" s="60"/>
      <c r="E8" s="60"/>
      <c r="F8" s="60"/>
      <c r="G8" s="60"/>
      <c r="H8" s="60"/>
      <c r="I8" s="60"/>
      <c r="J8" s="61"/>
      <c r="K8" s="62"/>
      <c r="L8" s="63"/>
      <c r="M8" s="64"/>
      <c r="N8" s="65"/>
      <c r="O8" s="66"/>
      <c r="P8" s="67"/>
      <c r="Q8" s="67">
        <v>2</v>
      </c>
      <c r="R8" s="68"/>
      <c r="S8" s="63"/>
      <c r="T8" s="69">
        <f t="shared" ref="T8:T41" si="0">H8+I8+J8+K8+N8+P8+R8</f>
        <v>0</v>
      </c>
      <c r="U8" s="70">
        <f>C8*24+M8*24+O8*24+Q8*24+T8</f>
        <v>2448</v>
      </c>
      <c r="V8" s="70">
        <f>U8/24</f>
        <v>102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1">
        <v>66</v>
      </c>
      <c r="D9" s="71"/>
      <c r="E9" s="71"/>
      <c r="F9" s="71"/>
      <c r="G9" s="71"/>
      <c r="H9" s="71"/>
      <c r="I9" s="71"/>
      <c r="J9" s="72"/>
      <c r="K9" s="73"/>
      <c r="L9" s="56"/>
      <c r="M9" s="74"/>
      <c r="N9" s="75"/>
      <c r="O9" s="71">
        <v>2</v>
      </c>
      <c r="P9" s="72"/>
      <c r="Q9" s="72">
        <v>8</v>
      </c>
      <c r="R9" s="73"/>
      <c r="S9" s="56"/>
      <c r="T9" s="76">
        <f t="shared" si="0"/>
        <v>0</v>
      </c>
      <c r="U9" s="77">
        <f t="shared" ref="U9:U11" si="2">C9*24+M9*24+O9*24+Q9*24+T9</f>
        <v>1824</v>
      </c>
      <c r="V9" s="77">
        <f t="shared" ref="V9:V11" si="3">U9/24</f>
        <v>76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1">
        <v>36</v>
      </c>
      <c r="D10" s="71"/>
      <c r="E10" s="71"/>
      <c r="F10" s="71"/>
      <c r="G10" s="71"/>
      <c r="H10" s="71"/>
      <c r="I10" s="71"/>
      <c r="J10" s="72"/>
      <c r="K10" s="73"/>
      <c r="L10" s="56"/>
      <c r="M10" s="74"/>
      <c r="N10" s="75"/>
      <c r="O10" s="71">
        <v>2</v>
      </c>
      <c r="P10" s="72"/>
      <c r="Q10" s="72">
        <v>1</v>
      </c>
      <c r="R10" s="73"/>
      <c r="S10" s="56"/>
      <c r="T10" s="59">
        <f t="shared" si="0"/>
        <v>0</v>
      </c>
      <c r="U10" s="59">
        <f t="shared" si="2"/>
        <v>936</v>
      </c>
      <c r="V10" s="59">
        <f t="shared" si="3"/>
        <v>39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1">
        <v>9</v>
      </c>
      <c r="D11" s="71"/>
      <c r="E11" s="71"/>
      <c r="F11" s="71"/>
      <c r="G11" s="71"/>
      <c r="H11" s="71">
        <v>22</v>
      </c>
      <c r="I11" s="71"/>
      <c r="J11" s="72"/>
      <c r="K11" s="73">
        <v>2</v>
      </c>
      <c r="L11" s="56"/>
      <c r="M11" s="74"/>
      <c r="N11" s="75"/>
      <c r="O11" s="71"/>
      <c r="P11" s="72"/>
      <c r="Q11" s="72"/>
      <c r="R11" s="73"/>
      <c r="S11" s="56"/>
      <c r="T11" s="59">
        <f t="shared" si="0"/>
        <v>24</v>
      </c>
      <c r="U11" s="59">
        <f t="shared" si="2"/>
        <v>240</v>
      </c>
      <c r="V11" s="59">
        <f t="shared" si="3"/>
        <v>10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60">
        <f>720+72+63+1008+16+1440+576+60</f>
        <v>3955</v>
      </c>
      <c r="D12" s="60"/>
      <c r="E12" s="60"/>
      <c r="F12" s="60"/>
      <c r="G12" s="60"/>
      <c r="H12" s="60"/>
      <c r="I12" s="60"/>
      <c r="J12" s="61"/>
      <c r="K12" s="62"/>
      <c r="L12" s="63"/>
      <c r="M12" s="64">
        <v>13</v>
      </c>
      <c r="N12" s="65">
        <v>14</v>
      </c>
      <c r="O12" s="66">
        <v>15</v>
      </c>
      <c r="P12" s="67">
        <v>10</v>
      </c>
      <c r="Q12" s="67">
        <v>15</v>
      </c>
      <c r="R12" s="68">
        <v>20</v>
      </c>
      <c r="S12" s="63"/>
      <c r="T12" s="69">
        <f t="shared" si="0"/>
        <v>44</v>
      </c>
      <c r="U12" s="70">
        <f>C12*24+M12*24+O12*24+Q12*24+T12</f>
        <v>95996</v>
      </c>
      <c r="V12" s="70">
        <f>U12/24</f>
        <v>3999.8333333333335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1">
        <v>5</v>
      </c>
      <c r="D13" s="71"/>
      <c r="E13" s="71"/>
      <c r="F13" s="71"/>
      <c r="G13" s="71"/>
      <c r="H13" s="71"/>
      <c r="I13" s="71"/>
      <c r="J13" s="72"/>
      <c r="K13" s="73"/>
      <c r="L13" s="56"/>
      <c r="M13" s="74"/>
      <c r="N13" s="75"/>
      <c r="O13" s="71"/>
      <c r="P13" s="72"/>
      <c r="Q13" s="72"/>
      <c r="R13" s="73"/>
      <c r="S13" s="56"/>
      <c r="T13" s="76">
        <f t="shared" si="0"/>
        <v>0</v>
      </c>
      <c r="U13" s="77">
        <f>C13*24+M13*24+O13*24+Q13*24+T13</f>
        <v>120</v>
      </c>
      <c r="V13" s="77">
        <f>U13/24</f>
        <v>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1"/>
      <c r="D14" s="71"/>
      <c r="E14" s="71"/>
      <c r="F14" s="71"/>
      <c r="G14" s="71"/>
      <c r="H14" s="71"/>
      <c r="I14" s="71"/>
      <c r="J14" s="72"/>
      <c r="K14" s="73"/>
      <c r="L14" s="56"/>
      <c r="M14" s="74"/>
      <c r="N14" s="75"/>
      <c r="O14" s="71"/>
      <c r="P14" s="72"/>
      <c r="Q14" s="72"/>
      <c r="R14" s="73"/>
      <c r="S14" s="56"/>
      <c r="T14" s="59">
        <f t="shared" si="0"/>
        <v>0</v>
      </c>
      <c r="U14" s="76">
        <f t="shared" ref="U14:U36" si="4">C14*24+M14*24+O14*24+Q14*24+T14</f>
        <v>0</v>
      </c>
      <c r="V14" s="76">
        <f t="shared" ref="V14:V36" si="5">U14/24</f>
        <v>0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1"/>
      <c r="D15" s="71"/>
      <c r="E15" s="71"/>
      <c r="F15" s="71"/>
      <c r="G15" s="71"/>
      <c r="H15" s="71"/>
      <c r="I15" s="71"/>
      <c r="J15" s="72"/>
      <c r="K15" s="73"/>
      <c r="L15" s="56"/>
      <c r="M15" s="74"/>
      <c r="N15" s="75"/>
      <c r="O15" s="71"/>
      <c r="P15" s="72"/>
      <c r="Q15" s="72"/>
      <c r="R15" s="73"/>
      <c r="S15" s="56"/>
      <c r="T15" s="59">
        <f t="shared" si="0"/>
        <v>0</v>
      </c>
      <c r="U15" s="76">
        <f t="shared" si="4"/>
        <v>0</v>
      </c>
      <c r="V15" s="76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1"/>
      <c r="D16" s="71"/>
      <c r="E16" s="71"/>
      <c r="F16" s="71"/>
      <c r="G16" s="71"/>
      <c r="H16" s="71"/>
      <c r="I16" s="71"/>
      <c r="J16" s="72"/>
      <c r="K16" s="73"/>
      <c r="L16" s="56"/>
      <c r="M16" s="74"/>
      <c r="N16" s="75"/>
      <c r="O16" s="71"/>
      <c r="P16" s="72"/>
      <c r="Q16" s="72"/>
      <c r="R16" s="73"/>
      <c r="S16" s="56"/>
      <c r="T16" s="59">
        <f t="shared" si="0"/>
        <v>0</v>
      </c>
      <c r="U16" s="76">
        <f t="shared" si="4"/>
        <v>0</v>
      </c>
      <c r="V16" s="76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1">
        <v>4</v>
      </c>
      <c r="D17" s="71"/>
      <c r="E17" s="71"/>
      <c r="F17" s="71"/>
      <c r="G17" s="71"/>
      <c r="H17" s="71"/>
      <c r="I17" s="71"/>
      <c r="J17" s="72"/>
      <c r="K17" s="73"/>
      <c r="L17" s="56"/>
      <c r="M17" s="74"/>
      <c r="N17" s="75"/>
      <c r="O17" s="71"/>
      <c r="P17" s="72"/>
      <c r="Q17" s="72"/>
      <c r="R17" s="73"/>
      <c r="S17" s="56"/>
      <c r="T17" s="59">
        <f t="shared" si="0"/>
        <v>0</v>
      </c>
      <c r="U17" s="76">
        <f t="shared" si="4"/>
        <v>96</v>
      </c>
      <c r="V17" s="76">
        <f t="shared" si="5"/>
        <v>4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1"/>
      <c r="D18" s="71"/>
      <c r="E18" s="71"/>
      <c r="F18" s="71"/>
      <c r="G18" s="71"/>
      <c r="H18" s="71"/>
      <c r="I18" s="71"/>
      <c r="J18" s="72"/>
      <c r="K18" s="73"/>
      <c r="L18" s="56"/>
      <c r="M18" s="74"/>
      <c r="N18" s="75"/>
      <c r="O18" s="71"/>
      <c r="P18" s="72"/>
      <c r="Q18" s="72"/>
      <c r="R18" s="73"/>
      <c r="S18" s="56"/>
      <c r="T18" s="59">
        <f t="shared" si="0"/>
        <v>0</v>
      </c>
      <c r="U18" s="76">
        <f t="shared" si="4"/>
        <v>0</v>
      </c>
      <c r="V18" s="76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1">
        <v>4</v>
      </c>
      <c r="D19" s="71"/>
      <c r="E19" s="71"/>
      <c r="F19" s="71"/>
      <c r="G19" s="71"/>
      <c r="H19" s="71"/>
      <c r="I19" s="71"/>
      <c r="J19" s="72"/>
      <c r="K19" s="73"/>
      <c r="L19" s="56"/>
      <c r="M19" s="74"/>
      <c r="N19" s="75"/>
      <c r="O19" s="71"/>
      <c r="P19" s="72"/>
      <c r="Q19" s="72"/>
      <c r="R19" s="73"/>
      <c r="S19" s="56"/>
      <c r="T19" s="59">
        <f t="shared" si="0"/>
        <v>0</v>
      </c>
      <c r="U19" s="76">
        <f t="shared" si="4"/>
        <v>96</v>
      </c>
      <c r="V19" s="76">
        <f t="shared" si="5"/>
        <v>4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1">
        <v>6</v>
      </c>
      <c r="D20" s="71"/>
      <c r="E20" s="71"/>
      <c r="F20" s="71"/>
      <c r="G20" s="71"/>
      <c r="H20" s="71"/>
      <c r="I20" s="71"/>
      <c r="J20" s="72"/>
      <c r="K20" s="73"/>
      <c r="L20" s="56"/>
      <c r="M20" s="74"/>
      <c r="N20" s="75"/>
      <c r="O20" s="71"/>
      <c r="P20" s="72"/>
      <c r="Q20" s="72"/>
      <c r="R20" s="73"/>
      <c r="S20" s="56"/>
      <c r="T20" s="59">
        <f t="shared" si="0"/>
        <v>0</v>
      </c>
      <c r="U20" s="76">
        <f t="shared" si="4"/>
        <v>144</v>
      </c>
      <c r="V20" s="76">
        <f t="shared" si="5"/>
        <v>6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1">
        <v>4</v>
      </c>
      <c r="D21" s="71"/>
      <c r="E21" s="71"/>
      <c r="F21" s="71"/>
      <c r="G21" s="71"/>
      <c r="H21" s="71"/>
      <c r="I21" s="71"/>
      <c r="J21" s="72"/>
      <c r="K21" s="73"/>
      <c r="L21" s="56"/>
      <c r="M21" s="74"/>
      <c r="N21" s="75"/>
      <c r="O21" s="71"/>
      <c r="P21" s="72"/>
      <c r="Q21" s="72"/>
      <c r="R21" s="73"/>
      <c r="S21" s="56"/>
      <c r="T21" s="59">
        <f t="shared" si="0"/>
        <v>0</v>
      </c>
      <c r="U21" s="76">
        <f t="shared" si="4"/>
        <v>96</v>
      </c>
      <c r="V21" s="76">
        <f t="shared" si="5"/>
        <v>4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1">
        <v>2</v>
      </c>
      <c r="D22" s="71"/>
      <c r="E22" s="71"/>
      <c r="F22" s="71"/>
      <c r="G22" s="71"/>
      <c r="H22" s="71"/>
      <c r="I22" s="71"/>
      <c r="J22" s="72"/>
      <c r="K22" s="73"/>
      <c r="L22" s="56"/>
      <c r="M22" s="74"/>
      <c r="N22" s="75"/>
      <c r="O22" s="71"/>
      <c r="P22" s="72"/>
      <c r="Q22" s="72"/>
      <c r="R22" s="73"/>
      <c r="S22" s="56"/>
      <c r="T22" s="59">
        <f t="shared" si="0"/>
        <v>0</v>
      </c>
      <c r="U22" s="76">
        <f t="shared" si="4"/>
        <v>48</v>
      </c>
      <c r="V22" s="76">
        <f t="shared" si="5"/>
        <v>2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1">
        <f>16+1</f>
        <v>17</v>
      </c>
      <c r="D23" s="71"/>
      <c r="E23" s="71"/>
      <c r="F23" s="71"/>
      <c r="G23" s="71"/>
      <c r="H23" s="71"/>
      <c r="I23" s="71"/>
      <c r="J23" s="72"/>
      <c r="K23" s="73"/>
      <c r="L23" s="56"/>
      <c r="M23" s="74">
        <v>10</v>
      </c>
      <c r="N23" s="75"/>
      <c r="O23" s="71">
        <v>10</v>
      </c>
      <c r="P23" s="72"/>
      <c r="Q23" s="72">
        <v>10</v>
      </c>
      <c r="R23" s="73"/>
      <c r="S23" s="56"/>
      <c r="T23" s="59">
        <f t="shared" si="0"/>
        <v>0</v>
      </c>
      <c r="U23" s="76">
        <f t="shared" si="4"/>
        <v>1128</v>
      </c>
      <c r="V23" s="76">
        <f t="shared" si="5"/>
        <v>47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1">
        <v>7</v>
      </c>
      <c r="D24" s="71"/>
      <c r="E24" s="71"/>
      <c r="F24" s="71"/>
      <c r="G24" s="71"/>
      <c r="H24" s="71"/>
      <c r="I24" s="71"/>
      <c r="J24" s="72"/>
      <c r="K24" s="73"/>
      <c r="L24" s="56"/>
      <c r="M24" s="74"/>
      <c r="N24" s="75"/>
      <c r="O24" s="71"/>
      <c r="P24" s="72"/>
      <c r="Q24" s="72"/>
      <c r="R24" s="73"/>
      <c r="S24" s="56"/>
      <c r="T24" s="59">
        <f t="shared" si="0"/>
        <v>0</v>
      </c>
      <c r="U24" s="76">
        <f t="shared" si="4"/>
        <v>168</v>
      </c>
      <c r="V24" s="76">
        <f t="shared" si="5"/>
        <v>7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1">
        <f>63+59+1</f>
        <v>123</v>
      </c>
      <c r="D25" s="71"/>
      <c r="E25" s="71"/>
      <c r="F25" s="71"/>
      <c r="G25" s="71"/>
      <c r="H25" s="71">
        <v>10</v>
      </c>
      <c r="I25" s="71">
        <v>1</v>
      </c>
      <c r="J25" s="72"/>
      <c r="K25" s="73"/>
      <c r="L25" s="56"/>
      <c r="M25" s="74">
        <v>2</v>
      </c>
      <c r="N25" s="75"/>
      <c r="O25" s="71"/>
      <c r="P25" s="72"/>
      <c r="Q25" s="72"/>
      <c r="R25" s="73"/>
      <c r="S25" s="56"/>
      <c r="T25" s="59">
        <f t="shared" si="0"/>
        <v>11</v>
      </c>
      <c r="U25" s="76">
        <f t="shared" si="4"/>
        <v>3011</v>
      </c>
      <c r="V25" s="76">
        <f t="shared" si="5"/>
        <v>125.45833333333333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1">
        <v>20</v>
      </c>
      <c r="D26" s="71"/>
      <c r="E26" s="71"/>
      <c r="F26" s="71"/>
      <c r="G26" s="71"/>
      <c r="H26" s="71"/>
      <c r="I26" s="71"/>
      <c r="J26" s="72"/>
      <c r="K26" s="73"/>
      <c r="L26" s="56"/>
      <c r="M26" s="74"/>
      <c r="N26" s="75"/>
      <c r="O26" s="71"/>
      <c r="P26" s="72"/>
      <c r="Q26" s="72"/>
      <c r="R26" s="73"/>
      <c r="S26" s="56"/>
      <c r="T26" s="59">
        <f t="shared" si="0"/>
        <v>0</v>
      </c>
      <c r="U26" s="76">
        <f t="shared" si="4"/>
        <v>480</v>
      </c>
      <c r="V26" s="76">
        <f t="shared" si="5"/>
        <v>20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1"/>
      <c r="D27" s="71"/>
      <c r="E27" s="71"/>
      <c r="F27" s="71"/>
      <c r="G27" s="71"/>
      <c r="H27" s="71"/>
      <c r="I27" s="71"/>
      <c r="J27" s="72"/>
      <c r="K27" s="73"/>
      <c r="L27" s="56"/>
      <c r="M27" s="74"/>
      <c r="N27" s="75"/>
      <c r="O27" s="71"/>
      <c r="P27" s="72"/>
      <c r="Q27" s="72"/>
      <c r="R27" s="73"/>
      <c r="S27" s="56"/>
      <c r="T27" s="59"/>
      <c r="U27" s="76"/>
      <c r="V27" s="76"/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1">
        <f>64+32</f>
        <v>96</v>
      </c>
      <c r="D28" s="71"/>
      <c r="E28" s="71"/>
      <c r="F28" s="71"/>
      <c r="G28" s="71"/>
      <c r="H28" s="71"/>
      <c r="I28" s="71"/>
      <c r="J28" s="72"/>
      <c r="K28" s="73"/>
      <c r="L28" s="56"/>
      <c r="M28" s="74">
        <v>2</v>
      </c>
      <c r="N28" s="75"/>
      <c r="O28" s="71">
        <v>2</v>
      </c>
      <c r="P28" s="72"/>
      <c r="Q28" s="72"/>
      <c r="R28" s="73"/>
      <c r="S28" s="56"/>
      <c r="T28" s="59">
        <f t="shared" si="0"/>
        <v>0</v>
      </c>
      <c r="U28" s="76">
        <f t="shared" si="4"/>
        <v>2400</v>
      </c>
      <c r="V28" s="76">
        <f t="shared" si="5"/>
        <v>100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1">
        <v>10</v>
      </c>
      <c r="D29" s="71"/>
      <c r="E29" s="71"/>
      <c r="F29" s="71"/>
      <c r="G29" s="71"/>
      <c r="H29" s="71"/>
      <c r="I29" s="71"/>
      <c r="J29" s="72"/>
      <c r="K29" s="73"/>
      <c r="L29" s="56"/>
      <c r="M29" s="74"/>
      <c r="N29" s="75"/>
      <c r="O29" s="71"/>
      <c r="P29" s="72"/>
      <c r="Q29" s="72"/>
      <c r="R29" s="73"/>
      <c r="S29" s="56"/>
      <c r="T29" s="59">
        <f t="shared" si="0"/>
        <v>0</v>
      </c>
      <c r="U29" s="76">
        <f t="shared" si="4"/>
        <v>240</v>
      </c>
      <c r="V29" s="76">
        <f t="shared" si="5"/>
        <v>10</v>
      </c>
    </row>
    <row r="30" spans="1:54" x14ac:dyDescent="0.25">
      <c r="A30" s="27">
        <f t="shared" si="1"/>
        <v>27</v>
      </c>
      <c r="B30" s="26" t="s">
        <v>15</v>
      </c>
      <c r="C30" s="71">
        <v>57</v>
      </c>
      <c r="D30" s="71"/>
      <c r="E30" s="71"/>
      <c r="F30" s="71"/>
      <c r="G30" s="71"/>
      <c r="H30" s="71"/>
      <c r="I30" s="71"/>
      <c r="J30" s="72"/>
      <c r="K30" s="73"/>
      <c r="L30" s="56"/>
      <c r="M30" s="74"/>
      <c r="N30" s="75"/>
      <c r="O30" s="71">
        <v>2</v>
      </c>
      <c r="P30" s="72"/>
      <c r="Q30" s="72">
        <v>1</v>
      </c>
      <c r="R30" s="73"/>
      <c r="S30" s="56"/>
      <c r="T30" s="59">
        <f t="shared" si="0"/>
        <v>0</v>
      </c>
      <c r="U30" s="76">
        <f t="shared" si="4"/>
        <v>1440</v>
      </c>
      <c r="V30" s="76">
        <f t="shared" si="5"/>
        <v>60</v>
      </c>
    </row>
    <row r="31" spans="1:54" x14ac:dyDescent="0.25">
      <c r="A31" s="27">
        <f t="shared" si="1"/>
        <v>28</v>
      </c>
      <c r="B31" s="26" t="s">
        <v>12</v>
      </c>
      <c r="C31" s="71">
        <f>10+4</f>
        <v>14</v>
      </c>
      <c r="D31" s="71"/>
      <c r="E31" s="71"/>
      <c r="F31" s="71"/>
      <c r="G31" s="71"/>
      <c r="H31" s="71"/>
      <c r="I31" s="71"/>
      <c r="J31" s="72"/>
      <c r="K31" s="73"/>
      <c r="L31" s="56"/>
      <c r="M31" s="74"/>
      <c r="N31" s="75"/>
      <c r="O31" s="71">
        <v>1</v>
      </c>
      <c r="P31" s="72"/>
      <c r="Q31" s="72"/>
      <c r="R31" s="73"/>
      <c r="S31" s="56"/>
      <c r="T31" s="59">
        <f t="shared" si="0"/>
        <v>0</v>
      </c>
      <c r="U31" s="76">
        <f t="shared" si="4"/>
        <v>360</v>
      </c>
      <c r="V31" s="76">
        <f t="shared" si="5"/>
        <v>15</v>
      </c>
    </row>
    <row r="32" spans="1:54" x14ac:dyDescent="0.25">
      <c r="A32" s="27">
        <f t="shared" si="1"/>
        <v>29</v>
      </c>
      <c r="B32" s="26" t="s">
        <v>14</v>
      </c>
      <c r="C32" s="71"/>
      <c r="D32" s="71"/>
      <c r="E32" s="71"/>
      <c r="F32" s="71"/>
      <c r="G32" s="71"/>
      <c r="H32" s="71"/>
      <c r="I32" s="71"/>
      <c r="J32" s="72"/>
      <c r="K32" s="73"/>
      <c r="L32" s="56"/>
      <c r="M32" s="74"/>
      <c r="N32" s="75"/>
      <c r="O32" s="71"/>
      <c r="P32" s="72"/>
      <c r="Q32" s="72"/>
      <c r="R32" s="73"/>
      <c r="S32" s="56"/>
      <c r="T32" s="59">
        <f t="shared" si="0"/>
        <v>0</v>
      </c>
      <c r="U32" s="76">
        <f t="shared" si="4"/>
        <v>0</v>
      </c>
      <c r="V32" s="76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1">
        <v>3</v>
      </c>
      <c r="D33" s="71"/>
      <c r="E33" s="71"/>
      <c r="F33" s="71"/>
      <c r="G33" s="71"/>
      <c r="H33" s="71"/>
      <c r="I33" s="71"/>
      <c r="J33" s="72"/>
      <c r="K33" s="73"/>
      <c r="L33" s="56"/>
      <c r="M33" s="74"/>
      <c r="N33" s="75"/>
      <c r="O33" s="71"/>
      <c r="P33" s="72"/>
      <c r="Q33" s="72"/>
      <c r="R33" s="73"/>
      <c r="S33" s="56"/>
      <c r="T33" s="59">
        <f t="shared" si="0"/>
        <v>0</v>
      </c>
      <c r="U33" s="76">
        <f t="shared" si="4"/>
        <v>72</v>
      </c>
      <c r="V33" s="76">
        <f t="shared" si="5"/>
        <v>3</v>
      </c>
    </row>
    <row r="34" spans="1:23" x14ac:dyDescent="0.25">
      <c r="A34" s="27">
        <f t="shared" si="1"/>
        <v>31</v>
      </c>
      <c r="B34" s="26" t="s">
        <v>17</v>
      </c>
      <c r="C34" s="71">
        <f>61+72</f>
        <v>133</v>
      </c>
      <c r="D34" s="71"/>
      <c r="E34" s="71"/>
      <c r="F34" s="71"/>
      <c r="G34" s="71"/>
      <c r="H34" s="71">
        <v>4</v>
      </c>
      <c r="I34" s="71"/>
      <c r="J34" s="72"/>
      <c r="K34" s="73">
        <v>1</v>
      </c>
      <c r="L34" s="56"/>
      <c r="M34" s="74">
        <v>10</v>
      </c>
      <c r="N34" s="75">
        <v>12</v>
      </c>
      <c r="O34" s="71"/>
      <c r="P34" s="72"/>
      <c r="Q34" s="72">
        <v>2</v>
      </c>
      <c r="R34" s="73"/>
      <c r="S34" s="56"/>
      <c r="T34" s="59">
        <f t="shared" si="0"/>
        <v>17</v>
      </c>
      <c r="U34" s="76">
        <f t="shared" si="4"/>
        <v>3497</v>
      </c>
      <c r="V34" s="76">
        <f t="shared" si="5"/>
        <v>145.70833333333334</v>
      </c>
    </row>
    <row r="35" spans="1:23" hidden="1" x14ac:dyDescent="0.25">
      <c r="A35" s="27">
        <f t="shared" si="1"/>
        <v>32</v>
      </c>
      <c r="B35" s="26" t="s">
        <v>25</v>
      </c>
      <c r="C35" s="71"/>
      <c r="D35" s="71"/>
      <c r="E35" s="71"/>
      <c r="F35" s="71"/>
      <c r="G35" s="71"/>
      <c r="H35" s="71"/>
      <c r="I35" s="71"/>
      <c r="J35" s="72"/>
      <c r="K35" s="73"/>
      <c r="L35" s="56"/>
      <c r="M35" s="74"/>
      <c r="N35" s="75"/>
      <c r="O35" s="71"/>
      <c r="P35" s="72"/>
      <c r="Q35" s="72"/>
      <c r="R35" s="73"/>
      <c r="S35" s="56"/>
      <c r="T35" s="59">
        <f t="shared" si="0"/>
        <v>0</v>
      </c>
      <c r="U35" s="76">
        <f t="shared" si="4"/>
        <v>0</v>
      </c>
      <c r="V35" s="76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1"/>
      <c r="D36" s="71"/>
      <c r="E36" s="71"/>
      <c r="F36" s="71"/>
      <c r="G36" s="71"/>
      <c r="H36" s="71"/>
      <c r="I36" s="71"/>
      <c r="J36" s="72"/>
      <c r="K36" s="73"/>
      <c r="L36" s="56"/>
      <c r="M36" s="74"/>
      <c r="N36" s="75"/>
      <c r="O36" s="71"/>
      <c r="P36" s="72"/>
      <c r="Q36" s="72"/>
      <c r="R36" s="73"/>
      <c r="S36" s="56"/>
      <c r="T36" s="59">
        <f t="shared" si="0"/>
        <v>0</v>
      </c>
      <c r="U36" s="76">
        <f t="shared" si="4"/>
        <v>0</v>
      </c>
      <c r="V36" s="76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60">
        <f>324+68+2376+1512</f>
        <v>4280</v>
      </c>
      <c r="D37" s="60"/>
      <c r="E37" s="60"/>
      <c r="F37" s="60"/>
      <c r="G37" s="60"/>
      <c r="H37" s="60">
        <v>2</v>
      </c>
      <c r="I37" s="60"/>
      <c r="J37" s="61"/>
      <c r="K37" s="62">
        <v>6</v>
      </c>
      <c r="L37" s="63"/>
      <c r="M37" s="64">
        <v>112</v>
      </c>
      <c r="N37" s="65"/>
      <c r="O37" s="66">
        <v>41</v>
      </c>
      <c r="P37" s="67"/>
      <c r="Q37" s="67">
        <v>64</v>
      </c>
      <c r="R37" s="68"/>
      <c r="S37" s="63"/>
      <c r="T37" s="78">
        <f t="shared" si="0"/>
        <v>8</v>
      </c>
      <c r="U37" s="78">
        <f>C37*6+M37*6+O37*6+Q37*6+T37</f>
        <v>26990</v>
      </c>
      <c r="V37" s="78">
        <f>U37/6</f>
        <v>4498.333333333333</v>
      </c>
      <c r="W37" s="50"/>
    </row>
    <row r="38" spans="1:23" x14ac:dyDescent="0.25">
      <c r="A38" s="27">
        <f t="shared" si="1"/>
        <v>35</v>
      </c>
      <c r="B38" s="25" t="s">
        <v>20</v>
      </c>
      <c r="C38" s="71">
        <f>16+2</f>
        <v>18</v>
      </c>
      <c r="D38" s="71"/>
      <c r="E38" s="71"/>
      <c r="F38" s="71"/>
      <c r="G38" s="71"/>
      <c r="H38" s="71"/>
      <c r="I38" s="71"/>
      <c r="J38" s="72"/>
      <c r="K38" s="73"/>
      <c r="L38" s="56"/>
      <c r="M38" s="74"/>
      <c r="N38" s="75"/>
      <c r="O38" s="71"/>
      <c r="P38" s="72"/>
      <c r="Q38" s="72">
        <v>1</v>
      </c>
      <c r="R38" s="73"/>
      <c r="S38" s="56"/>
      <c r="T38" s="76">
        <f t="shared" si="0"/>
        <v>0</v>
      </c>
      <c r="U38" s="76">
        <f>C38*24+M38*24+O38*24+Q38*24+T38</f>
        <v>456</v>
      </c>
      <c r="V38" s="76">
        <f>U38/24</f>
        <v>19</v>
      </c>
    </row>
    <row r="39" spans="1:23" x14ac:dyDescent="0.25">
      <c r="A39" s="27">
        <f t="shared" si="1"/>
        <v>36</v>
      </c>
      <c r="B39" s="51" t="s">
        <v>62</v>
      </c>
      <c r="C39" s="79"/>
      <c r="D39" s="79"/>
      <c r="E39" s="79"/>
      <c r="F39" s="79"/>
      <c r="G39" s="79"/>
      <c r="H39" s="79"/>
      <c r="I39" s="79"/>
      <c r="J39" s="80"/>
      <c r="K39" s="81"/>
      <c r="L39" s="56"/>
      <c r="M39" s="82"/>
      <c r="N39" s="83"/>
      <c r="O39" s="79"/>
      <c r="P39" s="80"/>
      <c r="Q39" s="80"/>
      <c r="R39" s="81"/>
      <c r="S39" s="56"/>
      <c r="T39" s="84"/>
      <c r="U39" s="84"/>
      <c r="V39" s="84"/>
    </row>
    <row r="40" spans="1:23" ht="19.5" thickBot="1" x14ac:dyDescent="0.3">
      <c r="A40" s="27">
        <f t="shared" si="1"/>
        <v>37</v>
      </c>
      <c r="B40" s="42" t="s">
        <v>21</v>
      </c>
      <c r="C40" s="60">
        <f>504+51</f>
        <v>555</v>
      </c>
      <c r="D40" s="60"/>
      <c r="E40" s="60"/>
      <c r="F40" s="60"/>
      <c r="G40" s="60"/>
      <c r="H40" s="60">
        <v>4</v>
      </c>
      <c r="I40" s="60"/>
      <c r="J40" s="61"/>
      <c r="K40" s="62">
        <v>20</v>
      </c>
      <c r="L40" s="63"/>
      <c r="M40" s="64"/>
      <c r="N40" s="65"/>
      <c r="O40" s="66">
        <v>1</v>
      </c>
      <c r="P40" s="67"/>
      <c r="Q40" s="67">
        <v>1</v>
      </c>
      <c r="R40" s="68"/>
      <c r="S40" s="63"/>
      <c r="T40" s="78">
        <f t="shared" si="0"/>
        <v>24</v>
      </c>
      <c r="U40" s="78">
        <f>C40*24+M40*24+O40*24+Q40*24+T40</f>
        <v>13392</v>
      </c>
      <c r="V40" s="78">
        <f>U40/24</f>
        <v>558</v>
      </c>
    </row>
    <row r="41" spans="1:23" ht="19.5" thickBot="1" x14ac:dyDescent="0.3">
      <c r="A41" s="27">
        <f t="shared" si="1"/>
        <v>38</v>
      </c>
      <c r="B41" s="43" t="s">
        <v>22</v>
      </c>
      <c r="C41" s="85">
        <f>1344+87</f>
        <v>1431</v>
      </c>
      <c r="D41" s="85"/>
      <c r="E41" s="85"/>
      <c r="F41" s="85"/>
      <c r="G41" s="85"/>
      <c r="H41" s="85"/>
      <c r="I41" s="85"/>
      <c r="J41" s="86"/>
      <c r="K41" s="87"/>
      <c r="L41" s="88"/>
      <c r="M41" s="89">
        <v>3</v>
      </c>
      <c r="N41" s="90"/>
      <c r="O41" s="85">
        <v>7</v>
      </c>
      <c r="P41" s="86"/>
      <c r="Q41" s="86">
        <v>15</v>
      </c>
      <c r="R41" s="87"/>
      <c r="S41" s="88"/>
      <c r="T41" s="91">
        <f t="shared" si="0"/>
        <v>0</v>
      </c>
      <c r="U41" s="91">
        <f>C41*12+M41*12+O41*12+Q41*12+T41</f>
        <v>17472</v>
      </c>
      <c r="V41" s="91">
        <f>U41/12</f>
        <v>1456</v>
      </c>
    </row>
    <row r="42" spans="1:23" hidden="1" x14ac:dyDescent="0.25">
      <c r="A42" s="27">
        <f t="shared" si="1"/>
        <v>39</v>
      </c>
      <c r="B42" s="25" t="s">
        <v>29</v>
      </c>
      <c r="C42" s="71"/>
      <c r="D42" s="71"/>
      <c r="E42" s="71"/>
      <c r="F42" s="71"/>
      <c r="G42" s="71"/>
      <c r="H42" s="71"/>
      <c r="I42" s="71"/>
      <c r="J42" s="72"/>
      <c r="K42" s="73"/>
      <c r="L42" s="56"/>
      <c r="M42" s="74"/>
      <c r="N42" s="75"/>
      <c r="O42" s="71"/>
      <c r="P42" s="72"/>
      <c r="Q42" s="72"/>
      <c r="R42" s="73"/>
      <c r="S42" s="56"/>
      <c r="T42" s="76"/>
      <c r="U42" s="76"/>
      <c r="V42" s="76"/>
    </row>
    <row r="43" spans="1:23" ht="19.5" thickBot="1" x14ac:dyDescent="0.3">
      <c r="A43" s="27">
        <f t="shared" si="1"/>
        <v>40</v>
      </c>
      <c r="B43" s="42" t="s">
        <v>23</v>
      </c>
      <c r="C43" s="66">
        <f>216+5940+8424+5400+4644+12+7128</f>
        <v>31764</v>
      </c>
      <c r="D43" s="66"/>
      <c r="E43" s="66"/>
      <c r="F43" s="66"/>
      <c r="G43" s="66"/>
      <c r="H43" s="66"/>
      <c r="I43" s="66">
        <v>7</v>
      </c>
      <c r="J43" s="67">
        <f>4*6+4</f>
        <v>28</v>
      </c>
      <c r="K43" s="68">
        <f>93*6+5</f>
        <v>563</v>
      </c>
      <c r="L43" s="63"/>
      <c r="M43" s="64">
        <v>325</v>
      </c>
      <c r="N43" s="65"/>
      <c r="O43" s="66">
        <v>356</v>
      </c>
      <c r="P43" s="67"/>
      <c r="Q43" s="67">
        <v>350</v>
      </c>
      <c r="R43" s="68"/>
      <c r="S43" s="63"/>
      <c r="T43" s="78">
        <f t="shared" ref="T43" si="6">H43+I43+J43+K43+N43+P43+R43</f>
        <v>598</v>
      </c>
      <c r="U43" s="78">
        <f>C43*6+M43*6+O43*6+Q43*6+T43</f>
        <v>197368</v>
      </c>
      <c r="V43" s="78">
        <f>U43/6</f>
        <v>32894.666666666664</v>
      </c>
    </row>
    <row r="44" spans="1:23" hidden="1" x14ac:dyDescent="0.25">
      <c r="A44" s="27">
        <f t="shared" si="1"/>
        <v>41</v>
      </c>
      <c r="B44" s="25" t="s">
        <v>31</v>
      </c>
      <c r="C44" s="71"/>
      <c r="D44" s="71"/>
      <c r="E44" s="71"/>
      <c r="F44" s="71"/>
      <c r="G44" s="71"/>
      <c r="H44" s="71"/>
      <c r="I44" s="71"/>
      <c r="J44" s="72"/>
      <c r="K44" s="73"/>
      <c r="L44" s="56"/>
      <c r="M44" s="74"/>
      <c r="N44" s="75"/>
      <c r="O44" s="71"/>
      <c r="P44" s="72"/>
      <c r="Q44" s="72"/>
      <c r="R44" s="73"/>
      <c r="S44" s="56"/>
      <c r="T44" s="76"/>
      <c r="U44" s="76"/>
      <c r="V44" s="76"/>
    </row>
    <row r="45" spans="1:23" x14ac:dyDescent="0.25">
      <c r="A45" s="27">
        <f t="shared" si="1"/>
        <v>42</v>
      </c>
      <c r="B45" s="26" t="s">
        <v>24</v>
      </c>
      <c r="C45" s="71"/>
      <c r="D45" s="71"/>
      <c r="E45" s="71"/>
      <c r="F45" s="71"/>
      <c r="G45" s="71"/>
      <c r="H45" s="71"/>
      <c r="I45" s="71"/>
      <c r="J45" s="72"/>
      <c r="K45" s="73"/>
      <c r="L45" s="56"/>
      <c r="M45" s="74"/>
      <c r="N45" s="75"/>
      <c r="O45" s="71"/>
      <c r="P45" s="72"/>
      <c r="Q45" s="72"/>
      <c r="R45" s="73"/>
      <c r="S45" s="56"/>
      <c r="T45" s="76">
        <f t="shared" ref="T45:T54" si="7">H45+I45+J45+K45+N45+P45+R45</f>
        <v>0</v>
      </c>
      <c r="U45" s="76">
        <f>C45*24+M45*24+O45*24+Q45*24+T45</f>
        <v>0</v>
      </c>
      <c r="V45" s="76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1">
        <v>4</v>
      </c>
      <c r="D46" s="71"/>
      <c r="E46" s="71"/>
      <c r="F46" s="71"/>
      <c r="G46" s="71"/>
      <c r="H46" s="71"/>
      <c r="I46" s="71"/>
      <c r="J46" s="72"/>
      <c r="K46" s="73"/>
      <c r="L46" s="56"/>
      <c r="M46" s="74"/>
      <c r="N46" s="75"/>
      <c r="O46" s="71"/>
      <c r="P46" s="72"/>
      <c r="Q46" s="72"/>
      <c r="R46" s="73"/>
      <c r="S46" s="56"/>
      <c r="T46" s="76">
        <f t="shared" si="7"/>
        <v>0</v>
      </c>
      <c r="U46" s="76">
        <f t="shared" ref="U46:U50" si="8">C46*24+M46*24+O46*24+Q46*24+T46</f>
        <v>96</v>
      </c>
      <c r="V46" s="76">
        <f t="shared" ref="V46:V54" si="9">U46/24</f>
        <v>4</v>
      </c>
    </row>
    <row r="47" spans="1:23" ht="19.5" thickBot="1" x14ac:dyDescent="0.3">
      <c r="A47" s="27">
        <f t="shared" si="1"/>
        <v>44</v>
      </c>
      <c r="B47" s="42" t="s">
        <v>25</v>
      </c>
      <c r="C47" s="66">
        <f>22+2268+44</f>
        <v>2334</v>
      </c>
      <c r="D47" s="66"/>
      <c r="E47" s="66"/>
      <c r="F47" s="66"/>
      <c r="G47" s="66"/>
      <c r="H47" s="66"/>
      <c r="I47" s="66"/>
      <c r="J47" s="67"/>
      <c r="K47" s="68">
        <v>6</v>
      </c>
      <c r="L47" s="63"/>
      <c r="M47" s="64">
        <v>4</v>
      </c>
      <c r="N47" s="65"/>
      <c r="O47" s="66">
        <v>3</v>
      </c>
      <c r="P47" s="67">
        <v>4</v>
      </c>
      <c r="Q47" s="67">
        <v>10</v>
      </c>
      <c r="R47" s="68"/>
      <c r="S47" s="63"/>
      <c r="T47" s="78">
        <f t="shared" si="7"/>
        <v>10</v>
      </c>
      <c r="U47" s="78">
        <f>C47*6+M47*6+O47*6+Q47*6+T47</f>
        <v>14116</v>
      </c>
      <c r="V47" s="78">
        <f>U47/6</f>
        <v>2352.6666666666665</v>
      </c>
    </row>
    <row r="48" spans="1:23" x14ac:dyDescent="0.25">
      <c r="A48" s="27">
        <f t="shared" si="1"/>
        <v>45</v>
      </c>
      <c r="B48" s="25" t="s">
        <v>58</v>
      </c>
      <c r="C48" s="71">
        <v>1</v>
      </c>
      <c r="D48" s="71"/>
      <c r="E48" s="71"/>
      <c r="F48" s="71"/>
      <c r="G48" s="71"/>
      <c r="H48" s="71"/>
      <c r="I48" s="71"/>
      <c r="J48" s="72"/>
      <c r="K48" s="73"/>
      <c r="L48" s="56"/>
      <c r="M48" s="74"/>
      <c r="N48" s="75"/>
      <c r="O48" s="71"/>
      <c r="P48" s="72"/>
      <c r="Q48" s="72"/>
      <c r="R48" s="73"/>
      <c r="S48" s="56"/>
      <c r="T48" s="76">
        <f t="shared" si="7"/>
        <v>0</v>
      </c>
      <c r="U48" s="76">
        <f t="shared" si="8"/>
        <v>24</v>
      </c>
      <c r="V48" s="76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1"/>
      <c r="D49" s="71"/>
      <c r="E49" s="71"/>
      <c r="F49" s="71"/>
      <c r="G49" s="71"/>
      <c r="H49" s="71"/>
      <c r="I49" s="71"/>
      <c r="J49" s="72"/>
      <c r="K49" s="73"/>
      <c r="L49" s="56"/>
      <c r="M49" s="74"/>
      <c r="N49" s="75"/>
      <c r="O49" s="71"/>
      <c r="P49" s="72"/>
      <c r="Q49" s="72"/>
      <c r="R49" s="73"/>
      <c r="S49" s="56"/>
      <c r="T49" s="76">
        <f t="shared" si="7"/>
        <v>0</v>
      </c>
      <c r="U49" s="76">
        <f t="shared" si="8"/>
        <v>0</v>
      </c>
      <c r="V49" s="76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1"/>
      <c r="D50" s="71"/>
      <c r="E50" s="71"/>
      <c r="F50" s="71"/>
      <c r="G50" s="71"/>
      <c r="H50" s="71"/>
      <c r="I50" s="71"/>
      <c r="J50" s="72"/>
      <c r="K50" s="73"/>
      <c r="L50" s="56"/>
      <c r="M50" s="74"/>
      <c r="N50" s="75"/>
      <c r="O50" s="71"/>
      <c r="P50" s="72"/>
      <c r="Q50" s="72"/>
      <c r="R50" s="73"/>
      <c r="S50" s="56"/>
      <c r="T50" s="76">
        <f t="shared" si="7"/>
        <v>0</v>
      </c>
      <c r="U50" s="76">
        <f t="shared" si="8"/>
        <v>0</v>
      </c>
      <c r="V50" s="76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6">
        <v>34</v>
      </c>
      <c r="D51" s="66"/>
      <c r="E51" s="66"/>
      <c r="F51" s="66"/>
      <c r="G51" s="66"/>
      <c r="H51" s="66"/>
      <c r="I51" s="66"/>
      <c r="J51" s="67"/>
      <c r="K51" s="68"/>
      <c r="L51" s="63"/>
      <c r="M51" s="64"/>
      <c r="N51" s="65"/>
      <c r="O51" s="66"/>
      <c r="P51" s="67"/>
      <c r="Q51" s="67"/>
      <c r="R51" s="68"/>
      <c r="S51" s="63"/>
      <c r="T51" s="78">
        <f t="shared" si="7"/>
        <v>0</v>
      </c>
      <c r="U51" s="78">
        <f>C51*6+M51*6+O51*6+Q51*6+T51</f>
        <v>204</v>
      </c>
      <c r="V51" s="78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1"/>
      <c r="D52" s="71"/>
      <c r="E52" s="71"/>
      <c r="F52" s="71"/>
      <c r="G52" s="71"/>
      <c r="H52" s="71"/>
      <c r="I52" s="71"/>
      <c r="J52" s="72"/>
      <c r="K52" s="73"/>
      <c r="L52" s="56"/>
      <c r="M52" s="74"/>
      <c r="N52" s="75"/>
      <c r="O52" s="71"/>
      <c r="P52" s="72"/>
      <c r="Q52" s="72"/>
      <c r="R52" s="73"/>
      <c r="S52" s="56"/>
      <c r="T52" s="76">
        <f t="shared" si="7"/>
        <v>0</v>
      </c>
      <c r="U52" s="76">
        <f t="shared" ref="U52:U54" si="10">C52*24+M52*24+O52*24+Q52*24+T52</f>
        <v>0</v>
      </c>
      <c r="V52" s="76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1">
        <f>4+2</f>
        <v>6</v>
      </c>
      <c r="D53" s="71"/>
      <c r="E53" s="71"/>
      <c r="F53" s="71"/>
      <c r="G53" s="71"/>
      <c r="H53" s="71"/>
      <c r="I53" s="71"/>
      <c r="J53" s="72"/>
      <c r="K53" s="73"/>
      <c r="L53" s="56"/>
      <c r="M53" s="74"/>
      <c r="N53" s="75"/>
      <c r="O53" s="71"/>
      <c r="P53" s="72"/>
      <c r="Q53" s="72"/>
      <c r="R53" s="73"/>
      <c r="S53" s="56"/>
      <c r="T53" s="76">
        <f t="shared" si="7"/>
        <v>0</v>
      </c>
      <c r="U53" s="76">
        <f t="shared" si="10"/>
        <v>144</v>
      </c>
      <c r="V53" s="76">
        <f t="shared" si="9"/>
        <v>6</v>
      </c>
    </row>
    <row r="54" spans="1:22" x14ac:dyDescent="0.25">
      <c r="A54" s="27">
        <f t="shared" si="1"/>
        <v>51</v>
      </c>
      <c r="B54" s="26"/>
      <c r="C54" s="71"/>
      <c r="D54" s="71"/>
      <c r="E54" s="71"/>
      <c r="F54" s="71"/>
      <c r="G54" s="71"/>
      <c r="H54" s="71"/>
      <c r="I54" s="71"/>
      <c r="J54" s="72"/>
      <c r="K54" s="73"/>
      <c r="L54" s="56"/>
      <c r="M54" s="74"/>
      <c r="N54" s="75"/>
      <c r="O54" s="71"/>
      <c r="P54" s="72"/>
      <c r="Q54" s="72"/>
      <c r="R54" s="73"/>
      <c r="S54" s="56"/>
      <c r="T54" s="76">
        <f t="shared" si="7"/>
        <v>0</v>
      </c>
      <c r="U54" s="76">
        <f t="shared" si="10"/>
        <v>0</v>
      </c>
      <c r="V54" s="76">
        <f t="shared" si="9"/>
        <v>0</v>
      </c>
    </row>
    <row r="55" spans="1:22" x14ac:dyDescent="0.25">
      <c r="A55" s="27">
        <f t="shared" si="1"/>
        <v>52</v>
      </c>
      <c r="B55" s="26"/>
      <c r="C55" s="71"/>
      <c r="D55" s="71"/>
      <c r="E55" s="71"/>
      <c r="F55" s="71"/>
      <c r="G55" s="71"/>
      <c r="H55" s="71"/>
      <c r="I55" s="71"/>
      <c r="J55" s="72"/>
      <c r="K55" s="73"/>
      <c r="L55" s="56"/>
      <c r="M55" s="74"/>
      <c r="N55" s="75"/>
      <c r="O55" s="71"/>
      <c r="P55" s="72"/>
      <c r="Q55" s="72"/>
      <c r="R55" s="73"/>
      <c r="S55" s="56"/>
      <c r="T55" s="76"/>
      <c r="U55" s="76"/>
      <c r="V55" s="76"/>
    </row>
    <row r="56" spans="1:22" x14ac:dyDescent="0.25">
      <c r="A56" s="27">
        <f t="shared" si="1"/>
        <v>53</v>
      </c>
      <c r="B56" s="26"/>
      <c r="C56" s="71"/>
      <c r="D56" s="71"/>
      <c r="E56" s="71"/>
      <c r="F56" s="71"/>
      <c r="G56" s="71"/>
      <c r="H56" s="71"/>
      <c r="I56" s="71"/>
      <c r="J56" s="72"/>
      <c r="K56" s="73"/>
      <c r="L56" s="56"/>
      <c r="M56" s="74"/>
      <c r="N56" s="75"/>
      <c r="O56" s="71"/>
      <c r="P56" s="72"/>
      <c r="Q56" s="72"/>
      <c r="R56" s="73"/>
      <c r="S56" s="56"/>
      <c r="T56" s="76"/>
      <c r="U56" s="76"/>
      <c r="V56" s="76"/>
    </row>
    <row r="57" spans="1:22" x14ac:dyDescent="0.25">
      <c r="A57" s="27">
        <f t="shared" si="1"/>
        <v>54</v>
      </c>
      <c r="B57" s="26"/>
      <c r="C57" s="71"/>
      <c r="D57" s="71"/>
      <c r="E57" s="71"/>
      <c r="F57" s="71"/>
      <c r="G57" s="71"/>
      <c r="H57" s="71"/>
      <c r="I57" s="71"/>
      <c r="J57" s="72"/>
      <c r="K57" s="73"/>
      <c r="L57" s="56"/>
      <c r="M57" s="74"/>
      <c r="N57" s="75"/>
      <c r="O57" s="71"/>
      <c r="P57" s="72"/>
      <c r="Q57" s="72"/>
      <c r="R57" s="73"/>
      <c r="S57" s="56"/>
      <c r="T57" s="76"/>
      <c r="U57" s="76"/>
      <c r="V57" s="76"/>
    </row>
    <row r="58" spans="1:22" s="15" customFormat="1" ht="19.5" thickBot="1" x14ac:dyDescent="0.3">
      <c r="B58" s="29" t="s">
        <v>50</v>
      </c>
      <c r="C58" s="2">
        <f>SUM(C7:C57)</f>
        <v>45160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44</v>
      </c>
      <c r="I58" s="6">
        <f t="shared" si="11"/>
        <v>9</v>
      </c>
      <c r="J58" s="6">
        <f t="shared" si="11"/>
        <v>28</v>
      </c>
      <c r="K58" s="6">
        <f t="shared" si="11"/>
        <v>604</v>
      </c>
      <c r="M58" s="5">
        <f t="shared" ref="M58:R58" si="12">SUM(M7:M57)</f>
        <v>482</v>
      </c>
      <c r="N58" s="5">
        <f t="shared" si="12"/>
        <v>26</v>
      </c>
      <c r="O58" s="5">
        <f t="shared" si="12"/>
        <v>444</v>
      </c>
      <c r="P58" s="5">
        <f t="shared" si="12"/>
        <v>26</v>
      </c>
      <c r="Q58" s="5">
        <f t="shared" si="12"/>
        <v>481</v>
      </c>
      <c r="R58" s="5">
        <f t="shared" si="12"/>
        <v>20</v>
      </c>
      <c r="S58" s="56"/>
      <c r="T58" s="4">
        <f>SUM(T7:T57)</f>
        <v>757</v>
      </c>
      <c r="U58" s="95">
        <f>SUM(U7:U57)</f>
        <v>386707</v>
      </c>
      <c r="V58" s="4">
        <f>SUM(V7:V57)</f>
        <v>46675.541666666664</v>
      </c>
    </row>
    <row r="59" spans="1:22" ht="7.5" customHeight="1" thickBot="1" x14ac:dyDescent="0.3"/>
    <row r="60" spans="1:22" ht="19.5" thickBot="1" x14ac:dyDescent="0.3">
      <c r="B60" s="30" t="s">
        <v>37</v>
      </c>
      <c r="C60" s="108" t="s">
        <v>41</v>
      </c>
      <c r="D60" s="109"/>
      <c r="E60" s="109"/>
      <c r="F60" s="109"/>
      <c r="G60" s="109"/>
      <c r="H60" s="109"/>
      <c r="I60" s="109"/>
      <c r="J60" s="109"/>
      <c r="K60" s="110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DCC7BF-D8DE-45DD-AFA6-3473D86FD0E5}">
  <sheetPr>
    <pageSetUpPr fitToPage="1"/>
  </sheetPr>
  <dimension ref="A1:BB81"/>
  <sheetViews>
    <sheetView zoomScaleNormal="100" zoomScaleSheetLayoutView="115" workbookViewId="0">
      <selection activeCell="B2" sqref="B2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6.710937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1" t="s">
        <v>43</v>
      </c>
      <c r="J1" s="111"/>
      <c r="K1" s="111"/>
      <c r="L1" s="111"/>
      <c r="M1" s="111"/>
      <c r="N1" s="111"/>
      <c r="O1" s="111"/>
      <c r="P1" s="111"/>
      <c r="Q1" s="111"/>
      <c r="R1" s="111"/>
      <c r="S1" s="111"/>
      <c r="T1" s="111"/>
      <c r="U1" s="111"/>
    </row>
    <row r="2" spans="1:54" x14ac:dyDescent="0.25">
      <c r="B2" s="28" t="s">
        <v>74</v>
      </c>
    </row>
    <row r="3" spans="1:54" ht="19.5" thickBot="1" x14ac:dyDescent="0.3"/>
    <row r="4" spans="1:54" s="10" customFormat="1" ht="15.75" x14ac:dyDescent="0.25">
      <c r="B4" s="41" t="s">
        <v>52</v>
      </c>
      <c r="C4" s="112" t="s">
        <v>41</v>
      </c>
      <c r="D4" s="112"/>
      <c r="E4" s="112"/>
      <c r="F4" s="112"/>
      <c r="G4" s="112"/>
      <c r="H4" s="112"/>
      <c r="I4" s="112"/>
      <c r="J4" s="113"/>
      <c r="K4" s="114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5" t="s">
        <v>68</v>
      </c>
      <c r="U4" s="121" t="s">
        <v>67</v>
      </c>
      <c r="V4" s="104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19" t="s">
        <v>65</v>
      </c>
      <c r="K5" s="120"/>
      <c r="M5" s="37"/>
      <c r="N5" s="49"/>
      <c r="O5" s="40"/>
      <c r="P5" s="98"/>
      <c r="Q5" s="98"/>
      <c r="R5" s="38"/>
      <c r="S5" s="9"/>
      <c r="T5" s="116"/>
      <c r="U5" s="122"/>
      <c r="V5" s="105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98"/>
      <c r="K6" s="38"/>
      <c r="M6" s="37"/>
      <c r="N6" s="49"/>
      <c r="O6" s="40"/>
      <c r="P6" s="98"/>
      <c r="Q6" s="98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3">
        <f>21+41</f>
        <v>62</v>
      </c>
      <c r="D7" s="53"/>
      <c r="E7" s="53"/>
      <c r="F7" s="53"/>
      <c r="G7" s="53"/>
      <c r="H7" s="53">
        <v>2</v>
      </c>
      <c r="I7" s="53">
        <v>1</v>
      </c>
      <c r="J7" s="54"/>
      <c r="K7" s="55">
        <v>6</v>
      </c>
      <c r="L7" s="56"/>
      <c r="M7" s="57">
        <v>1</v>
      </c>
      <c r="N7" s="58"/>
      <c r="O7" s="53">
        <v>2</v>
      </c>
      <c r="P7" s="54">
        <v>12</v>
      </c>
      <c r="Q7" s="54">
        <v>1</v>
      </c>
      <c r="R7" s="55"/>
      <c r="S7" s="56"/>
      <c r="T7" s="59">
        <f>H7+I7+J7+K7+N7+P7+R7</f>
        <v>21</v>
      </c>
      <c r="U7" s="59">
        <f>C7*24+M7*24+O7*24+Q7*24+T7</f>
        <v>1605</v>
      </c>
      <c r="V7" s="59">
        <f>U7/24</f>
        <v>66.875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60">
        <f>15+63+22</f>
        <v>100</v>
      </c>
      <c r="D8" s="60"/>
      <c r="E8" s="60"/>
      <c r="F8" s="60"/>
      <c r="G8" s="60"/>
      <c r="H8" s="60"/>
      <c r="I8" s="60"/>
      <c r="J8" s="61"/>
      <c r="K8" s="62"/>
      <c r="L8" s="63"/>
      <c r="M8" s="64"/>
      <c r="N8" s="65"/>
      <c r="O8" s="66"/>
      <c r="P8" s="67"/>
      <c r="Q8" s="67">
        <v>2</v>
      </c>
      <c r="R8" s="68"/>
      <c r="S8" s="63"/>
      <c r="T8" s="69">
        <f t="shared" ref="T8:T41" si="0">H8+I8+J8+K8+N8+P8+R8</f>
        <v>0</v>
      </c>
      <c r="U8" s="70">
        <f>C8*24+M8*24+O8*24+Q8*24+T8</f>
        <v>2448</v>
      </c>
      <c r="V8" s="70">
        <f>U8/24</f>
        <v>102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1">
        <v>51</v>
      </c>
      <c r="D9" s="71"/>
      <c r="E9" s="71"/>
      <c r="F9" s="71"/>
      <c r="G9" s="71"/>
      <c r="H9" s="71"/>
      <c r="I9" s="71"/>
      <c r="J9" s="72"/>
      <c r="K9" s="73"/>
      <c r="L9" s="56"/>
      <c r="M9" s="74"/>
      <c r="N9" s="75"/>
      <c r="O9" s="71">
        <v>17</v>
      </c>
      <c r="P9" s="72"/>
      <c r="Q9" s="72"/>
      <c r="R9" s="73"/>
      <c r="S9" s="56"/>
      <c r="T9" s="76">
        <f t="shared" si="0"/>
        <v>0</v>
      </c>
      <c r="U9" s="77">
        <f t="shared" ref="U9:U11" si="2">C9*24+M9*24+O9*24+Q9*24+T9</f>
        <v>1632</v>
      </c>
      <c r="V9" s="77">
        <f t="shared" ref="V9:V11" si="3">U9/24</f>
        <v>68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1">
        <v>23</v>
      </c>
      <c r="D10" s="71"/>
      <c r="E10" s="71"/>
      <c r="F10" s="71"/>
      <c r="G10" s="71"/>
      <c r="H10" s="71"/>
      <c r="I10" s="71"/>
      <c r="J10" s="72"/>
      <c r="K10" s="73"/>
      <c r="L10" s="56"/>
      <c r="M10" s="74"/>
      <c r="N10" s="75"/>
      <c r="O10" s="71">
        <v>13</v>
      </c>
      <c r="P10" s="72"/>
      <c r="Q10" s="72"/>
      <c r="R10" s="73"/>
      <c r="S10" s="56"/>
      <c r="T10" s="59">
        <f t="shared" si="0"/>
        <v>0</v>
      </c>
      <c r="U10" s="59">
        <f t="shared" si="2"/>
        <v>864</v>
      </c>
      <c r="V10" s="59">
        <f t="shared" si="3"/>
        <v>36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1">
        <v>9</v>
      </c>
      <c r="D11" s="71"/>
      <c r="E11" s="71"/>
      <c r="F11" s="71"/>
      <c r="G11" s="71"/>
      <c r="H11" s="71">
        <v>22</v>
      </c>
      <c r="I11" s="71"/>
      <c r="J11" s="72"/>
      <c r="K11" s="73">
        <v>2</v>
      </c>
      <c r="L11" s="56"/>
      <c r="M11" s="74"/>
      <c r="N11" s="75"/>
      <c r="O11" s="71"/>
      <c r="P11" s="72"/>
      <c r="Q11" s="72"/>
      <c r="R11" s="73"/>
      <c r="S11" s="56"/>
      <c r="T11" s="59">
        <f t="shared" si="0"/>
        <v>24</v>
      </c>
      <c r="U11" s="59">
        <f t="shared" si="2"/>
        <v>240</v>
      </c>
      <c r="V11" s="59">
        <f t="shared" si="3"/>
        <v>10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60">
        <f>720+72+60+63+936+60+1440+576</f>
        <v>3927</v>
      </c>
      <c r="D12" s="60"/>
      <c r="E12" s="60"/>
      <c r="F12" s="60"/>
      <c r="G12" s="60"/>
      <c r="H12" s="60"/>
      <c r="I12" s="60"/>
      <c r="J12" s="61"/>
      <c r="K12" s="62"/>
      <c r="L12" s="63"/>
      <c r="M12" s="64">
        <v>13</v>
      </c>
      <c r="N12" s="65"/>
      <c r="O12" s="66">
        <v>11</v>
      </c>
      <c r="P12" s="67">
        <v>5</v>
      </c>
      <c r="Q12" s="67">
        <v>7</v>
      </c>
      <c r="R12" s="68">
        <v>13</v>
      </c>
      <c r="S12" s="63"/>
      <c r="T12" s="59">
        <f t="shared" si="0"/>
        <v>18</v>
      </c>
      <c r="U12" s="70">
        <f>C12*24+M12*24+O12*24+Q12*24+T12</f>
        <v>95010</v>
      </c>
      <c r="V12" s="70">
        <f>U12/24</f>
        <v>3958.75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1">
        <v>5</v>
      </c>
      <c r="D13" s="71"/>
      <c r="E13" s="71"/>
      <c r="F13" s="71"/>
      <c r="G13" s="71"/>
      <c r="H13" s="71"/>
      <c r="I13" s="71"/>
      <c r="J13" s="72"/>
      <c r="K13" s="73"/>
      <c r="L13" s="56"/>
      <c r="M13" s="74"/>
      <c r="N13" s="75"/>
      <c r="O13" s="71"/>
      <c r="P13" s="72"/>
      <c r="Q13" s="72"/>
      <c r="R13" s="73"/>
      <c r="S13" s="56"/>
      <c r="T13" s="59">
        <f t="shared" si="0"/>
        <v>0</v>
      </c>
      <c r="U13" s="77">
        <f>C13*24+M13*24+O13*24+Q13*24+T13</f>
        <v>120</v>
      </c>
      <c r="V13" s="77">
        <f>U13/24</f>
        <v>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1"/>
      <c r="D14" s="71"/>
      <c r="E14" s="71"/>
      <c r="F14" s="71"/>
      <c r="G14" s="71"/>
      <c r="H14" s="71"/>
      <c r="I14" s="71"/>
      <c r="J14" s="72"/>
      <c r="K14" s="73"/>
      <c r="L14" s="56"/>
      <c r="M14" s="74"/>
      <c r="N14" s="75"/>
      <c r="O14" s="71"/>
      <c r="P14" s="72"/>
      <c r="Q14" s="72"/>
      <c r="R14" s="73"/>
      <c r="S14" s="56"/>
      <c r="T14" s="59">
        <f t="shared" si="0"/>
        <v>0</v>
      </c>
      <c r="U14" s="76">
        <f t="shared" ref="U14:U36" si="4">C14*24+M14*24+O14*24+Q14*24+T14</f>
        <v>0</v>
      </c>
      <c r="V14" s="76">
        <f t="shared" ref="V14:V36" si="5">U14/24</f>
        <v>0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1"/>
      <c r="D15" s="71"/>
      <c r="E15" s="71"/>
      <c r="F15" s="71"/>
      <c r="G15" s="71"/>
      <c r="H15" s="71"/>
      <c r="I15" s="71"/>
      <c r="J15" s="72"/>
      <c r="K15" s="73"/>
      <c r="L15" s="56"/>
      <c r="M15" s="74"/>
      <c r="N15" s="75"/>
      <c r="O15" s="71"/>
      <c r="P15" s="72"/>
      <c r="Q15" s="72"/>
      <c r="R15" s="73"/>
      <c r="S15" s="56"/>
      <c r="T15" s="59">
        <f t="shared" si="0"/>
        <v>0</v>
      </c>
      <c r="U15" s="76">
        <f t="shared" si="4"/>
        <v>0</v>
      </c>
      <c r="V15" s="76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1"/>
      <c r="D16" s="71"/>
      <c r="E16" s="71"/>
      <c r="F16" s="71"/>
      <c r="G16" s="71"/>
      <c r="H16" s="71"/>
      <c r="I16" s="71"/>
      <c r="J16" s="72"/>
      <c r="K16" s="73"/>
      <c r="L16" s="56"/>
      <c r="M16" s="74"/>
      <c r="N16" s="75"/>
      <c r="O16" s="71"/>
      <c r="P16" s="72"/>
      <c r="Q16" s="72"/>
      <c r="R16" s="73"/>
      <c r="S16" s="56"/>
      <c r="T16" s="59">
        <f t="shared" si="0"/>
        <v>0</v>
      </c>
      <c r="U16" s="76">
        <f t="shared" si="4"/>
        <v>0</v>
      </c>
      <c r="V16" s="76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1">
        <v>4</v>
      </c>
      <c r="D17" s="71"/>
      <c r="E17" s="71"/>
      <c r="F17" s="71"/>
      <c r="G17" s="71"/>
      <c r="H17" s="71"/>
      <c r="I17" s="71"/>
      <c r="J17" s="72"/>
      <c r="K17" s="73"/>
      <c r="L17" s="56"/>
      <c r="M17" s="74"/>
      <c r="N17" s="75"/>
      <c r="O17" s="71"/>
      <c r="P17" s="72"/>
      <c r="Q17" s="72"/>
      <c r="R17" s="73"/>
      <c r="S17" s="56"/>
      <c r="T17" s="59">
        <f t="shared" si="0"/>
        <v>0</v>
      </c>
      <c r="U17" s="76">
        <f t="shared" si="4"/>
        <v>96</v>
      </c>
      <c r="V17" s="76">
        <f t="shared" si="5"/>
        <v>4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1"/>
      <c r="D18" s="71"/>
      <c r="E18" s="71"/>
      <c r="F18" s="71"/>
      <c r="G18" s="71"/>
      <c r="H18" s="71"/>
      <c r="I18" s="71"/>
      <c r="J18" s="72"/>
      <c r="K18" s="73"/>
      <c r="L18" s="56"/>
      <c r="M18" s="74"/>
      <c r="N18" s="75"/>
      <c r="O18" s="71"/>
      <c r="P18" s="72"/>
      <c r="Q18" s="72"/>
      <c r="R18" s="73"/>
      <c r="S18" s="56"/>
      <c r="T18" s="59">
        <f t="shared" si="0"/>
        <v>0</v>
      </c>
      <c r="U18" s="76">
        <f t="shared" si="4"/>
        <v>0</v>
      </c>
      <c r="V18" s="76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1">
        <v>4</v>
      </c>
      <c r="D19" s="71"/>
      <c r="E19" s="71"/>
      <c r="F19" s="71"/>
      <c r="G19" s="71"/>
      <c r="H19" s="71"/>
      <c r="I19" s="71"/>
      <c r="J19" s="72"/>
      <c r="K19" s="73"/>
      <c r="L19" s="56"/>
      <c r="M19" s="74"/>
      <c r="N19" s="75"/>
      <c r="O19" s="71"/>
      <c r="P19" s="72"/>
      <c r="Q19" s="72"/>
      <c r="R19" s="73"/>
      <c r="S19" s="56"/>
      <c r="T19" s="59">
        <f t="shared" si="0"/>
        <v>0</v>
      </c>
      <c r="U19" s="76">
        <f t="shared" si="4"/>
        <v>96</v>
      </c>
      <c r="V19" s="76">
        <f t="shared" si="5"/>
        <v>4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1">
        <v>6</v>
      </c>
      <c r="D20" s="71"/>
      <c r="E20" s="71"/>
      <c r="F20" s="71"/>
      <c r="G20" s="71"/>
      <c r="H20" s="71"/>
      <c r="I20" s="71"/>
      <c r="J20" s="72"/>
      <c r="K20" s="73"/>
      <c r="L20" s="56"/>
      <c r="M20" s="74"/>
      <c r="N20" s="75"/>
      <c r="O20" s="71"/>
      <c r="P20" s="72"/>
      <c r="Q20" s="72"/>
      <c r="R20" s="73"/>
      <c r="S20" s="56"/>
      <c r="T20" s="59">
        <f t="shared" si="0"/>
        <v>0</v>
      </c>
      <c r="U20" s="76">
        <f t="shared" si="4"/>
        <v>144</v>
      </c>
      <c r="V20" s="76">
        <f t="shared" si="5"/>
        <v>6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1">
        <v>4</v>
      </c>
      <c r="D21" s="71"/>
      <c r="E21" s="71"/>
      <c r="F21" s="71"/>
      <c r="G21" s="71"/>
      <c r="H21" s="71"/>
      <c r="I21" s="71"/>
      <c r="J21" s="72"/>
      <c r="K21" s="73"/>
      <c r="L21" s="56"/>
      <c r="M21" s="74"/>
      <c r="N21" s="75"/>
      <c r="O21" s="71"/>
      <c r="P21" s="72"/>
      <c r="Q21" s="72"/>
      <c r="R21" s="73"/>
      <c r="S21" s="56"/>
      <c r="T21" s="59">
        <f t="shared" si="0"/>
        <v>0</v>
      </c>
      <c r="U21" s="76">
        <f t="shared" si="4"/>
        <v>96</v>
      </c>
      <c r="V21" s="76">
        <f t="shared" si="5"/>
        <v>4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1">
        <v>2</v>
      </c>
      <c r="D22" s="71"/>
      <c r="E22" s="71"/>
      <c r="F22" s="71"/>
      <c r="G22" s="71"/>
      <c r="H22" s="71"/>
      <c r="I22" s="71"/>
      <c r="J22" s="72"/>
      <c r="K22" s="73"/>
      <c r="L22" s="56"/>
      <c r="M22" s="74"/>
      <c r="N22" s="75"/>
      <c r="O22" s="71"/>
      <c r="P22" s="72"/>
      <c r="Q22" s="72"/>
      <c r="R22" s="73"/>
      <c r="S22" s="56"/>
      <c r="T22" s="59">
        <f t="shared" si="0"/>
        <v>0</v>
      </c>
      <c r="U22" s="76">
        <f t="shared" si="4"/>
        <v>48</v>
      </c>
      <c r="V22" s="76">
        <f t="shared" si="5"/>
        <v>2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1">
        <v>17</v>
      </c>
      <c r="D23" s="71"/>
      <c r="E23" s="71"/>
      <c r="F23" s="71"/>
      <c r="G23" s="71"/>
      <c r="H23" s="71"/>
      <c r="I23" s="71"/>
      <c r="J23" s="72"/>
      <c r="K23" s="73"/>
      <c r="L23" s="56"/>
      <c r="M23" s="74">
        <v>10</v>
      </c>
      <c r="N23" s="75"/>
      <c r="O23" s="71">
        <v>10</v>
      </c>
      <c r="P23" s="72"/>
      <c r="Q23" s="72">
        <v>10</v>
      </c>
      <c r="R23" s="73"/>
      <c r="S23" s="56"/>
      <c r="T23" s="59">
        <f t="shared" si="0"/>
        <v>0</v>
      </c>
      <c r="U23" s="76">
        <f t="shared" si="4"/>
        <v>1128</v>
      </c>
      <c r="V23" s="76">
        <f t="shared" si="5"/>
        <v>47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1">
        <v>7</v>
      </c>
      <c r="D24" s="71"/>
      <c r="E24" s="71"/>
      <c r="F24" s="71"/>
      <c r="G24" s="71"/>
      <c r="H24" s="71"/>
      <c r="I24" s="71"/>
      <c r="J24" s="72"/>
      <c r="K24" s="73"/>
      <c r="L24" s="56"/>
      <c r="M24" s="74"/>
      <c r="N24" s="75"/>
      <c r="O24" s="71"/>
      <c r="P24" s="72"/>
      <c r="Q24" s="72"/>
      <c r="R24" s="73"/>
      <c r="S24" s="56"/>
      <c r="T24" s="59">
        <f t="shared" si="0"/>
        <v>0</v>
      </c>
      <c r="U24" s="76">
        <f t="shared" si="4"/>
        <v>168</v>
      </c>
      <c r="V24" s="76">
        <f t="shared" si="5"/>
        <v>7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1">
        <f>59+63</f>
        <v>122</v>
      </c>
      <c r="D25" s="71"/>
      <c r="E25" s="71"/>
      <c r="F25" s="71"/>
      <c r="G25" s="71"/>
      <c r="H25" s="71">
        <v>10</v>
      </c>
      <c r="I25" s="71">
        <v>1</v>
      </c>
      <c r="J25" s="72"/>
      <c r="K25" s="73"/>
      <c r="L25" s="56"/>
      <c r="M25" s="74">
        <v>1</v>
      </c>
      <c r="N25" s="75"/>
      <c r="O25" s="71"/>
      <c r="P25" s="72"/>
      <c r="Q25" s="72"/>
      <c r="R25" s="73"/>
      <c r="S25" s="56"/>
      <c r="T25" s="59">
        <f t="shared" si="0"/>
        <v>11</v>
      </c>
      <c r="U25" s="76">
        <f t="shared" si="4"/>
        <v>2963</v>
      </c>
      <c r="V25" s="76">
        <f t="shared" si="5"/>
        <v>123.45833333333333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1">
        <v>16</v>
      </c>
      <c r="D26" s="71"/>
      <c r="E26" s="71"/>
      <c r="F26" s="71"/>
      <c r="G26" s="71"/>
      <c r="H26" s="71"/>
      <c r="I26" s="71"/>
      <c r="J26" s="72"/>
      <c r="K26" s="73"/>
      <c r="L26" s="56"/>
      <c r="M26" s="74"/>
      <c r="N26" s="75"/>
      <c r="O26" s="71">
        <v>4</v>
      </c>
      <c r="P26" s="72"/>
      <c r="Q26" s="72"/>
      <c r="R26" s="73"/>
      <c r="S26" s="56"/>
      <c r="T26" s="59">
        <f t="shared" si="0"/>
        <v>0</v>
      </c>
      <c r="U26" s="76">
        <f t="shared" si="4"/>
        <v>480</v>
      </c>
      <c r="V26" s="76">
        <f t="shared" si="5"/>
        <v>20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1"/>
      <c r="D27" s="71"/>
      <c r="E27" s="71"/>
      <c r="F27" s="71"/>
      <c r="G27" s="71"/>
      <c r="H27" s="71"/>
      <c r="I27" s="71"/>
      <c r="J27" s="72"/>
      <c r="K27" s="73"/>
      <c r="L27" s="56"/>
      <c r="M27" s="74"/>
      <c r="N27" s="75"/>
      <c r="O27" s="71"/>
      <c r="P27" s="72"/>
      <c r="Q27" s="72"/>
      <c r="R27" s="73"/>
      <c r="S27" s="56"/>
      <c r="T27" s="59"/>
      <c r="U27" s="76"/>
      <c r="V27" s="76"/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1">
        <f>64+30</f>
        <v>94</v>
      </c>
      <c r="D28" s="71"/>
      <c r="E28" s="71"/>
      <c r="F28" s="71"/>
      <c r="G28" s="71"/>
      <c r="H28" s="71"/>
      <c r="I28" s="71"/>
      <c r="J28" s="72"/>
      <c r="K28" s="73"/>
      <c r="L28" s="56"/>
      <c r="M28" s="74">
        <v>1</v>
      </c>
      <c r="N28" s="75"/>
      <c r="O28" s="71">
        <v>2</v>
      </c>
      <c r="P28" s="72"/>
      <c r="Q28" s="72"/>
      <c r="R28" s="73"/>
      <c r="S28" s="56"/>
      <c r="T28" s="59">
        <f t="shared" si="0"/>
        <v>0</v>
      </c>
      <c r="U28" s="76">
        <f t="shared" si="4"/>
        <v>2328</v>
      </c>
      <c r="V28" s="76">
        <f t="shared" si="5"/>
        <v>97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1">
        <v>10</v>
      </c>
      <c r="D29" s="71"/>
      <c r="E29" s="71"/>
      <c r="F29" s="71"/>
      <c r="G29" s="71"/>
      <c r="H29" s="71"/>
      <c r="I29" s="71"/>
      <c r="J29" s="72"/>
      <c r="K29" s="73"/>
      <c r="L29" s="56"/>
      <c r="M29" s="74"/>
      <c r="N29" s="75"/>
      <c r="O29" s="71"/>
      <c r="P29" s="72"/>
      <c r="Q29" s="72"/>
      <c r="R29" s="73"/>
      <c r="S29" s="56"/>
      <c r="T29" s="59">
        <f t="shared" si="0"/>
        <v>0</v>
      </c>
      <c r="U29" s="76">
        <f t="shared" si="4"/>
        <v>240</v>
      </c>
      <c r="V29" s="76">
        <f t="shared" si="5"/>
        <v>10</v>
      </c>
    </row>
    <row r="30" spans="1:54" x14ac:dyDescent="0.25">
      <c r="A30" s="27">
        <f t="shared" si="1"/>
        <v>27</v>
      </c>
      <c r="B30" s="26" t="s">
        <v>15</v>
      </c>
      <c r="C30" s="71">
        <v>57</v>
      </c>
      <c r="D30" s="71"/>
      <c r="E30" s="71"/>
      <c r="F30" s="71"/>
      <c r="G30" s="71"/>
      <c r="H30" s="71"/>
      <c r="I30" s="71"/>
      <c r="J30" s="72"/>
      <c r="K30" s="73"/>
      <c r="L30" s="56"/>
      <c r="M30" s="74"/>
      <c r="N30" s="75"/>
      <c r="O30" s="71">
        <v>2</v>
      </c>
      <c r="P30" s="72"/>
      <c r="Q30" s="72">
        <v>1</v>
      </c>
      <c r="R30" s="73"/>
      <c r="S30" s="56"/>
      <c r="T30" s="59">
        <f t="shared" si="0"/>
        <v>0</v>
      </c>
      <c r="U30" s="76">
        <f t="shared" si="4"/>
        <v>1440</v>
      </c>
      <c r="V30" s="76">
        <f t="shared" si="5"/>
        <v>60</v>
      </c>
    </row>
    <row r="31" spans="1:54" x14ac:dyDescent="0.25">
      <c r="A31" s="27">
        <f t="shared" si="1"/>
        <v>28</v>
      </c>
      <c r="B31" s="26" t="s">
        <v>12</v>
      </c>
      <c r="C31" s="71">
        <v>4</v>
      </c>
      <c r="D31" s="71"/>
      <c r="E31" s="71"/>
      <c r="F31" s="71"/>
      <c r="G31" s="71"/>
      <c r="H31" s="71"/>
      <c r="I31" s="71"/>
      <c r="J31" s="72"/>
      <c r="K31" s="73"/>
      <c r="L31" s="56"/>
      <c r="M31" s="74"/>
      <c r="N31" s="75"/>
      <c r="O31" s="71">
        <v>11</v>
      </c>
      <c r="P31" s="72"/>
      <c r="Q31" s="72"/>
      <c r="R31" s="73"/>
      <c r="S31" s="56"/>
      <c r="T31" s="59">
        <f t="shared" si="0"/>
        <v>0</v>
      </c>
      <c r="U31" s="76">
        <f t="shared" si="4"/>
        <v>360</v>
      </c>
      <c r="V31" s="76">
        <f t="shared" si="5"/>
        <v>15</v>
      </c>
    </row>
    <row r="32" spans="1:54" x14ac:dyDescent="0.25">
      <c r="A32" s="27">
        <f t="shared" si="1"/>
        <v>29</v>
      </c>
      <c r="B32" s="26" t="s">
        <v>14</v>
      </c>
      <c r="C32" s="71"/>
      <c r="D32" s="71"/>
      <c r="E32" s="71"/>
      <c r="F32" s="71"/>
      <c r="G32" s="71"/>
      <c r="H32" s="71"/>
      <c r="I32" s="71"/>
      <c r="J32" s="72"/>
      <c r="K32" s="73"/>
      <c r="L32" s="56"/>
      <c r="M32" s="74"/>
      <c r="N32" s="75"/>
      <c r="O32" s="71"/>
      <c r="P32" s="72"/>
      <c r="Q32" s="72"/>
      <c r="R32" s="73"/>
      <c r="S32" s="56"/>
      <c r="T32" s="59">
        <f t="shared" si="0"/>
        <v>0</v>
      </c>
      <c r="U32" s="76">
        <f t="shared" si="4"/>
        <v>0</v>
      </c>
      <c r="V32" s="76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1"/>
      <c r="D33" s="71"/>
      <c r="E33" s="71"/>
      <c r="F33" s="71"/>
      <c r="G33" s="71"/>
      <c r="H33" s="71"/>
      <c r="I33" s="71"/>
      <c r="J33" s="72"/>
      <c r="K33" s="73"/>
      <c r="L33" s="56"/>
      <c r="M33" s="74"/>
      <c r="N33" s="75"/>
      <c r="O33" s="71">
        <v>3</v>
      </c>
      <c r="P33" s="72"/>
      <c r="Q33" s="72"/>
      <c r="R33" s="73"/>
      <c r="S33" s="56"/>
      <c r="T33" s="59">
        <f t="shared" si="0"/>
        <v>0</v>
      </c>
      <c r="U33" s="76">
        <f t="shared" si="4"/>
        <v>72</v>
      </c>
      <c r="V33" s="76">
        <f t="shared" si="5"/>
        <v>3</v>
      </c>
    </row>
    <row r="34" spans="1:23" x14ac:dyDescent="0.25">
      <c r="A34" s="27">
        <f t="shared" si="1"/>
        <v>31</v>
      </c>
      <c r="B34" s="26" t="s">
        <v>17</v>
      </c>
      <c r="C34" s="71">
        <f>61+72</f>
        <v>133</v>
      </c>
      <c r="D34" s="71"/>
      <c r="E34" s="71"/>
      <c r="F34" s="71"/>
      <c r="G34" s="71"/>
      <c r="H34" s="71">
        <v>4</v>
      </c>
      <c r="I34" s="71"/>
      <c r="J34" s="72"/>
      <c r="K34" s="73">
        <v>1</v>
      </c>
      <c r="L34" s="56"/>
      <c r="M34" s="74"/>
      <c r="N34" s="75">
        <v>12</v>
      </c>
      <c r="O34" s="71"/>
      <c r="P34" s="72"/>
      <c r="Q34" s="72">
        <v>2</v>
      </c>
      <c r="R34" s="73"/>
      <c r="S34" s="56"/>
      <c r="T34" s="59">
        <f t="shared" si="0"/>
        <v>17</v>
      </c>
      <c r="U34" s="76">
        <f t="shared" si="4"/>
        <v>3257</v>
      </c>
      <c r="V34" s="76">
        <f t="shared" si="5"/>
        <v>135.70833333333334</v>
      </c>
    </row>
    <row r="35" spans="1:23" hidden="1" x14ac:dyDescent="0.25">
      <c r="A35" s="27">
        <f t="shared" si="1"/>
        <v>32</v>
      </c>
      <c r="B35" s="26" t="s">
        <v>25</v>
      </c>
      <c r="C35" s="71"/>
      <c r="D35" s="71"/>
      <c r="E35" s="71"/>
      <c r="F35" s="71"/>
      <c r="G35" s="71"/>
      <c r="H35" s="71"/>
      <c r="I35" s="71"/>
      <c r="J35" s="72"/>
      <c r="K35" s="73"/>
      <c r="L35" s="56"/>
      <c r="M35" s="74"/>
      <c r="N35" s="75"/>
      <c r="O35" s="71"/>
      <c r="P35" s="72"/>
      <c r="Q35" s="72"/>
      <c r="R35" s="73"/>
      <c r="S35" s="56"/>
      <c r="T35" s="59">
        <f t="shared" si="0"/>
        <v>0</v>
      </c>
      <c r="U35" s="76">
        <f t="shared" si="4"/>
        <v>0</v>
      </c>
      <c r="V35" s="76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1"/>
      <c r="D36" s="71"/>
      <c r="E36" s="71"/>
      <c r="F36" s="71"/>
      <c r="G36" s="71"/>
      <c r="H36" s="71"/>
      <c r="I36" s="71"/>
      <c r="J36" s="72"/>
      <c r="K36" s="73"/>
      <c r="L36" s="56"/>
      <c r="M36" s="74"/>
      <c r="N36" s="75"/>
      <c r="O36" s="71"/>
      <c r="P36" s="72"/>
      <c r="Q36" s="72"/>
      <c r="R36" s="73"/>
      <c r="S36" s="56"/>
      <c r="T36" s="59">
        <f t="shared" si="0"/>
        <v>0</v>
      </c>
      <c r="U36" s="76">
        <f t="shared" si="4"/>
        <v>0</v>
      </c>
      <c r="V36" s="76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60">
        <f>324+63+2376+1512</f>
        <v>4275</v>
      </c>
      <c r="D37" s="60"/>
      <c r="E37" s="60"/>
      <c r="F37" s="60"/>
      <c r="G37" s="60"/>
      <c r="H37" s="60">
        <v>2</v>
      </c>
      <c r="I37" s="60"/>
      <c r="J37" s="61"/>
      <c r="K37" s="62">
        <v>6</v>
      </c>
      <c r="L37" s="63"/>
      <c r="M37" s="64"/>
      <c r="N37" s="65"/>
      <c r="O37" s="66">
        <v>41</v>
      </c>
      <c r="P37" s="67"/>
      <c r="Q37" s="67">
        <v>35</v>
      </c>
      <c r="R37" s="68"/>
      <c r="S37" s="63"/>
      <c r="T37" s="78">
        <f t="shared" si="0"/>
        <v>8</v>
      </c>
      <c r="U37" s="78">
        <f>C37*6+M37*6+O37*6+Q37*6+T37</f>
        <v>26114</v>
      </c>
      <c r="V37" s="78">
        <f>U37/6</f>
        <v>4352.333333333333</v>
      </c>
      <c r="W37" s="50"/>
    </row>
    <row r="38" spans="1:23" x14ac:dyDescent="0.25">
      <c r="A38" s="27">
        <f t="shared" si="1"/>
        <v>35</v>
      </c>
      <c r="B38" s="25" t="s">
        <v>20</v>
      </c>
      <c r="C38" s="71">
        <v>13</v>
      </c>
      <c r="D38" s="71"/>
      <c r="E38" s="71"/>
      <c r="F38" s="71"/>
      <c r="G38" s="71"/>
      <c r="H38" s="71"/>
      <c r="I38" s="71"/>
      <c r="J38" s="72"/>
      <c r="K38" s="73"/>
      <c r="L38" s="56"/>
      <c r="M38" s="74"/>
      <c r="N38" s="75"/>
      <c r="O38" s="71">
        <v>5</v>
      </c>
      <c r="P38" s="72"/>
      <c r="Q38" s="72"/>
      <c r="R38" s="73"/>
      <c r="S38" s="56"/>
      <c r="T38" s="76">
        <f t="shared" si="0"/>
        <v>0</v>
      </c>
      <c r="U38" s="76">
        <f>C38*24+M38*24+O38*24+Q38*24+T38</f>
        <v>432</v>
      </c>
      <c r="V38" s="76">
        <f>U38/24</f>
        <v>18</v>
      </c>
    </row>
    <row r="39" spans="1:23" x14ac:dyDescent="0.25">
      <c r="A39" s="27">
        <f t="shared" si="1"/>
        <v>36</v>
      </c>
      <c r="B39" s="51" t="s">
        <v>62</v>
      </c>
      <c r="C39" s="79"/>
      <c r="D39" s="79"/>
      <c r="E39" s="79"/>
      <c r="F39" s="79"/>
      <c r="G39" s="79"/>
      <c r="H39" s="79"/>
      <c r="I39" s="79"/>
      <c r="J39" s="80"/>
      <c r="K39" s="81"/>
      <c r="L39" s="56"/>
      <c r="M39" s="82"/>
      <c r="N39" s="83"/>
      <c r="O39" s="79"/>
      <c r="P39" s="80"/>
      <c r="Q39" s="80"/>
      <c r="R39" s="81"/>
      <c r="S39" s="56"/>
      <c r="T39" s="84"/>
      <c r="U39" s="84"/>
      <c r="V39" s="84"/>
    </row>
    <row r="40" spans="1:23" ht="19.5" thickBot="1" x14ac:dyDescent="0.3">
      <c r="A40" s="27">
        <f t="shared" si="1"/>
        <v>37</v>
      </c>
      <c r="B40" s="42" t="s">
        <v>21</v>
      </c>
      <c r="C40" s="60">
        <f>504+51</f>
        <v>555</v>
      </c>
      <c r="D40" s="60"/>
      <c r="E40" s="60"/>
      <c r="F40" s="60"/>
      <c r="G40" s="60"/>
      <c r="H40" s="60">
        <v>4</v>
      </c>
      <c r="I40" s="60"/>
      <c r="J40" s="61"/>
      <c r="K40" s="62">
        <v>20</v>
      </c>
      <c r="L40" s="63"/>
      <c r="M40" s="64"/>
      <c r="N40" s="65"/>
      <c r="O40" s="66">
        <v>1</v>
      </c>
      <c r="P40" s="67"/>
      <c r="Q40" s="67">
        <v>1</v>
      </c>
      <c r="R40" s="68"/>
      <c r="S40" s="63"/>
      <c r="T40" s="78">
        <f t="shared" si="0"/>
        <v>24</v>
      </c>
      <c r="U40" s="78">
        <f>C40*24+M40*24+O40*24+Q40*24+T40</f>
        <v>13392</v>
      </c>
      <c r="V40" s="78">
        <f>U40/24</f>
        <v>558</v>
      </c>
    </row>
    <row r="41" spans="1:23" ht="19.5" thickBot="1" x14ac:dyDescent="0.3">
      <c r="A41" s="27">
        <f t="shared" si="1"/>
        <v>38</v>
      </c>
      <c r="B41" s="43" t="s">
        <v>22</v>
      </c>
      <c r="C41" s="85">
        <f>1344+82</f>
        <v>1426</v>
      </c>
      <c r="D41" s="85"/>
      <c r="E41" s="85"/>
      <c r="F41" s="85"/>
      <c r="G41" s="85"/>
      <c r="H41" s="85"/>
      <c r="I41" s="85"/>
      <c r="J41" s="86"/>
      <c r="K41" s="87"/>
      <c r="L41" s="88"/>
      <c r="M41" s="89">
        <v>2</v>
      </c>
      <c r="N41" s="90"/>
      <c r="O41" s="85">
        <v>7</v>
      </c>
      <c r="P41" s="86"/>
      <c r="Q41" s="86">
        <v>15</v>
      </c>
      <c r="R41" s="87"/>
      <c r="S41" s="88"/>
      <c r="T41" s="91">
        <f t="shared" si="0"/>
        <v>0</v>
      </c>
      <c r="U41" s="91">
        <f>C41*12+M41*12+O41*12+Q41*12+T41</f>
        <v>17400</v>
      </c>
      <c r="V41" s="91">
        <f>U41/12</f>
        <v>1450</v>
      </c>
    </row>
    <row r="42" spans="1:23" hidden="1" x14ac:dyDescent="0.25">
      <c r="A42" s="27">
        <f t="shared" si="1"/>
        <v>39</v>
      </c>
      <c r="B42" s="25" t="s">
        <v>29</v>
      </c>
      <c r="C42" s="71"/>
      <c r="D42" s="71"/>
      <c r="E42" s="71"/>
      <c r="F42" s="71"/>
      <c r="G42" s="71"/>
      <c r="H42" s="71"/>
      <c r="I42" s="71"/>
      <c r="J42" s="72"/>
      <c r="K42" s="73"/>
      <c r="L42" s="56"/>
      <c r="M42" s="74"/>
      <c r="N42" s="75"/>
      <c r="O42" s="71"/>
      <c r="P42" s="72"/>
      <c r="Q42" s="72"/>
      <c r="R42" s="73"/>
      <c r="S42" s="56"/>
      <c r="T42" s="76"/>
      <c r="U42" s="76"/>
      <c r="V42" s="76"/>
    </row>
    <row r="43" spans="1:23" ht="19.5" thickBot="1" x14ac:dyDescent="0.3">
      <c r="A43" s="27">
        <f t="shared" si="1"/>
        <v>40</v>
      </c>
      <c r="B43" s="42" t="s">
        <v>23</v>
      </c>
      <c r="C43" s="66">
        <f>5940+8424+5400+4644+6696</f>
        <v>31104</v>
      </c>
      <c r="D43" s="66"/>
      <c r="E43" s="66"/>
      <c r="F43" s="66"/>
      <c r="G43" s="66"/>
      <c r="H43" s="66"/>
      <c r="I43" s="66">
        <v>7</v>
      </c>
      <c r="J43" s="67">
        <f>6*4+4</f>
        <v>28</v>
      </c>
      <c r="K43" s="68">
        <f>93*6+5</f>
        <v>563</v>
      </c>
      <c r="L43" s="63"/>
      <c r="M43" s="64">
        <v>398</v>
      </c>
      <c r="N43" s="65"/>
      <c r="O43" s="66">
        <v>258</v>
      </c>
      <c r="P43" s="67"/>
      <c r="Q43" s="67">
        <v>80</v>
      </c>
      <c r="R43" s="68"/>
      <c r="S43" s="63"/>
      <c r="T43" s="78">
        <f t="shared" ref="T43" si="6">H43+I43+J43+K43+N43+P43+R43</f>
        <v>598</v>
      </c>
      <c r="U43" s="78">
        <f>C43*6+M43*6+O43*6+Q43*6+T43</f>
        <v>191638</v>
      </c>
      <c r="V43" s="78">
        <f>U43/6</f>
        <v>31939.666666666668</v>
      </c>
    </row>
    <row r="44" spans="1:23" hidden="1" x14ac:dyDescent="0.25">
      <c r="A44" s="27">
        <f t="shared" si="1"/>
        <v>41</v>
      </c>
      <c r="B44" s="25" t="s">
        <v>31</v>
      </c>
      <c r="C44" s="71"/>
      <c r="D44" s="71"/>
      <c r="E44" s="71"/>
      <c r="F44" s="71"/>
      <c r="G44" s="71"/>
      <c r="H44" s="71"/>
      <c r="I44" s="71"/>
      <c r="J44" s="72"/>
      <c r="K44" s="73"/>
      <c r="L44" s="56"/>
      <c r="M44" s="74"/>
      <c r="N44" s="75"/>
      <c r="O44" s="71"/>
      <c r="P44" s="72"/>
      <c r="Q44" s="72"/>
      <c r="R44" s="73"/>
      <c r="S44" s="56"/>
      <c r="T44" s="76"/>
      <c r="U44" s="76"/>
      <c r="V44" s="76"/>
    </row>
    <row r="45" spans="1:23" x14ac:dyDescent="0.25">
      <c r="A45" s="27">
        <f t="shared" si="1"/>
        <v>42</v>
      </c>
      <c r="B45" s="26" t="s">
        <v>24</v>
      </c>
      <c r="C45" s="71"/>
      <c r="D45" s="71"/>
      <c r="E45" s="71"/>
      <c r="F45" s="71"/>
      <c r="G45" s="71"/>
      <c r="H45" s="71"/>
      <c r="I45" s="71"/>
      <c r="J45" s="72"/>
      <c r="K45" s="73"/>
      <c r="L45" s="56"/>
      <c r="M45" s="74"/>
      <c r="N45" s="75"/>
      <c r="O45" s="71"/>
      <c r="P45" s="72"/>
      <c r="Q45" s="72"/>
      <c r="R45" s="73"/>
      <c r="S45" s="56"/>
      <c r="T45" s="76">
        <f t="shared" ref="T45:T54" si="7">H45+I45+J45+K45+N45+P45+R45</f>
        <v>0</v>
      </c>
      <c r="U45" s="76">
        <f>C45*24+M45*24+O45*24+Q45*24+T45</f>
        <v>0</v>
      </c>
      <c r="V45" s="76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1"/>
      <c r="D46" s="71"/>
      <c r="E46" s="71"/>
      <c r="F46" s="71"/>
      <c r="G46" s="71"/>
      <c r="H46" s="71"/>
      <c r="I46" s="71"/>
      <c r="J46" s="72"/>
      <c r="K46" s="73"/>
      <c r="L46" s="56"/>
      <c r="M46" s="74"/>
      <c r="N46" s="75"/>
      <c r="O46" s="71">
        <v>4</v>
      </c>
      <c r="P46" s="72"/>
      <c r="Q46" s="72"/>
      <c r="R46" s="73"/>
      <c r="S46" s="56"/>
      <c r="T46" s="76">
        <f t="shared" si="7"/>
        <v>0</v>
      </c>
      <c r="U46" s="76">
        <f t="shared" ref="U46:U50" si="8">C46*24+M46*24+O46*24+Q46*24+T46</f>
        <v>96</v>
      </c>
      <c r="V46" s="76">
        <f t="shared" ref="V46:V54" si="9">U46/24</f>
        <v>4</v>
      </c>
    </row>
    <row r="47" spans="1:23" ht="19.5" thickBot="1" x14ac:dyDescent="0.3">
      <c r="A47" s="27">
        <f t="shared" si="1"/>
        <v>44</v>
      </c>
      <c r="B47" s="42" t="s">
        <v>25</v>
      </c>
      <c r="C47" s="66">
        <f>22+2268+44</f>
        <v>2334</v>
      </c>
      <c r="D47" s="66"/>
      <c r="E47" s="66"/>
      <c r="F47" s="66"/>
      <c r="G47" s="66"/>
      <c r="H47" s="66"/>
      <c r="I47" s="66"/>
      <c r="J47" s="67"/>
      <c r="K47" s="68">
        <v>6</v>
      </c>
      <c r="L47" s="63"/>
      <c r="M47" s="64">
        <v>1</v>
      </c>
      <c r="N47" s="65"/>
      <c r="O47" s="66">
        <v>3</v>
      </c>
      <c r="P47" s="67">
        <v>4</v>
      </c>
      <c r="Q47" s="67">
        <v>10</v>
      </c>
      <c r="R47" s="68"/>
      <c r="S47" s="63"/>
      <c r="T47" s="78">
        <f t="shared" si="7"/>
        <v>10</v>
      </c>
      <c r="U47" s="78">
        <f>C47*6+M47*6+O47*6+Q47*6+T47</f>
        <v>14098</v>
      </c>
      <c r="V47" s="78">
        <f>U47/6</f>
        <v>2349.6666666666665</v>
      </c>
    </row>
    <row r="48" spans="1:23" x14ac:dyDescent="0.25">
      <c r="A48" s="27">
        <f t="shared" si="1"/>
        <v>45</v>
      </c>
      <c r="B48" s="25" t="s">
        <v>58</v>
      </c>
      <c r="C48" s="71">
        <v>1</v>
      </c>
      <c r="D48" s="71"/>
      <c r="E48" s="71"/>
      <c r="F48" s="71"/>
      <c r="G48" s="71"/>
      <c r="H48" s="71"/>
      <c r="I48" s="71"/>
      <c r="J48" s="72"/>
      <c r="K48" s="73"/>
      <c r="L48" s="56"/>
      <c r="M48" s="74"/>
      <c r="N48" s="75"/>
      <c r="O48" s="71"/>
      <c r="P48" s="72"/>
      <c r="Q48" s="72"/>
      <c r="R48" s="73"/>
      <c r="S48" s="56"/>
      <c r="T48" s="76">
        <f t="shared" si="7"/>
        <v>0</v>
      </c>
      <c r="U48" s="76">
        <f t="shared" si="8"/>
        <v>24</v>
      </c>
      <c r="V48" s="76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1"/>
      <c r="D49" s="71"/>
      <c r="E49" s="71"/>
      <c r="F49" s="71"/>
      <c r="G49" s="71"/>
      <c r="H49" s="71"/>
      <c r="I49" s="71"/>
      <c r="J49" s="72"/>
      <c r="K49" s="73"/>
      <c r="L49" s="56"/>
      <c r="M49" s="74"/>
      <c r="N49" s="75"/>
      <c r="O49" s="71"/>
      <c r="P49" s="72"/>
      <c r="Q49" s="72"/>
      <c r="R49" s="73"/>
      <c r="S49" s="56"/>
      <c r="T49" s="76">
        <f t="shared" si="7"/>
        <v>0</v>
      </c>
      <c r="U49" s="76">
        <f t="shared" si="8"/>
        <v>0</v>
      </c>
      <c r="V49" s="76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1"/>
      <c r="D50" s="71"/>
      <c r="E50" s="71"/>
      <c r="F50" s="71"/>
      <c r="G50" s="71"/>
      <c r="H50" s="71"/>
      <c r="I50" s="71"/>
      <c r="J50" s="72"/>
      <c r="K50" s="73"/>
      <c r="L50" s="56"/>
      <c r="M50" s="74"/>
      <c r="N50" s="75"/>
      <c r="O50" s="71"/>
      <c r="P50" s="72"/>
      <c r="Q50" s="72"/>
      <c r="R50" s="73"/>
      <c r="S50" s="56"/>
      <c r="T50" s="76">
        <f t="shared" si="7"/>
        <v>0</v>
      </c>
      <c r="U50" s="76">
        <f t="shared" si="8"/>
        <v>0</v>
      </c>
      <c r="V50" s="76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6">
        <v>34</v>
      </c>
      <c r="D51" s="66"/>
      <c r="E51" s="66"/>
      <c r="F51" s="66"/>
      <c r="G51" s="66"/>
      <c r="H51" s="66"/>
      <c r="I51" s="66"/>
      <c r="J51" s="67"/>
      <c r="K51" s="68"/>
      <c r="L51" s="63"/>
      <c r="M51" s="64"/>
      <c r="N51" s="65"/>
      <c r="O51" s="66"/>
      <c r="P51" s="67"/>
      <c r="Q51" s="67"/>
      <c r="R51" s="68"/>
      <c r="S51" s="63"/>
      <c r="T51" s="78">
        <f t="shared" si="7"/>
        <v>0</v>
      </c>
      <c r="U51" s="78">
        <f>C51*6+M51*6+O51*6+Q51*6+T51</f>
        <v>204</v>
      </c>
      <c r="V51" s="78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1"/>
      <c r="D52" s="71"/>
      <c r="E52" s="71"/>
      <c r="F52" s="71"/>
      <c r="G52" s="71"/>
      <c r="H52" s="71"/>
      <c r="I52" s="71"/>
      <c r="J52" s="72"/>
      <c r="K52" s="73"/>
      <c r="L52" s="56"/>
      <c r="M52" s="74"/>
      <c r="N52" s="75"/>
      <c r="O52" s="71"/>
      <c r="P52" s="72"/>
      <c r="Q52" s="72"/>
      <c r="R52" s="73"/>
      <c r="S52" s="56"/>
      <c r="T52" s="76">
        <f t="shared" si="7"/>
        <v>0</v>
      </c>
      <c r="U52" s="76">
        <f t="shared" ref="U52:U54" si="10">C52*24+M52*24+O52*24+Q52*24+T52</f>
        <v>0</v>
      </c>
      <c r="V52" s="76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1">
        <v>6</v>
      </c>
      <c r="D53" s="71"/>
      <c r="E53" s="71"/>
      <c r="F53" s="71"/>
      <c r="G53" s="71"/>
      <c r="H53" s="71"/>
      <c r="I53" s="71"/>
      <c r="J53" s="72"/>
      <c r="K53" s="73"/>
      <c r="L53" s="56"/>
      <c r="M53" s="74"/>
      <c r="N53" s="75"/>
      <c r="O53" s="71"/>
      <c r="P53" s="72"/>
      <c r="Q53" s="72"/>
      <c r="R53" s="73"/>
      <c r="S53" s="56"/>
      <c r="T53" s="76">
        <f t="shared" si="7"/>
        <v>0</v>
      </c>
      <c r="U53" s="76">
        <f t="shared" si="10"/>
        <v>144</v>
      </c>
      <c r="V53" s="76">
        <f t="shared" si="9"/>
        <v>6</v>
      </c>
    </row>
    <row r="54" spans="1:22" x14ac:dyDescent="0.25">
      <c r="A54" s="27">
        <f t="shared" si="1"/>
        <v>51</v>
      </c>
      <c r="B54" s="26"/>
      <c r="C54" s="71"/>
      <c r="D54" s="71"/>
      <c r="E54" s="71"/>
      <c r="F54" s="71"/>
      <c r="G54" s="71"/>
      <c r="H54" s="71"/>
      <c r="I54" s="71"/>
      <c r="J54" s="72"/>
      <c r="K54" s="73"/>
      <c r="L54" s="56"/>
      <c r="M54" s="74"/>
      <c r="N54" s="75"/>
      <c r="O54" s="71"/>
      <c r="P54" s="72"/>
      <c r="Q54" s="72"/>
      <c r="R54" s="73"/>
      <c r="S54" s="56"/>
      <c r="T54" s="76">
        <f t="shared" si="7"/>
        <v>0</v>
      </c>
      <c r="U54" s="76">
        <f t="shared" si="10"/>
        <v>0</v>
      </c>
      <c r="V54" s="76">
        <f t="shared" si="9"/>
        <v>0</v>
      </c>
    </row>
    <row r="55" spans="1:22" x14ac:dyDescent="0.25">
      <c r="A55" s="27">
        <f t="shared" si="1"/>
        <v>52</v>
      </c>
      <c r="B55" s="26"/>
      <c r="C55" s="71"/>
      <c r="D55" s="71"/>
      <c r="E55" s="71"/>
      <c r="F55" s="71"/>
      <c r="G55" s="71"/>
      <c r="H55" s="71"/>
      <c r="I55" s="71"/>
      <c r="J55" s="72"/>
      <c r="K55" s="73"/>
      <c r="L55" s="56"/>
      <c r="M55" s="74"/>
      <c r="N55" s="75"/>
      <c r="O55" s="71"/>
      <c r="P55" s="72"/>
      <c r="Q55" s="72"/>
      <c r="R55" s="73"/>
      <c r="S55" s="56"/>
      <c r="T55" s="76"/>
      <c r="U55" s="76"/>
      <c r="V55" s="76"/>
    </row>
    <row r="56" spans="1:22" x14ac:dyDescent="0.25">
      <c r="A56" s="27">
        <f t="shared" si="1"/>
        <v>53</v>
      </c>
      <c r="B56" s="26"/>
      <c r="C56" s="71"/>
      <c r="D56" s="71"/>
      <c r="E56" s="71"/>
      <c r="F56" s="71"/>
      <c r="G56" s="71"/>
      <c r="H56" s="71"/>
      <c r="I56" s="71"/>
      <c r="J56" s="72"/>
      <c r="K56" s="73"/>
      <c r="L56" s="56"/>
      <c r="M56" s="74"/>
      <c r="N56" s="75"/>
      <c r="O56" s="71"/>
      <c r="P56" s="72"/>
      <c r="Q56" s="72"/>
      <c r="R56" s="73"/>
      <c r="S56" s="56"/>
      <c r="T56" s="76"/>
      <c r="U56" s="76"/>
      <c r="V56" s="76"/>
    </row>
    <row r="57" spans="1:22" x14ac:dyDescent="0.25">
      <c r="A57" s="27">
        <f t="shared" si="1"/>
        <v>54</v>
      </c>
      <c r="B57" s="26"/>
      <c r="C57" s="71"/>
      <c r="D57" s="71"/>
      <c r="E57" s="71"/>
      <c r="F57" s="71"/>
      <c r="G57" s="71"/>
      <c r="H57" s="71"/>
      <c r="I57" s="71"/>
      <c r="J57" s="72"/>
      <c r="K57" s="73"/>
      <c r="L57" s="56"/>
      <c r="M57" s="74"/>
      <c r="N57" s="75"/>
      <c r="O57" s="71"/>
      <c r="P57" s="72"/>
      <c r="Q57" s="72"/>
      <c r="R57" s="73"/>
      <c r="S57" s="56"/>
      <c r="T57" s="76"/>
      <c r="U57" s="76"/>
      <c r="V57" s="76"/>
    </row>
    <row r="58" spans="1:22" s="15" customFormat="1" ht="19.5" thickBot="1" x14ac:dyDescent="0.3">
      <c r="B58" s="29" t="s">
        <v>50</v>
      </c>
      <c r="C58" s="2">
        <f>SUM(C7:C57)</f>
        <v>44405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44</v>
      </c>
      <c r="I58" s="6">
        <f t="shared" si="11"/>
        <v>9</v>
      </c>
      <c r="J58" s="6">
        <f t="shared" si="11"/>
        <v>28</v>
      </c>
      <c r="K58" s="6">
        <f t="shared" si="11"/>
        <v>604</v>
      </c>
      <c r="M58" s="5">
        <f t="shared" ref="M58:R58" si="12">SUM(M7:M57)</f>
        <v>427</v>
      </c>
      <c r="N58" s="5">
        <f t="shared" si="12"/>
        <v>12</v>
      </c>
      <c r="O58" s="5">
        <f t="shared" si="12"/>
        <v>394</v>
      </c>
      <c r="P58" s="5">
        <f t="shared" si="12"/>
        <v>21</v>
      </c>
      <c r="Q58" s="5">
        <f t="shared" si="12"/>
        <v>164</v>
      </c>
      <c r="R58" s="5">
        <f t="shared" si="12"/>
        <v>13</v>
      </c>
      <c r="S58" s="56"/>
      <c r="T58" s="4">
        <f>SUM(T7:T57)</f>
        <v>731</v>
      </c>
      <c r="U58" s="95">
        <f>SUM(U7:U57)</f>
        <v>378377</v>
      </c>
      <c r="V58" s="4">
        <f>SUM(V7:V57)</f>
        <v>45497.458333333336</v>
      </c>
    </row>
    <row r="59" spans="1:22" ht="7.5" customHeight="1" thickBot="1" x14ac:dyDescent="0.3"/>
    <row r="60" spans="1:22" ht="19.5" thickBot="1" x14ac:dyDescent="0.3">
      <c r="B60" s="30" t="s">
        <v>37</v>
      </c>
      <c r="C60" s="108" t="s">
        <v>41</v>
      </c>
      <c r="D60" s="109"/>
      <c r="E60" s="109"/>
      <c r="F60" s="109"/>
      <c r="G60" s="109"/>
      <c r="H60" s="109"/>
      <c r="I60" s="109"/>
      <c r="J60" s="109"/>
      <c r="K60" s="110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A2F5F4-C5DF-4049-87CE-B29D5D492895}">
  <sheetPr>
    <pageSetUpPr fitToPage="1"/>
  </sheetPr>
  <dimension ref="A1:BB81"/>
  <sheetViews>
    <sheetView zoomScaleNormal="100" zoomScaleSheetLayoutView="115" workbookViewId="0">
      <selection activeCell="N9" sqref="N9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6.710937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1" t="s">
        <v>43</v>
      </c>
      <c r="J1" s="111"/>
      <c r="K1" s="111"/>
      <c r="L1" s="111"/>
      <c r="M1" s="111"/>
      <c r="N1" s="111"/>
      <c r="O1" s="111"/>
      <c r="P1" s="111"/>
      <c r="Q1" s="111"/>
      <c r="R1" s="111"/>
      <c r="S1" s="111"/>
      <c r="T1" s="111"/>
      <c r="U1" s="111"/>
    </row>
    <row r="2" spans="1:54" x14ac:dyDescent="0.25">
      <c r="B2" s="28" t="s">
        <v>73</v>
      </c>
    </row>
    <row r="3" spans="1:54" ht="19.5" thickBot="1" x14ac:dyDescent="0.3"/>
    <row r="4" spans="1:54" s="10" customFormat="1" ht="15.75" x14ac:dyDescent="0.25">
      <c r="B4" s="41" t="s">
        <v>52</v>
      </c>
      <c r="C4" s="112" t="s">
        <v>41</v>
      </c>
      <c r="D4" s="112"/>
      <c r="E4" s="112"/>
      <c r="F4" s="112"/>
      <c r="G4" s="112"/>
      <c r="H4" s="112"/>
      <c r="I4" s="112"/>
      <c r="J4" s="113"/>
      <c r="K4" s="114"/>
      <c r="M4" s="34" t="s">
        <v>0</v>
      </c>
      <c r="N4" s="102" t="s">
        <v>61</v>
      </c>
      <c r="O4" s="35" t="s">
        <v>39</v>
      </c>
      <c r="P4" s="102" t="s">
        <v>61</v>
      </c>
      <c r="Q4" s="36" t="s">
        <v>40</v>
      </c>
      <c r="R4" s="102" t="s">
        <v>61</v>
      </c>
      <c r="S4" s="9"/>
      <c r="T4" s="115" t="s">
        <v>68</v>
      </c>
      <c r="U4" s="117" t="s">
        <v>67</v>
      </c>
      <c r="V4" s="104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101" t="s">
        <v>64</v>
      </c>
      <c r="I5" s="101" t="s">
        <v>60</v>
      </c>
      <c r="J5" s="106" t="s">
        <v>65</v>
      </c>
      <c r="K5" s="107"/>
      <c r="M5" s="37"/>
      <c r="N5" s="49"/>
      <c r="O5" s="40"/>
      <c r="P5" s="92"/>
      <c r="Q5" s="92"/>
      <c r="R5" s="38"/>
      <c r="S5" s="9"/>
      <c r="T5" s="116"/>
      <c r="U5" s="118"/>
      <c r="V5" s="105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92"/>
      <c r="K6" s="38"/>
      <c r="M6" s="37"/>
      <c r="N6" s="49"/>
      <c r="O6" s="40"/>
      <c r="P6" s="92"/>
      <c r="Q6" s="92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3">
        <f>21+41</f>
        <v>62</v>
      </c>
      <c r="D7" s="53"/>
      <c r="E7" s="53"/>
      <c r="F7" s="53"/>
      <c r="G7" s="53"/>
      <c r="H7" s="53">
        <v>2</v>
      </c>
      <c r="I7" s="53">
        <v>1</v>
      </c>
      <c r="J7" s="54"/>
      <c r="K7" s="55">
        <v>6</v>
      </c>
      <c r="L7" s="56"/>
      <c r="M7" s="57">
        <v>1</v>
      </c>
      <c r="N7" s="58"/>
      <c r="O7" s="53">
        <v>2</v>
      </c>
      <c r="P7" s="54">
        <v>12</v>
      </c>
      <c r="Q7" s="54">
        <v>1</v>
      </c>
      <c r="R7" s="55"/>
      <c r="S7" s="56"/>
      <c r="T7" s="59">
        <f>H7+I7+J7+K7+N7+P7+R7</f>
        <v>21</v>
      </c>
      <c r="U7" s="59">
        <f>C7*24+M7*24+O7*24+Q7*24+T7</f>
        <v>1605</v>
      </c>
      <c r="V7" s="59">
        <f>U7/24</f>
        <v>66.875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60">
        <f>22+63+15</f>
        <v>100</v>
      </c>
      <c r="D8" s="60"/>
      <c r="E8" s="60"/>
      <c r="F8" s="60"/>
      <c r="G8" s="60"/>
      <c r="H8" s="60"/>
      <c r="I8" s="60"/>
      <c r="J8" s="61"/>
      <c r="K8" s="62"/>
      <c r="L8" s="63"/>
      <c r="M8" s="64"/>
      <c r="N8" s="65"/>
      <c r="O8" s="66"/>
      <c r="P8" s="67"/>
      <c r="Q8" s="67">
        <v>2</v>
      </c>
      <c r="R8" s="68"/>
      <c r="S8" s="63"/>
      <c r="T8" s="69">
        <f t="shared" ref="T8:T41" si="0">H8+I8+J8+K8+N8+P8+R8</f>
        <v>0</v>
      </c>
      <c r="U8" s="70">
        <f>C8*24+M8*24+O8*24+Q8*24+T8</f>
        <v>2448</v>
      </c>
      <c r="V8" s="70">
        <f>U8/24</f>
        <v>102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1">
        <v>50</v>
      </c>
      <c r="D9" s="71"/>
      <c r="E9" s="71"/>
      <c r="F9" s="71"/>
      <c r="G9" s="71"/>
      <c r="H9" s="71"/>
      <c r="I9" s="71"/>
      <c r="J9" s="72"/>
      <c r="K9" s="73"/>
      <c r="L9" s="56"/>
      <c r="M9" s="74"/>
      <c r="N9" s="75"/>
      <c r="O9" s="71">
        <v>1</v>
      </c>
      <c r="P9" s="72"/>
      <c r="Q9" s="72"/>
      <c r="R9" s="73"/>
      <c r="S9" s="56"/>
      <c r="T9" s="76">
        <f t="shared" si="0"/>
        <v>0</v>
      </c>
      <c r="U9" s="77">
        <f t="shared" ref="U9:U11" si="2">C9*24+M9*24+O9*24+Q9*24+T9</f>
        <v>1224</v>
      </c>
      <c r="V9" s="77">
        <f t="shared" ref="V9:V11" si="3">U9/24</f>
        <v>51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1">
        <v>22</v>
      </c>
      <c r="D10" s="71"/>
      <c r="E10" s="71"/>
      <c r="F10" s="71"/>
      <c r="G10" s="71"/>
      <c r="H10" s="71"/>
      <c r="I10" s="71"/>
      <c r="J10" s="72"/>
      <c r="K10" s="73"/>
      <c r="L10" s="56"/>
      <c r="M10" s="74"/>
      <c r="N10" s="75"/>
      <c r="O10" s="71">
        <v>1</v>
      </c>
      <c r="P10" s="72"/>
      <c r="Q10" s="72"/>
      <c r="R10" s="73"/>
      <c r="S10" s="56"/>
      <c r="T10" s="59">
        <f t="shared" si="0"/>
        <v>0</v>
      </c>
      <c r="U10" s="59">
        <f t="shared" si="2"/>
        <v>552</v>
      </c>
      <c r="V10" s="59">
        <f t="shared" si="3"/>
        <v>23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1">
        <v>9</v>
      </c>
      <c r="D11" s="71"/>
      <c r="E11" s="71"/>
      <c r="F11" s="71"/>
      <c r="G11" s="71"/>
      <c r="H11" s="71">
        <v>22</v>
      </c>
      <c r="I11" s="71"/>
      <c r="J11" s="72"/>
      <c r="K11" s="73">
        <v>2</v>
      </c>
      <c r="L11" s="56"/>
      <c r="M11" s="74"/>
      <c r="N11" s="75"/>
      <c r="O11" s="71"/>
      <c r="P11" s="72"/>
      <c r="Q11" s="72"/>
      <c r="R11" s="73"/>
      <c r="S11" s="56"/>
      <c r="T11" s="59">
        <f t="shared" si="0"/>
        <v>24</v>
      </c>
      <c r="U11" s="59">
        <f t="shared" si="2"/>
        <v>240</v>
      </c>
      <c r="V11" s="59">
        <f t="shared" si="3"/>
        <v>10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60">
        <f>576+72+720+60+63+936+45+1440</f>
        <v>3912</v>
      </c>
      <c r="D12" s="60"/>
      <c r="E12" s="60"/>
      <c r="F12" s="60"/>
      <c r="G12" s="60"/>
      <c r="H12" s="60"/>
      <c r="I12" s="60"/>
      <c r="J12" s="61"/>
      <c r="K12" s="62"/>
      <c r="L12" s="63"/>
      <c r="M12" s="64">
        <v>3</v>
      </c>
      <c r="N12" s="65"/>
      <c r="O12" s="66">
        <v>4</v>
      </c>
      <c r="P12" s="67">
        <v>5</v>
      </c>
      <c r="Q12" s="67">
        <v>22</v>
      </c>
      <c r="R12" s="68">
        <v>13</v>
      </c>
      <c r="S12" s="63"/>
      <c r="T12" s="59">
        <f t="shared" si="0"/>
        <v>18</v>
      </c>
      <c r="U12" s="70">
        <f>C12*24+M12*24+O12*24+Q12*24+T12</f>
        <v>94602</v>
      </c>
      <c r="V12" s="70">
        <f>U12/24</f>
        <v>3941.75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1">
        <v>5</v>
      </c>
      <c r="D13" s="71"/>
      <c r="E13" s="71"/>
      <c r="F13" s="71"/>
      <c r="G13" s="71"/>
      <c r="H13" s="71"/>
      <c r="I13" s="71"/>
      <c r="J13" s="72"/>
      <c r="K13" s="73"/>
      <c r="L13" s="56"/>
      <c r="M13" s="74"/>
      <c r="N13" s="75"/>
      <c r="O13" s="71"/>
      <c r="P13" s="72"/>
      <c r="Q13" s="72"/>
      <c r="R13" s="73"/>
      <c r="S13" s="56"/>
      <c r="T13" s="59">
        <f t="shared" si="0"/>
        <v>0</v>
      </c>
      <c r="U13" s="77">
        <f>C13*24+M13*24+O13*24+Q13*24+T13</f>
        <v>120</v>
      </c>
      <c r="V13" s="77">
        <f>U13/24</f>
        <v>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1"/>
      <c r="D14" s="71"/>
      <c r="E14" s="71"/>
      <c r="F14" s="71"/>
      <c r="G14" s="71"/>
      <c r="H14" s="71"/>
      <c r="I14" s="71"/>
      <c r="J14" s="72"/>
      <c r="K14" s="73"/>
      <c r="L14" s="56"/>
      <c r="M14" s="74"/>
      <c r="N14" s="75"/>
      <c r="O14" s="71"/>
      <c r="P14" s="72"/>
      <c r="Q14" s="72"/>
      <c r="R14" s="73"/>
      <c r="S14" s="56"/>
      <c r="T14" s="59">
        <f t="shared" si="0"/>
        <v>0</v>
      </c>
      <c r="U14" s="76">
        <f t="shared" ref="U14:U36" si="4">C14*24+M14*24+O14*24+Q14*24+T14</f>
        <v>0</v>
      </c>
      <c r="V14" s="76">
        <f t="shared" ref="V14:V36" si="5">U14/24</f>
        <v>0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1"/>
      <c r="D15" s="71"/>
      <c r="E15" s="71"/>
      <c r="F15" s="71"/>
      <c r="G15" s="71"/>
      <c r="H15" s="71"/>
      <c r="I15" s="71"/>
      <c r="J15" s="72"/>
      <c r="K15" s="73"/>
      <c r="L15" s="56"/>
      <c r="M15" s="74"/>
      <c r="N15" s="75"/>
      <c r="O15" s="71"/>
      <c r="P15" s="72"/>
      <c r="Q15" s="72"/>
      <c r="R15" s="73"/>
      <c r="S15" s="56"/>
      <c r="T15" s="59">
        <f t="shared" si="0"/>
        <v>0</v>
      </c>
      <c r="U15" s="76">
        <f t="shared" si="4"/>
        <v>0</v>
      </c>
      <c r="V15" s="76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1"/>
      <c r="D16" s="71"/>
      <c r="E16" s="71"/>
      <c r="F16" s="71"/>
      <c r="G16" s="71"/>
      <c r="H16" s="71"/>
      <c r="I16" s="71"/>
      <c r="J16" s="72"/>
      <c r="K16" s="73"/>
      <c r="L16" s="56"/>
      <c r="M16" s="74"/>
      <c r="N16" s="75"/>
      <c r="O16" s="71"/>
      <c r="P16" s="72"/>
      <c r="Q16" s="72"/>
      <c r="R16" s="73"/>
      <c r="S16" s="56"/>
      <c r="T16" s="59">
        <f t="shared" si="0"/>
        <v>0</v>
      </c>
      <c r="U16" s="76">
        <f t="shared" si="4"/>
        <v>0</v>
      </c>
      <c r="V16" s="76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1">
        <v>4</v>
      </c>
      <c r="D17" s="71"/>
      <c r="E17" s="71"/>
      <c r="F17" s="71"/>
      <c r="G17" s="71"/>
      <c r="H17" s="71"/>
      <c r="I17" s="71"/>
      <c r="J17" s="72"/>
      <c r="K17" s="73"/>
      <c r="L17" s="56"/>
      <c r="M17" s="74"/>
      <c r="N17" s="75"/>
      <c r="O17" s="71"/>
      <c r="P17" s="72"/>
      <c r="Q17" s="72"/>
      <c r="R17" s="73"/>
      <c r="S17" s="56"/>
      <c r="T17" s="59">
        <f t="shared" si="0"/>
        <v>0</v>
      </c>
      <c r="U17" s="76">
        <f t="shared" si="4"/>
        <v>96</v>
      </c>
      <c r="V17" s="76">
        <f t="shared" si="5"/>
        <v>4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1"/>
      <c r="D18" s="71"/>
      <c r="E18" s="71"/>
      <c r="F18" s="71"/>
      <c r="G18" s="71"/>
      <c r="H18" s="71"/>
      <c r="I18" s="71"/>
      <c r="J18" s="72"/>
      <c r="K18" s="73"/>
      <c r="L18" s="56"/>
      <c r="M18" s="74"/>
      <c r="N18" s="75"/>
      <c r="O18" s="71"/>
      <c r="P18" s="72"/>
      <c r="Q18" s="72"/>
      <c r="R18" s="73"/>
      <c r="S18" s="56"/>
      <c r="T18" s="59">
        <f t="shared" si="0"/>
        <v>0</v>
      </c>
      <c r="U18" s="76">
        <f t="shared" si="4"/>
        <v>0</v>
      </c>
      <c r="V18" s="76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1">
        <v>4</v>
      </c>
      <c r="D19" s="71"/>
      <c r="E19" s="71"/>
      <c r="F19" s="71"/>
      <c r="G19" s="71"/>
      <c r="H19" s="71"/>
      <c r="I19" s="71"/>
      <c r="J19" s="72"/>
      <c r="K19" s="73"/>
      <c r="L19" s="56"/>
      <c r="M19" s="74"/>
      <c r="N19" s="75"/>
      <c r="O19" s="71"/>
      <c r="P19" s="72"/>
      <c r="Q19" s="72"/>
      <c r="R19" s="73"/>
      <c r="S19" s="56"/>
      <c r="T19" s="59">
        <f t="shared" si="0"/>
        <v>0</v>
      </c>
      <c r="U19" s="76">
        <f t="shared" si="4"/>
        <v>96</v>
      </c>
      <c r="V19" s="76">
        <f t="shared" si="5"/>
        <v>4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1">
        <v>6</v>
      </c>
      <c r="D20" s="71"/>
      <c r="E20" s="71"/>
      <c r="F20" s="71"/>
      <c r="G20" s="71"/>
      <c r="H20" s="71"/>
      <c r="I20" s="71"/>
      <c r="J20" s="72"/>
      <c r="K20" s="73"/>
      <c r="L20" s="56"/>
      <c r="M20" s="74"/>
      <c r="N20" s="75"/>
      <c r="O20" s="71"/>
      <c r="P20" s="72"/>
      <c r="Q20" s="72"/>
      <c r="R20" s="73"/>
      <c r="S20" s="56"/>
      <c r="T20" s="59">
        <f t="shared" si="0"/>
        <v>0</v>
      </c>
      <c r="U20" s="76">
        <f t="shared" si="4"/>
        <v>144</v>
      </c>
      <c r="V20" s="76">
        <f t="shared" si="5"/>
        <v>6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1">
        <v>4</v>
      </c>
      <c r="D21" s="71"/>
      <c r="E21" s="71"/>
      <c r="F21" s="71"/>
      <c r="G21" s="71"/>
      <c r="H21" s="71"/>
      <c r="I21" s="71"/>
      <c r="J21" s="72"/>
      <c r="K21" s="73"/>
      <c r="L21" s="56"/>
      <c r="M21" s="74"/>
      <c r="N21" s="75"/>
      <c r="O21" s="71"/>
      <c r="P21" s="72"/>
      <c r="Q21" s="72"/>
      <c r="R21" s="73"/>
      <c r="S21" s="56"/>
      <c r="T21" s="59">
        <f t="shared" si="0"/>
        <v>0</v>
      </c>
      <c r="U21" s="76">
        <f t="shared" si="4"/>
        <v>96</v>
      </c>
      <c r="V21" s="76">
        <f t="shared" si="5"/>
        <v>4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1">
        <v>2</v>
      </c>
      <c r="D22" s="71"/>
      <c r="E22" s="71"/>
      <c r="F22" s="71"/>
      <c r="G22" s="71"/>
      <c r="H22" s="71"/>
      <c r="I22" s="71"/>
      <c r="J22" s="72"/>
      <c r="K22" s="73"/>
      <c r="L22" s="56"/>
      <c r="M22" s="74"/>
      <c r="N22" s="75"/>
      <c r="O22" s="71"/>
      <c r="P22" s="72"/>
      <c r="Q22" s="72"/>
      <c r="R22" s="73"/>
      <c r="S22" s="56"/>
      <c r="T22" s="59">
        <f t="shared" si="0"/>
        <v>0</v>
      </c>
      <c r="U22" s="76">
        <f t="shared" si="4"/>
        <v>48</v>
      </c>
      <c r="V22" s="76">
        <f t="shared" si="5"/>
        <v>2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1">
        <v>17</v>
      </c>
      <c r="D23" s="71"/>
      <c r="E23" s="71"/>
      <c r="F23" s="71"/>
      <c r="G23" s="71"/>
      <c r="H23" s="71"/>
      <c r="I23" s="71"/>
      <c r="J23" s="72"/>
      <c r="K23" s="73"/>
      <c r="L23" s="56"/>
      <c r="M23" s="74">
        <v>8</v>
      </c>
      <c r="N23" s="75"/>
      <c r="O23" s="71">
        <v>10</v>
      </c>
      <c r="P23" s="72"/>
      <c r="Q23" s="72">
        <v>10</v>
      </c>
      <c r="R23" s="73"/>
      <c r="S23" s="56"/>
      <c r="T23" s="59">
        <f t="shared" si="0"/>
        <v>0</v>
      </c>
      <c r="U23" s="76">
        <f t="shared" si="4"/>
        <v>1080</v>
      </c>
      <c r="V23" s="76">
        <f t="shared" si="5"/>
        <v>45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1">
        <v>7</v>
      </c>
      <c r="D24" s="71"/>
      <c r="E24" s="71"/>
      <c r="F24" s="71"/>
      <c r="G24" s="71"/>
      <c r="H24" s="71"/>
      <c r="I24" s="71"/>
      <c r="J24" s="72"/>
      <c r="K24" s="73"/>
      <c r="L24" s="56"/>
      <c r="M24" s="74"/>
      <c r="N24" s="75"/>
      <c r="O24" s="71"/>
      <c r="P24" s="72"/>
      <c r="Q24" s="72"/>
      <c r="R24" s="73"/>
      <c r="S24" s="56"/>
      <c r="T24" s="59">
        <f t="shared" si="0"/>
        <v>0</v>
      </c>
      <c r="U24" s="76">
        <f t="shared" si="4"/>
        <v>168</v>
      </c>
      <c r="V24" s="76">
        <f t="shared" si="5"/>
        <v>7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1">
        <f>63+59</f>
        <v>122</v>
      </c>
      <c r="D25" s="71"/>
      <c r="E25" s="71"/>
      <c r="F25" s="71"/>
      <c r="G25" s="71"/>
      <c r="H25" s="71">
        <v>10</v>
      </c>
      <c r="I25" s="71">
        <v>1</v>
      </c>
      <c r="J25" s="72"/>
      <c r="K25" s="73"/>
      <c r="L25" s="56"/>
      <c r="M25" s="74"/>
      <c r="N25" s="75"/>
      <c r="O25" s="71"/>
      <c r="P25" s="72"/>
      <c r="Q25" s="72"/>
      <c r="R25" s="73"/>
      <c r="S25" s="56"/>
      <c r="T25" s="59">
        <f t="shared" si="0"/>
        <v>11</v>
      </c>
      <c r="U25" s="76">
        <f t="shared" si="4"/>
        <v>2939</v>
      </c>
      <c r="V25" s="76">
        <f t="shared" si="5"/>
        <v>122.45833333333333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1">
        <v>16</v>
      </c>
      <c r="D26" s="71"/>
      <c r="E26" s="71"/>
      <c r="F26" s="71"/>
      <c r="G26" s="71"/>
      <c r="H26" s="71"/>
      <c r="I26" s="71"/>
      <c r="J26" s="72"/>
      <c r="K26" s="73"/>
      <c r="L26" s="56"/>
      <c r="M26" s="74"/>
      <c r="N26" s="75"/>
      <c r="O26" s="71"/>
      <c r="P26" s="72"/>
      <c r="Q26" s="72"/>
      <c r="R26" s="73"/>
      <c r="S26" s="56"/>
      <c r="T26" s="59">
        <f t="shared" si="0"/>
        <v>0</v>
      </c>
      <c r="U26" s="76">
        <f t="shared" si="4"/>
        <v>384</v>
      </c>
      <c r="V26" s="76">
        <f t="shared" si="5"/>
        <v>16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1"/>
      <c r="D27" s="71"/>
      <c r="E27" s="71"/>
      <c r="F27" s="71"/>
      <c r="G27" s="71"/>
      <c r="H27" s="71"/>
      <c r="I27" s="71"/>
      <c r="J27" s="72"/>
      <c r="K27" s="73"/>
      <c r="L27" s="56"/>
      <c r="M27" s="74"/>
      <c r="N27" s="75"/>
      <c r="O27" s="71"/>
      <c r="P27" s="72"/>
      <c r="Q27" s="72"/>
      <c r="R27" s="73"/>
      <c r="S27" s="56"/>
      <c r="T27" s="59"/>
      <c r="U27" s="76"/>
      <c r="V27" s="76"/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1">
        <f>64+24</f>
        <v>88</v>
      </c>
      <c r="D28" s="71"/>
      <c r="E28" s="71"/>
      <c r="F28" s="71"/>
      <c r="G28" s="71"/>
      <c r="H28" s="71"/>
      <c r="I28" s="71"/>
      <c r="J28" s="72"/>
      <c r="K28" s="73"/>
      <c r="L28" s="56"/>
      <c r="M28" s="74">
        <v>1</v>
      </c>
      <c r="N28" s="75"/>
      <c r="O28" s="71">
        <v>2</v>
      </c>
      <c r="P28" s="72"/>
      <c r="Q28" s="72">
        <v>4</v>
      </c>
      <c r="R28" s="73"/>
      <c r="S28" s="56"/>
      <c r="T28" s="59">
        <f t="shared" si="0"/>
        <v>0</v>
      </c>
      <c r="U28" s="76">
        <f t="shared" si="4"/>
        <v>2280</v>
      </c>
      <c r="V28" s="76">
        <f t="shared" si="5"/>
        <v>95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1">
        <v>10</v>
      </c>
      <c r="D29" s="71"/>
      <c r="E29" s="71"/>
      <c r="F29" s="71"/>
      <c r="G29" s="71"/>
      <c r="H29" s="71"/>
      <c r="I29" s="71"/>
      <c r="J29" s="72"/>
      <c r="K29" s="73"/>
      <c r="L29" s="56"/>
      <c r="M29" s="74"/>
      <c r="N29" s="75"/>
      <c r="O29" s="71"/>
      <c r="P29" s="72"/>
      <c r="Q29" s="72"/>
      <c r="R29" s="73"/>
      <c r="S29" s="56"/>
      <c r="T29" s="59">
        <f t="shared" si="0"/>
        <v>0</v>
      </c>
      <c r="U29" s="76">
        <f t="shared" si="4"/>
        <v>240</v>
      </c>
      <c r="V29" s="76">
        <f t="shared" si="5"/>
        <v>10</v>
      </c>
    </row>
    <row r="30" spans="1:54" x14ac:dyDescent="0.25">
      <c r="A30" s="27">
        <f t="shared" si="1"/>
        <v>27</v>
      </c>
      <c r="B30" s="26" t="s">
        <v>15</v>
      </c>
      <c r="C30" s="71">
        <v>57</v>
      </c>
      <c r="D30" s="71"/>
      <c r="E30" s="71"/>
      <c r="F30" s="71"/>
      <c r="G30" s="71"/>
      <c r="H30" s="71"/>
      <c r="I30" s="71"/>
      <c r="J30" s="72"/>
      <c r="K30" s="73"/>
      <c r="L30" s="56"/>
      <c r="M30" s="74"/>
      <c r="N30" s="75"/>
      <c r="O30" s="71">
        <v>2</v>
      </c>
      <c r="P30" s="72"/>
      <c r="Q30" s="72">
        <v>1</v>
      </c>
      <c r="R30" s="73"/>
      <c r="S30" s="56"/>
      <c r="T30" s="59">
        <f t="shared" si="0"/>
        <v>0</v>
      </c>
      <c r="U30" s="76">
        <f t="shared" si="4"/>
        <v>1440</v>
      </c>
      <c r="V30" s="76">
        <f t="shared" si="5"/>
        <v>60</v>
      </c>
    </row>
    <row r="31" spans="1:54" x14ac:dyDescent="0.25">
      <c r="A31" s="27">
        <f t="shared" si="1"/>
        <v>28</v>
      </c>
      <c r="B31" s="26" t="s">
        <v>12</v>
      </c>
      <c r="C31" s="71">
        <v>4</v>
      </c>
      <c r="D31" s="71"/>
      <c r="E31" s="71"/>
      <c r="F31" s="71"/>
      <c r="G31" s="71"/>
      <c r="H31" s="71"/>
      <c r="I31" s="71"/>
      <c r="J31" s="72"/>
      <c r="K31" s="73"/>
      <c r="L31" s="56"/>
      <c r="M31" s="74"/>
      <c r="N31" s="75"/>
      <c r="O31" s="71"/>
      <c r="P31" s="72"/>
      <c r="Q31" s="72"/>
      <c r="R31" s="73"/>
      <c r="S31" s="56"/>
      <c r="T31" s="59">
        <f t="shared" si="0"/>
        <v>0</v>
      </c>
      <c r="U31" s="76">
        <f t="shared" si="4"/>
        <v>96</v>
      </c>
      <c r="V31" s="76">
        <f t="shared" si="5"/>
        <v>4</v>
      </c>
    </row>
    <row r="32" spans="1:54" x14ac:dyDescent="0.25">
      <c r="A32" s="27">
        <f t="shared" si="1"/>
        <v>29</v>
      </c>
      <c r="B32" s="26" t="s">
        <v>14</v>
      </c>
      <c r="C32" s="71"/>
      <c r="D32" s="71"/>
      <c r="E32" s="71"/>
      <c r="F32" s="71"/>
      <c r="G32" s="71"/>
      <c r="H32" s="71"/>
      <c r="I32" s="71"/>
      <c r="J32" s="72"/>
      <c r="K32" s="73"/>
      <c r="L32" s="56"/>
      <c r="M32" s="74"/>
      <c r="N32" s="75"/>
      <c r="O32" s="71"/>
      <c r="P32" s="72"/>
      <c r="Q32" s="72"/>
      <c r="R32" s="73"/>
      <c r="S32" s="56"/>
      <c r="T32" s="59">
        <f t="shared" si="0"/>
        <v>0</v>
      </c>
      <c r="U32" s="76">
        <f t="shared" si="4"/>
        <v>0</v>
      </c>
      <c r="V32" s="76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1"/>
      <c r="D33" s="71"/>
      <c r="E33" s="71"/>
      <c r="F33" s="71"/>
      <c r="G33" s="71"/>
      <c r="H33" s="71"/>
      <c r="I33" s="71"/>
      <c r="J33" s="72"/>
      <c r="K33" s="73"/>
      <c r="L33" s="56"/>
      <c r="M33" s="74"/>
      <c r="N33" s="75"/>
      <c r="O33" s="71"/>
      <c r="P33" s="72"/>
      <c r="Q33" s="72"/>
      <c r="R33" s="73"/>
      <c r="S33" s="56"/>
      <c r="T33" s="59">
        <f t="shared" si="0"/>
        <v>0</v>
      </c>
      <c r="U33" s="76">
        <f t="shared" si="4"/>
        <v>0</v>
      </c>
      <c r="V33" s="76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1">
        <f>61+72</f>
        <v>133</v>
      </c>
      <c r="D34" s="71"/>
      <c r="E34" s="71"/>
      <c r="F34" s="71"/>
      <c r="G34" s="71"/>
      <c r="H34" s="71">
        <v>4</v>
      </c>
      <c r="I34" s="71"/>
      <c r="J34" s="72"/>
      <c r="K34" s="73">
        <v>1</v>
      </c>
      <c r="L34" s="56"/>
      <c r="M34" s="74"/>
      <c r="N34" s="75">
        <v>12</v>
      </c>
      <c r="O34" s="71"/>
      <c r="P34" s="72"/>
      <c r="Q34" s="72">
        <v>2</v>
      </c>
      <c r="R34" s="73"/>
      <c r="S34" s="56"/>
      <c r="T34" s="59">
        <f t="shared" si="0"/>
        <v>17</v>
      </c>
      <c r="U34" s="76">
        <f t="shared" si="4"/>
        <v>3257</v>
      </c>
      <c r="V34" s="76">
        <f t="shared" si="5"/>
        <v>135.70833333333334</v>
      </c>
    </row>
    <row r="35" spans="1:23" hidden="1" x14ac:dyDescent="0.25">
      <c r="A35" s="27">
        <f t="shared" si="1"/>
        <v>32</v>
      </c>
      <c r="B35" s="26" t="s">
        <v>25</v>
      </c>
      <c r="C35" s="71"/>
      <c r="D35" s="71"/>
      <c r="E35" s="71"/>
      <c r="F35" s="71"/>
      <c r="G35" s="71"/>
      <c r="H35" s="71"/>
      <c r="I35" s="71"/>
      <c r="J35" s="72"/>
      <c r="K35" s="73"/>
      <c r="L35" s="56"/>
      <c r="M35" s="74"/>
      <c r="N35" s="75"/>
      <c r="O35" s="71"/>
      <c r="P35" s="72"/>
      <c r="Q35" s="72"/>
      <c r="R35" s="73"/>
      <c r="S35" s="56"/>
      <c r="T35" s="59">
        <f t="shared" si="0"/>
        <v>0</v>
      </c>
      <c r="U35" s="76">
        <f t="shared" si="4"/>
        <v>0</v>
      </c>
      <c r="V35" s="76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1"/>
      <c r="D36" s="71"/>
      <c r="E36" s="71"/>
      <c r="F36" s="71"/>
      <c r="G36" s="71"/>
      <c r="H36" s="71"/>
      <c r="I36" s="71"/>
      <c r="J36" s="72"/>
      <c r="K36" s="73"/>
      <c r="L36" s="56"/>
      <c r="M36" s="74"/>
      <c r="N36" s="75"/>
      <c r="O36" s="71"/>
      <c r="P36" s="72"/>
      <c r="Q36" s="72"/>
      <c r="R36" s="73"/>
      <c r="S36" s="56"/>
      <c r="T36" s="59">
        <f t="shared" si="0"/>
        <v>0</v>
      </c>
      <c r="U36" s="76">
        <f t="shared" si="4"/>
        <v>0</v>
      </c>
      <c r="V36" s="76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60">
        <f>216+53+2376+1512</f>
        <v>4157</v>
      </c>
      <c r="D37" s="60"/>
      <c r="E37" s="60"/>
      <c r="F37" s="60"/>
      <c r="G37" s="60"/>
      <c r="H37" s="60">
        <v>2</v>
      </c>
      <c r="I37" s="60"/>
      <c r="J37" s="61"/>
      <c r="K37" s="62">
        <v>6</v>
      </c>
      <c r="L37" s="63"/>
      <c r="M37" s="64"/>
      <c r="N37" s="65"/>
      <c r="O37" s="66">
        <v>17</v>
      </c>
      <c r="P37" s="67"/>
      <c r="Q37" s="67">
        <v>143</v>
      </c>
      <c r="R37" s="68"/>
      <c r="S37" s="63"/>
      <c r="T37" s="78">
        <f t="shared" si="0"/>
        <v>8</v>
      </c>
      <c r="U37" s="78">
        <f>C37*6+M37*6+O37*6+Q37*6+T37</f>
        <v>25910</v>
      </c>
      <c r="V37" s="78">
        <f>U37/6</f>
        <v>4318.333333333333</v>
      </c>
      <c r="W37" s="50"/>
    </row>
    <row r="38" spans="1:23" x14ac:dyDescent="0.25">
      <c r="A38" s="27">
        <f t="shared" si="1"/>
        <v>35</v>
      </c>
      <c r="B38" s="25" t="s">
        <v>20</v>
      </c>
      <c r="C38" s="71">
        <v>12</v>
      </c>
      <c r="D38" s="71"/>
      <c r="E38" s="71"/>
      <c r="F38" s="71"/>
      <c r="G38" s="71"/>
      <c r="H38" s="71"/>
      <c r="I38" s="71"/>
      <c r="J38" s="72"/>
      <c r="K38" s="73"/>
      <c r="L38" s="56"/>
      <c r="M38" s="74"/>
      <c r="N38" s="75"/>
      <c r="O38" s="71"/>
      <c r="P38" s="72"/>
      <c r="Q38" s="72"/>
      <c r="R38" s="73"/>
      <c r="S38" s="56"/>
      <c r="T38" s="76">
        <f t="shared" si="0"/>
        <v>0</v>
      </c>
      <c r="U38" s="76">
        <f>C38*24+M38*24+O38*24+Q38*24+T38</f>
        <v>288</v>
      </c>
      <c r="V38" s="76">
        <f>U38/24</f>
        <v>12</v>
      </c>
    </row>
    <row r="39" spans="1:23" x14ac:dyDescent="0.25">
      <c r="A39" s="27">
        <f t="shared" si="1"/>
        <v>36</v>
      </c>
      <c r="B39" s="51" t="s">
        <v>62</v>
      </c>
      <c r="C39" s="79"/>
      <c r="D39" s="79"/>
      <c r="E39" s="79"/>
      <c r="F39" s="79"/>
      <c r="G39" s="79"/>
      <c r="H39" s="79"/>
      <c r="I39" s="79"/>
      <c r="J39" s="80"/>
      <c r="K39" s="81"/>
      <c r="L39" s="56"/>
      <c r="M39" s="57"/>
      <c r="N39" s="58"/>
      <c r="O39" s="53"/>
      <c r="P39" s="54"/>
      <c r="Q39" s="53"/>
      <c r="R39" s="81"/>
      <c r="S39" s="56"/>
      <c r="T39" s="84"/>
      <c r="U39" s="84"/>
      <c r="V39" s="84"/>
    </row>
    <row r="40" spans="1:23" ht="19.5" thickBot="1" x14ac:dyDescent="0.3">
      <c r="A40" s="27">
        <f t="shared" si="1"/>
        <v>37</v>
      </c>
      <c r="B40" s="42" t="s">
        <v>21</v>
      </c>
      <c r="C40" s="60">
        <f>50+504</f>
        <v>554</v>
      </c>
      <c r="D40" s="60"/>
      <c r="E40" s="60"/>
      <c r="F40" s="60"/>
      <c r="G40" s="60"/>
      <c r="H40" s="60">
        <v>4</v>
      </c>
      <c r="I40" s="60"/>
      <c r="J40" s="61"/>
      <c r="K40" s="62">
        <v>20</v>
      </c>
      <c r="L40" s="63"/>
      <c r="M40" s="64"/>
      <c r="N40" s="65"/>
      <c r="O40" s="66">
        <v>1</v>
      </c>
      <c r="P40" s="67"/>
      <c r="Q40" s="67">
        <v>2</v>
      </c>
      <c r="R40" s="68"/>
      <c r="S40" s="63"/>
      <c r="T40" s="78">
        <f t="shared" si="0"/>
        <v>24</v>
      </c>
      <c r="U40" s="78">
        <f>C40*24+M40*24+O40*24+Q40*24+T40</f>
        <v>13392</v>
      </c>
      <c r="V40" s="78">
        <f>U40/24</f>
        <v>558</v>
      </c>
    </row>
    <row r="41" spans="1:23" ht="19.5" thickBot="1" x14ac:dyDescent="0.3">
      <c r="A41" s="27">
        <f t="shared" si="1"/>
        <v>38</v>
      </c>
      <c r="B41" s="43" t="s">
        <v>22</v>
      </c>
      <c r="C41" s="85">
        <f>1344+82</f>
        <v>1426</v>
      </c>
      <c r="D41" s="85"/>
      <c r="E41" s="85"/>
      <c r="F41" s="85"/>
      <c r="G41" s="85"/>
      <c r="H41" s="85"/>
      <c r="I41" s="85"/>
      <c r="J41" s="86"/>
      <c r="K41" s="87"/>
      <c r="L41" s="88"/>
      <c r="M41" s="89">
        <v>2</v>
      </c>
      <c r="N41" s="90"/>
      <c r="O41" s="85">
        <v>6</v>
      </c>
      <c r="P41" s="86"/>
      <c r="Q41" s="86">
        <v>15</v>
      </c>
      <c r="R41" s="87"/>
      <c r="S41" s="88"/>
      <c r="T41" s="91">
        <f t="shared" si="0"/>
        <v>0</v>
      </c>
      <c r="U41" s="91">
        <f>C41*12+M41*12+O41*12+Q41*12+T41</f>
        <v>17388</v>
      </c>
      <c r="V41" s="91">
        <f>U41/12</f>
        <v>1449</v>
      </c>
    </row>
    <row r="42" spans="1:23" hidden="1" x14ac:dyDescent="0.25">
      <c r="A42" s="27">
        <f t="shared" si="1"/>
        <v>39</v>
      </c>
      <c r="B42" s="25" t="s">
        <v>29</v>
      </c>
      <c r="C42" s="71"/>
      <c r="D42" s="71"/>
      <c r="E42" s="71"/>
      <c r="F42" s="71"/>
      <c r="G42" s="71"/>
      <c r="H42" s="71"/>
      <c r="I42" s="71"/>
      <c r="J42" s="72"/>
      <c r="K42" s="73"/>
      <c r="L42" s="56"/>
      <c r="M42" s="74"/>
      <c r="N42" s="75"/>
      <c r="O42" s="71"/>
      <c r="P42" s="72"/>
      <c r="Q42" s="72"/>
      <c r="R42" s="73"/>
      <c r="S42" s="56"/>
      <c r="T42" s="76"/>
      <c r="U42" s="76"/>
      <c r="V42" s="76"/>
    </row>
    <row r="43" spans="1:23" ht="19.5" thickBot="1" x14ac:dyDescent="0.3">
      <c r="A43" s="27">
        <f t="shared" si="1"/>
        <v>40</v>
      </c>
      <c r="B43" s="42" t="s">
        <v>23</v>
      </c>
      <c r="C43" s="66">
        <f>5940+8424+5400+4644+6372</f>
        <v>30780</v>
      </c>
      <c r="D43" s="66"/>
      <c r="E43" s="66"/>
      <c r="F43" s="66"/>
      <c r="G43" s="66"/>
      <c r="H43" s="66"/>
      <c r="I43" s="66">
        <v>7</v>
      </c>
      <c r="J43" s="67">
        <f>4*6+4</f>
        <v>28</v>
      </c>
      <c r="K43" s="68">
        <f>93*6+5</f>
        <v>563</v>
      </c>
      <c r="L43" s="63"/>
      <c r="M43" s="64">
        <v>56</v>
      </c>
      <c r="N43" s="65"/>
      <c r="O43" s="66">
        <v>85</v>
      </c>
      <c r="P43" s="67"/>
      <c r="Q43" s="67">
        <v>296</v>
      </c>
      <c r="R43" s="68"/>
      <c r="S43" s="63"/>
      <c r="T43" s="78">
        <f t="shared" ref="T43" si="6">H43+I43+J43+K43+N43+P43+R43</f>
        <v>598</v>
      </c>
      <c r="U43" s="78">
        <f>C43*6+M43*6+O43*6+Q43*6+T43</f>
        <v>187900</v>
      </c>
      <c r="V43" s="78">
        <f>U43/6</f>
        <v>31316.666666666668</v>
      </c>
    </row>
    <row r="44" spans="1:23" hidden="1" x14ac:dyDescent="0.25">
      <c r="A44" s="27">
        <f t="shared" si="1"/>
        <v>41</v>
      </c>
      <c r="B44" s="25" t="s">
        <v>31</v>
      </c>
      <c r="C44" s="71"/>
      <c r="D44" s="71"/>
      <c r="E44" s="71"/>
      <c r="F44" s="71"/>
      <c r="G44" s="71"/>
      <c r="H44" s="71"/>
      <c r="I44" s="71"/>
      <c r="J44" s="72"/>
      <c r="K44" s="73"/>
      <c r="L44" s="56"/>
      <c r="M44" s="74"/>
      <c r="N44" s="75"/>
      <c r="O44" s="71"/>
      <c r="P44" s="72"/>
      <c r="Q44" s="72"/>
      <c r="R44" s="73"/>
      <c r="S44" s="56"/>
      <c r="T44" s="76"/>
      <c r="U44" s="76"/>
      <c r="V44" s="76"/>
    </row>
    <row r="45" spans="1:23" x14ac:dyDescent="0.25">
      <c r="A45" s="27">
        <f t="shared" si="1"/>
        <v>42</v>
      </c>
      <c r="B45" s="26" t="s">
        <v>24</v>
      </c>
      <c r="C45" s="71"/>
      <c r="D45" s="71"/>
      <c r="E45" s="71"/>
      <c r="F45" s="71"/>
      <c r="G45" s="71"/>
      <c r="H45" s="71"/>
      <c r="I45" s="71"/>
      <c r="J45" s="72"/>
      <c r="K45" s="73"/>
      <c r="L45" s="56"/>
      <c r="M45" s="74"/>
      <c r="N45" s="75"/>
      <c r="O45" s="71"/>
      <c r="P45" s="72"/>
      <c r="Q45" s="72"/>
      <c r="R45" s="73"/>
      <c r="S45" s="56"/>
      <c r="T45" s="76">
        <f t="shared" ref="T45:T54" si="7">H45+I45+J45+K45+N45+P45+R45</f>
        <v>0</v>
      </c>
      <c r="U45" s="76">
        <f>C45*24+M45*24+O45*24+Q45*24+T45</f>
        <v>0</v>
      </c>
      <c r="V45" s="76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1"/>
      <c r="D46" s="71"/>
      <c r="E46" s="71"/>
      <c r="F46" s="71"/>
      <c r="G46" s="71"/>
      <c r="H46" s="71"/>
      <c r="I46" s="71"/>
      <c r="J46" s="72"/>
      <c r="K46" s="73"/>
      <c r="L46" s="56"/>
      <c r="M46" s="74"/>
      <c r="N46" s="75"/>
      <c r="O46" s="71"/>
      <c r="P46" s="72"/>
      <c r="Q46" s="72"/>
      <c r="R46" s="73"/>
      <c r="S46" s="56"/>
      <c r="T46" s="76">
        <f t="shared" si="7"/>
        <v>0</v>
      </c>
      <c r="U46" s="76">
        <f t="shared" ref="U46:U50" si="8">C46*24+M46*24+O46*24+Q46*24+T46</f>
        <v>0</v>
      </c>
      <c r="V46" s="76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6">
        <f>44+22+2268</f>
        <v>2334</v>
      </c>
      <c r="D47" s="66"/>
      <c r="E47" s="66"/>
      <c r="F47" s="66"/>
      <c r="G47" s="66"/>
      <c r="H47" s="66"/>
      <c r="I47" s="66"/>
      <c r="J47" s="67"/>
      <c r="K47" s="68">
        <v>6</v>
      </c>
      <c r="L47" s="63"/>
      <c r="M47" s="64">
        <v>1</v>
      </c>
      <c r="N47" s="65"/>
      <c r="O47" s="66">
        <v>3</v>
      </c>
      <c r="P47" s="67">
        <v>4</v>
      </c>
      <c r="Q47" s="67">
        <v>10</v>
      </c>
      <c r="R47" s="68"/>
      <c r="S47" s="63"/>
      <c r="T47" s="78">
        <f t="shared" si="7"/>
        <v>10</v>
      </c>
      <c r="U47" s="78">
        <f>C47*6+M47*6+O47*6+Q47*6+T47</f>
        <v>14098</v>
      </c>
      <c r="V47" s="78">
        <f>U47/6</f>
        <v>2349.6666666666665</v>
      </c>
    </row>
    <row r="48" spans="1:23" x14ac:dyDescent="0.25">
      <c r="A48" s="27">
        <f t="shared" si="1"/>
        <v>45</v>
      </c>
      <c r="B48" s="25" t="s">
        <v>58</v>
      </c>
      <c r="C48" s="71">
        <v>1</v>
      </c>
      <c r="D48" s="71"/>
      <c r="E48" s="71"/>
      <c r="F48" s="71"/>
      <c r="G48" s="71"/>
      <c r="H48" s="71"/>
      <c r="I48" s="71"/>
      <c r="J48" s="72"/>
      <c r="K48" s="73"/>
      <c r="L48" s="56"/>
      <c r="M48" s="74"/>
      <c r="N48" s="75"/>
      <c r="O48" s="71"/>
      <c r="P48" s="72"/>
      <c r="Q48" s="72"/>
      <c r="R48" s="73"/>
      <c r="S48" s="56"/>
      <c r="T48" s="76">
        <f t="shared" si="7"/>
        <v>0</v>
      </c>
      <c r="U48" s="76">
        <f t="shared" si="8"/>
        <v>24</v>
      </c>
      <c r="V48" s="76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1"/>
      <c r="D49" s="71"/>
      <c r="E49" s="71"/>
      <c r="F49" s="71"/>
      <c r="G49" s="71"/>
      <c r="H49" s="71"/>
      <c r="I49" s="71"/>
      <c r="J49" s="72"/>
      <c r="K49" s="73"/>
      <c r="L49" s="56"/>
      <c r="M49" s="74"/>
      <c r="N49" s="75"/>
      <c r="O49" s="71"/>
      <c r="P49" s="72"/>
      <c r="Q49" s="72"/>
      <c r="R49" s="73"/>
      <c r="S49" s="56"/>
      <c r="T49" s="76">
        <f t="shared" si="7"/>
        <v>0</v>
      </c>
      <c r="U49" s="76">
        <f t="shared" si="8"/>
        <v>0</v>
      </c>
      <c r="V49" s="76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1"/>
      <c r="D50" s="71"/>
      <c r="E50" s="71"/>
      <c r="F50" s="71"/>
      <c r="G50" s="71"/>
      <c r="H50" s="71"/>
      <c r="I50" s="71"/>
      <c r="J50" s="72"/>
      <c r="K50" s="73"/>
      <c r="L50" s="56"/>
      <c r="M50" s="74"/>
      <c r="N50" s="75"/>
      <c r="O50" s="71"/>
      <c r="P50" s="72"/>
      <c r="Q50" s="72"/>
      <c r="R50" s="73"/>
      <c r="S50" s="56"/>
      <c r="T50" s="76">
        <f t="shared" si="7"/>
        <v>0</v>
      </c>
      <c r="U50" s="76">
        <f t="shared" si="8"/>
        <v>0</v>
      </c>
      <c r="V50" s="76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6">
        <v>34</v>
      </c>
      <c r="D51" s="66"/>
      <c r="E51" s="66"/>
      <c r="F51" s="66"/>
      <c r="G51" s="66"/>
      <c r="H51" s="66"/>
      <c r="I51" s="66"/>
      <c r="J51" s="67"/>
      <c r="K51" s="68"/>
      <c r="L51" s="63"/>
      <c r="M51" s="64"/>
      <c r="N51" s="65"/>
      <c r="O51" s="66"/>
      <c r="P51" s="67"/>
      <c r="Q51" s="67"/>
      <c r="R51" s="68"/>
      <c r="S51" s="63"/>
      <c r="T51" s="78">
        <f t="shared" si="7"/>
        <v>0</v>
      </c>
      <c r="U51" s="78">
        <f>C51*6+M51*6+O51*6+Q51*6+T51</f>
        <v>204</v>
      </c>
      <c r="V51" s="78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1"/>
      <c r="D52" s="71"/>
      <c r="E52" s="71"/>
      <c r="F52" s="71"/>
      <c r="G52" s="71"/>
      <c r="H52" s="71"/>
      <c r="I52" s="71"/>
      <c r="J52" s="72"/>
      <c r="K52" s="73"/>
      <c r="L52" s="56"/>
      <c r="M52" s="74"/>
      <c r="N52" s="75"/>
      <c r="O52" s="71"/>
      <c r="P52" s="72"/>
      <c r="Q52" s="72"/>
      <c r="R52" s="73"/>
      <c r="S52" s="56"/>
      <c r="T52" s="76">
        <f t="shared" si="7"/>
        <v>0</v>
      </c>
      <c r="U52" s="76">
        <f t="shared" ref="U52:U54" si="10">C52*24+M52*24+O52*24+Q52*24+T52</f>
        <v>0</v>
      </c>
      <c r="V52" s="76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1">
        <v>5</v>
      </c>
      <c r="D53" s="71"/>
      <c r="E53" s="71"/>
      <c r="F53" s="71"/>
      <c r="G53" s="71"/>
      <c r="H53" s="71"/>
      <c r="I53" s="71"/>
      <c r="J53" s="72"/>
      <c r="K53" s="73"/>
      <c r="L53" s="56"/>
      <c r="M53" s="74"/>
      <c r="N53" s="75"/>
      <c r="O53" s="71"/>
      <c r="P53" s="72"/>
      <c r="Q53" s="72"/>
      <c r="R53" s="73"/>
      <c r="S53" s="56"/>
      <c r="T53" s="76">
        <f t="shared" si="7"/>
        <v>0</v>
      </c>
      <c r="U53" s="76">
        <f t="shared" si="10"/>
        <v>120</v>
      </c>
      <c r="V53" s="76">
        <f t="shared" si="9"/>
        <v>5</v>
      </c>
    </row>
    <row r="54" spans="1:22" x14ac:dyDescent="0.25">
      <c r="A54" s="27">
        <f t="shared" si="1"/>
        <v>51</v>
      </c>
      <c r="B54" s="26"/>
      <c r="C54" s="71"/>
      <c r="D54" s="71"/>
      <c r="E54" s="71"/>
      <c r="F54" s="71"/>
      <c r="G54" s="71"/>
      <c r="H54" s="71"/>
      <c r="I54" s="71"/>
      <c r="J54" s="72"/>
      <c r="K54" s="73"/>
      <c r="L54" s="56"/>
      <c r="M54" s="74"/>
      <c r="N54" s="75"/>
      <c r="O54" s="71"/>
      <c r="P54" s="72"/>
      <c r="Q54" s="72"/>
      <c r="R54" s="73"/>
      <c r="S54" s="56"/>
      <c r="T54" s="76">
        <f t="shared" si="7"/>
        <v>0</v>
      </c>
      <c r="U54" s="76">
        <f t="shared" si="10"/>
        <v>0</v>
      </c>
      <c r="V54" s="76">
        <f t="shared" si="9"/>
        <v>0</v>
      </c>
    </row>
    <row r="55" spans="1:22" x14ac:dyDescent="0.25">
      <c r="A55" s="27">
        <f t="shared" si="1"/>
        <v>52</v>
      </c>
      <c r="B55" s="26"/>
      <c r="C55" s="71"/>
      <c r="D55" s="71"/>
      <c r="E55" s="71"/>
      <c r="F55" s="71"/>
      <c r="G55" s="71"/>
      <c r="H55" s="71"/>
      <c r="I55" s="71"/>
      <c r="J55" s="72"/>
      <c r="K55" s="73"/>
      <c r="L55" s="56"/>
      <c r="M55" s="74"/>
      <c r="N55" s="75"/>
      <c r="O55" s="71"/>
      <c r="P55" s="72"/>
      <c r="Q55" s="72"/>
      <c r="R55" s="73"/>
      <c r="S55" s="56"/>
      <c r="T55" s="76"/>
      <c r="U55" s="76"/>
      <c r="V55" s="76"/>
    </row>
    <row r="56" spans="1:22" x14ac:dyDescent="0.25">
      <c r="A56" s="27">
        <f t="shared" si="1"/>
        <v>53</v>
      </c>
      <c r="B56" s="26"/>
      <c r="C56" s="71"/>
      <c r="D56" s="71"/>
      <c r="E56" s="71"/>
      <c r="F56" s="71"/>
      <c r="G56" s="71"/>
      <c r="H56" s="71"/>
      <c r="I56" s="71"/>
      <c r="J56" s="72"/>
      <c r="K56" s="73"/>
      <c r="L56" s="56"/>
      <c r="M56" s="74"/>
      <c r="N56" s="75"/>
      <c r="O56" s="71"/>
      <c r="P56" s="72"/>
      <c r="Q56" s="72"/>
      <c r="R56" s="73"/>
      <c r="S56" s="56"/>
      <c r="T56" s="76"/>
      <c r="U56" s="76"/>
      <c r="V56" s="76"/>
    </row>
    <row r="57" spans="1:22" x14ac:dyDescent="0.25">
      <c r="A57" s="27">
        <f t="shared" si="1"/>
        <v>54</v>
      </c>
      <c r="B57" s="26"/>
      <c r="C57" s="71"/>
      <c r="D57" s="71"/>
      <c r="E57" s="71"/>
      <c r="F57" s="71"/>
      <c r="G57" s="71"/>
      <c r="H57" s="71"/>
      <c r="I57" s="71"/>
      <c r="J57" s="72"/>
      <c r="K57" s="73"/>
      <c r="L57" s="56"/>
      <c r="M57" s="74"/>
      <c r="N57" s="75"/>
      <c r="O57" s="71"/>
      <c r="P57" s="72"/>
      <c r="Q57" s="72"/>
      <c r="R57" s="73"/>
      <c r="S57" s="56"/>
      <c r="T57" s="76"/>
      <c r="U57" s="76"/>
      <c r="V57" s="76"/>
    </row>
    <row r="58" spans="1:22" s="15" customFormat="1" ht="19.5" thickBot="1" x14ac:dyDescent="0.3">
      <c r="B58" s="29" t="s">
        <v>50</v>
      </c>
      <c r="C58" s="2">
        <f>SUM(C7:C57)</f>
        <v>43937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44</v>
      </c>
      <c r="I58" s="6">
        <f t="shared" si="11"/>
        <v>9</v>
      </c>
      <c r="J58" s="6">
        <f t="shared" si="11"/>
        <v>28</v>
      </c>
      <c r="K58" s="6">
        <f t="shared" si="11"/>
        <v>604</v>
      </c>
      <c r="M58" s="5">
        <f t="shared" ref="M58:R58" si="12">SUM(M7:M57)</f>
        <v>72</v>
      </c>
      <c r="N58" s="5">
        <f t="shared" si="12"/>
        <v>12</v>
      </c>
      <c r="O58" s="5">
        <f t="shared" si="12"/>
        <v>134</v>
      </c>
      <c r="P58" s="5">
        <f t="shared" si="12"/>
        <v>21</v>
      </c>
      <c r="Q58" s="5">
        <f t="shared" si="12"/>
        <v>508</v>
      </c>
      <c r="R58" s="5">
        <f t="shared" si="12"/>
        <v>13</v>
      </c>
      <c r="S58" s="56"/>
      <c r="T58" s="4">
        <f>SUM(T7:T57)</f>
        <v>731</v>
      </c>
      <c r="U58" s="95">
        <f>SUM(U7:U57)</f>
        <v>372479</v>
      </c>
      <c r="V58" s="4">
        <f>SUM(V7:V57)</f>
        <v>44758.458333333336</v>
      </c>
    </row>
    <row r="59" spans="1:22" ht="7.5" customHeight="1" thickBot="1" x14ac:dyDescent="0.3"/>
    <row r="60" spans="1:22" ht="19.5" thickBot="1" x14ac:dyDescent="0.3">
      <c r="B60" s="30" t="s">
        <v>37</v>
      </c>
      <c r="C60" s="108" t="s">
        <v>41</v>
      </c>
      <c r="D60" s="109"/>
      <c r="E60" s="109"/>
      <c r="F60" s="109"/>
      <c r="G60" s="109"/>
      <c r="H60" s="109"/>
      <c r="I60" s="109"/>
      <c r="J60" s="109"/>
      <c r="K60" s="110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9B154A-467C-45B6-A794-26411351FB9A}">
  <sheetPr>
    <pageSetUpPr fitToPage="1"/>
  </sheetPr>
  <dimension ref="A1:BB81"/>
  <sheetViews>
    <sheetView zoomScaleNormal="100" zoomScaleSheetLayoutView="115" workbookViewId="0">
      <selection activeCell="B2" sqref="B2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6.710937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1" t="s">
        <v>43</v>
      </c>
      <c r="J1" s="111"/>
      <c r="K1" s="111"/>
      <c r="L1" s="111"/>
      <c r="M1" s="111"/>
      <c r="N1" s="111"/>
      <c r="O1" s="111"/>
      <c r="P1" s="111"/>
      <c r="Q1" s="111"/>
      <c r="R1" s="111"/>
      <c r="S1" s="111"/>
      <c r="T1" s="111"/>
      <c r="U1" s="111"/>
    </row>
    <row r="2" spans="1:54" x14ac:dyDescent="0.25">
      <c r="B2" s="28" t="s">
        <v>75</v>
      </c>
    </row>
    <row r="3" spans="1:54" ht="19.5" thickBot="1" x14ac:dyDescent="0.3"/>
    <row r="4" spans="1:54" s="10" customFormat="1" ht="15.75" x14ac:dyDescent="0.25">
      <c r="B4" s="41" t="s">
        <v>52</v>
      </c>
      <c r="C4" s="112" t="s">
        <v>41</v>
      </c>
      <c r="D4" s="112"/>
      <c r="E4" s="112"/>
      <c r="F4" s="112"/>
      <c r="G4" s="112"/>
      <c r="H4" s="112"/>
      <c r="I4" s="112"/>
      <c r="J4" s="113"/>
      <c r="K4" s="114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5" t="s">
        <v>68</v>
      </c>
      <c r="U4" s="121" t="s">
        <v>67</v>
      </c>
      <c r="V4" s="104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19" t="s">
        <v>65</v>
      </c>
      <c r="K5" s="120"/>
      <c r="M5" s="37"/>
      <c r="N5" s="49"/>
      <c r="O5" s="40"/>
      <c r="P5" s="100"/>
      <c r="Q5" s="100"/>
      <c r="R5" s="38"/>
      <c r="S5" s="9"/>
      <c r="T5" s="116"/>
      <c r="U5" s="122"/>
      <c r="V5" s="105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100"/>
      <c r="K6" s="38"/>
      <c r="M6" s="37"/>
      <c r="N6" s="49"/>
      <c r="O6" s="40"/>
      <c r="P6" s="100"/>
      <c r="Q6" s="100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3">
        <f>21+41</f>
        <v>62</v>
      </c>
      <c r="D7" s="53"/>
      <c r="E7" s="53"/>
      <c r="F7" s="53"/>
      <c r="G7" s="53"/>
      <c r="H7" s="53">
        <v>2</v>
      </c>
      <c r="I7" s="53">
        <v>1</v>
      </c>
      <c r="J7" s="54"/>
      <c r="K7" s="55">
        <v>6</v>
      </c>
      <c r="L7" s="56"/>
      <c r="M7" s="57">
        <v>1</v>
      </c>
      <c r="N7" s="58"/>
      <c r="O7" s="53">
        <v>2</v>
      </c>
      <c r="P7" s="54">
        <v>12</v>
      </c>
      <c r="Q7" s="54">
        <v>1</v>
      </c>
      <c r="R7" s="55"/>
      <c r="S7" s="56"/>
      <c r="T7" s="59">
        <f>H7+I7+J7+K7+N7+P7+R7</f>
        <v>21</v>
      </c>
      <c r="U7" s="59">
        <f>C7*24+M7*24+O7*24+Q7*24+T7</f>
        <v>1605</v>
      </c>
      <c r="V7" s="59">
        <f>U7/24</f>
        <v>66.875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60">
        <f>22+63+15</f>
        <v>100</v>
      </c>
      <c r="D8" s="60"/>
      <c r="E8" s="60"/>
      <c r="F8" s="60"/>
      <c r="G8" s="60"/>
      <c r="H8" s="60"/>
      <c r="I8" s="60"/>
      <c r="J8" s="61"/>
      <c r="K8" s="62"/>
      <c r="L8" s="63"/>
      <c r="M8" s="64"/>
      <c r="N8" s="65"/>
      <c r="O8" s="66"/>
      <c r="P8" s="67"/>
      <c r="Q8" s="67">
        <v>2</v>
      </c>
      <c r="R8" s="68"/>
      <c r="S8" s="63"/>
      <c r="T8" s="69">
        <f t="shared" ref="T8:T41" si="0">H8+I8+J8+K8+N8+P8+R8</f>
        <v>0</v>
      </c>
      <c r="U8" s="70">
        <f>C8*24+M8*24+O8*24+Q8*24+T8</f>
        <v>2448</v>
      </c>
      <c r="V8" s="70">
        <f>U8/24</f>
        <v>102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1">
        <v>33</v>
      </c>
      <c r="D9" s="71"/>
      <c r="E9" s="71"/>
      <c r="F9" s="71"/>
      <c r="G9" s="71"/>
      <c r="H9" s="71"/>
      <c r="I9" s="71"/>
      <c r="J9" s="72"/>
      <c r="K9" s="73"/>
      <c r="L9" s="56"/>
      <c r="M9" s="74">
        <v>2</v>
      </c>
      <c r="N9" s="75"/>
      <c r="O9" s="71">
        <v>1</v>
      </c>
      <c r="P9" s="72"/>
      <c r="Q9" s="72">
        <v>15</v>
      </c>
      <c r="R9" s="73"/>
      <c r="S9" s="56"/>
      <c r="T9" s="76">
        <f t="shared" si="0"/>
        <v>0</v>
      </c>
      <c r="U9" s="77">
        <f t="shared" ref="U9:U11" si="2">C9*24+M9*24+O9*24+Q9*24+T9</f>
        <v>1224</v>
      </c>
      <c r="V9" s="77">
        <f t="shared" ref="V9:V11" si="3">U9/24</f>
        <v>51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1">
        <v>6</v>
      </c>
      <c r="D10" s="71"/>
      <c r="E10" s="71"/>
      <c r="F10" s="71"/>
      <c r="G10" s="71"/>
      <c r="H10" s="71"/>
      <c r="I10" s="71"/>
      <c r="J10" s="72"/>
      <c r="K10" s="73"/>
      <c r="L10" s="56"/>
      <c r="M10" s="74">
        <v>1</v>
      </c>
      <c r="N10" s="75"/>
      <c r="O10" s="71">
        <v>1</v>
      </c>
      <c r="P10" s="72"/>
      <c r="Q10" s="72">
        <v>15</v>
      </c>
      <c r="R10" s="73"/>
      <c r="S10" s="56"/>
      <c r="T10" s="59">
        <f t="shared" si="0"/>
        <v>0</v>
      </c>
      <c r="U10" s="59">
        <f t="shared" si="2"/>
        <v>552</v>
      </c>
      <c r="V10" s="59">
        <f t="shared" si="3"/>
        <v>23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1">
        <v>9</v>
      </c>
      <c r="D11" s="71"/>
      <c r="E11" s="71"/>
      <c r="F11" s="71"/>
      <c r="G11" s="71"/>
      <c r="H11" s="71">
        <v>22</v>
      </c>
      <c r="I11" s="71"/>
      <c r="J11" s="72"/>
      <c r="K11" s="73">
        <v>2</v>
      </c>
      <c r="L11" s="56"/>
      <c r="M11" s="74"/>
      <c r="N11" s="75"/>
      <c r="O11" s="71"/>
      <c r="P11" s="72"/>
      <c r="Q11" s="72"/>
      <c r="R11" s="73"/>
      <c r="S11" s="56"/>
      <c r="T11" s="59">
        <f t="shared" si="0"/>
        <v>24</v>
      </c>
      <c r="U11" s="59">
        <f t="shared" si="2"/>
        <v>240</v>
      </c>
      <c r="V11" s="59">
        <f t="shared" si="3"/>
        <v>10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60">
        <f>72+720+60+63+936+20+1440+576</f>
        <v>3887</v>
      </c>
      <c r="D12" s="60"/>
      <c r="E12" s="60"/>
      <c r="F12" s="60"/>
      <c r="G12" s="60"/>
      <c r="H12" s="60"/>
      <c r="I12" s="60"/>
      <c r="J12" s="61"/>
      <c r="K12" s="62"/>
      <c r="L12" s="63"/>
      <c r="M12" s="64">
        <v>13</v>
      </c>
      <c r="N12" s="65"/>
      <c r="O12" s="66">
        <v>9</v>
      </c>
      <c r="P12" s="67">
        <v>5</v>
      </c>
      <c r="Q12" s="67">
        <v>19</v>
      </c>
      <c r="R12" s="68"/>
      <c r="S12" s="63"/>
      <c r="T12" s="59">
        <f t="shared" si="0"/>
        <v>5</v>
      </c>
      <c r="U12" s="70">
        <f>C12*24+M12*24+O12*24+Q12*24+T12</f>
        <v>94277</v>
      </c>
      <c r="V12" s="70">
        <f>U12/24</f>
        <v>3928.2083333333335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1">
        <v>5</v>
      </c>
      <c r="D13" s="71"/>
      <c r="E13" s="71"/>
      <c r="F13" s="71"/>
      <c r="G13" s="71"/>
      <c r="H13" s="71"/>
      <c r="I13" s="71"/>
      <c r="J13" s="72"/>
      <c r="K13" s="73"/>
      <c r="L13" s="56"/>
      <c r="M13" s="74"/>
      <c r="N13" s="75"/>
      <c r="O13" s="71"/>
      <c r="P13" s="72"/>
      <c r="Q13" s="72"/>
      <c r="R13" s="73"/>
      <c r="S13" s="56"/>
      <c r="T13" s="59">
        <f t="shared" si="0"/>
        <v>0</v>
      </c>
      <c r="U13" s="77">
        <f>C13*24+M13*24+O13*24+Q13*24+T13</f>
        <v>120</v>
      </c>
      <c r="V13" s="77">
        <f>U13/24</f>
        <v>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1"/>
      <c r="D14" s="71"/>
      <c r="E14" s="71"/>
      <c r="F14" s="71"/>
      <c r="G14" s="71"/>
      <c r="H14" s="71"/>
      <c r="I14" s="71"/>
      <c r="J14" s="72"/>
      <c r="K14" s="73"/>
      <c r="L14" s="56"/>
      <c r="M14" s="74"/>
      <c r="N14" s="75"/>
      <c r="O14" s="71"/>
      <c r="P14" s="72"/>
      <c r="Q14" s="72"/>
      <c r="R14" s="73"/>
      <c r="S14" s="56"/>
      <c r="T14" s="59">
        <f t="shared" si="0"/>
        <v>0</v>
      </c>
      <c r="U14" s="76">
        <f t="shared" ref="U14:U36" si="4">C14*24+M14*24+O14*24+Q14*24+T14</f>
        <v>0</v>
      </c>
      <c r="V14" s="76">
        <f t="shared" ref="V14:V36" si="5">U14/24</f>
        <v>0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1"/>
      <c r="D15" s="71"/>
      <c r="E15" s="71"/>
      <c r="F15" s="71"/>
      <c r="G15" s="71"/>
      <c r="H15" s="71"/>
      <c r="I15" s="71"/>
      <c r="J15" s="72"/>
      <c r="K15" s="73"/>
      <c r="L15" s="56"/>
      <c r="M15" s="74"/>
      <c r="N15" s="75"/>
      <c r="O15" s="71"/>
      <c r="P15" s="72"/>
      <c r="Q15" s="72"/>
      <c r="R15" s="73"/>
      <c r="S15" s="56"/>
      <c r="T15" s="59">
        <f t="shared" si="0"/>
        <v>0</v>
      </c>
      <c r="U15" s="76">
        <f t="shared" si="4"/>
        <v>0</v>
      </c>
      <c r="V15" s="76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1"/>
      <c r="D16" s="71"/>
      <c r="E16" s="71"/>
      <c r="F16" s="71"/>
      <c r="G16" s="71"/>
      <c r="H16" s="71"/>
      <c r="I16" s="71"/>
      <c r="J16" s="72"/>
      <c r="K16" s="73"/>
      <c r="L16" s="56"/>
      <c r="M16" s="74"/>
      <c r="N16" s="75"/>
      <c r="O16" s="71"/>
      <c r="P16" s="72"/>
      <c r="Q16" s="72"/>
      <c r="R16" s="73"/>
      <c r="S16" s="56"/>
      <c r="T16" s="59">
        <f t="shared" si="0"/>
        <v>0</v>
      </c>
      <c r="U16" s="76">
        <f t="shared" si="4"/>
        <v>0</v>
      </c>
      <c r="V16" s="76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1">
        <v>4</v>
      </c>
      <c r="D17" s="71"/>
      <c r="E17" s="71"/>
      <c r="F17" s="71"/>
      <c r="G17" s="71"/>
      <c r="H17" s="71"/>
      <c r="I17" s="71"/>
      <c r="J17" s="72"/>
      <c r="K17" s="73"/>
      <c r="L17" s="56"/>
      <c r="M17" s="74"/>
      <c r="N17" s="75"/>
      <c r="O17" s="71"/>
      <c r="P17" s="72"/>
      <c r="Q17" s="72"/>
      <c r="R17" s="73"/>
      <c r="S17" s="56"/>
      <c r="T17" s="59">
        <f t="shared" si="0"/>
        <v>0</v>
      </c>
      <c r="U17" s="76">
        <f t="shared" si="4"/>
        <v>96</v>
      </c>
      <c r="V17" s="76">
        <f t="shared" si="5"/>
        <v>4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1"/>
      <c r="D18" s="71"/>
      <c r="E18" s="71"/>
      <c r="F18" s="71"/>
      <c r="G18" s="71"/>
      <c r="H18" s="71"/>
      <c r="I18" s="71"/>
      <c r="J18" s="72"/>
      <c r="K18" s="73"/>
      <c r="L18" s="56"/>
      <c r="M18" s="74"/>
      <c r="N18" s="75"/>
      <c r="O18" s="71"/>
      <c r="P18" s="72"/>
      <c r="Q18" s="72"/>
      <c r="R18" s="73"/>
      <c r="S18" s="56"/>
      <c r="T18" s="59">
        <f t="shared" si="0"/>
        <v>0</v>
      </c>
      <c r="U18" s="76">
        <f t="shared" si="4"/>
        <v>0</v>
      </c>
      <c r="V18" s="76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1">
        <v>4</v>
      </c>
      <c r="D19" s="71"/>
      <c r="E19" s="71"/>
      <c r="F19" s="71"/>
      <c r="G19" s="71"/>
      <c r="H19" s="71"/>
      <c r="I19" s="71"/>
      <c r="J19" s="72"/>
      <c r="K19" s="73"/>
      <c r="L19" s="56"/>
      <c r="M19" s="74"/>
      <c r="N19" s="75"/>
      <c r="O19" s="71"/>
      <c r="P19" s="72"/>
      <c r="Q19" s="72"/>
      <c r="R19" s="73"/>
      <c r="S19" s="56"/>
      <c r="T19" s="59">
        <f t="shared" si="0"/>
        <v>0</v>
      </c>
      <c r="U19" s="76">
        <f t="shared" si="4"/>
        <v>96</v>
      </c>
      <c r="V19" s="76">
        <f t="shared" si="5"/>
        <v>4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1">
        <v>6</v>
      </c>
      <c r="D20" s="71"/>
      <c r="E20" s="71"/>
      <c r="F20" s="71"/>
      <c r="G20" s="71"/>
      <c r="H20" s="71"/>
      <c r="I20" s="71"/>
      <c r="J20" s="72"/>
      <c r="K20" s="73"/>
      <c r="L20" s="56"/>
      <c r="M20" s="74"/>
      <c r="N20" s="75"/>
      <c r="O20" s="71"/>
      <c r="P20" s="72"/>
      <c r="Q20" s="72"/>
      <c r="R20" s="73"/>
      <c r="S20" s="56"/>
      <c r="T20" s="59">
        <f t="shared" si="0"/>
        <v>0</v>
      </c>
      <c r="U20" s="76">
        <f t="shared" si="4"/>
        <v>144</v>
      </c>
      <c r="V20" s="76">
        <f t="shared" si="5"/>
        <v>6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1">
        <v>4</v>
      </c>
      <c r="D21" s="71"/>
      <c r="E21" s="71"/>
      <c r="F21" s="71"/>
      <c r="G21" s="71"/>
      <c r="H21" s="71"/>
      <c r="I21" s="71"/>
      <c r="J21" s="72"/>
      <c r="K21" s="73"/>
      <c r="L21" s="56"/>
      <c r="M21" s="74"/>
      <c r="N21" s="75"/>
      <c r="O21" s="71"/>
      <c r="P21" s="72"/>
      <c r="Q21" s="72"/>
      <c r="R21" s="73"/>
      <c r="S21" s="56"/>
      <c r="T21" s="59">
        <f t="shared" si="0"/>
        <v>0</v>
      </c>
      <c r="U21" s="76">
        <f t="shared" si="4"/>
        <v>96</v>
      </c>
      <c r="V21" s="76">
        <f t="shared" si="5"/>
        <v>4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1">
        <v>2</v>
      </c>
      <c r="D22" s="71"/>
      <c r="E22" s="71"/>
      <c r="F22" s="71"/>
      <c r="G22" s="71"/>
      <c r="H22" s="71"/>
      <c r="I22" s="71"/>
      <c r="J22" s="72"/>
      <c r="K22" s="73"/>
      <c r="L22" s="56"/>
      <c r="M22" s="74"/>
      <c r="N22" s="75"/>
      <c r="O22" s="71"/>
      <c r="P22" s="72"/>
      <c r="Q22" s="72"/>
      <c r="R22" s="73"/>
      <c r="S22" s="56"/>
      <c r="T22" s="59">
        <f t="shared" si="0"/>
        <v>0</v>
      </c>
      <c r="U22" s="76">
        <f t="shared" si="4"/>
        <v>48</v>
      </c>
      <c r="V22" s="76">
        <f t="shared" si="5"/>
        <v>2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1">
        <v>17</v>
      </c>
      <c r="D23" s="71"/>
      <c r="E23" s="71"/>
      <c r="F23" s="71"/>
      <c r="G23" s="71"/>
      <c r="H23" s="71"/>
      <c r="I23" s="71"/>
      <c r="J23" s="72"/>
      <c r="K23" s="73"/>
      <c r="L23" s="56"/>
      <c r="M23" s="74"/>
      <c r="N23" s="75"/>
      <c r="O23" s="71"/>
      <c r="P23" s="72"/>
      <c r="Q23" s="72"/>
      <c r="R23" s="73"/>
      <c r="S23" s="56"/>
      <c r="T23" s="59">
        <f t="shared" si="0"/>
        <v>0</v>
      </c>
      <c r="U23" s="76">
        <f t="shared" si="4"/>
        <v>408</v>
      </c>
      <c r="V23" s="76">
        <f t="shared" si="5"/>
        <v>17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1">
        <v>7</v>
      </c>
      <c r="D24" s="71"/>
      <c r="E24" s="71"/>
      <c r="F24" s="71"/>
      <c r="G24" s="71"/>
      <c r="H24" s="71"/>
      <c r="I24" s="71"/>
      <c r="J24" s="72"/>
      <c r="K24" s="73"/>
      <c r="L24" s="56"/>
      <c r="M24" s="74">
        <v>8</v>
      </c>
      <c r="N24" s="75"/>
      <c r="O24" s="71">
        <v>10</v>
      </c>
      <c r="P24" s="72"/>
      <c r="Q24" s="72">
        <v>10</v>
      </c>
      <c r="R24" s="73"/>
      <c r="S24" s="56"/>
      <c r="T24" s="59">
        <f t="shared" si="0"/>
        <v>0</v>
      </c>
      <c r="U24" s="76">
        <f t="shared" si="4"/>
        <v>840</v>
      </c>
      <c r="V24" s="76">
        <f t="shared" si="5"/>
        <v>35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1">
        <f>58+63</f>
        <v>121</v>
      </c>
      <c r="D25" s="71"/>
      <c r="E25" s="71"/>
      <c r="F25" s="71"/>
      <c r="G25" s="71"/>
      <c r="H25" s="71">
        <v>10</v>
      </c>
      <c r="I25" s="71">
        <v>1</v>
      </c>
      <c r="J25" s="72"/>
      <c r="K25" s="73"/>
      <c r="L25" s="56"/>
      <c r="M25" s="74">
        <v>1</v>
      </c>
      <c r="N25" s="75"/>
      <c r="O25" s="71"/>
      <c r="P25" s="72"/>
      <c r="Q25" s="72"/>
      <c r="R25" s="73"/>
      <c r="S25" s="56"/>
      <c r="T25" s="59">
        <f t="shared" si="0"/>
        <v>11</v>
      </c>
      <c r="U25" s="76">
        <f t="shared" si="4"/>
        <v>2939</v>
      </c>
      <c r="V25" s="76">
        <f t="shared" si="5"/>
        <v>122.45833333333333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1">
        <v>16</v>
      </c>
      <c r="D26" s="71"/>
      <c r="E26" s="71"/>
      <c r="F26" s="71"/>
      <c r="G26" s="71"/>
      <c r="H26" s="71"/>
      <c r="I26" s="71"/>
      <c r="J26" s="72"/>
      <c r="K26" s="73"/>
      <c r="L26" s="56"/>
      <c r="M26" s="74"/>
      <c r="N26" s="75"/>
      <c r="O26" s="71"/>
      <c r="P26" s="72"/>
      <c r="Q26" s="72"/>
      <c r="R26" s="73"/>
      <c r="S26" s="56"/>
      <c r="T26" s="59">
        <f t="shared" si="0"/>
        <v>0</v>
      </c>
      <c r="U26" s="76">
        <f t="shared" si="4"/>
        <v>384</v>
      </c>
      <c r="V26" s="76">
        <f t="shared" si="5"/>
        <v>16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1"/>
      <c r="D27" s="71"/>
      <c r="E27" s="71"/>
      <c r="F27" s="71"/>
      <c r="G27" s="71"/>
      <c r="H27" s="71"/>
      <c r="I27" s="71"/>
      <c r="J27" s="72"/>
      <c r="K27" s="73"/>
      <c r="L27" s="56"/>
      <c r="M27" s="74"/>
      <c r="N27" s="75"/>
      <c r="O27" s="71"/>
      <c r="P27" s="72"/>
      <c r="Q27" s="72"/>
      <c r="R27" s="73"/>
      <c r="S27" s="56"/>
      <c r="T27" s="59"/>
      <c r="U27" s="76"/>
      <c r="V27" s="76"/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1">
        <f>64+23</f>
        <v>87</v>
      </c>
      <c r="D28" s="71"/>
      <c r="E28" s="71"/>
      <c r="F28" s="71"/>
      <c r="G28" s="71"/>
      <c r="H28" s="71"/>
      <c r="I28" s="71"/>
      <c r="J28" s="72"/>
      <c r="K28" s="73"/>
      <c r="L28" s="56"/>
      <c r="M28" s="74">
        <v>2</v>
      </c>
      <c r="N28" s="75"/>
      <c r="O28" s="71">
        <v>2</v>
      </c>
      <c r="P28" s="72"/>
      <c r="Q28" s="72">
        <v>4</v>
      </c>
      <c r="R28" s="73"/>
      <c r="S28" s="56"/>
      <c r="T28" s="59">
        <f t="shared" si="0"/>
        <v>0</v>
      </c>
      <c r="U28" s="76">
        <f t="shared" si="4"/>
        <v>2280</v>
      </c>
      <c r="V28" s="76">
        <f t="shared" si="5"/>
        <v>95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1">
        <v>10</v>
      </c>
      <c r="D29" s="71"/>
      <c r="E29" s="71"/>
      <c r="F29" s="71"/>
      <c r="G29" s="71"/>
      <c r="H29" s="71"/>
      <c r="I29" s="71"/>
      <c r="J29" s="72"/>
      <c r="K29" s="73"/>
      <c r="L29" s="56"/>
      <c r="M29" s="74"/>
      <c r="N29" s="75"/>
      <c r="O29" s="71"/>
      <c r="P29" s="72"/>
      <c r="Q29" s="72"/>
      <c r="R29" s="73"/>
      <c r="S29" s="56"/>
      <c r="T29" s="59">
        <f t="shared" si="0"/>
        <v>0</v>
      </c>
      <c r="U29" s="76">
        <f t="shared" si="4"/>
        <v>240</v>
      </c>
      <c r="V29" s="76">
        <f t="shared" si="5"/>
        <v>10</v>
      </c>
    </row>
    <row r="30" spans="1:54" x14ac:dyDescent="0.25">
      <c r="A30" s="27">
        <f t="shared" si="1"/>
        <v>27</v>
      </c>
      <c r="B30" s="26" t="s">
        <v>15</v>
      </c>
      <c r="C30" s="71">
        <f>57</f>
        <v>57</v>
      </c>
      <c r="D30" s="71"/>
      <c r="E30" s="71"/>
      <c r="F30" s="71"/>
      <c r="G30" s="71"/>
      <c r="H30" s="71"/>
      <c r="I30" s="71"/>
      <c r="J30" s="72"/>
      <c r="K30" s="73"/>
      <c r="L30" s="56"/>
      <c r="M30" s="74"/>
      <c r="N30" s="75"/>
      <c r="O30" s="71">
        <v>2</v>
      </c>
      <c r="P30" s="72"/>
      <c r="Q30" s="72">
        <v>1</v>
      </c>
      <c r="R30" s="73"/>
      <c r="S30" s="56"/>
      <c r="T30" s="59">
        <f t="shared" si="0"/>
        <v>0</v>
      </c>
      <c r="U30" s="76">
        <f t="shared" si="4"/>
        <v>1440</v>
      </c>
      <c r="V30" s="76">
        <f t="shared" si="5"/>
        <v>60</v>
      </c>
    </row>
    <row r="31" spans="1:54" x14ac:dyDescent="0.25">
      <c r="A31" s="27">
        <f t="shared" si="1"/>
        <v>28</v>
      </c>
      <c r="B31" s="26" t="s">
        <v>12</v>
      </c>
      <c r="C31" s="71">
        <v>2</v>
      </c>
      <c r="D31" s="71"/>
      <c r="E31" s="71"/>
      <c r="F31" s="71"/>
      <c r="G31" s="71"/>
      <c r="H31" s="71"/>
      <c r="I31" s="71"/>
      <c r="J31" s="72"/>
      <c r="K31" s="73"/>
      <c r="L31" s="56"/>
      <c r="M31" s="74"/>
      <c r="N31" s="75"/>
      <c r="O31" s="71"/>
      <c r="P31" s="72"/>
      <c r="Q31" s="72">
        <v>2</v>
      </c>
      <c r="R31" s="73"/>
      <c r="S31" s="56"/>
      <c r="T31" s="59">
        <f t="shared" si="0"/>
        <v>0</v>
      </c>
      <c r="U31" s="76">
        <f t="shared" si="4"/>
        <v>96</v>
      </c>
      <c r="V31" s="76">
        <f t="shared" si="5"/>
        <v>4</v>
      </c>
    </row>
    <row r="32" spans="1:54" x14ac:dyDescent="0.25">
      <c r="A32" s="27">
        <f t="shared" si="1"/>
        <v>29</v>
      </c>
      <c r="B32" s="26" t="s">
        <v>14</v>
      </c>
      <c r="C32" s="71"/>
      <c r="D32" s="71"/>
      <c r="E32" s="71"/>
      <c r="F32" s="71"/>
      <c r="G32" s="71"/>
      <c r="H32" s="71"/>
      <c r="I32" s="71"/>
      <c r="J32" s="72"/>
      <c r="K32" s="73"/>
      <c r="L32" s="56"/>
      <c r="M32" s="74"/>
      <c r="N32" s="75"/>
      <c r="O32" s="71"/>
      <c r="P32" s="72"/>
      <c r="Q32" s="72"/>
      <c r="R32" s="73"/>
      <c r="S32" s="56"/>
      <c r="T32" s="59">
        <f t="shared" si="0"/>
        <v>0</v>
      </c>
      <c r="U32" s="76">
        <f t="shared" si="4"/>
        <v>0</v>
      </c>
      <c r="V32" s="76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1"/>
      <c r="D33" s="71"/>
      <c r="E33" s="71"/>
      <c r="F33" s="71"/>
      <c r="G33" s="71"/>
      <c r="H33" s="71"/>
      <c r="I33" s="71"/>
      <c r="J33" s="72"/>
      <c r="K33" s="73"/>
      <c r="L33" s="56"/>
      <c r="M33" s="74"/>
      <c r="N33" s="75"/>
      <c r="O33" s="71"/>
      <c r="P33" s="72"/>
      <c r="Q33" s="72"/>
      <c r="R33" s="73"/>
      <c r="S33" s="56"/>
      <c r="T33" s="59">
        <f t="shared" si="0"/>
        <v>0</v>
      </c>
      <c r="U33" s="76">
        <f t="shared" si="4"/>
        <v>0</v>
      </c>
      <c r="V33" s="76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1">
        <f>60+72</f>
        <v>132</v>
      </c>
      <c r="D34" s="71"/>
      <c r="E34" s="71"/>
      <c r="F34" s="71"/>
      <c r="G34" s="71"/>
      <c r="H34" s="71">
        <v>4</v>
      </c>
      <c r="I34" s="71"/>
      <c r="J34" s="72"/>
      <c r="K34" s="73">
        <v>1</v>
      </c>
      <c r="L34" s="56"/>
      <c r="M34" s="74">
        <v>1</v>
      </c>
      <c r="N34" s="75">
        <v>12</v>
      </c>
      <c r="O34" s="71"/>
      <c r="P34" s="72"/>
      <c r="Q34" s="72">
        <v>2</v>
      </c>
      <c r="R34" s="73"/>
      <c r="S34" s="56"/>
      <c r="T34" s="59">
        <f t="shared" si="0"/>
        <v>17</v>
      </c>
      <c r="U34" s="76">
        <f t="shared" si="4"/>
        <v>3257</v>
      </c>
      <c r="V34" s="76">
        <f t="shared" si="5"/>
        <v>135.70833333333334</v>
      </c>
    </row>
    <row r="35" spans="1:23" hidden="1" x14ac:dyDescent="0.25">
      <c r="A35" s="27">
        <f t="shared" si="1"/>
        <v>32</v>
      </c>
      <c r="B35" s="26" t="s">
        <v>25</v>
      </c>
      <c r="C35" s="71"/>
      <c r="D35" s="71"/>
      <c r="E35" s="71"/>
      <c r="F35" s="71"/>
      <c r="G35" s="71"/>
      <c r="H35" s="71"/>
      <c r="I35" s="71"/>
      <c r="J35" s="72"/>
      <c r="K35" s="73"/>
      <c r="L35" s="56"/>
      <c r="M35" s="74"/>
      <c r="N35" s="75"/>
      <c r="O35" s="71"/>
      <c r="P35" s="72"/>
      <c r="Q35" s="72"/>
      <c r="R35" s="73"/>
      <c r="S35" s="56"/>
      <c r="T35" s="59">
        <f t="shared" si="0"/>
        <v>0</v>
      </c>
      <c r="U35" s="76">
        <f t="shared" si="4"/>
        <v>0</v>
      </c>
      <c r="V35" s="76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1"/>
      <c r="D36" s="71"/>
      <c r="E36" s="71"/>
      <c r="F36" s="71"/>
      <c r="G36" s="71"/>
      <c r="H36" s="71"/>
      <c r="I36" s="71"/>
      <c r="J36" s="72"/>
      <c r="K36" s="73"/>
      <c r="L36" s="56"/>
      <c r="M36" s="74"/>
      <c r="N36" s="75"/>
      <c r="O36" s="71"/>
      <c r="P36" s="72"/>
      <c r="Q36" s="72"/>
      <c r="R36" s="73"/>
      <c r="S36" s="56"/>
      <c r="T36" s="59">
        <f t="shared" si="0"/>
        <v>0</v>
      </c>
      <c r="U36" s="76">
        <f t="shared" si="4"/>
        <v>0</v>
      </c>
      <c r="V36" s="76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60">
        <f>108+2376+1512+15</f>
        <v>4011</v>
      </c>
      <c r="D37" s="60"/>
      <c r="E37" s="60"/>
      <c r="F37" s="60"/>
      <c r="G37" s="60"/>
      <c r="H37" s="60">
        <v>2</v>
      </c>
      <c r="I37" s="60"/>
      <c r="J37" s="61"/>
      <c r="K37" s="62">
        <v>6</v>
      </c>
      <c r="L37" s="63"/>
      <c r="M37" s="64">
        <v>25</v>
      </c>
      <c r="N37" s="65"/>
      <c r="O37" s="66">
        <v>30</v>
      </c>
      <c r="P37" s="67"/>
      <c r="Q37" s="67">
        <v>140</v>
      </c>
      <c r="R37" s="68"/>
      <c r="S37" s="63"/>
      <c r="T37" s="78">
        <f t="shared" si="0"/>
        <v>8</v>
      </c>
      <c r="U37" s="78">
        <f>C37*6+M37*6+O37*6+Q37*6+T37</f>
        <v>25244</v>
      </c>
      <c r="V37" s="78">
        <f>U37/6</f>
        <v>4207.333333333333</v>
      </c>
      <c r="W37" s="50"/>
    </row>
    <row r="38" spans="1:23" x14ac:dyDescent="0.25">
      <c r="A38" s="27">
        <f t="shared" si="1"/>
        <v>35</v>
      </c>
      <c r="B38" s="25" t="s">
        <v>20</v>
      </c>
      <c r="C38" s="71">
        <v>12</v>
      </c>
      <c r="D38" s="71"/>
      <c r="E38" s="71"/>
      <c r="F38" s="71"/>
      <c r="G38" s="71"/>
      <c r="H38" s="71"/>
      <c r="I38" s="71"/>
      <c r="J38" s="72"/>
      <c r="K38" s="73"/>
      <c r="L38" s="56"/>
      <c r="M38" s="74"/>
      <c r="N38" s="75"/>
      <c r="O38" s="71"/>
      <c r="P38" s="72"/>
      <c r="Q38" s="72"/>
      <c r="R38" s="73"/>
      <c r="S38" s="56"/>
      <c r="T38" s="76">
        <f t="shared" si="0"/>
        <v>0</v>
      </c>
      <c r="U38" s="76">
        <f>C38*24+M38*24+O38*24+Q38*24+T38</f>
        <v>288</v>
      </c>
      <c r="V38" s="76">
        <f>U38/24</f>
        <v>12</v>
      </c>
    </row>
    <row r="39" spans="1:23" x14ac:dyDescent="0.25">
      <c r="A39" s="27">
        <f t="shared" si="1"/>
        <v>36</v>
      </c>
      <c r="B39" s="51" t="s">
        <v>62</v>
      </c>
      <c r="C39" s="79"/>
      <c r="D39" s="79"/>
      <c r="E39" s="79"/>
      <c r="F39" s="79"/>
      <c r="G39" s="79"/>
      <c r="H39" s="79"/>
      <c r="I39" s="79"/>
      <c r="J39" s="80"/>
      <c r="K39" s="81"/>
      <c r="L39" s="56"/>
      <c r="M39" s="57"/>
      <c r="N39" s="58"/>
      <c r="O39" s="53"/>
      <c r="P39" s="54"/>
      <c r="Q39" s="53"/>
      <c r="R39" s="73"/>
      <c r="S39" s="103"/>
      <c r="T39" s="76"/>
      <c r="U39" s="76"/>
      <c r="V39" s="76"/>
    </row>
    <row r="40" spans="1:23" ht="19.5" thickBot="1" x14ac:dyDescent="0.3">
      <c r="A40" s="27">
        <f t="shared" si="1"/>
        <v>37</v>
      </c>
      <c r="B40" s="42" t="s">
        <v>21</v>
      </c>
      <c r="C40" s="60">
        <f>504+50</f>
        <v>554</v>
      </c>
      <c r="D40" s="60"/>
      <c r="E40" s="60"/>
      <c r="F40" s="60"/>
      <c r="G40" s="60"/>
      <c r="H40" s="60">
        <v>4</v>
      </c>
      <c r="I40" s="60"/>
      <c r="J40" s="61"/>
      <c r="K40" s="62">
        <v>20</v>
      </c>
      <c r="L40" s="63"/>
      <c r="M40" s="64"/>
      <c r="N40" s="65"/>
      <c r="O40" s="66">
        <v>1</v>
      </c>
      <c r="P40" s="67"/>
      <c r="Q40" s="67">
        <v>2</v>
      </c>
      <c r="R40" s="68"/>
      <c r="S40" s="63"/>
      <c r="T40" s="78">
        <f t="shared" si="0"/>
        <v>24</v>
      </c>
      <c r="U40" s="78">
        <f>C40*24+M40*24+O40*24+Q40*24+T40</f>
        <v>13392</v>
      </c>
      <c r="V40" s="78">
        <f>U40/24</f>
        <v>558</v>
      </c>
    </row>
    <row r="41" spans="1:23" ht="19.5" thickBot="1" x14ac:dyDescent="0.3">
      <c r="A41" s="27">
        <f t="shared" si="1"/>
        <v>38</v>
      </c>
      <c r="B41" s="43" t="s">
        <v>22</v>
      </c>
      <c r="C41" s="85">
        <f>1344+67</f>
        <v>1411</v>
      </c>
      <c r="D41" s="85"/>
      <c r="E41" s="85"/>
      <c r="F41" s="85"/>
      <c r="G41" s="85"/>
      <c r="H41" s="85"/>
      <c r="I41" s="85"/>
      <c r="J41" s="86"/>
      <c r="K41" s="87"/>
      <c r="L41" s="88"/>
      <c r="M41" s="89">
        <v>5</v>
      </c>
      <c r="N41" s="90"/>
      <c r="O41" s="85">
        <v>8</v>
      </c>
      <c r="P41" s="86"/>
      <c r="Q41" s="86">
        <v>15</v>
      </c>
      <c r="R41" s="87"/>
      <c r="S41" s="88"/>
      <c r="T41" s="91">
        <f t="shared" si="0"/>
        <v>0</v>
      </c>
      <c r="U41" s="91">
        <f>C41*12+M41*12+O41*12+Q41*12+T41</f>
        <v>17268</v>
      </c>
      <c r="V41" s="91">
        <f>U41/12</f>
        <v>1439</v>
      </c>
    </row>
    <row r="42" spans="1:23" hidden="1" x14ac:dyDescent="0.25">
      <c r="A42" s="27">
        <f t="shared" si="1"/>
        <v>39</v>
      </c>
      <c r="B42" s="25" t="s">
        <v>29</v>
      </c>
      <c r="C42" s="71"/>
      <c r="D42" s="71"/>
      <c r="E42" s="71"/>
      <c r="F42" s="71"/>
      <c r="G42" s="71"/>
      <c r="H42" s="71"/>
      <c r="I42" s="71"/>
      <c r="J42" s="72"/>
      <c r="K42" s="73"/>
      <c r="L42" s="56"/>
      <c r="M42" s="74"/>
      <c r="N42" s="75"/>
      <c r="O42" s="71"/>
      <c r="P42" s="72"/>
      <c r="Q42" s="72"/>
      <c r="R42" s="73"/>
      <c r="S42" s="56"/>
      <c r="T42" s="76"/>
      <c r="U42" s="76"/>
      <c r="V42" s="76"/>
    </row>
    <row r="43" spans="1:23" ht="19.5" thickBot="1" x14ac:dyDescent="0.3">
      <c r="A43" s="27">
        <f t="shared" si="1"/>
        <v>40</v>
      </c>
      <c r="B43" s="42" t="s">
        <v>23</v>
      </c>
      <c r="C43" s="66">
        <f>5940+8424+5400+4644+5184+107</f>
        <v>29699</v>
      </c>
      <c r="D43" s="66"/>
      <c r="E43" s="66"/>
      <c r="F43" s="66"/>
      <c r="G43" s="66"/>
      <c r="H43" s="66"/>
      <c r="I43" s="66">
        <v>7</v>
      </c>
      <c r="J43" s="67">
        <f>4*6+4</f>
        <v>28</v>
      </c>
      <c r="K43" s="68">
        <f>93*6+5</f>
        <v>563</v>
      </c>
      <c r="L43" s="63"/>
      <c r="M43" s="64">
        <v>320</v>
      </c>
      <c r="N43" s="65"/>
      <c r="O43" s="66">
        <v>410</v>
      </c>
      <c r="P43" s="67"/>
      <c r="Q43" s="67">
        <v>433</v>
      </c>
      <c r="R43" s="68"/>
      <c r="S43" s="63"/>
      <c r="T43" s="78">
        <f t="shared" ref="T43" si="6">H43+I43+J43+K43+N43+P43+R43</f>
        <v>598</v>
      </c>
      <c r="U43" s="78">
        <f>C43*6+M43*6+O43*6+Q43*6+T43</f>
        <v>185770</v>
      </c>
      <c r="V43" s="78">
        <f>U43/6</f>
        <v>30961.666666666668</v>
      </c>
    </row>
    <row r="44" spans="1:23" hidden="1" x14ac:dyDescent="0.25">
      <c r="A44" s="27">
        <f t="shared" si="1"/>
        <v>41</v>
      </c>
      <c r="B44" s="25" t="s">
        <v>31</v>
      </c>
      <c r="C44" s="71"/>
      <c r="D44" s="71"/>
      <c r="E44" s="71"/>
      <c r="F44" s="71"/>
      <c r="G44" s="71"/>
      <c r="H44" s="71"/>
      <c r="I44" s="71"/>
      <c r="J44" s="72"/>
      <c r="K44" s="73"/>
      <c r="L44" s="56"/>
      <c r="M44" s="74"/>
      <c r="N44" s="75"/>
      <c r="O44" s="71"/>
      <c r="P44" s="72"/>
      <c r="Q44" s="72"/>
      <c r="R44" s="73"/>
      <c r="S44" s="56"/>
      <c r="T44" s="76"/>
      <c r="U44" s="76"/>
      <c r="V44" s="76"/>
    </row>
    <row r="45" spans="1:23" x14ac:dyDescent="0.25">
      <c r="A45" s="27">
        <f t="shared" si="1"/>
        <v>42</v>
      </c>
      <c r="B45" s="26" t="s">
        <v>24</v>
      </c>
      <c r="C45" s="71"/>
      <c r="D45" s="71"/>
      <c r="E45" s="71"/>
      <c r="F45" s="71"/>
      <c r="G45" s="71"/>
      <c r="H45" s="71"/>
      <c r="I45" s="71"/>
      <c r="J45" s="72"/>
      <c r="K45" s="73"/>
      <c r="L45" s="56"/>
      <c r="M45" s="74"/>
      <c r="N45" s="75"/>
      <c r="O45" s="71"/>
      <c r="P45" s="72"/>
      <c r="Q45" s="72"/>
      <c r="R45" s="73"/>
      <c r="S45" s="56"/>
      <c r="T45" s="76">
        <f t="shared" ref="T45:T54" si="7">H45+I45+J45+K45+N45+P45+R45</f>
        <v>0</v>
      </c>
      <c r="U45" s="76">
        <f>C45*24+M45*24+O45*24+Q45*24+T45</f>
        <v>0</v>
      </c>
      <c r="V45" s="76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1"/>
      <c r="D46" s="71"/>
      <c r="E46" s="71"/>
      <c r="F46" s="71"/>
      <c r="G46" s="71"/>
      <c r="H46" s="71"/>
      <c r="I46" s="71"/>
      <c r="J46" s="72"/>
      <c r="K46" s="73"/>
      <c r="L46" s="56"/>
      <c r="M46" s="74"/>
      <c r="N46" s="75"/>
      <c r="O46" s="71"/>
      <c r="P46" s="72"/>
      <c r="Q46" s="72"/>
      <c r="R46" s="73"/>
      <c r="S46" s="56"/>
      <c r="T46" s="76">
        <f t="shared" si="7"/>
        <v>0</v>
      </c>
      <c r="U46" s="76">
        <f t="shared" ref="U46:U50" si="8">C46*24+M46*24+O46*24+Q46*24+T46</f>
        <v>0</v>
      </c>
      <c r="V46" s="76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6">
        <f>18+44+2268</f>
        <v>2330</v>
      </c>
      <c r="D47" s="66"/>
      <c r="E47" s="66"/>
      <c r="F47" s="66"/>
      <c r="G47" s="66"/>
      <c r="H47" s="66"/>
      <c r="I47" s="66"/>
      <c r="J47" s="67"/>
      <c r="K47" s="68">
        <v>6</v>
      </c>
      <c r="L47" s="63"/>
      <c r="M47" s="64">
        <v>5</v>
      </c>
      <c r="N47" s="65"/>
      <c r="O47" s="66">
        <v>3</v>
      </c>
      <c r="P47" s="67">
        <v>4</v>
      </c>
      <c r="Q47" s="67">
        <v>10</v>
      </c>
      <c r="R47" s="68"/>
      <c r="S47" s="63"/>
      <c r="T47" s="78">
        <f t="shared" si="7"/>
        <v>10</v>
      </c>
      <c r="U47" s="78">
        <f>C47*6+M47*6+O47*6+Q47*6+T47</f>
        <v>14098</v>
      </c>
      <c r="V47" s="78">
        <f>U47/6</f>
        <v>2349.6666666666665</v>
      </c>
    </row>
    <row r="48" spans="1:23" x14ac:dyDescent="0.25">
      <c r="A48" s="27">
        <f t="shared" si="1"/>
        <v>45</v>
      </c>
      <c r="B48" s="25" t="s">
        <v>58</v>
      </c>
      <c r="C48" s="71">
        <v>1</v>
      </c>
      <c r="D48" s="71"/>
      <c r="E48" s="71"/>
      <c r="F48" s="71"/>
      <c r="G48" s="71"/>
      <c r="H48" s="71"/>
      <c r="I48" s="71"/>
      <c r="J48" s="72"/>
      <c r="K48" s="73"/>
      <c r="L48" s="56"/>
      <c r="M48" s="74"/>
      <c r="N48" s="75"/>
      <c r="O48" s="71"/>
      <c r="P48" s="72"/>
      <c r="Q48" s="72"/>
      <c r="R48" s="73"/>
      <c r="S48" s="56"/>
      <c r="T48" s="76">
        <f t="shared" si="7"/>
        <v>0</v>
      </c>
      <c r="U48" s="76">
        <f t="shared" si="8"/>
        <v>24</v>
      </c>
      <c r="V48" s="76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1"/>
      <c r="D49" s="71"/>
      <c r="E49" s="71"/>
      <c r="F49" s="71"/>
      <c r="G49" s="71"/>
      <c r="H49" s="71"/>
      <c r="I49" s="71"/>
      <c r="J49" s="72"/>
      <c r="K49" s="73"/>
      <c r="L49" s="56"/>
      <c r="M49" s="74"/>
      <c r="N49" s="75"/>
      <c r="O49" s="71"/>
      <c r="P49" s="72"/>
      <c r="Q49" s="72"/>
      <c r="R49" s="73"/>
      <c r="S49" s="56"/>
      <c r="T49" s="76">
        <f t="shared" si="7"/>
        <v>0</v>
      </c>
      <c r="U49" s="76">
        <f t="shared" si="8"/>
        <v>0</v>
      </c>
      <c r="V49" s="76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1"/>
      <c r="D50" s="71"/>
      <c r="E50" s="71"/>
      <c r="F50" s="71"/>
      <c r="G50" s="71"/>
      <c r="H50" s="71"/>
      <c r="I50" s="71"/>
      <c r="J50" s="72"/>
      <c r="K50" s="73"/>
      <c r="L50" s="56"/>
      <c r="M50" s="74"/>
      <c r="N50" s="75"/>
      <c r="O50" s="71"/>
      <c r="P50" s="72"/>
      <c r="Q50" s="72"/>
      <c r="R50" s="73"/>
      <c r="S50" s="56"/>
      <c r="T50" s="76">
        <f t="shared" si="7"/>
        <v>0</v>
      </c>
      <c r="U50" s="76">
        <f t="shared" si="8"/>
        <v>0</v>
      </c>
      <c r="V50" s="76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6">
        <v>34</v>
      </c>
      <c r="D51" s="66"/>
      <c r="E51" s="66"/>
      <c r="F51" s="66"/>
      <c r="G51" s="66"/>
      <c r="H51" s="66"/>
      <c r="I51" s="66"/>
      <c r="J51" s="67"/>
      <c r="K51" s="68"/>
      <c r="L51" s="63"/>
      <c r="M51" s="64"/>
      <c r="N51" s="65"/>
      <c r="O51" s="66"/>
      <c r="P51" s="67"/>
      <c r="Q51" s="67"/>
      <c r="R51" s="68"/>
      <c r="S51" s="63"/>
      <c r="T51" s="78">
        <f t="shared" si="7"/>
        <v>0</v>
      </c>
      <c r="U51" s="78">
        <f>C51*6+M51*6+O51*6+Q51*6+T51</f>
        <v>204</v>
      </c>
      <c r="V51" s="78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1"/>
      <c r="D52" s="71"/>
      <c r="E52" s="71"/>
      <c r="F52" s="71"/>
      <c r="G52" s="71"/>
      <c r="H52" s="71"/>
      <c r="I52" s="71"/>
      <c r="J52" s="72"/>
      <c r="K52" s="73"/>
      <c r="L52" s="56"/>
      <c r="M52" s="74"/>
      <c r="N52" s="75"/>
      <c r="O52" s="71"/>
      <c r="P52" s="72"/>
      <c r="Q52" s="72"/>
      <c r="R52" s="73"/>
      <c r="S52" s="56"/>
      <c r="T52" s="76">
        <f t="shared" si="7"/>
        <v>0</v>
      </c>
      <c r="U52" s="76">
        <f t="shared" ref="U52:U54" si="10">C52*24+M52*24+O52*24+Q52*24+T52</f>
        <v>0</v>
      </c>
      <c r="V52" s="76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1">
        <v>5</v>
      </c>
      <c r="D53" s="71"/>
      <c r="E53" s="71"/>
      <c r="F53" s="71"/>
      <c r="G53" s="71"/>
      <c r="H53" s="71"/>
      <c r="I53" s="71"/>
      <c r="J53" s="72"/>
      <c r="K53" s="73"/>
      <c r="L53" s="56"/>
      <c r="M53" s="74"/>
      <c r="N53" s="75"/>
      <c r="O53" s="71"/>
      <c r="P53" s="72"/>
      <c r="Q53" s="72"/>
      <c r="R53" s="73"/>
      <c r="S53" s="56"/>
      <c r="T53" s="76">
        <f t="shared" si="7"/>
        <v>0</v>
      </c>
      <c r="U53" s="76">
        <f t="shared" si="10"/>
        <v>120</v>
      </c>
      <c r="V53" s="76">
        <f t="shared" si="9"/>
        <v>5</v>
      </c>
    </row>
    <row r="54" spans="1:22" x14ac:dyDescent="0.25">
      <c r="A54" s="27">
        <f t="shared" si="1"/>
        <v>51</v>
      </c>
      <c r="B54" s="26"/>
      <c r="C54" s="71"/>
      <c r="D54" s="71"/>
      <c r="E54" s="71"/>
      <c r="F54" s="71"/>
      <c r="G54" s="71"/>
      <c r="H54" s="71"/>
      <c r="I54" s="71"/>
      <c r="J54" s="72"/>
      <c r="K54" s="73"/>
      <c r="L54" s="56"/>
      <c r="M54" s="74"/>
      <c r="N54" s="75"/>
      <c r="O54" s="71"/>
      <c r="P54" s="72"/>
      <c r="Q54" s="72"/>
      <c r="R54" s="73"/>
      <c r="S54" s="56"/>
      <c r="T54" s="76">
        <f t="shared" si="7"/>
        <v>0</v>
      </c>
      <c r="U54" s="76">
        <f t="shared" si="10"/>
        <v>0</v>
      </c>
      <c r="V54" s="76">
        <f t="shared" si="9"/>
        <v>0</v>
      </c>
    </row>
    <row r="55" spans="1:22" x14ac:dyDescent="0.25">
      <c r="A55" s="27">
        <f t="shared" si="1"/>
        <v>52</v>
      </c>
      <c r="B55" s="26"/>
      <c r="C55" s="71"/>
      <c r="D55" s="71"/>
      <c r="E55" s="71"/>
      <c r="F55" s="71"/>
      <c r="G55" s="71"/>
      <c r="H55" s="71"/>
      <c r="I55" s="71"/>
      <c r="J55" s="72"/>
      <c r="K55" s="73"/>
      <c r="L55" s="56"/>
      <c r="M55" s="74"/>
      <c r="N55" s="75"/>
      <c r="O55" s="71"/>
      <c r="P55" s="72"/>
      <c r="Q55" s="72"/>
      <c r="R55" s="73"/>
      <c r="S55" s="56"/>
      <c r="T55" s="76"/>
      <c r="U55" s="76"/>
      <c r="V55" s="76"/>
    </row>
    <row r="56" spans="1:22" x14ac:dyDescent="0.25">
      <c r="A56" s="27">
        <f t="shared" si="1"/>
        <v>53</v>
      </c>
      <c r="B56" s="26"/>
      <c r="C56" s="71"/>
      <c r="D56" s="71"/>
      <c r="E56" s="71"/>
      <c r="F56" s="71"/>
      <c r="G56" s="71"/>
      <c r="H56" s="71"/>
      <c r="I56" s="71"/>
      <c r="J56" s="72"/>
      <c r="K56" s="73"/>
      <c r="L56" s="56"/>
      <c r="M56" s="74"/>
      <c r="N56" s="75"/>
      <c r="O56" s="71"/>
      <c r="P56" s="72"/>
      <c r="Q56" s="72"/>
      <c r="R56" s="73"/>
      <c r="S56" s="56"/>
      <c r="T56" s="76"/>
      <c r="U56" s="76"/>
      <c r="V56" s="76"/>
    </row>
    <row r="57" spans="1:22" x14ac:dyDescent="0.25">
      <c r="A57" s="27">
        <f t="shared" si="1"/>
        <v>54</v>
      </c>
      <c r="B57" s="26"/>
      <c r="C57" s="71"/>
      <c r="D57" s="71"/>
      <c r="E57" s="71"/>
      <c r="F57" s="71"/>
      <c r="G57" s="71"/>
      <c r="H57" s="71"/>
      <c r="I57" s="71"/>
      <c r="J57" s="72"/>
      <c r="K57" s="73"/>
      <c r="L57" s="56"/>
      <c r="M57" s="74"/>
      <c r="N57" s="75"/>
      <c r="O57" s="71"/>
      <c r="P57" s="72"/>
      <c r="Q57" s="72"/>
      <c r="R57" s="73"/>
      <c r="S57" s="56"/>
      <c r="T57" s="76"/>
      <c r="U57" s="76"/>
      <c r="V57" s="76"/>
    </row>
    <row r="58" spans="1:22" s="15" customFormat="1" ht="19.5" thickBot="1" x14ac:dyDescent="0.3">
      <c r="B58" s="29" t="s">
        <v>50</v>
      </c>
      <c r="C58" s="2">
        <f>SUM(C7:C57)</f>
        <v>42628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44</v>
      </c>
      <c r="I58" s="6">
        <f t="shared" si="11"/>
        <v>9</v>
      </c>
      <c r="J58" s="6">
        <f t="shared" si="11"/>
        <v>28</v>
      </c>
      <c r="K58" s="6">
        <f t="shared" si="11"/>
        <v>604</v>
      </c>
      <c r="M58" s="5">
        <f t="shared" ref="M58:R58" si="12">SUM(M7:M57)</f>
        <v>384</v>
      </c>
      <c r="N58" s="5">
        <f t="shared" si="12"/>
        <v>12</v>
      </c>
      <c r="O58" s="5">
        <f t="shared" si="12"/>
        <v>479</v>
      </c>
      <c r="P58" s="5">
        <f t="shared" si="12"/>
        <v>21</v>
      </c>
      <c r="Q58" s="5">
        <f t="shared" si="12"/>
        <v>671</v>
      </c>
      <c r="R58" s="5">
        <f t="shared" si="12"/>
        <v>0</v>
      </c>
      <c r="S58" s="56"/>
      <c r="T58" s="4">
        <f>SUM(T7:T57)</f>
        <v>718</v>
      </c>
      <c r="U58" s="95">
        <f>SUM(U7:U57)</f>
        <v>369238</v>
      </c>
      <c r="V58" s="4">
        <f>SUM(V7:V57)</f>
        <v>44268.916666666664</v>
      </c>
    </row>
    <row r="59" spans="1:22" ht="7.5" customHeight="1" thickBot="1" x14ac:dyDescent="0.3"/>
    <row r="60" spans="1:22" ht="19.5" thickBot="1" x14ac:dyDescent="0.3">
      <c r="B60" s="30" t="s">
        <v>37</v>
      </c>
      <c r="C60" s="108" t="s">
        <v>41</v>
      </c>
      <c r="D60" s="109"/>
      <c r="E60" s="109"/>
      <c r="F60" s="109"/>
      <c r="G60" s="109"/>
      <c r="H60" s="109"/>
      <c r="I60" s="109"/>
      <c r="J60" s="109"/>
      <c r="K60" s="110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2E0F61-5435-441A-AE16-8829F017334A}">
  <sheetPr>
    <pageSetUpPr fitToPage="1"/>
  </sheetPr>
  <dimension ref="A1:BB81"/>
  <sheetViews>
    <sheetView tabSelected="1" topLeftCell="A37" zoomScaleNormal="100" zoomScaleSheetLayoutView="115" workbookViewId="0">
      <selection activeCell="T12" sqref="T12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6.710937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7.570312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1" t="s">
        <v>43</v>
      </c>
      <c r="J1" s="111"/>
      <c r="K1" s="111"/>
      <c r="L1" s="111"/>
      <c r="M1" s="111"/>
      <c r="N1" s="111"/>
      <c r="O1" s="111"/>
      <c r="P1" s="111"/>
      <c r="Q1" s="111"/>
      <c r="R1" s="111"/>
      <c r="S1" s="111"/>
      <c r="T1" s="111"/>
      <c r="U1" s="111"/>
    </row>
    <row r="2" spans="1:54" x14ac:dyDescent="0.25">
      <c r="B2" s="28" t="s">
        <v>76</v>
      </c>
    </row>
    <row r="3" spans="1:54" ht="19.5" thickBot="1" x14ac:dyDescent="0.3"/>
    <row r="4" spans="1:54" s="10" customFormat="1" ht="15.75" x14ac:dyDescent="0.25">
      <c r="B4" s="41" t="s">
        <v>52</v>
      </c>
      <c r="C4" s="112" t="s">
        <v>41</v>
      </c>
      <c r="D4" s="112"/>
      <c r="E4" s="112"/>
      <c r="F4" s="112"/>
      <c r="G4" s="112"/>
      <c r="H4" s="112"/>
      <c r="I4" s="112"/>
      <c r="J4" s="113"/>
      <c r="K4" s="114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5" t="s">
        <v>68</v>
      </c>
      <c r="U4" s="121" t="s">
        <v>67</v>
      </c>
      <c r="V4" s="104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19" t="s">
        <v>65</v>
      </c>
      <c r="K5" s="120"/>
      <c r="M5" s="37"/>
      <c r="N5" s="49"/>
      <c r="O5" s="40"/>
      <c r="P5" s="99"/>
      <c r="Q5" s="99"/>
      <c r="R5" s="38"/>
      <c r="S5" s="9"/>
      <c r="T5" s="116"/>
      <c r="U5" s="122"/>
      <c r="V5" s="105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99"/>
      <c r="K6" s="38"/>
      <c r="M6" s="37"/>
      <c r="N6" s="49"/>
      <c r="O6" s="40"/>
      <c r="P6" s="99"/>
      <c r="Q6" s="99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3">
        <f>21+41</f>
        <v>62</v>
      </c>
      <c r="D7" s="53"/>
      <c r="E7" s="53"/>
      <c r="F7" s="53"/>
      <c r="G7" s="53"/>
      <c r="H7" s="53">
        <v>2</v>
      </c>
      <c r="I7" s="53">
        <v>1</v>
      </c>
      <c r="J7" s="54"/>
      <c r="K7" s="55">
        <v>6</v>
      </c>
      <c r="L7" s="56"/>
      <c r="M7" s="57">
        <v>1</v>
      </c>
      <c r="N7" s="58"/>
      <c r="O7" s="53">
        <v>2</v>
      </c>
      <c r="P7" s="54">
        <v>12</v>
      </c>
      <c r="Q7" s="54">
        <v>1</v>
      </c>
      <c r="R7" s="55"/>
      <c r="S7" s="56"/>
      <c r="T7" s="59">
        <f>H7+I7+J7+K7+N7+P7+R7</f>
        <v>21</v>
      </c>
      <c r="U7" s="59">
        <f>C7*24+M7*24+O7*24+Q7*24+T7</f>
        <v>1605</v>
      </c>
      <c r="V7" s="59">
        <f>U7/24</f>
        <v>66.875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60">
        <f>22+63+15</f>
        <v>100</v>
      </c>
      <c r="D8" s="60"/>
      <c r="E8" s="60"/>
      <c r="F8" s="60"/>
      <c r="G8" s="60"/>
      <c r="H8" s="60"/>
      <c r="I8" s="60"/>
      <c r="J8" s="61"/>
      <c r="K8" s="62"/>
      <c r="L8" s="63"/>
      <c r="M8" s="64"/>
      <c r="N8" s="65"/>
      <c r="O8" s="66"/>
      <c r="P8" s="67"/>
      <c r="Q8" s="67">
        <v>2</v>
      </c>
      <c r="R8" s="68"/>
      <c r="S8" s="63"/>
      <c r="T8" s="69">
        <f t="shared" ref="T8:T41" si="0">H8+I8+J8+K8+N8+P8+R8</f>
        <v>0</v>
      </c>
      <c r="U8" s="70">
        <f>C8*24+M8*24+O8*24+Q8*24+T8</f>
        <v>2448</v>
      </c>
      <c r="V8" s="70">
        <f>U8/24</f>
        <v>102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1">
        <v>33</v>
      </c>
      <c r="D9" s="71"/>
      <c r="E9" s="71"/>
      <c r="F9" s="71"/>
      <c r="G9" s="71"/>
      <c r="H9" s="71"/>
      <c r="I9" s="71"/>
      <c r="J9" s="72"/>
      <c r="K9" s="73"/>
      <c r="L9" s="56"/>
      <c r="M9" s="74"/>
      <c r="N9" s="75"/>
      <c r="O9" s="71"/>
      <c r="P9" s="72"/>
      <c r="Q9" s="72"/>
      <c r="R9" s="73"/>
      <c r="S9" s="56"/>
      <c r="T9" s="76">
        <f t="shared" si="0"/>
        <v>0</v>
      </c>
      <c r="U9" s="77">
        <f t="shared" ref="U9:U11" si="2">C9*24+M9*24+O9*24+Q9*24+T9</f>
        <v>792</v>
      </c>
      <c r="V9" s="77">
        <f t="shared" ref="V9:V11" si="3">U9/24</f>
        <v>33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1">
        <v>6</v>
      </c>
      <c r="D10" s="71"/>
      <c r="E10" s="71"/>
      <c r="F10" s="71"/>
      <c r="G10" s="71"/>
      <c r="H10" s="71"/>
      <c r="I10" s="71"/>
      <c r="J10" s="72"/>
      <c r="K10" s="73"/>
      <c r="L10" s="56"/>
      <c r="M10" s="74"/>
      <c r="N10" s="75"/>
      <c r="O10" s="71">
        <v>1</v>
      </c>
      <c r="P10" s="72"/>
      <c r="Q10" s="72"/>
      <c r="R10" s="73"/>
      <c r="S10" s="56"/>
      <c r="T10" s="59">
        <f t="shared" si="0"/>
        <v>0</v>
      </c>
      <c r="U10" s="59">
        <f t="shared" si="2"/>
        <v>168</v>
      </c>
      <c r="V10" s="59">
        <f t="shared" si="3"/>
        <v>7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1">
        <v>9</v>
      </c>
      <c r="D11" s="71"/>
      <c r="E11" s="71"/>
      <c r="F11" s="71"/>
      <c r="G11" s="71"/>
      <c r="H11" s="71">
        <v>22</v>
      </c>
      <c r="I11" s="71"/>
      <c r="J11" s="72"/>
      <c r="K11" s="73">
        <v>2</v>
      </c>
      <c r="L11" s="56"/>
      <c r="M11" s="74"/>
      <c r="N11" s="75"/>
      <c r="O11" s="71"/>
      <c r="P11" s="72"/>
      <c r="Q11" s="72"/>
      <c r="R11" s="73"/>
      <c r="S11" s="56"/>
      <c r="T11" s="59">
        <f t="shared" si="0"/>
        <v>24</v>
      </c>
      <c r="U11" s="59">
        <f t="shared" si="2"/>
        <v>240</v>
      </c>
      <c r="V11" s="59">
        <f t="shared" si="3"/>
        <v>10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60">
        <f>720+72+60+63+864+56+1440+576</f>
        <v>3851</v>
      </c>
      <c r="D12" s="60"/>
      <c r="E12" s="60"/>
      <c r="F12" s="60"/>
      <c r="G12" s="60"/>
      <c r="H12" s="60"/>
      <c r="I12" s="60"/>
      <c r="J12" s="61"/>
      <c r="K12" s="62"/>
      <c r="L12" s="63"/>
      <c r="M12" s="64">
        <v>22</v>
      </c>
      <c r="N12" s="65"/>
      <c r="O12" s="66">
        <v>5</v>
      </c>
      <c r="P12" s="67">
        <v>5</v>
      </c>
      <c r="Q12" s="67">
        <v>20</v>
      </c>
      <c r="R12" s="68"/>
      <c r="S12" s="63"/>
      <c r="T12" s="70">
        <f t="shared" si="0"/>
        <v>5</v>
      </c>
      <c r="U12" s="70">
        <f>C12*24+M12*24+O12*24+Q12*24+T12</f>
        <v>93557</v>
      </c>
      <c r="V12" s="70">
        <f>U12/24</f>
        <v>3898.2083333333335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1">
        <v>5</v>
      </c>
      <c r="D13" s="71"/>
      <c r="E13" s="71"/>
      <c r="F13" s="71"/>
      <c r="G13" s="71"/>
      <c r="H13" s="71"/>
      <c r="I13" s="71"/>
      <c r="J13" s="72"/>
      <c r="K13" s="73"/>
      <c r="L13" s="56"/>
      <c r="M13" s="74"/>
      <c r="N13" s="75"/>
      <c r="O13" s="71"/>
      <c r="P13" s="72"/>
      <c r="Q13" s="72"/>
      <c r="R13" s="73"/>
      <c r="S13" s="56"/>
      <c r="T13" s="77">
        <f t="shared" si="0"/>
        <v>0</v>
      </c>
      <c r="U13" s="77">
        <f>C13*24+M13*24+O13*24+Q13*24+T13</f>
        <v>120</v>
      </c>
      <c r="V13" s="77">
        <f>U13/24</f>
        <v>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1"/>
      <c r="D14" s="71"/>
      <c r="E14" s="71"/>
      <c r="F14" s="71"/>
      <c r="G14" s="71"/>
      <c r="H14" s="71"/>
      <c r="I14" s="71"/>
      <c r="J14" s="72"/>
      <c r="K14" s="73"/>
      <c r="L14" s="56"/>
      <c r="M14" s="74"/>
      <c r="N14" s="75"/>
      <c r="O14" s="71"/>
      <c r="P14" s="72"/>
      <c r="Q14" s="72"/>
      <c r="R14" s="73"/>
      <c r="S14" s="56"/>
      <c r="T14" s="59">
        <f t="shared" si="0"/>
        <v>0</v>
      </c>
      <c r="U14" s="76">
        <f t="shared" ref="U14:U36" si="4">C14*24+M14*24+O14*24+Q14*24+T14</f>
        <v>0</v>
      </c>
      <c r="V14" s="76">
        <f t="shared" ref="V14:V36" si="5">U14/24</f>
        <v>0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1"/>
      <c r="D15" s="71"/>
      <c r="E15" s="71"/>
      <c r="F15" s="71"/>
      <c r="G15" s="71"/>
      <c r="H15" s="71"/>
      <c r="I15" s="71"/>
      <c r="J15" s="72"/>
      <c r="K15" s="73"/>
      <c r="L15" s="56"/>
      <c r="M15" s="74"/>
      <c r="N15" s="75"/>
      <c r="O15" s="71"/>
      <c r="P15" s="72"/>
      <c r="Q15" s="72"/>
      <c r="R15" s="73"/>
      <c r="S15" s="56"/>
      <c r="T15" s="59">
        <f t="shared" si="0"/>
        <v>0</v>
      </c>
      <c r="U15" s="76">
        <f t="shared" si="4"/>
        <v>0</v>
      </c>
      <c r="V15" s="76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1"/>
      <c r="D16" s="71"/>
      <c r="E16" s="71"/>
      <c r="F16" s="71"/>
      <c r="G16" s="71"/>
      <c r="H16" s="71"/>
      <c r="I16" s="71"/>
      <c r="J16" s="72"/>
      <c r="K16" s="73"/>
      <c r="L16" s="56"/>
      <c r="M16" s="74"/>
      <c r="N16" s="75"/>
      <c r="O16" s="71"/>
      <c r="P16" s="72"/>
      <c r="Q16" s="72"/>
      <c r="R16" s="73"/>
      <c r="S16" s="56"/>
      <c r="T16" s="59">
        <f t="shared" si="0"/>
        <v>0</v>
      </c>
      <c r="U16" s="76">
        <f t="shared" si="4"/>
        <v>0</v>
      </c>
      <c r="V16" s="76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1">
        <v>4</v>
      </c>
      <c r="D17" s="71"/>
      <c r="E17" s="71"/>
      <c r="F17" s="71"/>
      <c r="G17" s="71"/>
      <c r="H17" s="71"/>
      <c r="I17" s="71"/>
      <c r="J17" s="72"/>
      <c r="K17" s="73"/>
      <c r="L17" s="56"/>
      <c r="M17" s="74"/>
      <c r="N17" s="75"/>
      <c r="O17" s="71"/>
      <c r="P17" s="72"/>
      <c r="Q17" s="72"/>
      <c r="R17" s="73"/>
      <c r="S17" s="56"/>
      <c r="T17" s="59">
        <f t="shared" si="0"/>
        <v>0</v>
      </c>
      <c r="U17" s="76">
        <f t="shared" si="4"/>
        <v>96</v>
      </c>
      <c r="V17" s="76">
        <f t="shared" si="5"/>
        <v>4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1"/>
      <c r="D18" s="71"/>
      <c r="E18" s="71"/>
      <c r="F18" s="71"/>
      <c r="G18" s="71"/>
      <c r="H18" s="71"/>
      <c r="I18" s="71"/>
      <c r="J18" s="72"/>
      <c r="K18" s="73"/>
      <c r="L18" s="56"/>
      <c r="M18" s="74"/>
      <c r="N18" s="75"/>
      <c r="O18" s="71"/>
      <c r="P18" s="72"/>
      <c r="Q18" s="72"/>
      <c r="R18" s="73"/>
      <c r="S18" s="56"/>
      <c r="T18" s="59">
        <f t="shared" si="0"/>
        <v>0</v>
      </c>
      <c r="U18" s="76">
        <f t="shared" si="4"/>
        <v>0</v>
      </c>
      <c r="V18" s="76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1">
        <v>4</v>
      </c>
      <c r="D19" s="71"/>
      <c r="E19" s="71"/>
      <c r="F19" s="71"/>
      <c r="G19" s="71"/>
      <c r="H19" s="71"/>
      <c r="I19" s="71"/>
      <c r="J19" s="72"/>
      <c r="K19" s="73"/>
      <c r="L19" s="56"/>
      <c r="M19" s="74"/>
      <c r="N19" s="75"/>
      <c r="O19" s="71"/>
      <c r="P19" s="72"/>
      <c r="Q19" s="72"/>
      <c r="R19" s="73"/>
      <c r="S19" s="56"/>
      <c r="T19" s="59">
        <f t="shared" si="0"/>
        <v>0</v>
      </c>
      <c r="U19" s="76">
        <f t="shared" si="4"/>
        <v>96</v>
      </c>
      <c r="V19" s="76">
        <f t="shared" si="5"/>
        <v>4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1">
        <v>6</v>
      </c>
      <c r="D20" s="71"/>
      <c r="E20" s="71"/>
      <c r="F20" s="71"/>
      <c r="G20" s="71"/>
      <c r="H20" s="71"/>
      <c r="I20" s="71"/>
      <c r="J20" s="72"/>
      <c r="K20" s="73"/>
      <c r="L20" s="56"/>
      <c r="M20" s="74"/>
      <c r="N20" s="75"/>
      <c r="O20" s="71"/>
      <c r="P20" s="72"/>
      <c r="Q20" s="72"/>
      <c r="R20" s="73"/>
      <c r="S20" s="56"/>
      <c r="T20" s="59">
        <f t="shared" si="0"/>
        <v>0</v>
      </c>
      <c r="U20" s="76">
        <f t="shared" si="4"/>
        <v>144</v>
      </c>
      <c r="V20" s="76">
        <f t="shared" si="5"/>
        <v>6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1">
        <v>4</v>
      </c>
      <c r="D21" s="71"/>
      <c r="E21" s="71"/>
      <c r="F21" s="71"/>
      <c r="G21" s="71"/>
      <c r="H21" s="71"/>
      <c r="I21" s="71"/>
      <c r="J21" s="72"/>
      <c r="K21" s="73"/>
      <c r="L21" s="56"/>
      <c r="M21" s="74"/>
      <c r="N21" s="75"/>
      <c r="O21" s="71"/>
      <c r="P21" s="72"/>
      <c r="Q21" s="72"/>
      <c r="R21" s="73"/>
      <c r="S21" s="56"/>
      <c r="T21" s="59">
        <f t="shared" si="0"/>
        <v>0</v>
      </c>
      <c r="U21" s="76">
        <f t="shared" si="4"/>
        <v>96</v>
      </c>
      <c r="V21" s="76">
        <f t="shared" si="5"/>
        <v>4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1">
        <v>2</v>
      </c>
      <c r="D22" s="71"/>
      <c r="E22" s="71"/>
      <c r="F22" s="71"/>
      <c r="G22" s="71"/>
      <c r="H22" s="71"/>
      <c r="I22" s="71"/>
      <c r="J22" s="72"/>
      <c r="K22" s="73"/>
      <c r="L22" s="56"/>
      <c r="M22" s="74"/>
      <c r="N22" s="75"/>
      <c r="O22" s="71"/>
      <c r="P22" s="72"/>
      <c r="Q22" s="72"/>
      <c r="R22" s="73"/>
      <c r="S22" s="56"/>
      <c r="T22" s="59">
        <f t="shared" si="0"/>
        <v>0</v>
      </c>
      <c r="U22" s="76">
        <f t="shared" si="4"/>
        <v>48</v>
      </c>
      <c r="V22" s="76">
        <f t="shared" si="5"/>
        <v>2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1">
        <v>17</v>
      </c>
      <c r="D23" s="71"/>
      <c r="E23" s="71"/>
      <c r="F23" s="71"/>
      <c r="G23" s="71"/>
      <c r="H23" s="71"/>
      <c r="I23" s="71"/>
      <c r="J23" s="72"/>
      <c r="K23" s="73"/>
      <c r="L23" s="56"/>
      <c r="M23" s="74">
        <v>6</v>
      </c>
      <c r="N23" s="75"/>
      <c r="O23" s="71">
        <v>10</v>
      </c>
      <c r="P23" s="72"/>
      <c r="Q23" s="72">
        <v>9</v>
      </c>
      <c r="R23" s="73"/>
      <c r="S23" s="56"/>
      <c r="T23" s="59">
        <f t="shared" si="0"/>
        <v>0</v>
      </c>
      <c r="U23" s="76">
        <f t="shared" si="4"/>
        <v>1008</v>
      </c>
      <c r="V23" s="76">
        <f t="shared" si="5"/>
        <v>42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1">
        <v>7</v>
      </c>
      <c r="D24" s="71"/>
      <c r="E24" s="71"/>
      <c r="F24" s="71"/>
      <c r="G24" s="71"/>
      <c r="H24" s="71"/>
      <c r="I24" s="71"/>
      <c r="J24" s="72"/>
      <c r="K24" s="73"/>
      <c r="L24" s="56"/>
      <c r="M24" s="74"/>
      <c r="N24" s="75"/>
      <c r="O24" s="71"/>
      <c r="P24" s="72"/>
      <c r="Q24" s="72"/>
      <c r="R24" s="73"/>
      <c r="S24" s="56"/>
      <c r="T24" s="59">
        <f t="shared" si="0"/>
        <v>0</v>
      </c>
      <c r="U24" s="76">
        <f t="shared" si="4"/>
        <v>168</v>
      </c>
      <c r="V24" s="76">
        <f t="shared" si="5"/>
        <v>7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1">
        <f>57+63</f>
        <v>120</v>
      </c>
      <c r="D25" s="71"/>
      <c r="E25" s="71"/>
      <c r="F25" s="71"/>
      <c r="G25" s="71"/>
      <c r="H25" s="71">
        <v>10</v>
      </c>
      <c r="I25" s="71">
        <v>1</v>
      </c>
      <c r="J25" s="72"/>
      <c r="K25" s="73"/>
      <c r="L25" s="56"/>
      <c r="M25" s="74"/>
      <c r="N25" s="75"/>
      <c r="O25" s="71"/>
      <c r="P25" s="72"/>
      <c r="Q25" s="72"/>
      <c r="R25" s="73"/>
      <c r="S25" s="56"/>
      <c r="T25" s="59">
        <f t="shared" si="0"/>
        <v>11</v>
      </c>
      <c r="U25" s="76">
        <f t="shared" si="4"/>
        <v>2891</v>
      </c>
      <c r="V25" s="76">
        <f t="shared" si="5"/>
        <v>120.45833333333333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1">
        <v>16</v>
      </c>
      <c r="D26" s="71"/>
      <c r="E26" s="71"/>
      <c r="F26" s="71"/>
      <c r="G26" s="71"/>
      <c r="H26" s="71"/>
      <c r="I26" s="71"/>
      <c r="J26" s="72"/>
      <c r="K26" s="73"/>
      <c r="L26" s="56"/>
      <c r="M26" s="74"/>
      <c r="N26" s="75"/>
      <c r="O26" s="71"/>
      <c r="P26" s="72"/>
      <c r="Q26" s="72"/>
      <c r="R26" s="73"/>
      <c r="S26" s="56"/>
      <c r="T26" s="59">
        <f t="shared" si="0"/>
        <v>0</v>
      </c>
      <c r="U26" s="76">
        <f t="shared" si="4"/>
        <v>384</v>
      </c>
      <c r="V26" s="76">
        <f t="shared" si="5"/>
        <v>16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1"/>
      <c r="D27" s="71"/>
      <c r="E27" s="71"/>
      <c r="F27" s="71"/>
      <c r="G27" s="71"/>
      <c r="H27" s="71"/>
      <c r="I27" s="71"/>
      <c r="J27" s="72"/>
      <c r="K27" s="73"/>
      <c r="L27" s="56"/>
      <c r="M27" s="74"/>
      <c r="N27" s="75"/>
      <c r="O27" s="71"/>
      <c r="P27" s="72"/>
      <c r="Q27" s="72"/>
      <c r="R27" s="73"/>
      <c r="S27" s="56"/>
      <c r="T27" s="59"/>
      <c r="U27" s="76"/>
      <c r="V27" s="76"/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1">
        <f>64+19</f>
        <v>83</v>
      </c>
      <c r="D28" s="71"/>
      <c r="E28" s="71"/>
      <c r="F28" s="71"/>
      <c r="G28" s="71"/>
      <c r="H28" s="71"/>
      <c r="I28" s="71"/>
      <c r="J28" s="72"/>
      <c r="K28" s="73"/>
      <c r="L28" s="56"/>
      <c r="M28" s="74">
        <v>1</v>
      </c>
      <c r="N28" s="75"/>
      <c r="O28" s="71">
        <v>2</v>
      </c>
      <c r="P28" s="72"/>
      <c r="Q28" s="72">
        <v>4</v>
      </c>
      <c r="R28" s="73"/>
      <c r="S28" s="56"/>
      <c r="T28" s="59">
        <f t="shared" si="0"/>
        <v>0</v>
      </c>
      <c r="U28" s="76">
        <f t="shared" si="4"/>
        <v>2160</v>
      </c>
      <c r="V28" s="76">
        <f t="shared" si="5"/>
        <v>90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1">
        <v>10</v>
      </c>
      <c r="D29" s="71"/>
      <c r="E29" s="71"/>
      <c r="F29" s="71"/>
      <c r="G29" s="71"/>
      <c r="H29" s="71"/>
      <c r="I29" s="71"/>
      <c r="J29" s="72"/>
      <c r="K29" s="73"/>
      <c r="L29" s="56"/>
      <c r="M29" s="74"/>
      <c r="N29" s="75"/>
      <c r="O29" s="71"/>
      <c r="P29" s="72"/>
      <c r="Q29" s="72"/>
      <c r="R29" s="73"/>
      <c r="S29" s="56"/>
      <c r="T29" s="59">
        <f t="shared" si="0"/>
        <v>0</v>
      </c>
      <c r="U29" s="76">
        <f t="shared" si="4"/>
        <v>240</v>
      </c>
      <c r="V29" s="76">
        <f t="shared" si="5"/>
        <v>10</v>
      </c>
    </row>
    <row r="30" spans="1:54" x14ac:dyDescent="0.25">
      <c r="A30" s="27">
        <f t="shared" si="1"/>
        <v>27</v>
      </c>
      <c r="B30" s="26" t="s">
        <v>15</v>
      </c>
      <c r="C30" s="71">
        <v>57</v>
      </c>
      <c r="D30" s="71"/>
      <c r="E30" s="71"/>
      <c r="F30" s="71"/>
      <c r="G30" s="71"/>
      <c r="H30" s="71"/>
      <c r="I30" s="71"/>
      <c r="J30" s="72"/>
      <c r="K30" s="73"/>
      <c r="L30" s="56"/>
      <c r="M30" s="74"/>
      <c r="N30" s="75"/>
      <c r="O30" s="71">
        <v>2</v>
      </c>
      <c r="P30" s="72"/>
      <c r="Q30" s="72">
        <v>1</v>
      </c>
      <c r="R30" s="73"/>
      <c r="S30" s="56"/>
      <c r="T30" s="59">
        <f t="shared" si="0"/>
        <v>0</v>
      </c>
      <c r="U30" s="76">
        <f t="shared" si="4"/>
        <v>1440</v>
      </c>
      <c r="V30" s="76">
        <f t="shared" si="5"/>
        <v>60</v>
      </c>
    </row>
    <row r="31" spans="1:54" x14ac:dyDescent="0.25">
      <c r="A31" s="27">
        <f t="shared" si="1"/>
        <v>28</v>
      </c>
      <c r="B31" s="26" t="s">
        <v>12</v>
      </c>
      <c r="C31" s="71">
        <v>2</v>
      </c>
      <c r="D31" s="71"/>
      <c r="E31" s="71"/>
      <c r="F31" s="71"/>
      <c r="G31" s="71"/>
      <c r="H31" s="71"/>
      <c r="I31" s="71"/>
      <c r="J31" s="72"/>
      <c r="K31" s="73"/>
      <c r="L31" s="56"/>
      <c r="M31" s="74"/>
      <c r="N31" s="75"/>
      <c r="O31" s="71"/>
      <c r="P31" s="72"/>
      <c r="Q31" s="72"/>
      <c r="R31" s="73"/>
      <c r="S31" s="56"/>
      <c r="T31" s="59">
        <f t="shared" si="0"/>
        <v>0</v>
      </c>
      <c r="U31" s="76">
        <f t="shared" si="4"/>
        <v>48</v>
      </c>
      <c r="V31" s="76">
        <f t="shared" si="5"/>
        <v>2</v>
      </c>
    </row>
    <row r="32" spans="1:54" x14ac:dyDescent="0.25">
      <c r="A32" s="27">
        <f t="shared" si="1"/>
        <v>29</v>
      </c>
      <c r="B32" s="26" t="s">
        <v>14</v>
      </c>
      <c r="C32" s="71"/>
      <c r="D32" s="71"/>
      <c r="E32" s="71"/>
      <c r="F32" s="71"/>
      <c r="G32" s="71"/>
      <c r="H32" s="71"/>
      <c r="I32" s="71"/>
      <c r="J32" s="72"/>
      <c r="K32" s="73"/>
      <c r="L32" s="56"/>
      <c r="M32" s="74"/>
      <c r="N32" s="75"/>
      <c r="O32" s="71"/>
      <c r="P32" s="72"/>
      <c r="Q32" s="72"/>
      <c r="R32" s="73"/>
      <c r="S32" s="56"/>
      <c r="T32" s="59">
        <f t="shared" si="0"/>
        <v>0</v>
      </c>
      <c r="U32" s="76">
        <f t="shared" si="4"/>
        <v>0</v>
      </c>
      <c r="V32" s="76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1"/>
      <c r="D33" s="71"/>
      <c r="E33" s="71"/>
      <c r="F33" s="71"/>
      <c r="G33" s="71"/>
      <c r="H33" s="71"/>
      <c r="I33" s="71"/>
      <c r="J33" s="72"/>
      <c r="K33" s="73"/>
      <c r="L33" s="56"/>
      <c r="M33" s="74"/>
      <c r="N33" s="75"/>
      <c r="O33" s="71"/>
      <c r="P33" s="72"/>
      <c r="Q33" s="72"/>
      <c r="R33" s="73"/>
      <c r="S33" s="56"/>
      <c r="T33" s="59">
        <f t="shared" si="0"/>
        <v>0</v>
      </c>
      <c r="U33" s="76">
        <f t="shared" si="4"/>
        <v>0</v>
      </c>
      <c r="V33" s="76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1">
        <f>60+72</f>
        <v>132</v>
      </c>
      <c r="D34" s="71"/>
      <c r="E34" s="71"/>
      <c r="F34" s="71"/>
      <c r="G34" s="71"/>
      <c r="H34" s="71">
        <v>4</v>
      </c>
      <c r="I34" s="71"/>
      <c r="J34" s="72"/>
      <c r="K34" s="73">
        <v>1</v>
      </c>
      <c r="L34" s="56"/>
      <c r="M34" s="74">
        <v>1</v>
      </c>
      <c r="N34" s="75">
        <v>12</v>
      </c>
      <c r="O34" s="71"/>
      <c r="P34" s="72"/>
      <c r="Q34" s="72">
        <v>2</v>
      </c>
      <c r="R34" s="73"/>
      <c r="S34" s="56"/>
      <c r="T34" s="59">
        <f t="shared" si="0"/>
        <v>17</v>
      </c>
      <c r="U34" s="76">
        <f t="shared" si="4"/>
        <v>3257</v>
      </c>
      <c r="V34" s="76">
        <f t="shared" si="5"/>
        <v>135.70833333333334</v>
      </c>
    </row>
    <row r="35" spans="1:23" hidden="1" x14ac:dyDescent="0.25">
      <c r="A35" s="27">
        <f t="shared" si="1"/>
        <v>32</v>
      </c>
      <c r="B35" s="26" t="s">
        <v>25</v>
      </c>
      <c r="C35" s="71"/>
      <c r="D35" s="71"/>
      <c r="E35" s="71"/>
      <c r="F35" s="71"/>
      <c r="G35" s="71"/>
      <c r="H35" s="71"/>
      <c r="I35" s="71"/>
      <c r="J35" s="72"/>
      <c r="K35" s="73"/>
      <c r="L35" s="56"/>
      <c r="M35" s="74"/>
      <c r="N35" s="75"/>
      <c r="O35" s="71"/>
      <c r="P35" s="72"/>
      <c r="Q35" s="72"/>
      <c r="R35" s="73"/>
      <c r="S35" s="56"/>
      <c r="T35" s="59">
        <f t="shared" si="0"/>
        <v>0</v>
      </c>
      <c r="U35" s="76">
        <f t="shared" si="4"/>
        <v>0</v>
      </c>
      <c r="V35" s="76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1"/>
      <c r="D36" s="71"/>
      <c r="E36" s="71"/>
      <c r="F36" s="71"/>
      <c r="G36" s="71"/>
      <c r="H36" s="71"/>
      <c r="I36" s="71"/>
      <c r="J36" s="72"/>
      <c r="K36" s="73"/>
      <c r="L36" s="56"/>
      <c r="M36" s="74"/>
      <c r="N36" s="75"/>
      <c r="O36" s="71"/>
      <c r="P36" s="72"/>
      <c r="Q36" s="72"/>
      <c r="R36" s="73"/>
      <c r="S36" s="56"/>
      <c r="T36" s="59">
        <f t="shared" si="0"/>
        <v>0</v>
      </c>
      <c r="U36" s="76">
        <f t="shared" si="4"/>
        <v>0</v>
      </c>
      <c r="V36" s="76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60">
        <f>19+2376+1512</f>
        <v>3907</v>
      </c>
      <c r="D37" s="60"/>
      <c r="E37" s="60"/>
      <c r="F37" s="60"/>
      <c r="G37" s="60"/>
      <c r="H37" s="60">
        <v>2</v>
      </c>
      <c r="I37" s="60"/>
      <c r="J37" s="61"/>
      <c r="K37" s="62">
        <v>6</v>
      </c>
      <c r="L37" s="63">
        <v>64</v>
      </c>
      <c r="M37" s="64">
        <v>64</v>
      </c>
      <c r="N37" s="65"/>
      <c r="O37" s="66">
        <v>10</v>
      </c>
      <c r="P37" s="67"/>
      <c r="Q37" s="67">
        <v>81</v>
      </c>
      <c r="R37" s="68"/>
      <c r="S37" s="63"/>
      <c r="T37" s="78">
        <f t="shared" si="0"/>
        <v>8</v>
      </c>
      <c r="U37" s="78">
        <f>C37*6+M37*6+O37*6+Q37*6+T37</f>
        <v>24380</v>
      </c>
      <c r="V37" s="78">
        <f>U37/6</f>
        <v>4063.3333333333335</v>
      </c>
      <c r="W37" s="50"/>
    </row>
    <row r="38" spans="1:23" x14ac:dyDescent="0.25">
      <c r="A38" s="27">
        <f t="shared" si="1"/>
        <v>35</v>
      </c>
      <c r="B38" s="25" t="s">
        <v>20</v>
      </c>
      <c r="C38" s="71">
        <v>12</v>
      </c>
      <c r="D38" s="71"/>
      <c r="E38" s="71"/>
      <c r="F38" s="71"/>
      <c r="G38" s="71"/>
      <c r="H38" s="71"/>
      <c r="I38" s="71"/>
      <c r="J38" s="72"/>
      <c r="K38" s="73"/>
      <c r="L38" s="56"/>
      <c r="M38" s="74"/>
      <c r="N38" s="75"/>
      <c r="O38" s="71"/>
      <c r="P38" s="72"/>
      <c r="Q38" s="72"/>
      <c r="R38" s="73"/>
      <c r="S38" s="56"/>
      <c r="T38" s="76">
        <f t="shared" si="0"/>
        <v>0</v>
      </c>
      <c r="U38" s="76">
        <f>C38*24+M38*24+O38*24+Q38*24+T38</f>
        <v>288</v>
      </c>
      <c r="V38" s="76">
        <f>U38/24</f>
        <v>12</v>
      </c>
    </row>
    <row r="39" spans="1:23" x14ac:dyDescent="0.25">
      <c r="A39" s="27">
        <f t="shared" si="1"/>
        <v>36</v>
      </c>
      <c r="B39" s="51" t="s">
        <v>62</v>
      </c>
      <c r="C39" s="79"/>
      <c r="D39" s="79"/>
      <c r="E39" s="79"/>
      <c r="F39" s="79"/>
      <c r="G39" s="79"/>
      <c r="H39" s="79"/>
      <c r="I39" s="79"/>
      <c r="J39" s="80"/>
      <c r="K39" s="81"/>
      <c r="L39" s="56"/>
      <c r="M39" s="74"/>
      <c r="N39" s="75"/>
      <c r="O39" s="71"/>
      <c r="P39" s="72"/>
      <c r="Q39" s="72"/>
      <c r="R39" s="73"/>
      <c r="S39" s="103"/>
      <c r="T39" s="76"/>
      <c r="U39" s="76"/>
      <c r="V39" s="76"/>
    </row>
    <row r="40" spans="1:23" ht="19.5" thickBot="1" x14ac:dyDescent="0.3">
      <c r="A40" s="27">
        <f t="shared" si="1"/>
        <v>37</v>
      </c>
      <c r="B40" s="42" t="s">
        <v>21</v>
      </c>
      <c r="C40" s="60">
        <f>441+61</f>
        <v>502</v>
      </c>
      <c r="D40" s="60"/>
      <c r="E40" s="60"/>
      <c r="F40" s="60"/>
      <c r="G40" s="60"/>
      <c r="H40" s="60">
        <v>4</v>
      </c>
      <c r="I40" s="60"/>
      <c r="J40" s="61"/>
      <c r="K40" s="62">
        <v>20</v>
      </c>
      <c r="L40" s="63"/>
      <c r="M40" s="64">
        <v>2</v>
      </c>
      <c r="N40" s="65"/>
      <c r="O40" s="66">
        <v>1</v>
      </c>
      <c r="P40" s="67"/>
      <c r="Q40" s="67">
        <v>2</v>
      </c>
      <c r="R40" s="68"/>
      <c r="S40" s="63"/>
      <c r="T40" s="78">
        <f t="shared" si="0"/>
        <v>24</v>
      </c>
      <c r="U40" s="78">
        <f>C40*24+M40*24+O40*24+Q40*24+T40</f>
        <v>12192</v>
      </c>
      <c r="V40" s="78">
        <f>U40/24</f>
        <v>508</v>
      </c>
    </row>
    <row r="41" spans="1:23" ht="19.5" thickBot="1" x14ac:dyDescent="0.3">
      <c r="A41" s="27">
        <f t="shared" si="1"/>
        <v>38</v>
      </c>
      <c r="B41" s="43" t="s">
        <v>22</v>
      </c>
      <c r="C41" s="85">
        <f>6+1344</f>
        <v>1350</v>
      </c>
      <c r="D41" s="85"/>
      <c r="E41" s="85"/>
      <c r="F41" s="85"/>
      <c r="G41" s="85"/>
      <c r="H41" s="85">
        <v>9</v>
      </c>
      <c r="I41" s="85"/>
      <c r="J41" s="86"/>
      <c r="K41" s="87"/>
      <c r="L41" s="88"/>
      <c r="M41" s="89">
        <v>53</v>
      </c>
      <c r="N41" s="90"/>
      <c r="O41" s="85">
        <v>4</v>
      </c>
      <c r="P41" s="86"/>
      <c r="Q41" s="86">
        <v>15</v>
      </c>
      <c r="R41" s="87">
        <v>9</v>
      </c>
      <c r="S41" s="88"/>
      <c r="T41" s="91">
        <f t="shared" si="0"/>
        <v>18</v>
      </c>
      <c r="U41" s="91">
        <f>C41*12+M41*12+O41*12+Q41*12+T41</f>
        <v>17082</v>
      </c>
      <c r="V41" s="91">
        <f>U41/12</f>
        <v>1423.5</v>
      </c>
    </row>
    <row r="42" spans="1:23" hidden="1" x14ac:dyDescent="0.25">
      <c r="A42" s="27">
        <f t="shared" si="1"/>
        <v>39</v>
      </c>
      <c r="B42" s="25" t="s">
        <v>29</v>
      </c>
      <c r="C42" s="71"/>
      <c r="D42" s="71"/>
      <c r="E42" s="71"/>
      <c r="F42" s="71"/>
      <c r="G42" s="71"/>
      <c r="H42" s="71"/>
      <c r="I42" s="71"/>
      <c r="J42" s="72"/>
      <c r="K42" s="73"/>
      <c r="L42" s="56"/>
      <c r="M42" s="74"/>
      <c r="N42" s="75"/>
      <c r="O42" s="71"/>
      <c r="P42" s="72"/>
      <c r="Q42" s="72"/>
      <c r="R42" s="73"/>
      <c r="S42" s="56"/>
      <c r="T42" s="76"/>
      <c r="U42" s="76"/>
      <c r="V42" s="76"/>
    </row>
    <row r="43" spans="1:23" ht="19.5" thickBot="1" x14ac:dyDescent="0.3">
      <c r="A43" s="27">
        <f t="shared" si="1"/>
        <v>40</v>
      </c>
      <c r="B43" s="42" t="s">
        <v>23</v>
      </c>
      <c r="C43" s="66">
        <f>5940+8424+5400+4644+4104</f>
        <v>28512</v>
      </c>
      <c r="D43" s="66"/>
      <c r="E43" s="66"/>
      <c r="F43" s="66"/>
      <c r="G43" s="66"/>
      <c r="H43" s="66">
        <v>5</v>
      </c>
      <c r="I43" s="66">
        <v>7</v>
      </c>
      <c r="J43" s="67">
        <f>5*6+4</f>
        <v>34</v>
      </c>
      <c r="K43" s="68">
        <f>93*6+5</f>
        <v>563</v>
      </c>
      <c r="L43" s="63"/>
      <c r="M43" s="64">
        <v>452</v>
      </c>
      <c r="N43" s="65"/>
      <c r="O43" s="66">
        <v>328</v>
      </c>
      <c r="P43" s="67"/>
      <c r="Q43" s="67">
        <v>432</v>
      </c>
      <c r="R43" s="68">
        <v>109</v>
      </c>
      <c r="S43" s="63"/>
      <c r="T43" s="78">
        <f t="shared" ref="T43" si="6">H43+I43+J43+K43+N43+P43+R43</f>
        <v>718</v>
      </c>
      <c r="U43" s="78">
        <f>C43*6+M43*6+O43*6+Q43*6+T43</f>
        <v>179062</v>
      </c>
      <c r="V43" s="78">
        <f>U43/6</f>
        <v>29843.666666666668</v>
      </c>
    </row>
    <row r="44" spans="1:23" hidden="1" x14ac:dyDescent="0.25">
      <c r="A44" s="27">
        <f t="shared" si="1"/>
        <v>41</v>
      </c>
      <c r="B44" s="25" t="s">
        <v>31</v>
      </c>
      <c r="C44" s="71"/>
      <c r="D44" s="71"/>
      <c r="E44" s="71"/>
      <c r="F44" s="71"/>
      <c r="G44" s="71"/>
      <c r="H44" s="71"/>
      <c r="I44" s="71"/>
      <c r="J44" s="72"/>
      <c r="K44" s="73"/>
      <c r="L44" s="56"/>
      <c r="M44" s="74"/>
      <c r="N44" s="75"/>
      <c r="O44" s="71"/>
      <c r="P44" s="72"/>
      <c r="Q44" s="72"/>
      <c r="R44" s="73"/>
      <c r="S44" s="56"/>
      <c r="T44" s="76"/>
      <c r="U44" s="76"/>
      <c r="V44" s="76"/>
    </row>
    <row r="45" spans="1:23" x14ac:dyDescent="0.25">
      <c r="A45" s="27">
        <f t="shared" si="1"/>
        <v>42</v>
      </c>
      <c r="B45" s="26" t="s">
        <v>24</v>
      </c>
      <c r="C45" s="71"/>
      <c r="D45" s="71"/>
      <c r="E45" s="71"/>
      <c r="F45" s="71"/>
      <c r="G45" s="71"/>
      <c r="H45" s="71"/>
      <c r="I45" s="71"/>
      <c r="J45" s="72"/>
      <c r="K45" s="73"/>
      <c r="L45" s="56"/>
      <c r="M45" s="74"/>
      <c r="N45" s="75"/>
      <c r="O45" s="71"/>
      <c r="P45" s="72"/>
      <c r="Q45" s="72"/>
      <c r="R45" s="73"/>
      <c r="S45" s="56"/>
      <c r="T45" s="76">
        <f t="shared" ref="T45:T54" si="7">H45+I45+J45+K45+N45+P45+R45</f>
        <v>0</v>
      </c>
      <c r="U45" s="76">
        <f>C45*24+M45*24+O45*24+Q45*24+T45</f>
        <v>0</v>
      </c>
      <c r="V45" s="76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1"/>
      <c r="D46" s="71"/>
      <c r="E46" s="71"/>
      <c r="F46" s="71"/>
      <c r="G46" s="71"/>
      <c r="H46" s="71"/>
      <c r="I46" s="71"/>
      <c r="J46" s="72"/>
      <c r="K46" s="73"/>
      <c r="L46" s="56"/>
      <c r="M46" s="74"/>
      <c r="N46" s="75"/>
      <c r="O46" s="71"/>
      <c r="P46" s="72"/>
      <c r="Q46" s="72"/>
      <c r="R46" s="73"/>
      <c r="S46" s="56"/>
      <c r="T46" s="76">
        <f t="shared" si="7"/>
        <v>0</v>
      </c>
      <c r="U46" s="76">
        <f t="shared" ref="U46:U50" si="8">C46*24+M46*24+O46*24+Q46*24+T46</f>
        <v>0</v>
      </c>
      <c r="V46" s="76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6">
        <f>18+2268+44</f>
        <v>2330</v>
      </c>
      <c r="D47" s="66"/>
      <c r="E47" s="66"/>
      <c r="F47" s="66"/>
      <c r="G47" s="66"/>
      <c r="H47" s="66"/>
      <c r="I47" s="66"/>
      <c r="J47" s="67"/>
      <c r="K47" s="68">
        <v>6</v>
      </c>
      <c r="L47" s="63"/>
      <c r="M47" s="64">
        <v>4</v>
      </c>
      <c r="N47" s="65"/>
      <c r="O47" s="66">
        <v>3</v>
      </c>
      <c r="P47" s="67">
        <v>4</v>
      </c>
      <c r="Q47" s="67">
        <v>10</v>
      </c>
      <c r="R47" s="68"/>
      <c r="S47" s="63"/>
      <c r="T47" s="78">
        <f t="shared" si="7"/>
        <v>10</v>
      </c>
      <c r="U47" s="78">
        <f>C47*6+M47*6+O47*6+Q47*6+T47</f>
        <v>14092</v>
      </c>
      <c r="V47" s="78">
        <f>U47/6</f>
        <v>2348.6666666666665</v>
      </c>
    </row>
    <row r="48" spans="1:23" x14ac:dyDescent="0.25">
      <c r="A48" s="27">
        <f t="shared" si="1"/>
        <v>45</v>
      </c>
      <c r="B48" s="25" t="s">
        <v>58</v>
      </c>
      <c r="C48" s="71">
        <v>1</v>
      </c>
      <c r="D48" s="71"/>
      <c r="E48" s="71"/>
      <c r="F48" s="71"/>
      <c r="G48" s="71"/>
      <c r="H48" s="71"/>
      <c r="I48" s="71"/>
      <c r="J48" s="72"/>
      <c r="K48" s="73"/>
      <c r="L48" s="56"/>
      <c r="M48" s="74"/>
      <c r="N48" s="75"/>
      <c r="O48" s="71"/>
      <c r="P48" s="72"/>
      <c r="Q48" s="72"/>
      <c r="R48" s="73"/>
      <c r="S48" s="56"/>
      <c r="T48" s="76">
        <f t="shared" si="7"/>
        <v>0</v>
      </c>
      <c r="U48" s="76">
        <f t="shared" si="8"/>
        <v>24</v>
      </c>
      <c r="V48" s="76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1"/>
      <c r="D49" s="71"/>
      <c r="E49" s="71"/>
      <c r="F49" s="71"/>
      <c r="G49" s="71"/>
      <c r="H49" s="71"/>
      <c r="I49" s="71"/>
      <c r="J49" s="72"/>
      <c r="K49" s="73"/>
      <c r="L49" s="56"/>
      <c r="M49" s="74"/>
      <c r="N49" s="75"/>
      <c r="O49" s="71"/>
      <c r="P49" s="72"/>
      <c r="Q49" s="72"/>
      <c r="R49" s="73"/>
      <c r="S49" s="56"/>
      <c r="T49" s="76">
        <f t="shared" si="7"/>
        <v>0</v>
      </c>
      <c r="U49" s="76">
        <f t="shared" si="8"/>
        <v>0</v>
      </c>
      <c r="V49" s="76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1"/>
      <c r="D50" s="71"/>
      <c r="E50" s="71"/>
      <c r="F50" s="71"/>
      <c r="G50" s="71"/>
      <c r="H50" s="71"/>
      <c r="I50" s="71"/>
      <c r="J50" s="72"/>
      <c r="K50" s="73"/>
      <c r="L50" s="56"/>
      <c r="M50" s="74"/>
      <c r="N50" s="75"/>
      <c r="O50" s="71"/>
      <c r="P50" s="72"/>
      <c r="Q50" s="72"/>
      <c r="R50" s="73"/>
      <c r="S50" s="56"/>
      <c r="T50" s="76">
        <f t="shared" si="7"/>
        <v>0</v>
      </c>
      <c r="U50" s="76">
        <f t="shared" si="8"/>
        <v>0</v>
      </c>
      <c r="V50" s="76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6">
        <v>34</v>
      </c>
      <c r="D51" s="66"/>
      <c r="E51" s="66"/>
      <c r="F51" s="66"/>
      <c r="G51" s="66"/>
      <c r="H51" s="66"/>
      <c r="I51" s="66"/>
      <c r="J51" s="67"/>
      <c r="K51" s="68"/>
      <c r="L51" s="63"/>
      <c r="M51" s="64"/>
      <c r="N51" s="65"/>
      <c r="O51" s="66"/>
      <c r="P51" s="67"/>
      <c r="Q51" s="67"/>
      <c r="R51" s="68"/>
      <c r="S51" s="63"/>
      <c r="T51" s="78">
        <f t="shared" si="7"/>
        <v>0</v>
      </c>
      <c r="U51" s="78">
        <f>C51*6+M51*6+O51*6+Q51*6+T51</f>
        <v>204</v>
      </c>
      <c r="V51" s="78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1"/>
      <c r="D52" s="71"/>
      <c r="E52" s="71"/>
      <c r="F52" s="71"/>
      <c r="G52" s="71"/>
      <c r="H52" s="71"/>
      <c r="I52" s="71"/>
      <c r="J52" s="72"/>
      <c r="K52" s="73"/>
      <c r="L52" s="56"/>
      <c r="M52" s="74"/>
      <c r="N52" s="75"/>
      <c r="O52" s="71"/>
      <c r="P52" s="72"/>
      <c r="Q52" s="72"/>
      <c r="R52" s="73"/>
      <c r="S52" s="56"/>
      <c r="T52" s="76">
        <f t="shared" si="7"/>
        <v>0</v>
      </c>
      <c r="U52" s="76">
        <f t="shared" ref="U52:U54" si="10">C52*24+M52*24+O52*24+Q52*24+T52</f>
        <v>0</v>
      </c>
      <c r="V52" s="76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1">
        <v>5</v>
      </c>
      <c r="D53" s="71"/>
      <c r="E53" s="71"/>
      <c r="F53" s="71"/>
      <c r="G53" s="71"/>
      <c r="H53" s="71"/>
      <c r="I53" s="71"/>
      <c r="J53" s="72"/>
      <c r="K53" s="73"/>
      <c r="L53" s="56"/>
      <c r="M53" s="74"/>
      <c r="N53" s="75"/>
      <c r="O53" s="71"/>
      <c r="P53" s="72"/>
      <c r="Q53" s="72"/>
      <c r="R53" s="73"/>
      <c r="S53" s="56"/>
      <c r="T53" s="76">
        <f t="shared" si="7"/>
        <v>0</v>
      </c>
      <c r="U53" s="76">
        <f t="shared" si="10"/>
        <v>120</v>
      </c>
      <c r="V53" s="76">
        <f t="shared" si="9"/>
        <v>5</v>
      </c>
    </row>
    <row r="54" spans="1:22" x14ac:dyDescent="0.25">
      <c r="A54" s="27">
        <f t="shared" si="1"/>
        <v>51</v>
      </c>
      <c r="B54" s="26"/>
      <c r="C54" s="71"/>
      <c r="D54" s="71"/>
      <c r="E54" s="71"/>
      <c r="F54" s="71"/>
      <c r="G54" s="71"/>
      <c r="H54" s="71"/>
      <c r="I54" s="71"/>
      <c r="J54" s="72"/>
      <c r="K54" s="73"/>
      <c r="L54" s="56"/>
      <c r="M54" s="74"/>
      <c r="N54" s="75"/>
      <c r="O54" s="71"/>
      <c r="P54" s="72"/>
      <c r="Q54" s="72"/>
      <c r="R54" s="73"/>
      <c r="S54" s="56"/>
      <c r="T54" s="76">
        <f t="shared" si="7"/>
        <v>0</v>
      </c>
      <c r="U54" s="76">
        <f t="shared" si="10"/>
        <v>0</v>
      </c>
      <c r="V54" s="76">
        <f t="shared" si="9"/>
        <v>0</v>
      </c>
    </row>
    <row r="55" spans="1:22" x14ac:dyDescent="0.25">
      <c r="A55" s="27">
        <f t="shared" si="1"/>
        <v>52</v>
      </c>
      <c r="B55" s="26"/>
      <c r="C55" s="71"/>
      <c r="D55" s="71"/>
      <c r="E55" s="71"/>
      <c r="F55" s="71"/>
      <c r="G55" s="71"/>
      <c r="H55" s="71"/>
      <c r="I55" s="71"/>
      <c r="J55" s="72"/>
      <c r="K55" s="73"/>
      <c r="L55" s="56"/>
      <c r="M55" s="74"/>
      <c r="N55" s="75"/>
      <c r="O55" s="71"/>
      <c r="P55" s="72"/>
      <c r="Q55" s="72"/>
      <c r="R55" s="73"/>
      <c r="S55" s="56"/>
      <c r="T55" s="76"/>
      <c r="U55" s="76"/>
      <c r="V55" s="76"/>
    </row>
    <row r="56" spans="1:22" x14ac:dyDescent="0.25">
      <c r="A56" s="27">
        <f t="shared" si="1"/>
        <v>53</v>
      </c>
      <c r="B56" s="26"/>
      <c r="C56" s="71"/>
      <c r="D56" s="71"/>
      <c r="E56" s="71"/>
      <c r="F56" s="71"/>
      <c r="G56" s="71"/>
      <c r="H56" s="71"/>
      <c r="I56" s="71"/>
      <c r="J56" s="72"/>
      <c r="K56" s="73"/>
      <c r="L56" s="56"/>
      <c r="M56" s="74"/>
      <c r="N56" s="75"/>
      <c r="O56" s="71"/>
      <c r="P56" s="72"/>
      <c r="Q56" s="72"/>
      <c r="R56" s="73"/>
      <c r="S56" s="56"/>
      <c r="T56" s="76"/>
      <c r="U56" s="76"/>
      <c r="V56" s="76"/>
    </row>
    <row r="57" spans="1:22" x14ac:dyDescent="0.25">
      <c r="A57" s="27">
        <f t="shared" si="1"/>
        <v>54</v>
      </c>
      <c r="B57" s="26"/>
      <c r="C57" s="71"/>
      <c r="D57" s="71"/>
      <c r="E57" s="71"/>
      <c r="F57" s="71"/>
      <c r="G57" s="71"/>
      <c r="H57" s="71"/>
      <c r="I57" s="71"/>
      <c r="J57" s="72"/>
      <c r="K57" s="73"/>
      <c r="L57" s="56"/>
      <c r="M57" s="74"/>
      <c r="N57" s="75"/>
      <c r="O57" s="71"/>
      <c r="P57" s="72"/>
      <c r="Q57" s="72"/>
      <c r="R57" s="73"/>
      <c r="S57" s="56"/>
      <c r="T57" s="76"/>
      <c r="U57" s="76"/>
      <c r="V57" s="76"/>
    </row>
    <row r="58" spans="1:22" s="15" customFormat="1" ht="19.5" thickBot="1" x14ac:dyDescent="0.3">
      <c r="B58" s="29" t="s">
        <v>50</v>
      </c>
      <c r="C58" s="2">
        <f>SUM(C7:C57)</f>
        <v>41183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58</v>
      </c>
      <c r="I58" s="6">
        <f t="shared" si="11"/>
        <v>9</v>
      </c>
      <c r="J58" s="6">
        <f t="shared" si="11"/>
        <v>34</v>
      </c>
      <c r="K58" s="6">
        <f t="shared" si="11"/>
        <v>604</v>
      </c>
      <c r="M58" s="5">
        <f t="shared" ref="M58:R58" si="12">SUM(M7:M57)</f>
        <v>606</v>
      </c>
      <c r="N58" s="5">
        <f t="shared" si="12"/>
        <v>12</v>
      </c>
      <c r="O58" s="5">
        <f t="shared" si="12"/>
        <v>368</v>
      </c>
      <c r="P58" s="5">
        <f t="shared" si="12"/>
        <v>21</v>
      </c>
      <c r="Q58" s="5">
        <f t="shared" si="12"/>
        <v>579</v>
      </c>
      <c r="R58" s="5">
        <f t="shared" si="12"/>
        <v>118</v>
      </c>
      <c r="S58" s="56"/>
      <c r="T58" s="4">
        <f>SUM(T7:T57)</f>
        <v>856</v>
      </c>
      <c r="U58" s="4">
        <f>SUM(U7:U57)</f>
        <v>358450</v>
      </c>
      <c r="V58" s="4">
        <f>SUM(V7:V57)</f>
        <v>42864.416666666664</v>
      </c>
    </row>
    <row r="59" spans="1:22" ht="7.5" customHeight="1" thickBot="1" x14ac:dyDescent="0.3"/>
    <row r="60" spans="1:22" ht="19.5" thickBot="1" x14ac:dyDescent="0.3">
      <c r="B60" s="30" t="s">
        <v>37</v>
      </c>
      <c r="C60" s="108" t="s">
        <v>41</v>
      </c>
      <c r="D60" s="109"/>
      <c r="E60" s="109"/>
      <c r="F60" s="109"/>
      <c r="G60" s="109"/>
      <c r="H60" s="109"/>
      <c r="I60" s="109"/>
      <c r="J60" s="109"/>
      <c r="K60" s="110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59979F-B1E4-46BE-B2CF-4B5C9EB1EDDA}">
  <sheetPr>
    <pageSetUpPr fitToPage="1"/>
  </sheetPr>
  <dimension ref="A1:BB81"/>
  <sheetViews>
    <sheetView zoomScaleNormal="100" zoomScaleSheetLayoutView="115" workbookViewId="0">
      <selection activeCell="B2" sqref="B2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6.710937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1" t="s">
        <v>43</v>
      </c>
      <c r="J1" s="111"/>
      <c r="K1" s="111"/>
      <c r="L1" s="111"/>
      <c r="M1" s="111"/>
      <c r="N1" s="111"/>
      <c r="O1" s="111"/>
      <c r="P1" s="111"/>
      <c r="Q1" s="111"/>
      <c r="R1" s="111"/>
      <c r="S1" s="111"/>
      <c r="T1" s="111"/>
      <c r="U1" s="111"/>
    </row>
    <row r="2" spans="1:54" x14ac:dyDescent="0.25">
      <c r="B2" s="28" t="s">
        <v>77</v>
      </c>
    </row>
    <row r="3" spans="1:54" ht="19.5" thickBot="1" x14ac:dyDescent="0.3"/>
    <row r="4" spans="1:54" s="10" customFormat="1" ht="15.75" x14ac:dyDescent="0.25">
      <c r="B4" s="41" t="s">
        <v>52</v>
      </c>
      <c r="C4" s="112" t="s">
        <v>41</v>
      </c>
      <c r="D4" s="112"/>
      <c r="E4" s="112"/>
      <c r="F4" s="112"/>
      <c r="G4" s="112"/>
      <c r="H4" s="112"/>
      <c r="I4" s="112"/>
      <c r="J4" s="113"/>
      <c r="K4" s="114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5" t="s">
        <v>68</v>
      </c>
      <c r="U4" s="121" t="s">
        <v>67</v>
      </c>
      <c r="V4" s="104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19" t="s">
        <v>65</v>
      </c>
      <c r="K5" s="120"/>
      <c r="M5" s="37"/>
      <c r="N5" s="49"/>
      <c r="O5" s="40"/>
      <c r="P5" s="100"/>
      <c r="Q5" s="100"/>
      <c r="R5" s="38"/>
      <c r="S5" s="9"/>
      <c r="T5" s="116"/>
      <c r="U5" s="122"/>
      <c r="V5" s="105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100"/>
      <c r="K6" s="38"/>
      <c r="M6" s="37"/>
      <c r="N6" s="49"/>
      <c r="O6" s="40"/>
      <c r="P6" s="100"/>
      <c r="Q6" s="100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3"/>
      <c r="D7" s="53"/>
      <c r="E7" s="53"/>
      <c r="F7" s="53"/>
      <c r="G7" s="53"/>
      <c r="H7" s="53"/>
      <c r="I7" s="53"/>
      <c r="J7" s="54"/>
      <c r="K7" s="55"/>
      <c r="L7" s="56"/>
      <c r="M7" s="57"/>
      <c r="N7" s="58"/>
      <c r="O7" s="53"/>
      <c r="P7" s="54"/>
      <c r="Q7" s="54"/>
      <c r="R7" s="55"/>
      <c r="S7" s="56"/>
      <c r="T7" s="59">
        <f>H7+I7+J7+K7+N7+P7+R7</f>
        <v>0</v>
      </c>
      <c r="U7" s="59">
        <f>C7*24+M7*24+O7*24+Q7*24+T7</f>
        <v>0</v>
      </c>
      <c r="V7" s="59">
        <f>U7/24</f>
        <v>0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60"/>
      <c r="D8" s="60"/>
      <c r="E8" s="60"/>
      <c r="F8" s="60"/>
      <c r="G8" s="60"/>
      <c r="H8" s="60"/>
      <c r="I8" s="60"/>
      <c r="J8" s="61"/>
      <c r="K8" s="62"/>
      <c r="L8" s="63"/>
      <c r="M8" s="64"/>
      <c r="N8" s="65"/>
      <c r="O8" s="66"/>
      <c r="P8" s="67"/>
      <c r="Q8" s="67"/>
      <c r="R8" s="68"/>
      <c r="S8" s="63"/>
      <c r="T8" s="69">
        <f t="shared" ref="T8:T41" si="0">H8+I8+J8+K8+N8+P8+R8</f>
        <v>0</v>
      </c>
      <c r="U8" s="70">
        <f>C8*24+M8*24+O8*24+Q8*24+T8</f>
        <v>0</v>
      </c>
      <c r="V8" s="70">
        <f>U8/24</f>
        <v>0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1"/>
      <c r="D9" s="71"/>
      <c r="E9" s="71"/>
      <c r="F9" s="71"/>
      <c r="G9" s="71"/>
      <c r="H9" s="71"/>
      <c r="I9" s="71"/>
      <c r="J9" s="72"/>
      <c r="K9" s="73"/>
      <c r="L9" s="56"/>
      <c r="M9" s="74"/>
      <c r="N9" s="75"/>
      <c r="O9" s="71"/>
      <c r="P9" s="72"/>
      <c r="Q9" s="72"/>
      <c r="R9" s="73"/>
      <c r="S9" s="56"/>
      <c r="T9" s="76">
        <f t="shared" si="0"/>
        <v>0</v>
      </c>
      <c r="U9" s="77">
        <f t="shared" ref="U9:U11" si="2">C9*24+M9*24+O9*24+Q9*24+T9</f>
        <v>0</v>
      </c>
      <c r="V9" s="77">
        <f t="shared" ref="V9:V11" si="3">U9/24</f>
        <v>0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1"/>
      <c r="D10" s="71"/>
      <c r="E10" s="71"/>
      <c r="F10" s="71"/>
      <c r="G10" s="71"/>
      <c r="H10" s="71"/>
      <c r="I10" s="71"/>
      <c r="J10" s="72"/>
      <c r="K10" s="73"/>
      <c r="L10" s="56"/>
      <c r="M10" s="74"/>
      <c r="N10" s="75"/>
      <c r="O10" s="71"/>
      <c r="P10" s="72"/>
      <c r="Q10" s="72"/>
      <c r="R10" s="73"/>
      <c r="S10" s="56"/>
      <c r="T10" s="59">
        <f t="shared" si="0"/>
        <v>0</v>
      </c>
      <c r="U10" s="59">
        <f t="shared" si="2"/>
        <v>0</v>
      </c>
      <c r="V10" s="59">
        <f t="shared" si="3"/>
        <v>0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1"/>
      <c r="D11" s="71"/>
      <c r="E11" s="71"/>
      <c r="F11" s="71"/>
      <c r="G11" s="71"/>
      <c r="H11" s="71"/>
      <c r="I11" s="71"/>
      <c r="J11" s="72"/>
      <c r="K11" s="73"/>
      <c r="L11" s="56"/>
      <c r="M11" s="74"/>
      <c r="N11" s="75"/>
      <c r="O11" s="71"/>
      <c r="P11" s="72"/>
      <c r="Q11" s="72"/>
      <c r="R11" s="73"/>
      <c r="S11" s="56"/>
      <c r="T11" s="59">
        <f t="shared" si="0"/>
        <v>0</v>
      </c>
      <c r="U11" s="59">
        <f t="shared" si="2"/>
        <v>0</v>
      </c>
      <c r="V11" s="59">
        <f t="shared" si="3"/>
        <v>0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60"/>
      <c r="D12" s="60"/>
      <c r="E12" s="60"/>
      <c r="F12" s="60"/>
      <c r="G12" s="60"/>
      <c r="H12" s="60"/>
      <c r="I12" s="60"/>
      <c r="J12" s="61"/>
      <c r="K12" s="62"/>
      <c r="L12" s="63"/>
      <c r="M12" s="64"/>
      <c r="N12" s="65"/>
      <c r="O12" s="66"/>
      <c r="P12" s="67"/>
      <c r="Q12" s="67"/>
      <c r="R12" s="68"/>
      <c r="S12" s="63"/>
      <c r="T12" s="59">
        <f t="shared" si="0"/>
        <v>0</v>
      </c>
      <c r="U12" s="70">
        <f>C12*24+M12*24+O12*24+Q12*24+T12</f>
        <v>0</v>
      </c>
      <c r="V12" s="70">
        <f>U12/24</f>
        <v>0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1"/>
      <c r="D13" s="71"/>
      <c r="E13" s="71"/>
      <c r="F13" s="71"/>
      <c r="G13" s="71"/>
      <c r="H13" s="71"/>
      <c r="I13" s="71"/>
      <c r="J13" s="72"/>
      <c r="K13" s="73"/>
      <c r="L13" s="56"/>
      <c r="M13" s="74"/>
      <c r="N13" s="75"/>
      <c r="O13" s="71"/>
      <c r="P13" s="72"/>
      <c r="Q13" s="72"/>
      <c r="R13" s="73"/>
      <c r="S13" s="56"/>
      <c r="T13" s="59">
        <f t="shared" si="0"/>
        <v>0</v>
      </c>
      <c r="U13" s="77">
        <f>C13*24+M13*24+O13*24+Q13*24+T13</f>
        <v>0</v>
      </c>
      <c r="V13" s="77">
        <f>U13/24</f>
        <v>0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1"/>
      <c r="D14" s="71"/>
      <c r="E14" s="71"/>
      <c r="F14" s="71"/>
      <c r="G14" s="71"/>
      <c r="H14" s="71"/>
      <c r="I14" s="71"/>
      <c r="J14" s="72"/>
      <c r="K14" s="73"/>
      <c r="L14" s="56"/>
      <c r="M14" s="74"/>
      <c r="N14" s="75"/>
      <c r="O14" s="71"/>
      <c r="P14" s="72"/>
      <c r="Q14" s="72"/>
      <c r="R14" s="73"/>
      <c r="S14" s="56"/>
      <c r="T14" s="59">
        <f t="shared" si="0"/>
        <v>0</v>
      </c>
      <c r="U14" s="76">
        <f t="shared" ref="U14:U36" si="4">C14*24+M14*24+O14*24+Q14*24+T14</f>
        <v>0</v>
      </c>
      <c r="V14" s="76">
        <f t="shared" ref="V14:V36" si="5">U14/24</f>
        <v>0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1"/>
      <c r="D15" s="71"/>
      <c r="E15" s="71"/>
      <c r="F15" s="71"/>
      <c r="G15" s="71"/>
      <c r="H15" s="71"/>
      <c r="I15" s="71"/>
      <c r="J15" s="72"/>
      <c r="K15" s="73"/>
      <c r="L15" s="56"/>
      <c r="M15" s="74"/>
      <c r="N15" s="75"/>
      <c r="O15" s="71"/>
      <c r="P15" s="72"/>
      <c r="Q15" s="72"/>
      <c r="R15" s="73"/>
      <c r="S15" s="56"/>
      <c r="T15" s="59">
        <f t="shared" si="0"/>
        <v>0</v>
      </c>
      <c r="U15" s="76">
        <f t="shared" si="4"/>
        <v>0</v>
      </c>
      <c r="V15" s="76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1"/>
      <c r="D16" s="71"/>
      <c r="E16" s="71"/>
      <c r="F16" s="71"/>
      <c r="G16" s="71"/>
      <c r="H16" s="71"/>
      <c r="I16" s="71"/>
      <c r="J16" s="72"/>
      <c r="K16" s="73"/>
      <c r="L16" s="56"/>
      <c r="M16" s="74"/>
      <c r="N16" s="75"/>
      <c r="O16" s="71"/>
      <c r="P16" s="72"/>
      <c r="Q16" s="72"/>
      <c r="R16" s="73"/>
      <c r="S16" s="56"/>
      <c r="T16" s="59">
        <f t="shared" si="0"/>
        <v>0</v>
      </c>
      <c r="U16" s="76">
        <f t="shared" si="4"/>
        <v>0</v>
      </c>
      <c r="V16" s="76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1"/>
      <c r="D17" s="71"/>
      <c r="E17" s="71"/>
      <c r="F17" s="71"/>
      <c r="G17" s="71"/>
      <c r="H17" s="71"/>
      <c r="I17" s="71"/>
      <c r="J17" s="72"/>
      <c r="K17" s="73"/>
      <c r="L17" s="56"/>
      <c r="M17" s="74"/>
      <c r="N17" s="75"/>
      <c r="O17" s="71"/>
      <c r="P17" s="72"/>
      <c r="Q17" s="72"/>
      <c r="R17" s="73"/>
      <c r="S17" s="56"/>
      <c r="T17" s="59">
        <f t="shared" si="0"/>
        <v>0</v>
      </c>
      <c r="U17" s="76">
        <f t="shared" si="4"/>
        <v>0</v>
      </c>
      <c r="V17" s="76">
        <f t="shared" si="5"/>
        <v>0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1"/>
      <c r="D18" s="71"/>
      <c r="E18" s="71"/>
      <c r="F18" s="71"/>
      <c r="G18" s="71"/>
      <c r="H18" s="71"/>
      <c r="I18" s="71"/>
      <c r="J18" s="72"/>
      <c r="K18" s="73"/>
      <c r="L18" s="56"/>
      <c r="M18" s="74"/>
      <c r="N18" s="75"/>
      <c r="O18" s="71"/>
      <c r="P18" s="72"/>
      <c r="Q18" s="72"/>
      <c r="R18" s="73"/>
      <c r="S18" s="56"/>
      <c r="T18" s="59">
        <f t="shared" si="0"/>
        <v>0</v>
      </c>
      <c r="U18" s="76">
        <f t="shared" si="4"/>
        <v>0</v>
      </c>
      <c r="V18" s="76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1"/>
      <c r="D19" s="71"/>
      <c r="E19" s="71"/>
      <c r="F19" s="71"/>
      <c r="G19" s="71"/>
      <c r="H19" s="71"/>
      <c r="I19" s="71"/>
      <c r="J19" s="72"/>
      <c r="K19" s="73"/>
      <c r="L19" s="56"/>
      <c r="M19" s="74"/>
      <c r="N19" s="75"/>
      <c r="O19" s="71"/>
      <c r="P19" s="72"/>
      <c r="Q19" s="72"/>
      <c r="R19" s="73"/>
      <c r="S19" s="56"/>
      <c r="T19" s="59">
        <f t="shared" si="0"/>
        <v>0</v>
      </c>
      <c r="U19" s="76">
        <f t="shared" si="4"/>
        <v>0</v>
      </c>
      <c r="V19" s="76">
        <f t="shared" si="5"/>
        <v>0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1"/>
      <c r="D20" s="71"/>
      <c r="E20" s="71"/>
      <c r="F20" s="71"/>
      <c r="G20" s="71"/>
      <c r="H20" s="71"/>
      <c r="I20" s="71"/>
      <c r="J20" s="72"/>
      <c r="K20" s="73"/>
      <c r="L20" s="56"/>
      <c r="M20" s="74"/>
      <c r="N20" s="75"/>
      <c r="O20" s="71"/>
      <c r="P20" s="72"/>
      <c r="Q20" s="72"/>
      <c r="R20" s="73"/>
      <c r="S20" s="56"/>
      <c r="T20" s="59">
        <f t="shared" si="0"/>
        <v>0</v>
      </c>
      <c r="U20" s="76">
        <f t="shared" si="4"/>
        <v>0</v>
      </c>
      <c r="V20" s="76">
        <f t="shared" si="5"/>
        <v>0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1"/>
      <c r="D21" s="71"/>
      <c r="E21" s="71"/>
      <c r="F21" s="71"/>
      <c r="G21" s="71"/>
      <c r="H21" s="71"/>
      <c r="I21" s="71"/>
      <c r="J21" s="72"/>
      <c r="K21" s="73"/>
      <c r="L21" s="56"/>
      <c r="M21" s="74"/>
      <c r="N21" s="75"/>
      <c r="O21" s="71"/>
      <c r="P21" s="72"/>
      <c r="Q21" s="72"/>
      <c r="R21" s="73"/>
      <c r="S21" s="56"/>
      <c r="T21" s="59">
        <f t="shared" si="0"/>
        <v>0</v>
      </c>
      <c r="U21" s="76">
        <f t="shared" si="4"/>
        <v>0</v>
      </c>
      <c r="V21" s="76">
        <f t="shared" si="5"/>
        <v>0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1"/>
      <c r="D22" s="71"/>
      <c r="E22" s="71"/>
      <c r="F22" s="71"/>
      <c r="G22" s="71"/>
      <c r="H22" s="71"/>
      <c r="I22" s="71"/>
      <c r="J22" s="72"/>
      <c r="K22" s="73"/>
      <c r="L22" s="56"/>
      <c r="M22" s="74"/>
      <c r="N22" s="75"/>
      <c r="O22" s="71"/>
      <c r="P22" s="72"/>
      <c r="Q22" s="72"/>
      <c r="R22" s="73"/>
      <c r="S22" s="56"/>
      <c r="T22" s="59">
        <f t="shared" si="0"/>
        <v>0</v>
      </c>
      <c r="U22" s="76">
        <f t="shared" si="4"/>
        <v>0</v>
      </c>
      <c r="V22" s="76">
        <f t="shared" si="5"/>
        <v>0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1"/>
      <c r="D23" s="71"/>
      <c r="E23" s="71"/>
      <c r="F23" s="71"/>
      <c r="G23" s="71"/>
      <c r="H23" s="71"/>
      <c r="I23" s="71"/>
      <c r="J23" s="72"/>
      <c r="K23" s="73"/>
      <c r="L23" s="56"/>
      <c r="M23" s="74"/>
      <c r="N23" s="75"/>
      <c r="O23" s="71"/>
      <c r="P23" s="72"/>
      <c r="Q23" s="72"/>
      <c r="R23" s="73"/>
      <c r="S23" s="56"/>
      <c r="T23" s="59">
        <f t="shared" si="0"/>
        <v>0</v>
      </c>
      <c r="U23" s="76">
        <f t="shared" si="4"/>
        <v>0</v>
      </c>
      <c r="V23" s="76">
        <f t="shared" si="5"/>
        <v>0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1"/>
      <c r="D24" s="71"/>
      <c r="E24" s="71"/>
      <c r="F24" s="71"/>
      <c r="G24" s="71"/>
      <c r="H24" s="71"/>
      <c r="I24" s="71"/>
      <c r="J24" s="72"/>
      <c r="K24" s="73"/>
      <c r="L24" s="56"/>
      <c r="M24" s="74"/>
      <c r="N24" s="75"/>
      <c r="O24" s="71"/>
      <c r="P24" s="72"/>
      <c r="Q24" s="72"/>
      <c r="R24" s="73"/>
      <c r="S24" s="56"/>
      <c r="T24" s="59">
        <f t="shared" si="0"/>
        <v>0</v>
      </c>
      <c r="U24" s="76">
        <f t="shared" si="4"/>
        <v>0</v>
      </c>
      <c r="V24" s="76">
        <f t="shared" si="5"/>
        <v>0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1"/>
      <c r="D25" s="71"/>
      <c r="E25" s="71"/>
      <c r="F25" s="71"/>
      <c r="G25" s="71"/>
      <c r="H25" s="71"/>
      <c r="I25" s="71"/>
      <c r="J25" s="72"/>
      <c r="K25" s="73"/>
      <c r="L25" s="56"/>
      <c r="M25" s="74"/>
      <c r="N25" s="75"/>
      <c r="O25" s="71"/>
      <c r="P25" s="72"/>
      <c r="Q25" s="72"/>
      <c r="R25" s="73"/>
      <c r="S25" s="56"/>
      <c r="T25" s="59">
        <f t="shared" si="0"/>
        <v>0</v>
      </c>
      <c r="U25" s="76">
        <f t="shared" si="4"/>
        <v>0</v>
      </c>
      <c r="V25" s="76">
        <f t="shared" si="5"/>
        <v>0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1"/>
      <c r="D26" s="71"/>
      <c r="E26" s="71"/>
      <c r="F26" s="71"/>
      <c r="G26" s="71"/>
      <c r="H26" s="71"/>
      <c r="I26" s="71"/>
      <c r="J26" s="72"/>
      <c r="K26" s="73"/>
      <c r="L26" s="56"/>
      <c r="M26" s="74"/>
      <c r="N26" s="75"/>
      <c r="O26" s="71"/>
      <c r="P26" s="72"/>
      <c r="Q26" s="72"/>
      <c r="R26" s="73"/>
      <c r="S26" s="56"/>
      <c r="T26" s="59">
        <f t="shared" si="0"/>
        <v>0</v>
      </c>
      <c r="U26" s="76">
        <f t="shared" si="4"/>
        <v>0</v>
      </c>
      <c r="V26" s="76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1"/>
      <c r="D27" s="71"/>
      <c r="E27" s="71"/>
      <c r="F27" s="71"/>
      <c r="G27" s="71"/>
      <c r="H27" s="71"/>
      <c r="I27" s="71"/>
      <c r="J27" s="72"/>
      <c r="K27" s="73"/>
      <c r="L27" s="56"/>
      <c r="M27" s="74"/>
      <c r="N27" s="75"/>
      <c r="O27" s="71"/>
      <c r="P27" s="72"/>
      <c r="Q27" s="72"/>
      <c r="R27" s="73"/>
      <c r="S27" s="56"/>
      <c r="T27" s="59"/>
      <c r="U27" s="76"/>
      <c r="V27" s="76"/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1"/>
      <c r="D28" s="71"/>
      <c r="E28" s="71"/>
      <c r="F28" s="71"/>
      <c r="G28" s="71"/>
      <c r="H28" s="71"/>
      <c r="I28" s="71"/>
      <c r="J28" s="72"/>
      <c r="K28" s="73"/>
      <c r="L28" s="56"/>
      <c r="M28" s="74"/>
      <c r="N28" s="75"/>
      <c r="O28" s="71"/>
      <c r="P28" s="72"/>
      <c r="Q28" s="72"/>
      <c r="R28" s="73"/>
      <c r="S28" s="56"/>
      <c r="T28" s="59">
        <f t="shared" si="0"/>
        <v>0</v>
      </c>
      <c r="U28" s="76">
        <f t="shared" si="4"/>
        <v>0</v>
      </c>
      <c r="V28" s="76">
        <f t="shared" si="5"/>
        <v>0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1"/>
      <c r="D29" s="71"/>
      <c r="E29" s="71"/>
      <c r="F29" s="71"/>
      <c r="G29" s="71"/>
      <c r="H29" s="71"/>
      <c r="I29" s="71"/>
      <c r="J29" s="72"/>
      <c r="K29" s="73"/>
      <c r="L29" s="56"/>
      <c r="M29" s="74"/>
      <c r="N29" s="75"/>
      <c r="O29" s="71"/>
      <c r="P29" s="72"/>
      <c r="Q29" s="72"/>
      <c r="R29" s="73"/>
      <c r="S29" s="56"/>
      <c r="T29" s="59">
        <f t="shared" si="0"/>
        <v>0</v>
      </c>
      <c r="U29" s="76">
        <f t="shared" si="4"/>
        <v>0</v>
      </c>
      <c r="V29" s="76">
        <f t="shared" si="5"/>
        <v>0</v>
      </c>
    </row>
    <row r="30" spans="1:54" x14ac:dyDescent="0.25">
      <c r="A30" s="27">
        <f t="shared" si="1"/>
        <v>27</v>
      </c>
      <c r="B30" s="26" t="s">
        <v>15</v>
      </c>
      <c r="C30" s="71"/>
      <c r="D30" s="71"/>
      <c r="E30" s="71"/>
      <c r="F30" s="71"/>
      <c r="G30" s="71"/>
      <c r="H30" s="71"/>
      <c r="I30" s="71"/>
      <c r="J30" s="72"/>
      <c r="K30" s="73"/>
      <c r="L30" s="56"/>
      <c r="M30" s="74"/>
      <c r="N30" s="75"/>
      <c r="O30" s="71"/>
      <c r="P30" s="72"/>
      <c r="Q30" s="72"/>
      <c r="R30" s="73"/>
      <c r="S30" s="56"/>
      <c r="T30" s="59">
        <f t="shared" si="0"/>
        <v>0</v>
      </c>
      <c r="U30" s="76">
        <f t="shared" si="4"/>
        <v>0</v>
      </c>
      <c r="V30" s="76">
        <f t="shared" si="5"/>
        <v>0</v>
      </c>
    </row>
    <row r="31" spans="1:54" x14ac:dyDescent="0.25">
      <c r="A31" s="27">
        <f t="shared" si="1"/>
        <v>28</v>
      </c>
      <c r="B31" s="26" t="s">
        <v>12</v>
      </c>
      <c r="C31" s="71"/>
      <c r="D31" s="71"/>
      <c r="E31" s="71"/>
      <c r="F31" s="71"/>
      <c r="G31" s="71"/>
      <c r="H31" s="71"/>
      <c r="I31" s="71"/>
      <c r="J31" s="72"/>
      <c r="K31" s="73"/>
      <c r="L31" s="56"/>
      <c r="M31" s="74"/>
      <c r="N31" s="75"/>
      <c r="O31" s="71"/>
      <c r="P31" s="72"/>
      <c r="Q31" s="72"/>
      <c r="R31" s="73"/>
      <c r="S31" s="56"/>
      <c r="T31" s="59">
        <f t="shared" si="0"/>
        <v>0</v>
      </c>
      <c r="U31" s="76">
        <f t="shared" si="4"/>
        <v>0</v>
      </c>
      <c r="V31" s="76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1"/>
      <c r="D32" s="71"/>
      <c r="E32" s="71"/>
      <c r="F32" s="71"/>
      <c r="G32" s="71"/>
      <c r="H32" s="71"/>
      <c r="I32" s="71"/>
      <c r="J32" s="72"/>
      <c r="K32" s="73"/>
      <c r="L32" s="56"/>
      <c r="M32" s="74"/>
      <c r="N32" s="75"/>
      <c r="O32" s="71"/>
      <c r="P32" s="72"/>
      <c r="Q32" s="72"/>
      <c r="R32" s="73"/>
      <c r="S32" s="56"/>
      <c r="T32" s="59">
        <f t="shared" si="0"/>
        <v>0</v>
      </c>
      <c r="U32" s="76">
        <f t="shared" si="4"/>
        <v>0</v>
      </c>
      <c r="V32" s="76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1"/>
      <c r="D33" s="71"/>
      <c r="E33" s="71"/>
      <c r="F33" s="71"/>
      <c r="G33" s="71"/>
      <c r="H33" s="71"/>
      <c r="I33" s="71"/>
      <c r="J33" s="72"/>
      <c r="K33" s="73"/>
      <c r="L33" s="56"/>
      <c r="M33" s="74"/>
      <c r="N33" s="75"/>
      <c r="O33" s="71"/>
      <c r="P33" s="72"/>
      <c r="Q33" s="72"/>
      <c r="R33" s="73"/>
      <c r="S33" s="56"/>
      <c r="T33" s="59">
        <f t="shared" si="0"/>
        <v>0</v>
      </c>
      <c r="U33" s="76">
        <f t="shared" si="4"/>
        <v>0</v>
      </c>
      <c r="V33" s="76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1"/>
      <c r="D34" s="71"/>
      <c r="E34" s="71"/>
      <c r="F34" s="71"/>
      <c r="G34" s="71"/>
      <c r="H34" s="71"/>
      <c r="I34" s="71"/>
      <c r="J34" s="72"/>
      <c r="K34" s="73"/>
      <c r="L34" s="56"/>
      <c r="M34" s="74"/>
      <c r="N34" s="75"/>
      <c r="O34" s="71"/>
      <c r="P34" s="72"/>
      <c r="Q34" s="72"/>
      <c r="R34" s="73"/>
      <c r="S34" s="56"/>
      <c r="T34" s="59">
        <f t="shared" si="0"/>
        <v>0</v>
      </c>
      <c r="U34" s="76">
        <f t="shared" si="4"/>
        <v>0</v>
      </c>
      <c r="V34" s="76">
        <f t="shared" si="5"/>
        <v>0</v>
      </c>
    </row>
    <row r="35" spans="1:23" hidden="1" x14ac:dyDescent="0.25">
      <c r="A35" s="27">
        <f t="shared" si="1"/>
        <v>32</v>
      </c>
      <c r="B35" s="26" t="s">
        <v>25</v>
      </c>
      <c r="C35" s="71"/>
      <c r="D35" s="71"/>
      <c r="E35" s="71"/>
      <c r="F35" s="71"/>
      <c r="G35" s="71"/>
      <c r="H35" s="71"/>
      <c r="I35" s="71"/>
      <c r="J35" s="72"/>
      <c r="K35" s="73"/>
      <c r="L35" s="56"/>
      <c r="M35" s="74"/>
      <c r="N35" s="75"/>
      <c r="O35" s="71"/>
      <c r="P35" s="72"/>
      <c r="Q35" s="72"/>
      <c r="R35" s="73"/>
      <c r="S35" s="56"/>
      <c r="T35" s="59">
        <f t="shared" si="0"/>
        <v>0</v>
      </c>
      <c r="U35" s="76">
        <f t="shared" si="4"/>
        <v>0</v>
      </c>
      <c r="V35" s="76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1"/>
      <c r="D36" s="71"/>
      <c r="E36" s="71"/>
      <c r="F36" s="71"/>
      <c r="G36" s="71"/>
      <c r="H36" s="71"/>
      <c r="I36" s="71"/>
      <c r="J36" s="72"/>
      <c r="K36" s="73"/>
      <c r="L36" s="56"/>
      <c r="M36" s="74"/>
      <c r="N36" s="75"/>
      <c r="O36" s="71"/>
      <c r="P36" s="72"/>
      <c r="Q36" s="72"/>
      <c r="R36" s="73"/>
      <c r="S36" s="56"/>
      <c r="T36" s="59">
        <f t="shared" si="0"/>
        <v>0</v>
      </c>
      <c r="U36" s="76">
        <f t="shared" si="4"/>
        <v>0</v>
      </c>
      <c r="V36" s="76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60"/>
      <c r="D37" s="60"/>
      <c r="E37" s="60"/>
      <c r="F37" s="60"/>
      <c r="G37" s="60"/>
      <c r="H37" s="60"/>
      <c r="I37" s="60"/>
      <c r="J37" s="61"/>
      <c r="K37" s="62"/>
      <c r="L37" s="63"/>
      <c r="M37" s="64"/>
      <c r="N37" s="65"/>
      <c r="O37" s="66"/>
      <c r="P37" s="67"/>
      <c r="Q37" s="67"/>
      <c r="R37" s="68"/>
      <c r="S37" s="63"/>
      <c r="T37" s="78">
        <f t="shared" si="0"/>
        <v>0</v>
      </c>
      <c r="U37" s="78">
        <f>C37*6+M37*6+O37*6+Q37*6+T37</f>
        <v>0</v>
      </c>
      <c r="V37" s="78">
        <f>U37/6</f>
        <v>0</v>
      </c>
      <c r="W37" s="50"/>
    </row>
    <row r="38" spans="1:23" x14ac:dyDescent="0.25">
      <c r="A38" s="27">
        <f t="shared" si="1"/>
        <v>35</v>
      </c>
      <c r="B38" s="25" t="s">
        <v>20</v>
      </c>
      <c r="C38" s="71"/>
      <c r="D38" s="71"/>
      <c r="E38" s="71"/>
      <c r="F38" s="71"/>
      <c r="G38" s="71"/>
      <c r="H38" s="71"/>
      <c r="I38" s="71"/>
      <c r="J38" s="72"/>
      <c r="K38" s="73"/>
      <c r="L38" s="56"/>
      <c r="M38" s="74"/>
      <c r="N38" s="75"/>
      <c r="O38" s="71"/>
      <c r="P38" s="72"/>
      <c r="Q38" s="72"/>
      <c r="R38" s="73"/>
      <c r="S38" s="56"/>
      <c r="T38" s="76">
        <f t="shared" si="0"/>
        <v>0</v>
      </c>
      <c r="U38" s="76">
        <f>C38*24+M38*24+O38*24+Q38*24+T38</f>
        <v>0</v>
      </c>
      <c r="V38" s="76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9"/>
      <c r="D39" s="79"/>
      <c r="E39" s="79"/>
      <c r="F39" s="79"/>
      <c r="G39" s="79"/>
      <c r="H39" s="79"/>
      <c r="I39" s="79"/>
      <c r="J39" s="80"/>
      <c r="K39" s="81"/>
      <c r="L39" s="56"/>
      <c r="M39" s="82"/>
      <c r="N39" s="83"/>
      <c r="O39" s="79"/>
      <c r="P39" s="80"/>
      <c r="Q39" s="80"/>
      <c r="R39" s="81"/>
      <c r="S39" s="56"/>
      <c r="T39" s="84"/>
      <c r="U39" s="84"/>
      <c r="V39" s="84"/>
    </row>
    <row r="40" spans="1:23" ht="19.5" thickBot="1" x14ac:dyDescent="0.3">
      <c r="A40" s="27">
        <f t="shared" si="1"/>
        <v>37</v>
      </c>
      <c r="B40" s="42" t="s">
        <v>21</v>
      </c>
      <c r="C40" s="60"/>
      <c r="D40" s="60"/>
      <c r="E40" s="60"/>
      <c r="F40" s="60"/>
      <c r="G40" s="60"/>
      <c r="H40" s="60"/>
      <c r="I40" s="60"/>
      <c r="J40" s="61"/>
      <c r="K40" s="62"/>
      <c r="L40" s="63"/>
      <c r="M40" s="64"/>
      <c r="N40" s="65"/>
      <c r="O40" s="66"/>
      <c r="P40" s="67"/>
      <c r="Q40" s="67"/>
      <c r="R40" s="68"/>
      <c r="S40" s="63"/>
      <c r="T40" s="78">
        <f t="shared" si="0"/>
        <v>0</v>
      </c>
      <c r="U40" s="78">
        <f>C40*24+M40*24+O40*24+Q40*24+T40</f>
        <v>0</v>
      </c>
      <c r="V40" s="78">
        <f>U40/24</f>
        <v>0</v>
      </c>
    </row>
    <row r="41" spans="1:23" ht="19.5" thickBot="1" x14ac:dyDescent="0.3">
      <c r="A41" s="27">
        <f t="shared" si="1"/>
        <v>38</v>
      </c>
      <c r="B41" s="43" t="s">
        <v>22</v>
      </c>
      <c r="C41" s="85"/>
      <c r="D41" s="85"/>
      <c r="E41" s="85"/>
      <c r="F41" s="85"/>
      <c r="G41" s="85"/>
      <c r="H41" s="85"/>
      <c r="I41" s="85"/>
      <c r="J41" s="86"/>
      <c r="K41" s="87"/>
      <c r="L41" s="88"/>
      <c r="M41" s="89"/>
      <c r="N41" s="90"/>
      <c r="O41" s="85"/>
      <c r="P41" s="86"/>
      <c r="Q41" s="86"/>
      <c r="R41" s="87"/>
      <c r="S41" s="88"/>
      <c r="T41" s="91">
        <f t="shared" si="0"/>
        <v>0</v>
      </c>
      <c r="U41" s="91">
        <f>C41*12+M41*12+O41*12+Q41*12+T41</f>
        <v>0</v>
      </c>
      <c r="V41" s="91">
        <f>U41/12</f>
        <v>0</v>
      </c>
    </row>
    <row r="42" spans="1:23" hidden="1" x14ac:dyDescent="0.25">
      <c r="A42" s="27">
        <f t="shared" si="1"/>
        <v>39</v>
      </c>
      <c r="B42" s="25" t="s">
        <v>29</v>
      </c>
      <c r="C42" s="71"/>
      <c r="D42" s="71"/>
      <c r="E42" s="71"/>
      <c r="F42" s="71"/>
      <c r="G42" s="71"/>
      <c r="H42" s="71"/>
      <c r="I42" s="71"/>
      <c r="J42" s="72"/>
      <c r="K42" s="73"/>
      <c r="L42" s="56"/>
      <c r="M42" s="74"/>
      <c r="N42" s="75"/>
      <c r="O42" s="71"/>
      <c r="P42" s="72"/>
      <c r="Q42" s="72"/>
      <c r="R42" s="73"/>
      <c r="S42" s="56"/>
      <c r="T42" s="76"/>
      <c r="U42" s="76"/>
      <c r="V42" s="76"/>
    </row>
    <row r="43" spans="1:23" ht="19.5" thickBot="1" x14ac:dyDescent="0.3">
      <c r="A43" s="27">
        <f t="shared" si="1"/>
        <v>40</v>
      </c>
      <c r="B43" s="42" t="s">
        <v>23</v>
      </c>
      <c r="C43" s="66"/>
      <c r="D43" s="66"/>
      <c r="E43" s="66"/>
      <c r="F43" s="66"/>
      <c r="G43" s="66"/>
      <c r="H43" s="66"/>
      <c r="I43" s="66"/>
      <c r="J43" s="67"/>
      <c r="K43" s="68"/>
      <c r="L43" s="63"/>
      <c r="M43" s="64"/>
      <c r="N43" s="65"/>
      <c r="O43" s="66"/>
      <c r="P43" s="67"/>
      <c r="Q43" s="67"/>
      <c r="R43" s="68"/>
      <c r="S43" s="63"/>
      <c r="T43" s="78">
        <f t="shared" ref="T43" si="6">H43+I43+J43+K43+N43+P43+R43</f>
        <v>0</v>
      </c>
      <c r="U43" s="78">
        <f>C43*6+M43*6+O43*6+Q43*6+T43</f>
        <v>0</v>
      </c>
      <c r="V43" s="78">
        <f>U43/6</f>
        <v>0</v>
      </c>
    </row>
    <row r="44" spans="1:23" hidden="1" x14ac:dyDescent="0.25">
      <c r="A44" s="27">
        <f t="shared" si="1"/>
        <v>41</v>
      </c>
      <c r="B44" s="25" t="s">
        <v>31</v>
      </c>
      <c r="C44" s="71"/>
      <c r="D44" s="71"/>
      <c r="E44" s="71"/>
      <c r="F44" s="71"/>
      <c r="G44" s="71"/>
      <c r="H44" s="71"/>
      <c r="I44" s="71"/>
      <c r="J44" s="72"/>
      <c r="K44" s="73"/>
      <c r="L44" s="56"/>
      <c r="M44" s="74"/>
      <c r="N44" s="75"/>
      <c r="O44" s="71"/>
      <c r="P44" s="72"/>
      <c r="Q44" s="72"/>
      <c r="R44" s="73"/>
      <c r="S44" s="56"/>
      <c r="T44" s="76"/>
      <c r="U44" s="76"/>
      <c r="V44" s="76"/>
    </row>
    <row r="45" spans="1:23" x14ac:dyDescent="0.25">
      <c r="A45" s="27">
        <f t="shared" si="1"/>
        <v>42</v>
      </c>
      <c r="B45" s="26" t="s">
        <v>24</v>
      </c>
      <c r="C45" s="71"/>
      <c r="D45" s="71"/>
      <c r="E45" s="71"/>
      <c r="F45" s="71"/>
      <c r="G45" s="71"/>
      <c r="H45" s="71"/>
      <c r="I45" s="71"/>
      <c r="J45" s="72"/>
      <c r="K45" s="73"/>
      <c r="L45" s="56"/>
      <c r="M45" s="74"/>
      <c r="N45" s="75"/>
      <c r="O45" s="71"/>
      <c r="P45" s="72"/>
      <c r="Q45" s="72"/>
      <c r="R45" s="73"/>
      <c r="S45" s="56"/>
      <c r="T45" s="76">
        <f t="shared" ref="T45:T54" si="7">H45+I45+J45+K45+N45+P45+R45</f>
        <v>0</v>
      </c>
      <c r="U45" s="76">
        <f>C45*24+M45*24+O45*24+Q45*24+T45</f>
        <v>0</v>
      </c>
      <c r="V45" s="76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1"/>
      <c r="D46" s="71"/>
      <c r="E46" s="71"/>
      <c r="F46" s="71"/>
      <c r="G46" s="71"/>
      <c r="H46" s="71"/>
      <c r="I46" s="71"/>
      <c r="J46" s="72"/>
      <c r="K46" s="73"/>
      <c r="L46" s="56"/>
      <c r="M46" s="74"/>
      <c r="N46" s="75"/>
      <c r="O46" s="71"/>
      <c r="P46" s="72"/>
      <c r="Q46" s="72"/>
      <c r="R46" s="73"/>
      <c r="S46" s="56"/>
      <c r="T46" s="76">
        <f t="shared" si="7"/>
        <v>0</v>
      </c>
      <c r="U46" s="76">
        <f t="shared" ref="U46:U50" si="8">C46*24+M46*24+O46*24+Q46*24+T46</f>
        <v>0</v>
      </c>
      <c r="V46" s="76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6"/>
      <c r="D47" s="66"/>
      <c r="E47" s="66"/>
      <c r="F47" s="66"/>
      <c r="G47" s="66"/>
      <c r="H47" s="66"/>
      <c r="I47" s="66"/>
      <c r="J47" s="67"/>
      <c r="K47" s="68"/>
      <c r="L47" s="63"/>
      <c r="M47" s="64"/>
      <c r="N47" s="65"/>
      <c r="O47" s="66"/>
      <c r="P47" s="67"/>
      <c r="Q47" s="67"/>
      <c r="R47" s="68"/>
      <c r="S47" s="63"/>
      <c r="T47" s="78">
        <f t="shared" si="7"/>
        <v>0</v>
      </c>
      <c r="U47" s="78">
        <f>C47*6+M47*6+O47*6+Q47*6+T47</f>
        <v>0</v>
      </c>
      <c r="V47" s="78">
        <f>U47/6</f>
        <v>0</v>
      </c>
    </row>
    <row r="48" spans="1:23" x14ac:dyDescent="0.25">
      <c r="A48" s="27">
        <f t="shared" si="1"/>
        <v>45</v>
      </c>
      <c r="B48" s="25" t="s">
        <v>58</v>
      </c>
      <c r="C48" s="71"/>
      <c r="D48" s="71"/>
      <c r="E48" s="71"/>
      <c r="F48" s="71"/>
      <c r="G48" s="71"/>
      <c r="H48" s="71"/>
      <c r="I48" s="71"/>
      <c r="J48" s="72"/>
      <c r="K48" s="73"/>
      <c r="L48" s="56"/>
      <c r="M48" s="74"/>
      <c r="N48" s="75"/>
      <c r="O48" s="71"/>
      <c r="P48" s="72"/>
      <c r="Q48" s="72"/>
      <c r="R48" s="73"/>
      <c r="S48" s="56"/>
      <c r="T48" s="76">
        <f t="shared" si="7"/>
        <v>0</v>
      </c>
      <c r="U48" s="76">
        <f t="shared" si="8"/>
        <v>0</v>
      </c>
      <c r="V48" s="76">
        <f t="shared" si="9"/>
        <v>0</v>
      </c>
    </row>
    <row r="49" spans="1:22" x14ac:dyDescent="0.25">
      <c r="A49" s="27">
        <f t="shared" si="1"/>
        <v>46</v>
      </c>
      <c r="B49" s="26" t="s">
        <v>26</v>
      </c>
      <c r="C49" s="71"/>
      <c r="D49" s="71"/>
      <c r="E49" s="71"/>
      <c r="F49" s="71"/>
      <c r="G49" s="71"/>
      <c r="H49" s="71"/>
      <c r="I49" s="71"/>
      <c r="J49" s="72"/>
      <c r="K49" s="73"/>
      <c r="L49" s="56"/>
      <c r="M49" s="74"/>
      <c r="N49" s="75"/>
      <c r="O49" s="71"/>
      <c r="P49" s="72"/>
      <c r="Q49" s="72"/>
      <c r="R49" s="73"/>
      <c r="S49" s="56"/>
      <c r="T49" s="76">
        <f t="shared" si="7"/>
        <v>0</v>
      </c>
      <c r="U49" s="76">
        <f t="shared" si="8"/>
        <v>0</v>
      </c>
      <c r="V49" s="76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1"/>
      <c r="D50" s="71"/>
      <c r="E50" s="71"/>
      <c r="F50" s="71"/>
      <c r="G50" s="71"/>
      <c r="H50" s="71"/>
      <c r="I50" s="71"/>
      <c r="J50" s="72"/>
      <c r="K50" s="73"/>
      <c r="L50" s="56"/>
      <c r="M50" s="74"/>
      <c r="N50" s="75"/>
      <c r="O50" s="71"/>
      <c r="P50" s="72"/>
      <c r="Q50" s="72"/>
      <c r="R50" s="73"/>
      <c r="S50" s="56"/>
      <c r="T50" s="76">
        <f t="shared" si="7"/>
        <v>0</v>
      </c>
      <c r="U50" s="76">
        <f t="shared" si="8"/>
        <v>0</v>
      </c>
      <c r="V50" s="76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6"/>
      <c r="D51" s="66"/>
      <c r="E51" s="66"/>
      <c r="F51" s="66"/>
      <c r="G51" s="66"/>
      <c r="H51" s="66"/>
      <c r="I51" s="66"/>
      <c r="J51" s="67"/>
      <c r="K51" s="68"/>
      <c r="L51" s="63"/>
      <c r="M51" s="64"/>
      <c r="N51" s="65"/>
      <c r="O51" s="66"/>
      <c r="P51" s="67"/>
      <c r="Q51" s="67"/>
      <c r="R51" s="68"/>
      <c r="S51" s="63"/>
      <c r="T51" s="78">
        <f t="shared" si="7"/>
        <v>0</v>
      </c>
      <c r="U51" s="78">
        <f>C51*6+M51*6+O51*6+Q51*6+T51</f>
        <v>0</v>
      </c>
      <c r="V51" s="78">
        <f>U51/6</f>
        <v>0</v>
      </c>
    </row>
    <row r="52" spans="1:22" x14ac:dyDescent="0.25">
      <c r="A52" s="27">
        <f t="shared" si="1"/>
        <v>49</v>
      </c>
      <c r="B52" s="25" t="s">
        <v>28</v>
      </c>
      <c r="C52" s="71"/>
      <c r="D52" s="71"/>
      <c r="E52" s="71"/>
      <c r="F52" s="71"/>
      <c r="G52" s="71"/>
      <c r="H52" s="71"/>
      <c r="I52" s="71"/>
      <c r="J52" s="72"/>
      <c r="K52" s="73"/>
      <c r="L52" s="56"/>
      <c r="M52" s="74"/>
      <c r="N52" s="75"/>
      <c r="O52" s="71"/>
      <c r="P52" s="72"/>
      <c r="Q52" s="72"/>
      <c r="R52" s="73"/>
      <c r="S52" s="56"/>
      <c r="T52" s="76">
        <f t="shared" si="7"/>
        <v>0</v>
      </c>
      <c r="U52" s="76">
        <f t="shared" ref="U52:U54" si="10">C52*24+M52*24+O52*24+Q52*24+T52</f>
        <v>0</v>
      </c>
      <c r="V52" s="76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1"/>
      <c r="D53" s="71"/>
      <c r="E53" s="71"/>
      <c r="F53" s="71"/>
      <c r="G53" s="71"/>
      <c r="H53" s="71"/>
      <c r="I53" s="71"/>
      <c r="J53" s="72"/>
      <c r="K53" s="73"/>
      <c r="L53" s="56"/>
      <c r="M53" s="74"/>
      <c r="N53" s="75"/>
      <c r="O53" s="71"/>
      <c r="P53" s="72"/>
      <c r="Q53" s="72"/>
      <c r="R53" s="73"/>
      <c r="S53" s="56"/>
      <c r="T53" s="76">
        <f t="shared" si="7"/>
        <v>0</v>
      </c>
      <c r="U53" s="76">
        <f t="shared" si="10"/>
        <v>0</v>
      </c>
      <c r="V53" s="76">
        <f t="shared" si="9"/>
        <v>0</v>
      </c>
    </row>
    <row r="54" spans="1:22" x14ac:dyDescent="0.25">
      <c r="A54" s="27">
        <f t="shared" si="1"/>
        <v>51</v>
      </c>
      <c r="B54" s="26"/>
      <c r="C54" s="71"/>
      <c r="D54" s="71"/>
      <c r="E54" s="71"/>
      <c r="F54" s="71"/>
      <c r="G54" s="71"/>
      <c r="H54" s="71"/>
      <c r="I54" s="71"/>
      <c r="J54" s="72"/>
      <c r="K54" s="73"/>
      <c r="L54" s="56"/>
      <c r="M54" s="74"/>
      <c r="N54" s="75"/>
      <c r="O54" s="71"/>
      <c r="P54" s="72"/>
      <c r="Q54" s="72"/>
      <c r="R54" s="73"/>
      <c r="S54" s="56"/>
      <c r="T54" s="76">
        <f t="shared" si="7"/>
        <v>0</v>
      </c>
      <c r="U54" s="76">
        <f t="shared" si="10"/>
        <v>0</v>
      </c>
      <c r="V54" s="76">
        <f t="shared" si="9"/>
        <v>0</v>
      </c>
    </row>
    <row r="55" spans="1:22" x14ac:dyDescent="0.25">
      <c r="A55" s="27">
        <f t="shared" si="1"/>
        <v>52</v>
      </c>
      <c r="B55" s="26"/>
      <c r="C55" s="71"/>
      <c r="D55" s="71"/>
      <c r="E55" s="71"/>
      <c r="F55" s="71"/>
      <c r="G55" s="71"/>
      <c r="H55" s="71"/>
      <c r="I55" s="71"/>
      <c r="J55" s="72"/>
      <c r="K55" s="73"/>
      <c r="L55" s="56"/>
      <c r="M55" s="74"/>
      <c r="N55" s="75"/>
      <c r="O55" s="71"/>
      <c r="P55" s="72"/>
      <c r="Q55" s="72"/>
      <c r="R55" s="73"/>
      <c r="S55" s="56"/>
      <c r="T55" s="76"/>
      <c r="U55" s="76"/>
      <c r="V55" s="76"/>
    </row>
    <row r="56" spans="1:22" x14ac:dyDescent="0.25">
      <c r="A56" s="27">
        <f t="shared" si="1"/>
        <v>53</v>
      </c>
      <c r="B56" s="26"/>
      <c r="C56" s="71"/>
      <c r="D56" s="71"/>
      <c r="E56" s="71"/>
      <c r="F56" s="71"/>
      <c r="G56" s="71"/>
      <c r="H56" s="71"/>
      <c r="I56" s="71"/>
      <c r="J56" s="72"/>
      <c r="K56" s="73"/>
      <c r="L56" s="56"/>
      <c r="M56" s="74"/>
      <c r="N56" s="75"/>
      <c r="O56" s="71"/>
      <c r="P56" s="72"/>
      <c r="Q56" s="72"/>
      <c r="R56" s="73"/>
      <c r="S56" s="56"/>
      <c r="T56" s="76"/>
      <c r="U56" s="76"/>
      <c r="V56" s="76"/>
    </row>
    <row r="57" spans="1:22" x14ac:dyDescent="0.25">
      <c r="A57" s="27">
        <f t="shared" si="1"/>
        <v>54</v>
      </c>
      <c r="B57" s="26"/>
      <c r="C57" s="71"/>
      <c r="D57" s="71"/>
      <c r="E57" s="71"/>
      <c r="F57" s="71"/>
      <c r="G57" s="71"/>
      <c r="H57" s="71"/>
      <c r="I57" s="71"/>
      <c r="J57" s="72"/>
      <c r="K57" s="73"/>
      <c r="L57" s="56"/>
      <c r="M57" s="74"/>
      <c r="N57" s="75"/>
      <c r="O57" s="71"/>
      <c r="P57" s="72"/>
      <c r="Q57" s="72"/>
      <c r="R57" s="73"/>
      <c r="S57" s="56"/>
      <c r="T57" s="76"/>
      <c r="U57" s="76"/>
      <c r="V57" s="76"/>
    </row>
    <row r="58" spans="1:22" s="15" customFormat="1" ht="19.5" thickBot="1" x14ac:dyDescent="0.3">
      <c r="B58" s="29" t="s">
        <v>50</v>
      </c>
      <c r="C58" s="2">
        <f>SUM(C7:C57)</f>
        <v>0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0</v>
      </c>
      <c r="I58" s="6">
        <f t="shared" si="11"/>
        <v>0</v>
      </c>
      <c r="J58" s="6">
        <f t="shared" si="11"/>
        <v>0</v>
      </c>
      <c r="K58" s="6">
        <f t="shared" si="11"/>
        <v>0</v>
      </c>
      <c r="M58" s="5">
        <f t="shared" ref="M58:R58" si="12">SUM(M7:M57)</f>
        <v>0</v>
      </c>
      <c r="N58" s="5">
        <f t="shared" si="12"/>
        <v>0</v>
      </c>
      <c r="O58" s="5">
        <f t="shared" si="12"/>
        <v>0</v>
      </c>
      <c r="P58" s="5">
        <f t="shared" si="12"/>
        <v>0</v>
      </c>
      <c r="Q58" s="5">
        <f t="shared" si="12"/>
        <v>0</v>
      </c>
      <c r="R58" s="5">
        <f t="shared" si="12"/>
        <v>0</v>
      </c>
      <c r="S58" s="56"/>
      <c r="T58" s="4">
        <f>SUM(T7:T57)</f>
        <v>0</v>
      </c>
      <c r="U58" s="4">
        <f>SUM(U7:U57)</f>
        <v>0</v>
      </c>
      <c r="V58" s="4">
        <f>SUM(V7:V57)</f>
        <v>0</v>
      </c>
    </row>
    <row r="59" spans="1:22" ht="7.5" customHeight="1" thickBot="1" x14ac:dyDescent="0.3"/>
    <row r="60" spans="1:22" ht="19.5" thickBot="1" x14ac:dyDescent="0.3">
      <c r="B60" s="30" t="s">
        <v>37</v>
      </c>
      <c r="C60" s="108" t="s">
        <v>41</v>
      </c>
      <c r="D60" s="109"/>
      <c r="E60" s="109"/>
      <c r="F60" s="109"/>
      <c r="G60" s="109"/>
      <c r="H60" s="109"/>
      <c r="I60" s="109"/>
      <c r="J60" s="109"/>
      <c r="K60" s="110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8</vt:i4>
      </vt:variant>
    </vt:vector>
  </HeadingPairs>
  <TitlesOfParts>
    <vt:vector size="16" baseType="lpstr">
      <vt:lpstr>SAMPLE</vt:lpstr>
      <vt:lpstr>03-02-20261</vt:lpstr>
      <vt:lpstr>03-04-2026</vt:lpstr>
      <vt:lpstr>03-05-2026</vt:lpstr>
      <vt:lpstr>03-06-2026</vt:lpstr>
      <vt:lpstr>03-07-2026</vt:lpstr>
      <vt:lpstr>03-09-2026</vt:lpstr>
      <vt:lpstr>03-10-2026</vt:lpstr>
      <vt:lpstr>'03-02-20261'!Print_Area</vt:lpstr>
      <vt:lpstr>'03-04-2026'!Print_Area</vt:lpstr>
      <vt:lpstr>'03-05-2026'!Print_Area</vt:lpstr>
      <vt:lpstr>'03-06-2026'!Print_Area</vt:lpstr>
      <vt:lpstr>'03-07-2026'!Print_Area</vt:lpstr>
      <vt:lpstr>'03-09-2026'!Print_Area</vt:lpstr>
      <vt:lpstr>'03-10-2026'!Print_Area</vt:lpstr>
      <vt:lpstr>SAMPLE!Print_Area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2026-02-16T05:13:57Z</cp:lastPrinted>
  <dcterms:created xsi:type="dcterms:W3CDTF">2024-08-17T00:07:58Z</dcterms:created>
  <dcterms:modified xsi:type="dcterms:W3CDTF">2026-03-09T02:26:05Z</dcterms:modified>
</cp:coreProperties>
</file>