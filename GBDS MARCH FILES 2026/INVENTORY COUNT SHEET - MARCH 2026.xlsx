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47693C4-D55C-471C-B86F-71F5BDD3963E}" xr6:coauthVersionLast="45" xr6:coauthVersionMax="45" xr10:uidLastSave="{00000000-0000-0000-0000-000000000000}"/>
  <bookViews>
    <workbookView xWindow="-120" yWindow="-120" windowWidth="29040" windowHeight="15840" firstSheet="12" activeTab="18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4-2026" sheetId="40" r:id="rId11"/>
    <sheet name="03-16-2026" sheetId="41" r:id="rId12"/>
    <sheet name="03-17-2026" sheetId="42" r:id="rId13"/>
    <sheet name="03-18-2026" sheetId="43" r:id="rId14"/>
    <sheet name="03-19-2026" sheetId="44" r:id="rId15"/>
    <sheet name="03-20-2026" sheetId="45" r:id="rId16"/>
    <sheet name="03-23-2026" sheetId="46" r:id="rId17"/>
    <sheet name="03-24-2026" sheetId="47" r:id="rId18"/>
    <sheet name="03-25-2026" sheetId="48" r:id="rId19"/>
    <sheet name="03-26-2026" sheetId="49" r:id="rId20"/>
    <sheet name="03-27-2026" sheetId="50" r:id="rId21"/>
    <sheet name="03-28-2026" sheetId="51" r:id="rId22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'03-14-2026'!$A$1:$W$59</definedName>
    <definedName name="_xlnm.Print_Area" localSheetId="11">'03-16-2026'!$A$1:$W$59</definedName>
    <definedName name="_xlnm.Print_Area" localSheetId="12">'03-17-2026'!$A$1:$W$59</definedName>
    <definedName name="_xlnm.Print_Area" localSheetId="13">'03-18-2026'!$A$1:$W$59</definedName>
    <definedName name="_xlnm.Print_Area" localSheetId="14">'03-19-2026'!$A$1:$W$59</definedName>
    <definedName name="_xlnm.Print_Area" localSheetId="15">'03-20-2026'!$A$1:$W$59</definedName>
    <definedName name="_xlnm.Print_Area" localSheetId="16">'03-23-2026'!$A$1:$W$59</definedName>
    <definedName name="_xlnm.Print_Area" localSheetId="17">'03-24-2026'!$A$1:$W$59</definedName>
    <definedName name="_xlnm.Print_Area" localSheetId="18">'03-25-2026'!$A$1:$W$59</definedName>
    <definedName name="_xlnm.Print_Area" localSheetId="19">'03-26-2026'!$A$1:$W$59</definedName>
    <definedName name="_xlnm.Print_Area" localSheetId="20">'03-27-2026'!$A$1:$W$59</definedName>
    <definedName name="_xlnm.Print_Area" localSheetId="21">'03-28-2026'!$A$1:$W$59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48" l="1"/>
  <c r="C47" i="48"/>
  <c r="J43" i="48"/>
  <c r="C43" i="48"/>
  <c r="C41" i="48"/>
  <c r="C40" i="48"/>
  <c r="C37" i="48"/>
  <c r="C34" i="48"/>
  <c r="C28" i="48"/>
  <c r="C12" i="48"/>
  <c r="C8" i="48"/>
  <c r="R58" i="51"/>
  <c r="Q58" i="51"/>
  <c r="P58" i="51"/>
  <c r="O58" i="51"/>
  <c r="N58" i="51"/>
  <c r="M58" i="51"/>
  <c r="K58" i="51"/>
  <c r="J58" i="51"/>
  <c r="I58" i="51"/>
  <c r="H58" i="51"/>
  <c r="G58" i="51"/>
  <c r="F58" i="51"/>
  <c r="C58" i="51"/>
  <c r="T54" i="51"/>
  <c r="U54" i="51" s="1"/>
  <c r="V54" i="51" s="1"/>
  <c r="T53" i="51"/>
  <c r="U53" i="51" s="1"/>
  <c r="V53" i="51" s="1"/>
  <c r="T52" i="51"/>
  <c r="U52" i="51" s="1"/>
  <c r="V52" i="51" s="1"/>
  <c r="T51" i="51"/>
  <c r="U51" i="51" s="1"/>
  <c r="V51" i="51" s="1"/>
  <c r="T50" i="51"/>
  <c r="U50" i="51" s="1"/>
  <c r="V50" i="51" s="1"/>
  <c r="T49" i="51"/>
  <c r="U49" i="51" s="1"/>
  <c r="V49" i="51" s="1"/>
  <c r="T48" i="51"/>
  <c r="U48" i="51" s="1"/>
  <c r="V48" i="51" s="1"/>
  <c r="T47" i="51"/>
  <c r="U47" i="51" s="1"/>
  <c r="V47" i="51" s="1"/>
  <c r="T46" i="51"/>
  <c r="U46" i="51" s="1"/>
  <c r="V46" i="51" s="1"/>
  <c r="T45" i="51"/>
  <c r="U45" i="51" s="1"/>
  <c r="V45" i="51" s="1"/>
  <c r="T43" i="51"/>
  <c r="U43" i="51" s="1"/>
  <c r="V43" i="51" s="1"/>
  <c r="T41" i="51"/>
  <c r="U41" i="51" s="1"/>
  <c r="V41" i="51" s="1"/>
  <c r="T40" i="51"/>
  <c r="U40" i="51" s="1"/>
  <c r="V40" i="51" s="1"/>
  <c r="T38" i="51"/>
  <c r="U38" i="51" s="1"/>
  <c r="V38" i="51" s="1"/>
  <c r="U37" i="51"/>
  <c r="V37" i="51" s="1"/>
  <c r="T37" i="51"/>
  <c r="U36" i="51"/>
  <c r="V36" i="51" s="1"/>
  <c r="T36" i="51"/>
  <c r="U35" i="51"/>
  <c r="V35" i="51" s="1"/>
  <c r="T35" i="51"/>
  <c r="T34" i="51"/>
  <c r="U34" i="51" s="1"/>
  <c r="V34" i="51" s="1"/>
  <c r="U33" i="51"/>
  <c r="V33" i="51" s="1"/>
  <c r="T33" i="51"/>
  <c r="U32" i="51"/>
  <c r="V32" i="51" s="1"/>
  <c r="T32" i="51"/>
  <c r="U31" i="51"/>
  <c r="V31" i="51" s="1"/>
  <c r="T31" i="51"/>
  <c r="T30" i="51"/>
  <c r="U30" i="51" s="1"/>
  <c r="V30" i="51" s="1"/>
  <c r="U29" i="51"/>
  <c r="V29" i="51" s="1"/>
  <c r="T29" i="51"/>
  <c r="U28" i="51"/>
  <c r="V28" i="51" s="1"/>
  <c r="T28" i="51"/>
  <c r="T26" i="51"/>
  <c r="U26" i="51" s="1"/>
  <c r="V26" i="51" s="1"/>
  <c r="AY25" i="51"/>
  <c r="T25" i="51"/>
  <c r="U25" i="51" s="1"/>
  <c r="V25" i="51" s="1"/>
  <c r="U24" i="51"/>
  <c r="V24" i="51" s="1"/>
  <c r="T24" i="51"/>
  <c r="T23" i="51"/>
  <c r="U23" i="51" s="1"/>
  <c r="V23" i="51" s="1"/>
  <c r="T22" i="51"/>
  <c r="U22" i="51" s="1"/>
  <c r="V22" i="51" s="1"/>
  <c r="T21" i="51"/>
  <c r="U21" i="51" s="1"/>
  <c r="V21" i="51" s="1"/>
  <c r="A21" i="5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U20" i="51"/>
  <c r="V20" i="51" s="1"/>
  <c r="T20" i="51"/>
  <c r="A20" i="51"/>
  <c r="T19" i="51"/>
  <c r="U19" i="51" s="1"/>
  <c r="V19" i="51" s="1"/>
  <c r="T18" i="51"/>
  <c r="U18" i="51" s="1"/>
  <c r="V18" i="51" s="1"/>
  <c r="T17" i="51"/>
  <c r="U17" i="51" s="1"/>
  <c r="V17" i="51" s="1"/>
  <c r="T16" i="51"/>
  <c r="U16" i="51" s="1"/>
  <c r="V16" i="51" s="1"/>
  <c r="T15" i="51"/>
  <c r="U15" i="51" s="1"/>
  <c r="V15" i="51" s="1"/>
  <c r="T14" i="51"/>
  <c r="U14" i="51" s="1"/>
  <c r="V14" i="51" s="1"/>
  <c r="A14" i="51"/>
  <c r="A15" i="51" s="1"/>
  <c r="A16" i="51" s="1"/>
  <c r="A17" i="51" s="1"/>
  <c r="A18" i="51" s="1"/>
  <c r="T13" i="51"/>
  <c r="U13" i="51" s="1"/>
  <c r="V13" i="51" s="1"/>
  <c r="U12" i="51"/>
  <c r="V12" i="51" s="1"/>
  <c r="T12" i="51"/>
  <c r="T11" i="51"/>
  <c r="U11" i="51" s="1"/>
  <c r="V11" i="51" s="1"/>
  <c r="T10" i="51"/>
  <c r="U10" i="51" s="1"/>
  <c r="V10" i="51" s="1"/>
  <c r="U9" i="51"/>
  <c r="V9" i="51" s="1"/>
  <c r="T9" i="51"/>
  <c r="A9" i="51"/>
  <c r="A10" i="51" s="1"/>
  <c r="A11" i="51" s="1"/>
  <c r="T8" i="51"/>
  <c r="U8" i="51" s="1"/>
  <c r="V8" i="51" s="1"/>
  <c r="A8" i="51"/>
  <c r="T7" i="51"/>
  <c r="T58" i="51" s="1"/>
  <c r="R58" i="50"/>
  <c r="Q58" i="50"/>
  <c r="P58" i="50"/>
  <c r="O58" i="50"/>
  <c r="N58" i="50"/>
  <c r="M58" i="50"/>
  <c r="K58" i="50"/>
  <c r="J58" i="50"/>
  <c r="I58" i="50"/>
  <c r="H58" i="50"/>
  <c r="G58" i="50"/>
  <c r="F58" i="50"/>
  <c r="C58" i="50"/>
  <c r="T54" i="50"/>
  <c r="U54" i="50" s="1"/>
  <c r="V54" i="50" s="1"/>
  <c r="T53" i="50"/>
  <c r="U53" i="50" s="1"/>
  <c r="V53" i="50" s="1"/>
  <c r="T52" i="50"/>
  <c r="U52" i="50" s="1"/>
  <c r="V52" i="50" s="1"/>
  <c r="T51" i="50"/>
  <c r="U51" i="50" s="1"/>
  <c r="V51" i="50" s="1"/>
  <c r="T50" i="50"/>
  <c r="U50" i="50" s="1"/>
  <c r="V50" i="50" s="1"/>
  <c r="T49" i="50"/>
  <c r="U49" i="50" s="1"/>
  <c r="V49" i="50" s="1"/>
  <c r="T48" i="50"/>
  <c r="U48" i="50" s="1"/>
  <c r="V48" i="50" s="1"/>
  <c r="T47" i="50"/>
  <c r="U47" i="50" s="1"/>
  <c r="V47" i="50" s="1"/>
  <c r="T46" i="50"/>
  <c r="U46" i="50" s="1"/>
  <c r="V46" i="50" s="1"/>
  <c r="T45" i="50"/>
  <c r="U45" i="50" s="1"/>
  <c r="V45" i="50" s="1"/>
  <c r="U43" i="50"/>
  <c r="V43" i="50" s="1"/>
  <c r="T43" i="50"/>
  <c r="T41" i="50"/>
  <c r="U41" i="50" s="1"/>
  <c r="V41" i="50" s="1"/>
  <c r="T40" i="50"/>
  <c r="U40" i="50" s="1"/>
  <c r="V40" i="50" s="1"/>
  <c r="U38" i="50"/>
  <c r="V38" i="50" s="1"/>
  <c r="T38" i="50"/>
  <c r="T37" i="50"/>
  <c r="U37" i="50" s="1"/>
  <c r="V37" i="50" s="1"/>
  <c r="U36" i="50"/>
  <c r="V36" i="50" s="1"/>
  <c r="T36" i="50"/>
  <c r="T35" i="50"/>
  <c r="U35" i="50" s="1"/>
  <c r="V35" i="50" s="1"/>
  <c r="U34" i="50"/>
  <c r="V34" i="50" s="1"/>
  <c r="T34" i="50"/>
  <c r="T33" i="50"/>
  <c r="U33" i="50" s="1"/>
  <c r="V33" i="50" s="1"/>
  <c r="U32" i="50"/>
  <c r="V32" i="50" s="1"/>
  <c r="T32" i="50"/>
  <c r="T31" i="50"/>
  <c r="U31" i="50" s="1"/>
  <c r="V31" i="50" s="1"/>
  <c r="U30" i="50"/>
  <c r="V30" i="50" s="1"/>
  <c r="T30" i="50"/>
  <c r="T29" i="50"/>
  <c r="U29" i="50" s="1"/>
  <c r="V29" i="50" s="1"/>
  <c r="U28" i="50"/>
  <c r="V28" i="50" s="1"/>
  <c r="T28" i="50"/>
  <c r="T26" i="50"/>
  <c r="U26" i="50" s="1"/>
  <c r="V26" i="50" s="1"/>
  <c r="AY25" i="50"/>
  <c r="U25" i="50"/>
  <c r="V25" i="50" s="1"/>
  <c r="T25" i="50"/>
  <c r="T24" i="50"/>
  <c r="U24" i="50" s="1"/>
  <c r="V24" i="50" s="1"/>
  <c r="U23" i="50"/>
  <c r="V23" i="50" s="1"/>
  <c r="T23" i="50"/>
  <c r="T22" i="50"/>
  <c r="U22" i="50" s="1"/>
  <c r="V22" i="50" s="1"/>
  <c r="U21" i="50"/>
  <c r="V21" i="50" s="1"/>
  <c r="T21" i="50"/>
  <c r="T20" i="50"/>
  <c r="U20" i="50" s="1"/>
  <c r="V20" i="50" s="1"/>
  <c r="A20" i="50"/>
  <c r="A21" i="50" s="1"/>
  <c r="A22" i="50" s="1"/>
  <c r="A23" i="50" s="1"/>
  <c r="A24" i="50" s="1"/>
  <c r="A25" i="50" s="1"/>
  <c r="A26" i="50" s="1"/>
  <c r="A27" i="50" s="1"/>
  <c r="A28" i="50" s="1"/>
  <c r="A29" i="50" s="1"/>
  <c r="A30" i="50" s="1"/>
  <c r="A31" i="50" s="1"/>
  <c r="A32" i="50" s="1"/>
  <c r="A33" i="50" s="1"/>
  <c r="A34" i="50" s="1"/>
  <c r="A35" i="50" s="1"/>
  <c r="A36" i="50" s="1"/>
  <c r="A37" i="50" s="1"/>
  <c r="A38" i="50" s="1"/>
  <c r="A39" i="50" s="1"/>
  <c r="A40" i="50" s="1"/>
  <c r="A41" i="50" s="1"/>
  <c r="A42" i="50" s="1"/>
  <c r="A43" i="50" s="1"/>
  <c r="A44" i="50" s="1"/>
  <c r="A45" i="50" s="1"/>
  <c r="A46" i="50" s="1"/>
  <c r="A47" i="50" s="1"/>
  <c r="A48" i="50" s="1"/>
  <c r="A49" i="50" s="1"/>
  <c r="A50" i="50" s="1"/>
  <c r="A51" i="50" s="1"/>
  <c r="A52" i="50" s="1"/>
  <c r="A53" i="50" s="1"/>
  <c r="A54" i="50" s="1"/>
  <c r="A55" i="50" s="1"/>
  <c r="A56" i="50" s="1"/>
  <c r="A57" i="50" s="1"/>
  <c r="U19" i="50"/>
  <c r="V19" i="50" s="1"/>
  <c r="T19" i="50"/>
  <c r="T18" i="50"/>
  <c r="U18" i="50" s="1"/>
  <c r="V18" i="50" s="1"/>
  <c r="T17" i="50"/>
  <c r="U17" i="50" s="1"/>
  <c r="V17" i="50" s="1"/>
  <c r="T16" i="50"/>
  <c r="U16" i="50" s="1"/>
  <c r="V16" i="50" s="1"/>
  <c r="T15" i="50"/>
  <c r="U15" i="50" s="1"/>
  <c r="V15" i="50" s="1"/>
  <c r="T14" i="50"/>
  <c r="U14" i="50" s="1"/>
  <c r="V14" i="50" s="1"/>
  <c r="A14" i="50"/>
  <c r="A15" i="50" s="1"/>
  <c r="A16" i="50" s="1"/>
  <c r="A17" i="50" s="1"/>
  <c r="A18" i="50" s="1"/>
  <c r="T13" i="50"/>
  <c r="U13" i="50" s="1"/>
  <c r="V13" i="50" s="1"/>
  <c r="T12" i="50"/>
  <c r="U12" i="50" s="1"/>
  <c r="V12" i="50" s="1"/>
  <c r="T11" i="50"/>
  <c r="U11" i="50" s="1"/>
  <c r="V11" i="50" s="1"/>
  <c r="T10" i="50"/>
  <c r="U10" i="50" s="1"/>
  <c r="V10" i="50" s="1"/>
  <c r="T9" i="50"/>
  <c r="U9" i="50" s="1"/>
  <c r="V9" i="50" s="1"/>
  <c r="T8" i="50"/>
  <c r="U8" i="50" s="1"/>
  <c r="V8" i="50" s="1"/>
  <c r="A8" i="50"/>
  <c r="A9" i="50" s="1"/>
  <c r="A10" i="50" s="1"/>
  <c r="A11" i="50" s="1"/>
  <c r="T7" i="50"/>
  <c r="T58" i="50" s="1"/>
  <c r="R58" i="49"/>
  <c r="Q58" i="49"/>
  <c r="P58" i="49"/>
  <c r="O58" i="49"/>
  <c r="N58" i="49"/>
  <c r="M58" i="49"/>
  <c r="K58" i="49"/>
  <c r="J58" i="49"/>
  <c r="I58" i="49"/>
  <c r="H58" i="49"/>
  <c r="G58" i="49"/>
  <c r="F58" i="49"/>
  <c r="C58" i="49"/>
  <c r="U54" i="49"/>
  <c r="V54" i="49" s="1"/>
  <c r="T54" i="49"/>
  <c r="T53" i="49"/>
  <c r="U53" i="49" s="1"/>
  <c r="V53" i="49" s="1"/>
  <c r="T52" i="49"/>
  <c r="U52" i="49" s="1"/>
  <c r="V52" i="49" s="1"/>
  <c r="U51" i="49"/>
  <c r="V51" i="49" s="1"/>
  <c r="T51" i="49"/>
  <c r="U50" i="49"/>
  <c r="V50" i="49" s="1"/>
  <c r="T50" i="49"/>
  <c r="T49" i="49"/>
  <c r="U49" i="49" s="1"/>
  <c r="V49" i="49" s="1"/>
  <c r="T48" i="49"/>
  <c r="U48" i="49" s="1"/>
  <c r="V48" i="49" s="1"/>
  <c r="U47" i="49"/>
  <c r="V47" i="49" s="1"/>
  <c r="T47" i="49"/>
  <c r="U46" i="49"/>
  <c r="V46" i="49" s="1"/>
  <c r="T46" i="49"/>
  <c r="T45" i="49"/>
  <c r="U45" i="49" s="1"/>
  <c r="V45" i="49" s="1"/>
  <c r="U43" i="49"/>
  <c r="V43" i="49" s="1"/>
  <c r="T43" i="49"/>
  <c r="T41" i="49"/>
  <c r="U41" i="49" s="1"/>
  <c r="V41" i="49" s="1"/>
  <c r="T40" i="49"/>
  <c r="U40" i="49" s="1"/>
  <c r="V40" i="49" s="1"/>
  <c r="T38" i="49"/>
  <c r="U38" i="49" s="1"/>
  <c r="V38" i="49" s="1"/>
  <c r="T37" i="49"/>
  <c r="U37" i="49" s="1"/>
  <c r="V37" i="49" s="1"/>
  <c r="T36" i="49"/>
  <c r="U36" i="49" s="1"/>
  <c r="V36" i="49" s="1"/>
  <c r="T35" i="49"/>
  <c r="U35" i="49" s="1"/>
  <c r="V35" i="49" s="1"/>
  <c r="T34" i="49"/>
  <c r="U34" i="49" s="1"/>
  <c r="V34" i="49" s="1"/>
  <c r="T33" i="49"/>
  <c r="U33" i="49" s="1"/>
  <c r="V33" i="49" s="1"/>
  <c r="T32" i="49"/>
  <c r="U32" i="49" s="1"/>
  <c r="V32" i="49" s="1"/>
  <c r="T31" i="49"/>
  <c r="U31" i="49" s="1"/>
  <c r="V31" i="49" s="1"/>
  <c r="T30" i="49"/>
  <c r="U30" i="49" s="1"/>
  <c r="V30" i="49" s="1"/>
  <c r="T29" i="49"/>
  <c r="U29" i="49" s="1"/>
  <c r="V29" i="49" s="1"/>
  <c r="T28" i="49"/>
  <c r="U28" i="49" s="1"/>
  <c r="V28" i="49" s="1"/>
  <c r="T26" i="49"/>
  <c r="U26" i="49" s="1"/>
  <c r="V26" i="49" s="1"/>
  <c r="AY25" i="49"/>
  <c r="U25" i="49"/>
  <c r="V25" i="49" s="1"/>
  <c r="T25" i="49"/>
  <c r="V24" i="49"/>
  <c r="U24" i="49"/>
  <c r="T24" i="49"/>
  <c r="V23" i="49"/>
  <c r="U23" i="49"/>
  <c r="T23" i="49"/>
  <c r="T22" i="49"/>
  <c r="U22" i="49" s="1"/>
  <c r="V22" i="49" s="1"/>
  <c r="U21" i="49"/>
  <c r="V21" i="49" s="1"/>
  <c r="T21" i="49"/>
  <c r="V20" i="49"/>
  <c r="U20" i="49"/>
  <c r="T20" i="49"/>
  <c r="A20" i="49"/>
  <c r="A21" i="49" s="1"/>
  <c r="A22" i="49" s="1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A42" i="49" s="1"/>
  <c r="A43" i="49" s="1"/>
  <c r="A44" i="49" s="1"/>
  <c r="A45" i="49" s="1"/>
  <c r="A46" i="49" s="1"/>
  <c r="A47" i="49" s="1"/>
  <c r="A48" i="49" s="1"/>
  <c r="A49" i="49" s="1"/>
  <c r="A50" i="49" s="1"/>
  <c r="A51" i="49" s="1"/>
  <c r="A52" i="49" s="1"/>
  <c r="A53" i="49" s="1"/>
  <c r="A54" i="49" s="1"/>
  <c r="A55" i="49" s="1"/>
  <c r="A56" i="49" s="1"/>
  <c r="A57" i="49" s="1"/>
  <c r="V19" i="49"/>
  <c r="U19" i="49"/>
  <c r="T19" i="49"/>
  <c r="T18" i="49"/>
  <c r="U18" i="49" s="1"/>
  <c r="V18" i="49" s="1"/>
  <c r="T17" i="49"/>
  <c r="U17" i="49" s="1"/>
  <c r="V17" i="49" s="1"/>
  <c r="U16" i="49"/>
  <c r="V16" i="49" s="1"/>
  <c r="T16" i="49"/>
  <c r="U15" i="49"/>
  <c r="V15" i="49" s="1"/>
  <c r="T15" i="49"/>
  <c r="T14" i="49"/>
  <c r="U14" i="49" s="1"/>
  <c r="V14" i="49" s="1"/>
  <c r="A14" i="49"/>
  <c r="A15" i="49" s="1"/>
  <c r="A16" i="49" s="1"/>
  <c r="A17" i="49" s="1"/>
  <c r="A18" i="49" s="1"/>
  <c r="T13" i="49"/>
  <c r="U13" i="49" s="1"/>
  <c r="V13" i="49" s="1"/>
  <c r="T12" i="49"/>
  <c r="U12" i="49" s="1"/>
  <c r="V12" i="49" s="1"/>
  <c r="T11" i="49"/>
  <c r="U11" i="49" s="1"/>
  <c r="V11" i="49" s="1"/>
  <c r="V10" i="49"/>
  <c r="U10" i="49"/>
  <c r="T10" i="49"/>
  <c r="T9" i="49"/>
  <c r="U9" i="49" s="1"/>
  <c r="V9" i="49" s="1"/>
  <c r="T8" i="49"/>
  <c r="U8" i="49" s="1"/>
  <c r="V8" i="49" s="1"/>
  <c r="A8" i="49"/>
  <c r="A9" i="49" s="1"/>
  <c r="A10" i="49" s="1"/>
  <c r="A11" i="49" s="1"/>
  <c r="T7" i="49"/>
  <c r="T58" i="49" s="1"/>
  <c r="U7" i="51" l="1"/>
  <c r="U7" i="50"/>
  <c r="U7" i="49"/>
  <c r="C47" i="47"/>
  <c r="K43" i="47"/>
  <c r="J43" i="47"/>
  <c r="C43" i="47"/>
  <c r="C41" i="47"/>
  <c r="C40" i="47"/>
  <c r="C37" i="47"/>
  <c r="C34" i="47"/>
  <c r="C12" i="47"/>
  <c r="C8" i="47"/>
  <c r="R58" i="48"/>
  <c r="Q58" i="48"/>
  <c r="P58" i="48"/>
  <c r="O58" i="48"/>
  <c r="N58" i="48"/>
  <c r="M58" i="48"/>
  <c r="K58" i="48"/>
  <c r="J58" i="48"/>
  <c r="I58" i="48"/>
  <c r="H58" i="48"/>
  <c r="G58" i="48"/>
  <c r="F58" i="48"/>
  <c r="C58" i="48"/>
  <c r="T54" i="48"/>
  <c r="U54" i="48" s="1"/>
  <c r="V54" i="48" s="1"/>
  <c r="T53" i="48"/>
  <c r="U53" i="48" s="1"/>
  <c r="V53" i="48" s="1"/>
  <c r="T52" i="48"/>
  <c r="U52" i="48" s="1"/>
  <c r="V52" i="48" s="1"/>
  <c r="T51" i="48"/>
  <c r="U51" i="48" s="1"/>
  <c r="V51" i="48" s="1"/>
  <c r="T50" i="48"/>
  <c r="U50" i="48" s="1"/>
  <c r="V50" i="48" s="1"/>
  <c r="T49" i="48"/>
  <c r="U49" i="48" s="1"/>
  <c r="V49" i="48" s="1"/>
  <c r="T48" i="48"/>
  <c r="U48" i="48" s="1"/>
  <c r="V48" i="48" s="1"/>
  <c r="T47" i="48"/>
  <c r="U47" i="48" s="1"/>
  <c r="V47" i="48" s="1"/>
  <c r="T46" i="48"/>
  <c r="U46" i="48" s="1"/>
  <c r="V46" i="48" s="1"/>
  <c r="T45" i="48"/>
  <c r="U45" i="48" s="1"/>
  <c r="V45" i="48" s="1"/>
  <c r="T43" i="48"/>
  <c r="U43" i="48" s="1"/>
  <c r="V43" i="48" s="1"/>
  <c r="T41" i="48"/>
  <c r="U41" i="48" s="1"/>
  <c r="V41" i="48" s="1"/>
  <c r="T40" i="48"/>
  <c r="U40" i="48" s="1"/>
  <c r="V40" i="48" s="1"/>
  <c r="U38" i="48"/>
  <c r="V38" i="48" s="1"/>
  <c r="T38" i="48"/>
  <c r="T37" i="48"/>
  <c r="U37" i="48" s="1"/>
  <c r="V37" i="48" s="1"/>
  <c r="T36" i="48"/>
  <c r="U36" i="48" s="1"/>
  <c r="V36" i="48" s="1"/>
  <c r="T35" i="48"/>
  <c r="U35" i="48" s="1"/>
  <c r="V35" i="48" s="1"/>
  <c r="T34" i="48"/>
  <c r="U34" i="48" s="1"/>
  <c r="V34" i="48" s="1"/>
  <c r="T33" i="48"/>
  <c r="U33" i="48" s="1"/>
  <c r="V33" i="48" s="1"/>
  <c r="T32" i="48"/>
  <c r="U32" i="48" s="1"/>
  <c r="V32" i="48" s="1"/>
  <c r="T31" i="48"/>
  <c r="U31" i="48" s="1"/>
  <c r="V31" i="48" s="1"/>
  <c r="U30" i="48"/>
  <c r="V30" i="48" s="1"/>
  <c r="T30" i="48"/>
  <c r="T29" i="48"/>
  <c r="U29" i="48" s="1"/>
  <c r="V29" i="48" s="1"/>
  <c r="T28" i="48"/>
  <c r="U28" i="48" s="1"/>
  <c r="V28" i="48" s="1"/>
  <c r="T26" i="48"/>
  <c r="U26" i="48" s="1"/>
  <c r="V26" i="48" s="1"/>
  <c r="AY25" i="48"/>
  <c r="T25" i="48"/>
  <c r="U25" i="48" s="1"/>
  <c r="V25" i="48" s="1"/>
  <c r="T24" i="48"/>
  <c r="U24" i="48" s="1"/>
  <c r="V24" i="48" s="1"/>
  <c r="T23" i="48"/>
  <c r="U23" i="48" s="1"/>
  <c r="V23" i="48" s="1"/>
  <c r="T22" i="48"/>
  <c r="U22" i="48" s="1"/>
  <c r="V22" i="48" s="1"/>
  <c r="T21" i="48"/>
  <c r="U21" i="48" s="1"/>
  <c r="V21" i="48" s="1"/>
  <c r="T20" i="48"/>
  <c r="U20" i="48" s="1"/>
  <c r="V20" i="48" s="1"/>
  <c r="A20" i="48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48" i="48" s="1"/>
  <c r="A49" i="48" s="1"/>
  <c r="A50" i="48" s="1"/>
  <c r="A51" i="48" s="1"/>
  <c r="A52" i="48" s="1"/>
  <c r="A53" i="48" s="1"/>
  <c r="A54" i="48" s="1"/>
  <c r="A55" i="48" s="1"/>
  <c r="A56" i="48" s="1"/>
  <c r="A57" i="48" s="1"/>
  <c r="T19" i="48"/>
  <c r="U19" i="48" s="1"/>
  <c r="V19" i="48" s="1"/>
  <c r="T18" i="48"/>
  <c r="U18" i="48" s="1"/>
  <c r="V18" i="48" s="1"/>
  <c r="T17" i="48"/>
  <c r="U17" i="48" s="1"/>
  <c r="V17" i="48" s="1"/>
  <c r="T16" i="48"/>
  <c r="U16" i="48" s="1"/>
  <c r="V16" i="48" s="1"/>
  <c r="T15" i="48"/>
  <c r="U15" i="48" s="1"/>
  <c r="V15" i="48" s="1"/>
  <c r="T14" i="48"/>
  <c r="U14" i="48" s="1"/>
  <c r="V14" i="48" s="1"/>
  <c r="A14" i="48"/>
  <c r="A15" i="48" s="1"/>
  <c r="A16" i="48" s="1"/>
  <c r="A17" i="48" s="1"/>
  <c r="A18" i="48" s="1"/>
  <c r="T13" i="48"/>
  <c r="U13" i="48" s="1"/>
  <c r="V13" i="48" s="1"/>
  <c r="T12" i="48"/>
  <c r="U12" i="48" s="1"/>
  <c r="V12" i="48" s="1"/>
  <c r="T11" i="48"/>
  <c r="U11" i="48" s="1"/>
  <c r="V11" i="48" s="1"/>
  <c r="T10" i="48"/>
  <c r="U10" i="48" s="1"/>
  <c r="V10" i="48" s="1"/>
  <c r="T9" i="48"/>
  <c r="U9" i="48" s="1"/>
  <c r="V9" i="48" s="1"/>
  <c r="T8" i="48"/>
  <c r="U8" i="48" s="1"/>
  <c r="V8" i="48" s="1"/>
  <c r="A8" i="48"/>
  <c r="A9" i="48" s="1"/>
  <c r="A10" i="48" s="1"/>
  <c r="A11" i="48" s="1"/>
  <c r="T7" i="48"/>
  <c r="T58" i="48" l="1"/>
  <c r="U58" i="51"/>
  <c r="V7" i="51"/>
  <c r="V58" i="51" s="1"/>
  <c r="V7" i="50"/>
  <c r="V58" i="50" s="1"/>
  <c r="U58" i="50"/>
  <c r="U58" i="49"/>
  <c r="V7" i="49"/>
  <c r="V58" i="49" s="1"/>
  <c r="U7" i="48"/>
  <c r="C47" i="46"/>
  <c r="K43" i="46"/>
  <c r="J43" i="46"/>
  <c r="C43" i="46"/>
  <c r="C41" i="46"/>
  <c r="C40" i="46"/>
  <c r="C37" i="46"/>
  <c r="C34" i="46"/>
  <c r="C12" i="46"/>
  <c r="C8" i="46"/>
  <c r="U58" i="48" l="1"/>
  <c r="V7" i="48"/>
  <c r="V58" i="48" s="1"/>
  <c r="C47" i="45"/>
  <c r="K43" i="45"/>
  <c r="J43" i="45"/>
  <c r="C43" i="45"/>
  <c r="C41" i="45"/>
  <c r="C40" i="45"/>
  <c r="C37" i="45"/>
  <c r="C34" i="45"/>
  <c r="C17" i="45"/>
  <c r="C12" i="45"/>
  <c r="C8" i="45"/>
  <c r="C7" i="45"/>
  <c r="C47" i="44"/>
  <c r="K43" i="44"/>
  <c r="J43" i="44"/>
  <c r="C43" i="44"/>
  <c r="C41" i="44"/>
  <c r="C40" i="44"/>
  <c r="C37" i="44"/>
  <c r="C34" i="44"/>
  <c r="C20" i="44"/>
  <c r="C17" i="44"/>
  <c r="C12" i="44"/>
  <c r="C8" i="44"/>
  <c r="C7" i="44"/>
  <c r="R58" i="47"/>
  <c r="Q58" i="47"/>
  <c r="P58" i="47"/>
  <c r="O58" i="47"/>
  <c r="N58" i="47"/>
  <c r="M58" i="47"/>
  <c r="K58" i="47"/>
  <c r="J58" i="47"/>
  <c r="I58" i="47"/>
  <c r="H58" i="47"/>
  <c r="G58" i="47"/>
  <c r="F58" i="47"/>
  <c r="C58" i="47"/>
  <c r="T54" i="47"/>
  <c r="U54" i="47" s="1"/>
  <c r="V54" i="47" s="1"/>
  <c r="T53" i="47"/>
  <c r="U53" i="47" s="1"/>
  <c r="V53" i="47" s="1"/>
  <c r="T52" i="47"/>
  <c r="U52" i="47" s="1"/>
  <c r="V52" i="47" s="1"/>
  <c r="T51" i="47"/>
  <c r="U51" i="47" s="1"/>
  <c r="V51" i="47" s="1"/>
  <c r="T50" i="47"/>
  <c r="U50" i="47" s="1"/>
  <c r="V50" i="47" s="1"/>
  <c r="T49" i="47"/>
  <c r="U49" i="47" s="1"/>
  <c r="V49" i="47" s="1"/>
  <c r="T48" i="47"/>
  <c r="U48" i="47" s="1"/>
  <c r="V48" i="47" s="1"/>
  <c r="T47" i="47"/>
  <c r="U47" i="47" s="1"/>
  <c r="V47" i="47" s="1"/>
  <c r="T46" i="47"/>
  <c r="U46" i="47" s="1"/>
  <c r="V46" i="47" s="1"/>
  <c r="T45" i="47"/>
  <c r="U45" i="47" s="1"/>
  <c r="V45" i="47" s="1"/>
  <c r="T43" i="47"/>
  <c r="U43" i="47" s="1"/>
  <c r="V43" i="47" s="1"/>
  <c r="T41" i="47"/>
  <c r="U41" i="47" s="1"/>
  <c r="V41" i="47" s="1"/>
  <c r="T40" i="47"/>
  <c r="U40" i="47" s="1"/>
  <c r="V40" i="47" s="1"/>
  <c r="T38" i="47"/>
  <c r="U38" i="47" s="1"/>
  <c r="V38" i="47" s="1"/>
  <c r="T37" i="47"/>
  <c r="U37" i="47" s="1"/>
  <c r="V37" i="47" s="1"/>
  <c r="T36" i="47"/>
  <c r="U36" i="47" s="1"/>
  <c r="V36" i="47" s="1"/>
  <c r="T35" i="47"/>
  <c r="U35" i="47" s="1"/>
  <c r="V35" i="47" s="1"/>
  <c r="T34" i="47"/>
  <c r="U34" i="47" s="1"/>
  <c r="V34" i="47" s="1"/>
  <c r="T33" i="47"/>
  <c r="U33" i="47" s="1"/>
  <c r="V33" i="47" s="1"/>
  <c r="T32" i="47"/>
  <c r="U32" i="47" s="1"/>
  <c r="V32" i="47" s="1"/>
  <c r="T31" i="47"/>
  <c r="U31" i="47" s="1"/>
  <c r="V31" i="47" s="1"/>
  <c r="T30" i="47"/>
  <c r="U30" i="47" s="1"/>
  <c r="V30" i="47" s="1"/>
  <c r="T29" i="47"/>
  <c r="U29" i="47" s="1"/>
  <c r="V29" i="47" s="1"/>
  <c r="T28" i="47"/>
  <c r="U28" i="47" s="1"/>
  <c r="V28" i="47" s="1"/>
  <c r="T26" i="47"/>
  <c r="U26" i="47" s="1"/>
  <c r="V26" i="47" s="1"/>
  <c r="AY25" i="47"/>
  <c r="T25" i="47"/>
  <c r="U25" i="47" s="1"/>
  <c r="V25" i="47" s="1"/>
  <c r="U24" i="47"/>
  <c r="V24" i="47" s="1"/>
  <c r="T24" i="47"/>
  <c r="T23" i="47"/>
  <c r="U23" i="47" s="1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T12" i="47"/>
  <c r="U12" i="47" s="1"/>
  <c r="V12" i="47" s="1"/>
  <c r="T11" i="47"/>
  <c r="U11" i="47" s="1"/>
  <c r="V11" i="47" s="1"/>
  <c r="V10" i="47"/>
  <c r="U10" i="47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T7" i="47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U54" i="46"/>
  <c r="V54" i="46" s="1"/>
  <c r="T54" i="46"/>
  <c r="T53" i="46"/>
  <c r="U53" i="46" s="1"/>
  <c r="V53" i="46" s="1"/>
  <c r="U52" i="46"/>
  <c r="V52" i="46" s="1"/>
  <c r="T52" i="46"/>
  <c r="T51" i="46"/>
  <c r="U51" i="46" s="1"/>
  <c r="V51" i="46" s="1"/>
  <c r="U50" i="46"/>
  <c r="V50" i="46" s="1"/>
  <c r="T50" i="46"/>
  <c r="T49" i="46"/>
  <c r="U49" i="46" s="1"/>
  <c r="V49" i="46" s="1"/>
  <c r="U48" i="46"/>
  <c r="V48" i="46" s="1"/>
  <c r="T48" i="46"/>
  <c r="T47" i="46"/>
  <c r="U47" i="46" s="1"/>
  <c r="V47" i="46" s="1"/>
  <c r="U46" i="46"/>
  <c r="V46" i="46" s="1"/>
  <c r="T46" i="46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U37" i="46"/>
  <c r="V37" i="46" s="1"/>
  <c r="T37" i="46"/>
  <c r="T36" i="46"/>
  <c r="U36" i="46" s="1"/>
  <c r="V36" i="46" s="1"/>
  <c r="U35" i="46"/>
  <c r="V35" i="46" s="1"/>
  <c r="T35" i="46"/>
  <c r="T34" i="46"/>
  <c r="U34" i="46" s="1"/>
  <c r="V34" i="46" s="1"/>
  <c r="U33" i="46"/>
  <c r="V33" i="46" s="1"/>
  <c r="T33" i="46"/>
  <c r="T32" i="46"/>
  <c r="U32" i="46" s="1"/>
  <c r="V32" i="46" s="1"/>
  <c r="U31" i="46"/>
  <c r="V31" i="46" s="1"/>
  <c r="T31" i="46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U21" i="46"/>
  <c r="V21" i="46" s="1"/>
  <c r="T21" i="46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U54" i="45"/>
  <c r="V54" i="45" s="1"/>
  <c r="T54" i="45"/>
  <c r="T53" i="45"/>
  <c r="U53" i="45" s="1"/>
  <c r="V53" i="45" s="1"/>
  <c r="V52" i="45"/>
  <c r="U52" i="45"/>
  <c r="T52" i="45"/>
  <c r="T51" i="45"/>
  <c r="U51" i="45" s="1"/>
  <c r="V51" i="45" s="1"/>
  <c r="U50" i="45"/>
  <c r="V50" i="45" s="1"/>
  <c r="T50" i="45"/>
  <c r="T49" i="45"/>
  <c r="U49" i="45" s="1"/>
  <c r="V49" i="45" s="1"/>
  <c r="U48" i="45"/>
  <c r="V48" i="45" s="1"/>
  <c r="T48" i="45"/>
  <c r="T47" i="45"/>
  <c r="U47" i="45" s="1"/>
  <c r="V47" i="45" s="1"/>
  <c r="U46" i="45"/>
  <c r="V46" i="45" s="1"/>
  <c r="T46" i="45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U37" i="45"/>
  <c r="V37" i="45" s="1"/>
  <c r="T37" i="45"/>
  <c r="T36" i="45"/>
  <c r="U36" i="45" s="1"/>
  <c r="V36" i="45" s="1"/>
  <c r="U35" i="45"/>
  <c r="V35" i="45" s="1"/>
  <c r="T35" i="45"/>
  <c r="T34" i="45"/>
  <c r="U34" i="45" s="1"/>
  <c r="V34" i="45" s="1"/>
  <c r="U33" i="45"/>
  <c r="V33" i="45" s="1"/>
  <c r="T33" i="45"/>
  <c r="T32" i="45"/>
  <c r="U32" i="45" s="1"/>
  <c r="V32" i="45" s="1"/>
  <c r="U31" i="45"/>
  <c r="V31" i="45" s="1"/>
  <c r="T31" i="45"/>
  <c r="U30" i="45"/>
  <c r="V30" i="45" s="1"/>
  <c r="T30" i="45"/>
  <c r="U29" i="45"/>
  <c r="V29" i="45" s="1"/>
  <c r="T29" i="45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U17" i="45"/>
  <c r="V17" i="45" s="1"/>
  <c r="T17" i="45"/>
  <c r="T16" i="45"/>
  <c r="U16" i="45" s="1"/>
  <c r="V16" i="45" s="1"/>
  <c r="U15" i="45"/>
  <c r="V15" i="45" s="1"/>
  <c r="T15" i="45"/>
  <c r="T14" i="45"/>
  <c r="U14" i="45" s="1"/>
  <c r="V14" i="45" s="1"/>
  <c r="A14" i="45"/>
  <c r="A15" i="45" s="1"/>
  <c r="A16" i="45" s="1"/>
  <c r="A17" i="45" s="1"/>
  <c r="A18" i="45" s="1"/>
  <c r="U13" i="45"/>
  <c r="V13" i="45" s="1"/>
  <c r="T13" i="45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C47" i="43"/>
  <c r="K43" i="43"/>
  <c r="J43" i="43"/>
  <c r="J58" i="43" s="1"/>
  <c r="C43" i="43"/>
  <c r="C41" i="43"/>
  <c r="C40" i="43"/>
  <c r="C37" i="43"/>
  <c r="C34" i="43"/>
  <c r="C20" i="43"/>
  <c r="C17" i="43"/>
  <c r="C58" i="43" s="1"/>
  <c r="C12" i="43"/>
  <c r="C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U52" i="44"/>
  <c r="V52" i="44" s="1"/>
  <c r="T52" i="44"/>
  <c r="T51" i="44"/>
  <c r="U51" i="44" s="1"/>
  <c r="V51" i="44" s="1"/>
  <c r="T50" i="44"/>
  <c r="U50" i="44" s="1"/>
  <c r="V50" i="44" s="1"/>
  <c r="T49" i="44"/>
  <c r="U49" i="44" s="1"/>
  <c r="V49" i="44" s="1"/>
  <c r="U48" i="44"/>
  <c r="V48" i="44" s="1"/>
  <c r="T48" i="44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U19" i="44"/>
  <c r="V19" i="44" s="1"/>
  <c r="T19" i="44"/>
  <c r="T18" i="44"/>
  <c r="U18" i="44" s="1"/>
  <c r="V18" i="44" s="1"/>
  <c r="U17" i="44"/>
  <c r="V17" i="44" s="1"/>
  <c r="T17" i="44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U13" i="44"/>
  <c r="V13" i="44" s="1"/>
  <c r="T13" i="44"/>
  <c r="T12" i="44"/>
  <c r="U12" i="44" s="1"/>
  <c r="V12" i="44" s="1"/>
  <c r="T11" i="44"/>
  <c r="U11" i="44" s="1"/>
  <c r="V11" i="44" s="1"/>
  <c r="T10" i="44"/>
  <c r="U10" i="44" s="1"/>
  <c r="V10" i="44" s="1"/>
  <c r="U9" i="44"/>
  <c r="V9" i="44" s="1"/>
  <c r="T9" i="44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U50" i="43"/>
  <c r="V50" i="43" s="1"/>
  <c r="T50" i="43"/>
  <c r="T49" i="43"/>
  <c r="U49" i="43" s="1"/>
  <c r="V49" i="43" s="1"/>
  <c r="T48" i="43"/>
  <c r="U48" i="43" s="1"/>
  <c r="V48" i="43" s="1"/>
  <c r="T47" i="43"/>
  <c r="U47" i="43" s="1"/>
  <c r="V47" i="43" s="1"/>
  <c r="U46" i="43"/>
  <c r="V46" i="43" s="1"/>
  <c r="T46" i="43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U33" i="43"/>
  <c r="V33" i="43" s="1"/>
  <c r="T33" i="43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U9" i="43"/>
  <c r="V9" i="43" s="1"/>
  <c r="T9" i="43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C47" i="41"/>
  <c r="K43" i="41"/>
  <c r="J43" i="41"/>
  <c r="C43" i="41"/>
  <c r="C41" i="41"/>
  <c r="C40" i="41"/>
  <c r="C37" i="41"/>
  <c r="C34" i="41"/>
  <c r="C28" i="41"/>
  <c r="C25" i="41"/>
  <c r="C12" i="41"/>
  <c r="C8" i="41"/>
  <c r="R58" i="42"/>
  <c r="Q58" i="42"/>
  <c r="P58" i="42"/>
  <c r="O58" i="42"/>
  <c r="N58" i="42"/>
  <c r="M58" i="42"/>
  <c r="K58" i="42"/>
  <c r="J58" i="42"/>
  <c r="I58" i="42"/>
  <c r="H58" i="42"/>
  <c r="G58" i="42"/>
  <c r="F58" i="42"/>
  <c r="C58" i="42"/>
  <c r="T54" i="42"/>
  <c r="U54" i="42" s="1"/>
  <c r="V54" i="42" s="1"/>
  <c r="T53" i="42"/>
  <c r="U53" i="42" s="1"/>
  <c r="V53" i="42" s="1"/>
  <c r="U52" i="42"/>
  <c r="V52" i="42" s="1"/>
  <c r="T52" i="42"/>
  <c r="T51" i="42"/>
  <c r="U51" i="42" s="1"/>
  <c r="V51" i="42" s="1"/>
  <c r="T50" i="42"/>
  <c r="U50" i="42" s="1"/>
  <c r="V50" i="42" s="1"/>
  <c r="T49" i="42"/>
  <c r="U49" i="42" s="1"/>
  <c r="V49" i="42" s="1"/>
  <c r="U48" i="42"/>
  <c r="V48" i="42" s="1"/>
  <c r="T48" i="42"/>
  <c r="T47" i="42"/>
  <c r="U47" i="42" s="1"/>
  <c r="V47" i="42" s="1"/>
  <c r="T46" i="42"/>
  <c r="U46" i="42" s="1"/>
  <c r="V46" i="42" s="1"/>
  <c r="T45" i="42"/>
  <c r="U45" i="42" s="1"/>
  <c r="V45" i="42" s="1"/>
  <c r="V43" i="42"/>
  <c r="U43" i="42"/>
  <c r="T43" i="42"/>
  <c r="T41" i="42"/>
  <c r="U41" i="42" s="1"/>
  <c r="V41" i="42" s="1"/>
  <c r="T40" i="42"/>
  <c r="U40" i="42" s="1"/>
  <c r="V40" i="42" s="1"/>
  <c r="T38" i="42"/>
  <c r="U38" i="42" s="1"/>
  <c r="V38" i="42" s="1"/>
  <c r="T37" i="42"/>
  <c r="U37" i="42" s="1"/>
  <c r="V37" i="42" s="1"/>
  <c r="T36" i="42"/>
  <c r="U36" i="42" s="1"/>
  <c r="V36" i="42" s="1"/>
  <c r="T35" i="42"/>
  <c r="U35" i="42" s="1"/>
  <c r="V35" i="42" s="1"/>
  <c r="T34" i="42"/>
  <c r="U34" i="42" s="1"/>
  <c r="V34" i="42" s="1"/>
  <c r="T33" i="42"/>
  <c r="U33" i="42" s="1"/>
  <c r="V33" i="42" s="1"/>
  <c r="T32" i="42"/>
  <c r="U32" i="42" s="1"/>
  <c r="V32" i="42" s="1"/>
  <c r="T31" i="42"/>
  <c r="U31" i="42" s="1"/>
  <c r="V31" i="42" s="1"/>
  <c r="T30" i="42"/>
  <c r="U30" i="42" s="1"/>
  <c r="V30" i="42" s="1"/>
  <c r="T29" i="42"/>
  <c r="U29" i="42" s="1"/>
  <c r="V29" i="42" s="1"/>
  <c r="T28" i="42"/>
  <c r="U28" i="42" s="1"/>
  <c r="V28" i="42" s="1"/>
  <c r="T26" i="42"/>
  <c r="U26" i="42" s="1"/>
  <c r="V26" i="42" s="1"/>
  <c r="AY25" i="42"/>
  <c r="V25" i="42"/>
  <c r="U25" i="42"/>
  <c r="T25" i="42"/>
  <c r="T24" i="42"/>
  <c r="U24" i="42" s="1"/>
  <c r="V24" i="42" s="1"/>
  <c r="U23" i="42"/>
  <c r="V23" i="42" s="1"/>
  <c r="T23" i="42"/>
  <c r="T22" i="42"/>
  <c r="U22" i="42" s="1"/>
  <c r="V22" i="42" s="1"/>
  <c r="V21" i="42"/>
  <c r="U21" i="42"/>
  <c r="T21" i="42"/>
  <c r="T20" i="42"/>
  <c r="U20" i="42" s="1"/>
  <c r="V20" i="42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A38" i="42" s="1"/>
  <c r="A39" i="42" s="1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A50" i="42" s="1"/>
  <c r="A51" i="42" s="1"/>
  <c r="A52" i="42" s="1"/>
  <c r="A53" i="42" s="1"/>
  <c r="A54" i="42" s="1"/>
  <c r="A55" i="42" s="1"/>
  <c r="A56" i="42" s="1"/>
  <c r="A57" i="42" s="1"/>
  <c r="U19" i="42"/>
  <c r="V19" i="42" s="1"/>
  <c r="T19" i="42"/>
  <c r="T18" i="42"/>
  <c r="U18" i="42" s="1"/>
  <c r="V18" i="42" s="1"/>
  <c r="U17" i="42"/>
  <c r="V17" i="42" s="1"/>
  <c r="T17" i="42"/>
  <c r="T16" i="42"/>
  <c r="U16" i="42" s="1"/>
  <c r="V16" i="42" s="1"/>
  <c r="T15" i="42"/>
  <c r="U15" i="42" s="1"/>
  <c r="V15" i="42" s="1"/>
  <c r="T14" i="42"/>
  <c r="U14" i="42" s="1"/>
  <c r="V14" i="42" s="1"/>
  <c r="A14" i="42"/>
  <c r="A15" i="42" s="1"/>
  <c r="A16" i="42" s="1"/>
  <c r="A17" i="42" s="1"/>
  <c r="A18" i="42" s="1"/>
  <c r="U13" i="42"/>
  <c r="V13" i="42" s="1"/>
  <c r="T13" i="42"/>
  <c r="T12" i="42"/>
  <c r="U12" i="42" s="1"/>
  <c r="V12" i="42" s="1"/>
  <c r="T11" i="42"/>
  <c r="U11" i="42" s="1"/>
  <c r="V11" i="42" s="1"/>
  <c r="T10" i="42"/>
  <c r="U10" i="42" s="1"/>
  <c r="V10" i="42" s="1"/>
  <c r="T9" i="42"/>
  <c r="U9" i="42" s="1"/>
  <c r="V9" i="42" s="1"/>
  <c r="A9" i="42"/>
  <c r="A10" i="42" s="1"/>
  <c r="A11" i="42" s="1"/>
  <c r="T8" i="42"/>
  <c r="U8" i="42" s="1"/>
  <c r="V8" i="42" s="1"/>
  <c r="A8" i="42"/>
  <c r="T7" i="42"/>
  <c r="T58" i="42" s="1"/>
  <c r="T58" i="43" l="1"/>
  <c r="V58" i="43"/>
  <c r="U58" i="43"/>
  <c r="U7" i="42"/>
  <c r="K43" i="40"/>
  <c r="J43" i="40"/>
  <c r="C43" i="40"/>
  <c r="C28" i="40"/>
  <c r="C25" i="40"/>
  <c r="C12" i="40"/>
  <c r="C47" i="40"/>
  <c r="C41" i="40"/>
  <c r="C40" i="40"/>
  <c r="C34" i="40"/>
  <c r="C37" i="40"/>
  <c r="C8" i="40"/>
  <c r="U58" i="42" l="1"/>
  <c r="V7" i="42"/>
  <c r="V58" i="42" s="1"/>
  <c r="R58" i="41"/>
  <c r="Q58" i="41"/>
  <c r="P58" i="41"/>
  <c r="O58" i="41"/>
  <c r="N58" i="41"/>
  <c r="M58" i="41"/>
  <c r="K58" i="41"/>
  <c r="J58" i="41"/>
  <c r="I58" i="41"/>
  <c r="H58" i="41"/>
  <c r="G58" i="41"/>
  <c r="F58" i="41"/>
  <c r="C58" i="41"/>
  <c r="T54" i="41"/>
  <c r="U54" i="41" s="1"/>
  <c r="V54" i="41" s="1"/>
  <c r="T53" i="41"/>
  <c r="U53" i="41" s="1"/>
  <c r="V53" i="41" s="1"/>
  <c r="T52" i="41"/>
  <c r="U52" i="41" s="1"/>
  <c r="V52" i="41" s="1"/>
  <c r="T51" i="41"/>
  <c r="U51" i="41" s="1"/>
  <c r="V51" i="41" s="1"/>
  <c r="T50" i="41"/>
  <c r="U50" i="41" s="1"/>
  <c r="V50" i="41" s="1"/>
  <c r="T49" i="41"/>
  <c r="U49" i="41" s="1"/>
  <c r="V49" i="41" s="1"/>
  <c r="T48" i="41"/>
  <c r="U48" i="41" s="1"/>
  <c r="V48" i="41" s="1"/>
  <c r="T47" i="41"/>
  <c r="U47" i="41" s="1"/>
  <c r="V47" i="41" s="1"/>
  <c r="T46" i="41"/>
  <c r="U46" i="41" s="1"/>
  <c r="V46" i="41" s="1"/>
  <c r="T45" i="41"/>
  <c r="U45" i="41" s="1"/>
  <c r="V45" i="41" s="1"/>
  <c r="T43" i="41"/>
  <c r="U43" i="41" s="1"/>
  <c r="V43" i="41" s="1"/>
  <c r="T41" i="41"/>
  <c r="U41" i="41" s="1"/>
  <c r="V41" i="41" s="1"/>
  <c r="T40" i="41"/>
  <c r="U40" i="41" s="1"/>
  <c r="V40" i="41" s="1"/>
  <c r="T38" i="41"/>
  <c r="U38" i="41" s="1"/>
  <c r="V38" i="41" s="1"/>
  <c r="U37" i="41"/>
  <c r="V37" i="41" s="1"/>
  <c r="T37" i="41"/>
  <c r="T36" i="41"/>
  <c r="U36" i="41" s="1"/>
  <c r="V36" i="41" s="1"/>
  <c r="U35" i="41"/>
  <c r="V35" i="41" s="1"/>
  <c r="T35" i="41"/>
  <c r="T34" i="41"/>
  <c r="U34" i="41" s="1"/>
  <c r="V34" i="41" s="1"/>
  <c r="U33" i="41"/>
  <c r="V33" i="41" s="1"/>
  <c r="T33" i="41"/>
  <c r="T32" i="41"/>
  <c r="U32" i="41" s="1"/>
  <c r="V32" i="41" s="1"/>
  <c r="U31" i="41"/>
  <c r="V31" i="41" s="1"/>
  <c r="T31" i="41"/>
  <c r="T30" i="41"/>
  <c r="U30" i="41" s="1"/>
  <c r="V30" i="41" s="1"/>
  <c r="U29" i="41"/>
  <c r="V29" i="41" s="1"/>
  <c r="T29" i="41"/>
  <c r="T28" i="41"/>
  <c r="U28" i="41" s="1"/>
  <c r="V28" i="41" s="1"/>
  <c r="U26" i="41"/>
  <c r="V26" i="41" s="1"/>
  <c r="T26" i="41"/>
  <c r="AY25" i="41"/>
  <c r="T25" i="41"/>
  <c r="U25" i="41" s="1"/>
  <c r="V25" i="41" s="1"/>
  <c r="T24" i="41"/>
  <c r="U24" i="41" s="1"/>
  <c r="V24" i="41" s="1"/>
  <c r="T23" i="41"/>
  <c r="U23" i="41" s="1"/>
  <c r="V23" i="41" s="1"/>
  <c r="A23" i="4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U22" i="41"/>
  <c r="V22" i="41" s="1"/>
  <c r="T22" i="41"/>
  <c r="A22" i="41"/>
  <c r="U21" i="41"/>
  <c r="V21" i="41" s="1"/>
  <c r="T21" i="41"/>
  <c r="A21" i="41"/>
  <c r="T20" i="41"/>
  <c r="U20" i="41" s="1"/>
  <c r="V20" i="41" s="1"/>
  <c r="A20" i="41"/>
  <c r="U19" i="41"/>
  <c r="V19" i="41" s="1"/>
  <c r="T19" i="41"/>
  <c r="T18" i="41"/>
  <c r="U18" i="41" s="1"/>
  <c r="V18" i="41" s="1"/>
  <c r="T17" i="41"/>
  <c r="U17" i="41" s="1"/>
  <c r="V17" i="41" s="1"/>
  <c r="T16" i="41"/>
  <c r="U16" i="41" s="1"/>
  <c r="V16" i="41" s="1"/>
  <c r="T15" i="41"/>
  <c r="U15" i="41" s="1"/>
  <c r="V15" i="41" s="1"/>
  <c r="T14" i="41"/>
  <c r="U14" i="41" s="1"/>
  <c r="V14" i="41" s="1"/>
  <c r="A14" i="41"/>
  <c r="A15" i="41" s="1"/>
  <c r="A16" i="41" s="1"/>
  <c r="A17" i="41" s="1"/>
  <c r="A18" i="41" s="1"/>
  <c r="T13" i="41"/>
  <c r="U13" i="41" s="1"/>
  <c r="V13" i="41" s="1"/>
  <c r="T12" i="41"/>
  <c r="U12" i="41" s="1"/>
  <c r="V12" i="41" s="1"/>
  <c r="T11" i="41"/>
  <c r="U11" i="41" s="1"/>
  <c r="V11" i="41" s="1"/>
  <c r="T10" i="41"/>
  <c r="U10" i="41" s="1"/>
  <c r="V10" i="41" s="1"/>
  <c r="T9" i="41"/>
  <c r="U9" i="41" s="1"/>
  <c r="V9" i="41" s="1"/>
  <c r="A9" i="41"/>
  <c r="A10" i="41" s="1"/>
  <c r="A11" i="41" s="1"/>
  <c r="T8" i="41"/>
  <c r="U8" i="41" s="1"/>
  <c r="V8" i="41" s="1"/>
  <c r="A8" i="41"/>
  <c r="T7" i="41"/>
  <c r="T58" i="41" l="1"/>
  <c r="U7" i="41"/>
  <c r="U58" i="41" s="1"/>
  <c r="C47" i="39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T40" i="40"/>
  <c r="U40" i="40" s="1"/>
  <c r="V40" i="40" s="1"/>
  <c r="T38" i="40"/>
  <c r="U38" i="40" s="1"/>
  <c r="V38" i="40" s="1"/>
  <c r="T37" i="40"/>
  <c r="U37" i="40" s="1"/>
  <c r="V37" i="40" s="1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T31" i="40"/>
  <c r="U31" i="40" s="1"/>
  <c r="V31" i="40" s="1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T24" i="40"/>
  <c r="U24" i="40" s="1"/>
  <c r="V24" i="40" s="1"/>
  <c r="T23" i="40"/>
  <c r="U23" i="40" s="1"/>
  <c r="V23" i="40" s="1"/>
  <c r="T22" i="40"/>
  <c r="U22" i="40" s="1"/>
  <c r="V22" i="40" s="1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T20" i="40"/>
  <c r="U20" i="40" s="1"/>
  <c r="V20" i="40" s="1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T12" i="40"/>
  <c r="U12" i="40" s="1"/>
  <c r="V12" i="40" s="1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C47" i="38"/>
  <c r="K43" i="38"/>
  <c r="J43" i="38"/>
  <c r="C43" i="38"/>
  <c r="C41" i="38"/>
  <c r="C40" i="38"/>
  <c r="C37" i="38"/>
  <c r="C34" i="38"/>
  <c r="C28" i="38"/>
  <c r="C25" i="38"/>
  <c r="C12" i="38"/>
  <c r="C8" i="38"/>
  <c r="V7" i="41" l="1"/>
  <c r="V58" i="41" s="1"/>
  <c r="T58" i="40"/>
  <c r="U7" i="40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<sst xmlns="http://schemas.openxmlformats.org/spreadsheetml/2006/main" count="1848" uniqueCount="92">
  <si>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</si>
  <si>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</si>
  <si>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</si>
  <si>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</si>
  <si>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</si>
  <si>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</si>
  <si>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</si>
  <si>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</si>
  <si>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</si>
  <si>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</si>
  <si>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</si>
  <si>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</si>
  <si>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</si>
  <si>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</si>
  <si>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</si>
  <si>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</si>
  <si>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</si>
  <si>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</si>
  <si>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</si>
  <si>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</si>
  <si>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</si>
  <si>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</si>
  <si>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</si>
  <si>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</si>
  <si>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</si>
  <si>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</si>
  <si>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</si>
  <si>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</si>
  <si>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</si>
  <si>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</si>
  <si>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</si>
  <si>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</si>
  <si>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</si>
  <si>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</si>
  <si>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</si>
  <si>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</si>
  <si>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</si>
  <si>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</si>
  <si>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</si>
  <si>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</si>
  <si>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</si>
  <si>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</si>
  <si>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</si>
  <si>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</si>
  <si>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</si>
  <si>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</si>
  <si>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</si>
  <si>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</si>
  <si>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</si>
  <si>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</si>
  <si>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</si>
  <si>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</si>
  <si>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</si>
  <si>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</si>
  <si>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</si>
  <si>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</si>
  <si>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</si>
  <si>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</si>
  <si>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</si>
  <si>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</si>
  <si>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</si>
  <si>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</si>
  <si>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</si>
  <si>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</si>
  <si>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</si>
  <si>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</si>
  <si>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</si>
  <si>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</si>
  <si>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</si>
  <si>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</si>
  <si>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</si>
  <si>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</si>
  <si>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</si>
  <si>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</si>
  <si>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</si>
  <si>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</si>
  <si>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</si>
  <si>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</si>
  <si>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</si>
  <si>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</si>
  <si>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03/14/2026</t>
  </si>
  <si>
    <t>DATE: 03/15/2026</t>
  </si>
  <si>
    <t>DATE: 03/16/2026</t>
  </si>
  <si>
    <t>DATE: 03/18/2026</t>
  </si>
  <si>
    <t>DATE: 03/19/2026</t>
  </si>
  <si>
    <t>DATE: 03/20/2026</t>
  </si>
  <si>
    <t>DATE: 03/23/2026</t>
  </si>
  <si>
    <t>DATE: 03/24/2026</t>
  </si>
  <si>
    <t>DATE: 03/25/2026</t>
  </si>
  <si>
    <t>DATE: 03/26/2026</t>
  </si>
  <si>
    <t>DATE: 03/27/2026</t>
  </si>
  <si>
    <t>DATE: 03/28/2026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</si>
</sst>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1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3" t="s">
        <v>68</v>
      </c>
      <c r="U4" s="125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4" t="s">
        <v>65</v>
      </c>
      <c r="K5" s="115"/>
      <c r="M5" s="37"/>
      <c r="N5" s="49"/>
      <c r="O5" s="40"/>
      <c r="P5" s="93"/>
      <c r="Q5" s="93"/>
      <c r="R5" s="38"/>
      <c r="S5" s="9"/>
      <c r="T5" s="124"/>
      <c r="U5" s="126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16" t="s">
        <v>41</v>
      </c>
      <c r="D62" s="117"/>
      <c r="E62" s="117"/>
      <c r="F62" s="117"/>
      <c r="G62" s="117"/>
      <c r="H62" s="117"/>
      <c r="I62" s="117"/>
      <c r="J62" s="117"/>
      <c r="K62" s="118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4"/>
      <c r="Q5" s="94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52"/>
      <c r="Q5" s="52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8"/>
      <c r="Q5" s="98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3" t="s">
        <v>68</v>
      </c>
      <c r="U4" s="125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4" t="s">
        <v>65</v>
      </c>
      <c r="K5" s="115"/>
      <c r="M5" s="37"/>
      <c r="N5" s="49"/>
      <c r="O5" s="40"/>
      <c r="P5" s="92"/>
      <c r="Q5" s="92"/>
      <c r="R5" s="38"/>
      <c r="S5" s="9"/>
      <c r="T5" s="124"/>
      <c r="U5" s="126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0"/>
      <c r="Q5" s="100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99"/>
      <c r="Q5" s="99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0"/>
      <c r="Q5" s="100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4"/>
      <c r="Q5" s="104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4"/>
      <c r="Q5" s="104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topLeftCell="A3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5"/>
      <c r="Q5" s="105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25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720</v>
      </c>
      <c r="V9" s="77">
        <f t="shared" ref="V9:V11" si="3">U9/24</f>
        <v>30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72</v>
      </c>
      <c r="V10" s="59">
        <f t="shared" si="3"/>
        <v>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576+72+720+63+60+720+12+1440</f>
        <v>3663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25</v>
      </c>
      <c r="N12" s="65">
        <v>16</v>
      </c>
      <c r="O12" s="66">
        <v>12</v>
      </c>
      <c r="P12" s="67">
        <v>15</v>
      </c>
      <c r="Q12" s="67">
        <v>26</v>
      </c>
      <c r="R12" s="68">
        <v>10</v>
      </c>
      <c r="S12" s="63"/>
      <c r="T12" s="59">
        <f t="shared" si="0"/>
        <v>41</v>
      </c>
      <c r="U12" s="70">
        <f>C12*24+M12*24+O12*24+Q12*24+T12</f>
        <v>89465</v>
      </c>
      <c r="V12" s="70">
        <f>U12/24</f>
        <v>3727.7083333333335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2+63+50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8+64</f>
        <v>72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37+72</f>
        <v>109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2789</v>
      </c>
      <c r="V34" s="76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18+1944+1512</f>
        <v>3474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41</v>
      </c>
      <c r="N37" s="65"/>
      <c r="O37" s="66">
        <v>30</v>
      </c>
      <c r="P37" s="67"/>
      <c r="Q37" s="67">
        <v>70</v>
      </c>
      <c r="R37" s="68"/>
      <c r="S37" s="63"/>
      <c r="T37" s="78">
        <f t="shared" si="0"/>
        <v>8</v>
      </c>
      <c r="U37" s="78">
        <f>C37*6+M37*6+O37*6+Q37*6+T37</f>
        <v>21698</v>
      </c>
      <c r="V37" s="78">
        <f>U37/6</f>
        <v>3616.3333333333335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56+441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1248+33</f>
        <v>1281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15717</v>
      </c>
      <c r="V41" s="91">
        <f>U41/12</f>
        <v>1309.75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5940+8424+5400+3672+19+1</f>
        <v>23456</v>
      </c>
      <c r="D43" s="66"/>
      <c r="E43" s="66"/>
      <c r="F43" s="66"/>
      <c r="G43" s="66"/>
      <c r="H43" s="66"/>
      <c r="I43" s="66">
        <v>7</v>
      </c>
      <c r="J43" s="67">
        <f>9*6+3</f>
        <v>57</v>
      </c>
      <c r="K43" s="68">
        <f>93*6+5</f>
        <v>563</v>
      </c>
      <c r="L43" s="63"/>
      <c r="M43" s="64">
        <v>571</v>
      </c>
      <c r="N43" s="65"/>
      <c r="O43" s="66">
        <v>376</v>
      </c>
      <c r="P43" s="67"/>
      <c r="Q43" s="67">
        <v>523</v>
      </c>
      <c r="R43" s="68"/>
      <c r="S43" s="63"/>
      <c r="T43" s="78">
        <f t="shared" ref="T43" si="6">H43+I43+J43+K43+N43+P43+R43</f>
        <v>627</v>
      </c>
      <c r="U43" s="78">
        <f>C43*6+M43*6+O43*6+Q43*6+T43</f>
        <v>150183</v>
      </c>
      <c r="V43" s="78">
        <f>U43/6</f>
        <v>25030.5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35348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57</v>
      </c>
      <c r="K58" s="6">
        <f t="shared" si="11"/>
        <v>604</v>
      </c>
      <c r="M58" s="5">
        <f t="shared" ref="M58:R58" si="12">SUM(M7:M57)</f>
        <v>667</v>
      </c>
      <c r="N58" s="5">
        <f t="shared" si="12"/>
        <v>16</v>
      </c>
      <c r="O58" s="5">
        <f t="shared" si="12"/>
        <v>457</v>
      </c>
      <c r="P58" s="5">
        <f t="shared" si="12"/>
        <v>50</v>
      </c>
      <c r="Q58" s="5">
        <f t="shared" si="12"/>
        <v>679</v>
      </c>
      <c r="R58" s="5">
        <f t="shared" si="12"/>
        <v>10</v>
      </c>
      <c r="S58" s="56"/>
      <c r="T58" s="4">
        <f>SUM(T7:T57)</f>
        <v>799</v>
      </c>
      <c r="U58" s="95">
        <f>SUM(U7:U57)</f>
        <v>320137</v>
      </c>
      <c r="V58" s="4">
        <f>SUM(V7:V57)</f>
        <v>37265.291666666664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CA50-CEE7-4E30-B84B-F667B2AF4E2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6"/>
      <c r="Q5" s="106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55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1509</v>
      </c>
      <c r="V7" s="59">
        <f>U7/24</f>
        <v>62.875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624</v>
      </c>
      <c r="V9" s="77">
        <f t="shared" ref="V9:V11" si="3">U9/24</f>
        <v>26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48</v>
      </c>
      <c r="V10" s="59">
        <f t="shared" si="3"/>
        <v>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576+72+60+63+720+648+66+1440</f>
        <v>3645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12</v>
      </c>
      <c r="O12" s="66">
        <v>17</v>
      </c>
      <c r="P12" s="67">
        <v>8</v>
      </c>
      <c r="Q12" s="67">
        <v>20</v>
      </c>
      <c r="R12" s="68">
        <v>22</v>
      </c>
      <c r="S12" s="63"/>
      <c r="T12" s="59">
        <f t="shared" si="0"/>
        <v>42</v>
      </c>
      <c r="U12" s="70">
        <f>C12*24+M12*24+O12*24+Q12*24+T12</f>
        <v>88530</v>
      </c>
      <c r="V12" s="70">
        <f>U12/24</f>
        <v>3688.75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2+49+63</f>
        <v>114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2867</v>
      </c>
      <c r="V25" s="76">
        <f t="shared" si="5"/>
        <v>119.45833333333333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8+63</f>
        <v>71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144</v>
      </c>
      <c r="V29" s="76">
        <f t="shared" si="5"/>
        <v>6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34+72</f>
        <v>106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2717</v>
      </c>
      <c r="V34" s="76">
        <f t="shared" si="5"/>
        <v>113.20833333333333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1836+83+1512</f>
        <v>3431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5</v>
      </c>
      <c r="N37" s="65"/>
      <c r="O37" s="66">
        <v>40</v>
      </c>
      <c r="P37" s="67"/>
      <c r="Q37" s="67">
        <v>54</v>
      </c>
      <c r="R37" s="68"/>
      <c r="S37" s="63"/>
      <c r="T37" s="78">
        <f t="shared" si="0"/>
        <v>8</v>
      </c>
      <c r="U37" s="78">
        <f>C37*6+M37*6+O37*6+Q37*6+T37</f>
        <v>21188</v>
      </c>
      <c r="V37" s="78">
        <f>U37/6</f>
        <v>3531.3333333333335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441+56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10+1248</f>
        <v>1258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5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15333</v>
      </c>
      <c r="V41" s="91">
        <f>U41/12</f>
        <v>1277.75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5940+8424+5400+2808</f>
        <v>22572</v>
      </c>
      <c r="D43" s="66"/>
      <c r="E43" s="66"/>
      <c r="F43" s="66"/>
      <c r="G43" s="66"/>
      <c r="H43" s="66">
        <v>5</v>
      </c>
      <c r="I43" s="66">
        <v>7</v>
      </c>
      <c r="J43" s="67">
        <f>10*6+4</f>
        <v>64</v>
      </c>
      <c r="K43" s="68">
        <f>93*6+5</f>
        <v>563</v>
      </c>
      <c r="L43" s="63"/>
      <c r="M43" s="64">
        <v>3</v>
      </c>
      <c r="N43" s="65"/>
      <c r="O43" s="66">
        <v>513</v>
      </c>
      <c r="P43" s="67"/>
      <c r="Q43" s="67">
        <v>530</v>
      </c>
      <c r="R43" s="68"/>
      <c r="S43" s="63"/>
      <c r="T43" s="78">
        <f t="shared" ref="T43" si="6">H43+I43+J43+K43+N43+P43+R43</f>
        <v>639</v>
      </c>
      <c r="U43" s="78">
        <f>C43*6+M43*6+O43*6+Q43*6+T43</f>
        <v>142347</v>
      </c>
      <c r="V43" s="78">
        <f>U43/6</f>
        <v>23724.5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2268+1+44</f>
        <v>2313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14044</v>
      </c>
      <c r="V47" s="78">
        <f>U47/6</f>
        <v>2340.6666666666665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34367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64</v>
      </c>
      <c r="K58" s="6">
        <f t="shared" si="11"/>
        <v>604</v>
      </c>
      <c r="M58" s="5">
        <f t="shared" ref="M58:R58" si="12">SUM(M7:M57)</f>
        <v>42</v>
      </c>
      <c r="N58" s="5">
        <f t="shared" si="12"/>
        <v>12</v>
      </c>
      <c r="O58" s="5">
        <f t="shared" si="12"/>
        <v>601</v>
      </c>
      <c r="P58" s="5">
        <f t="shared" si="12"/>
        <v>43</v>
      </c>
      <c r="Q58" s="5">
        <f t="shared" si="12"/>
        <v>658</v>
      </c>
      <c r="R58" s="5">
        <f t="shared" si="12"/>
        <v>22</v>
      </c>
      <c r="S58" s="56"/>
      <c r="T58" s="4">
        <f>SUM(T7:T57)</f>
        <v>812</v>
      </c>
      <c r="U58" s="95">
        <f>SUM(U7:U57)</f>
        <v>310142</v>
      </c>
      <c r="V58" s="4">
        <f>SUM(V7:V57)</f>
        <v>35784.333333333328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771-D6A3-45ED-9E59-C97409F9D00A}">
  <sheetPr>
    <pageSetUpPr fitToPage="1"/>
  </sheetPr>
  <dimension ref="A1:BB81"/>
  <sheetViews>
    <sheetView zoomScaleNormal="100" zoomScaleSheetLayoutView="115" workbookViewId="0">
      <selection activeCell="C7" sqref="C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7"/>
      <c r="Q5" s="107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8"/>
      <c r="Q5" s="108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42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1389</v>
      </c>
      <c r="V7" s="59">
        <f>U7/24</f>
        <v>57.875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>
        <v>5</v>
      </c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2280</v>
      </c>
      <c r="V8" s="70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>
        <v>5</v>
      </c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384</v>
      </c>
      <c r="V9" s="77">
        <f t="shared" ref="V9:V11" si="3">U9/24</f>
        <v>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3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96</v>
      </c>
      <c r="V11" s="59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72+720+60+63+576+70+1440+576</f>
        <v>3577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6</v>
      </c>
      <c r="O12" s="66">
        <v>15</v>
      </c>
      <c r="P12" s="67">
        <v>11</v>
      </c>
      <c r="Q12" s="67">
        <v>20</v>
      </c>
      <c r="R12" s="68">
        <v>14</v>
      </c>
      <c r="S12" s="63"/>
      <c r="T12" s="59">
        <f t="shared" si="0"/>
        <v>31</v>
      </c>
      <c r="U12" s="70">
        <f>C12*24+M12*24+O12*24+Q12*24+T12</f>
        <v>86839</v>
      </c>
      <c r="V12" s="70">
        <f>U12/24</f>
        <v>3618.2916666666665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>
        <v>1</v>
      </c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96</v>
      </c>
      <c r="V13" s="77">
        <f>U13/24</f>
        <v>4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2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>
        <v>1</v>
      </c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2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54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2387</v>
      </c>
      <c r="V25" s="76">
        <f t="shared" si="5"/>
        <v>99.458333333333329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6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312</v>
      </c>
      <c r="V26" s="76">
        <f t="shared" si="5"/>
        <v>13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28</v>
      </c>
      <c r="N28" s="75"/>
      <c r="O28" s="71"/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912</v>
      </c>
      <c r="V28" s="76">
        <f t="shared" si="5"/>
        <v>38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>
        <v>10</v>
      </c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1344</v>
      </c>
      <c r="V30" s="76">
        <f t="shared" si="5"/>
        <v>56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4+72</f>
        <v>76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2237</v>
      </c>
      <c r="V34" s="76">
        <f t="shared" si="5"/>
        <v>93.208333333333329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1512+1512</f>
        <v>3024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24</v>
      </c>
      <c r="P37" s="67"/>
      <c r="Q37" s="67">
        <v>111</v>
      </c>
      <c r="R37" s="68"/>
      <c r="S37" s="63"/>
      <c r="T37" s="78">
        <f t="shared" si="0"/>
        <v>8</v>
      </c>
      <c r="U37" s="78">
        <f>C37*6+M37*6+O37*6+Q37*6+T37</f>
        <v>19232</v>
      </c>
      <c r="V37" s="78">
        <f>U37/6</f>
        <v>3205.3333333333335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441+27</f>
        <v>468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12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11616</v>
      </c>
      <c r="V40" s="78">
        <f>U40/24</f>
        <v>484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23+1152</f>
        <v>1175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21</v>
      </c>
      <c r="N41" s="90"/>
      <c r="O41" s="85">
        <v>5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14601</v>
      </c>
      <c r="V41" s="91">
        <f>U41/12</f>
        <v>1216.75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5940+8424+5292+3672+1836</f>
        <v>25164</v>
      </c>
      <c r="D43" s="66"/>
      <c r="E43" s="66"/>
      <c r="F43" s="66"/>
      <c r="G43" s="66"/>
      <c r="H43" s="66">
        <v>2</v>
      </c>
      <c r="I43" s="66">
        <v>7</v>
      </c>
      <c r="J43" s="67">
        <f>11*6+1</f>
        <v>67</v>
      </c>
      <c r="K43" s="68">
        <f>93*6+5</f>
        <v>563</v>
      </c>
      <c r="L43" s="63"/>
      <c r="M43" s="64">
        <v>356</v>
      </c>
      <c r="N43" s="65"/>
      <c r="O43" s="66">
        <v>450</v>
      </c>
      <c r="P43" s="67"/>
      <c r="Q43" s="67">
        <v>554</v>
      </c>
      <c r="R43" s="68"/>
      <c r="S43" s="63"/>
      <c r="T43" s="78">
        <f t="shared" ref="T43" si="6">H43+I43+J43+K43+N43+P43+R43</f>
        <v>639</v>
      </c>
      <c r="U43" s="78">
        <f>C43*6+M43*6+O43*6+Q43*6+T43</f>
        <v>159783</v>
      </c>
      <c r="V43" s="78">
        <f>U43/6</f>
        <v>26630.5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13984</v>
      </c>
      <c r="V47" s="78">
        <f>U47/6</f>
        <v>2330.6666666666665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36127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55</v>
      </c>
      <c r="I58" s="6">
        <f t="shared" si="11"/>
        <v>9</v>
      </c>
      <c r="J58" s="6">
        <f t="shared" si="11"/>
        <v>67</v>
      </c>
      <c r="K58" s="6">
        <f t="shared" si="11"/>
        <v>604</v>
      </c>
      <c r="M58" s="5">
        <f t="shared" ref="M58:R58" si="12">SUM(M7:M57)</f>
        <v>581</v>
      </c>
      <c r="N58" s="5">
        <f t="shared" si="12"/>
        <v>6</v>
      </c>
      <c r="O58" s="5">
        <f t="shared" si="12"/>
        <v>517</v>
      </c>
      <c r="P58" s="5">
        <f t="shared" si="12"/>
        <v>46</v>
      </c>
      <c r="Q58" s="5">
        <f t="shared" si="12"/>
        <v>734</v>
      </c>
      <c r="R58" s="5">
        <f t="shared" si="12"/>
        <v>14</v>
      </c>
      <c r="S58" s="56"/>
      <c r="T58" s="4">
        <f>SUM(T7:T57)</f>
        <v>801</v>
      </c>
      <c r="U58" s="95">
        <f>SUM(U7:U57)</f>
        <v>319587</v>
      </c>
      <c r="V58" s="4">
        <f>SUM(V7:V57)</f>
        <v>38074.875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8"/>
      <c r="Q5" s="108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1125</v>
      </c>
      <c r="V7" s="59">
        <f>U7/24</f>
        <v>46.875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2160</v>
      </c>
      <c r="V8" s="70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72+720+60+63+576+31+1440+576</f>
        <v>3538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18</v>
      </c>
      <c r="N12" s="65">
        <v>17</v>
      </c>
      <c r="O12" s="66">
        <v>13</v>
      </c>
      <c r="P12" s="67">
        <v>6</v>
      </c>
      <c r="Q12" s="67">
        <v>20</v>
      </c>
      <c r="R12" s="68">
        <v>10</v>
      </c>
      <c r="S12" s="63"/>
      <c r="T12" s="59">
        <f t="shared" si="0"/>
        <v>33</v>
      </c>
      <c r="U12" s="70">
        <f>C12*24+M12*24+O12*24+Q12*24+T12</f>
        <v>86169</v>
      </c>
      <c r="V12" s="70">
        <f>U12/24</f>
        <v>3590.375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72</v>
      </c>
      <c r="V13" s="77">
        <f>U13/24</f>
        <v>3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72</v>
      </c>
      <c r="V19" s="76">
        <f t="shared" si="5"/>
        <v>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10</v>
      </c>
      <c r="R25" s="73"/>
      <c r="S25" s="56"/>
      <c r="T25" s="59">
        <f t="shared" si="0"/>
        <v>11</v>
      </c>
      <c r="U25" s="76">
        <f t="shared" si="4"/>
        <v>1403</v>
      </c>
      <c r="V25" s="76">
        <f t="shared" si="5"/>
        <v>58.458333333333336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288</v>
      </c>
      <c r="V28" s="76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71+4</f>
        <v>75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1973</v>
      </c>
      <c r="V34" s="76">
        <f t="shared" si="5"/>
        <v>82.208333333333329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1404+30+1512+1</f>
        <v>2947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37</v>
      </c>
      <c r="N37" s="65"/>
      <c r="O37" s="66">
        <v>17</v>
      </c>
      <c r="P37" s="67"/>
      <c r="Q37" s="67">
        <v>116</v>
      </c>
      <c r="R37" s="68"/>
      <c r="S37" s="63"/>
      <c r="T37" s="78">
        <f t="shared" si="0"/>
        <v>2</v>
      </c>
      <c r="U37" s="78">
        <f>C37*6+M37*6+O37*6+Q37*6+T37</f>
        <v>18704</v>
      </c>
      <c r="V37" s="78">
        <f>U37/6</f>
        <v>3117.3333333333335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441+26</f>
        <v>467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11304</v>
      </c>
      <c r="V40" s="78">
        <f>U40/24</f>
        <v>471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18+1152</f>
        <v>1170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4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14325</v>
      </c>
      <c r="V41" s="91">
        <f>U41/12</f>
        <v>1193.75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5940+8424+4104+864+41+6480+1836+18</f>
        <v>27707</v>
      </c>
      <c r="D43" s="66"/>
      <c r="E43" s="66"/>
      <c r="F43" s="66"/>
      <c r="G43" s="66"/>
      <c r="H43" s="66">
        <v>3</v>
      </c>
      <c r="I43" s="66">
        <v>7</v>
      </c>
      <c r="J43" s="67">
        <f>11*6+3</f>
        <v>69</v>
      </c>
      <c r="K43" s="68">
        <f>21*6+2</f>
        <v>128</v>
      </c>
      <c r="L43" s="63"/>
      <c r="M43" s="64">
        <v>541</v>
      </c>
      <c r="N43" s="65"/>
      <c r="O43" s="66">
        <v>420</v>
      </c>
      <c r="P43" s="67"/>
      <c r="Q43" s="67">
        <v>566</v>
      </c>
      <c r="R43" s="68"/>
      <c r="S43" s="63"/>
      <c r="T43" s="78">
        <f t="shared" ref="T43" si="6">H43+I43+J43+K43+N43+P43+R43</f>
        <v>207</v>
      </c>
      <c r="U43" s="78">
        <f>C43*6+M43*6+O43*6+Q43*6+T43</f>
        <v>175611</v>
      </c>
      <c r="V43" s="78">
        <f>U43/6</f>
        <v>29268.5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13924</v>
      </c>
      <c r="V47" s="78">
        <f>U47/6</f>
        <v>2320.6666666666665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38536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56</v>
      </c>
      <c r="I58" s="6">
        <f t="shared" si="11"/>
        <v>9</v>
      </c>
      <c r="J58" s="6">
        <f t="shared" si="11"/>
        <v>69</v>
      </c>
      <c r="K58" s="6">
        <f t="shared" si="11"/>
        <v>163</v>
      </c>
      <c r="M58" s="5">
        <f t="shared" ref="M58:R58" si="12">SUM(M7:M57)</f>
        <v>616</v>
      </c>
      <c r="N58" s="5">
        <f t="shared" si="12"/>
        <v>17</v>
      </c>
      <c r="O58" s="5">
        <f t="shared" si="12"/>
        <v>478</v>
      </c>
      <c r="P58" s="5">
        <f t="shared" si="12"/>
        <v>41</v>
      </c>
      <c r="Q58" s="5">
        <f t="shared" si="12"/>
        <v>757</v>
      </c>
      <c r="R58" s="5">
        <f t="shared" si="12"/>
        <v>10</v>
      </c>
      <c r="S58" s="56"/>
      <c r="T58" s="4">
        <f>SUM(T7:T57)</f>
        <v>365</v>
      </c>
      <c r="U58" s="95">
        <f>SUM(U7:U57)</f>
        <v>330665</v>
      </c>
      <c r="V58" s="4">
        <f>SUM(V7:V57)</f>
        <v>40429.958333333336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9"/>
      <c r="Q5" s="109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9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72+720+60+63+504+67+1440+576</f>
        <v>3502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15</v>
      </c>
      <c r="N12" s="65">
        <v>1</v>
      </c>
      <c r="O12" s="66">
        <v>8</v>
      </c>
      <c r="P12" s="67">
        <v>1</v>
      </c>
      <c r="Q12" s="67">
        <v>21</v>
      </c>
      <c r="R12" s="68"/>
      <c r="S12" s="63"/>
      <c r="T12" s="59">
        <f t="shared" si="0"/>
        <v>2</v>
      </c>
      <c r="U12" s="70">
        <f>C12*24+M12*24+O12*24+Q12*24+T12</f>
        <v>85106</v>
      </c>
      <c r="V12" s="70">
        <f>U12/24</f>
        <v>3546.0833333333335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1163</v>
      </c>
      <c r="V25" s="76">
        <f t="shared" si="5"/>
        <v>48.458333333333336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240</v>
      </c>
      <c r="V28" s="76">
        <f t="shared" si="5"/>
        <v>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70+4</f>
        <v>74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1188+72+1512</f>
        <v>2772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18</v>
      </c>
      <c r="N37" s="65"/>
      <c r="O37" s="66">
        <v>36</v>
      </c>
      <c r="P37" s="67"/>
      <c r="Q37" s="67">
        <v>143</v>
      </c>
      <c r="R37" s="68"/>
      <c r="S37" s="63"/>
      <c r="T37" s="78">
        <f t="shared" si="0"/>
        <v>2</v>
      </c>
      <c r="U37" s="78">
        <f>C37*6+M37*6+O37*6+Q37*6+T37</f>
        <v>17816</v>
      </c>
      <c r="V37" s="78">
        <f>U37/6</f>
        <v>2969.3333333333335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378+23</f>
        <v>401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1152+14</f>
        <v>1166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4</v>
      </c>
      <c r="P41" s="86"/>
      <c r="Q41" s="86">
        <v>7</v>
      </c>
      <c r="R41" s="87"/>
      <c r="S41" s="88"/>
      <c r="T41" s="91">
        <f t="shared" si="0"/>
        <v>9</v>
      </c>
      <c r="U41" s="91">
        <f>C41*12+M41*12+O41*12+Q41*12+T41</f>
        <v>14133</v>
      </c>
      <c r="V41" s="91">
        <f>U41/12</f>
        <v>1177.75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5940+8424+3132+2700+41+6480</f>
        <v>26717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534</v>
      </c>
      <c r="N43" s="65"/>
      <c r="O43" s="66">
        <v>309</v>
      </c>
      <c r="P43" s="67"/>
      <c r="Q43" s="67">
        <v>459</v>
      </c>
      <c r="R43" s="68"/>
      <c r="S43" s="63"/>
      <c r="T43" s="78">
        <f t="shared" ref="T43" si="6">H43+I43+J43+K43+N43+P43+R43</f>
        <v>218</v>
      </c>
      <c r="U43" s="78">
        <f>C43*6+M43*6+O43*6+Q43*6+T43</f>
        <v>168332</v>
      </c>
      <c r="V43" s="78">
        <f>U43/6</f>
        <v>28055.333333333332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2268+33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13912</v>
      </c>
      <c r="V47" s="78">
        <f>U47/6</f>
        <v>2318.6666666666665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37255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578</v>
      </c>
      <c r="N58" s="5">
        <f t="shared" si="12"/>
        <v>1</v>
      </c>
      <c r="O58" s="5">
        <f t="shared" si="12"/>
        <v>381</v>
      </c>
      <c r="P58" s="5">
        <f t="shared" si="12"/>
        <v>36</v>
      </c>
      <c r="Q58" s="5">
        <f t="shared" si="12"/>
        <v>663</v>
      </c>
      <c r="R58" s="5">
        <f t="shared" si="12"/>
        <v>0</v>
      </c>
      <c r="S58" s="56"/>
      <c r="T58" s="4">
        <f>SUM(T7:T57)</f>
        <v>417</v>
      </c>
      <c r="U58" s="95">
        <f>SUM(U7:U57)</f>
        <v>319239</v>
      </c>
      <c r="V58" s="4">
        <f>SUM(V7:V57)</f>
        <v>38923.499999999993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topLeftCell="A34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9"/>
      <c r="Q5" s="109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3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9+15+63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72+720+63+60+504+24+1440+576</f>
        <v>3459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13</v>
      </c>
      <c r="O12" s="66">
        <v>19</v>
      </c>
      <c r="P12" s="67">
        <v>1</v>
      </c>
      <c r="Q12" s="67">
        <v>13</v>
      </c>
      <c r="R12" s="68">
        <v>13</v>
      </c>
      <c r="S12" s="63"/>
      <c r="T12" s="59">
        <f t="shared" si="0"/>
        <v>27</v>
      </c>
      <c r="U12" s="70">
        <f>C12*24+M12*24+O12*24+Q12*24+T12</f>
        <v>84339</v>
      </c>
      <c r="V12" s="70">
        <f>U12/24</f>
        <v>3514.125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3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1115</v>
      </c>
      <c r="V25" s="76">
        <f t="shared" si="5"/>
        <v>46.458333333333336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/>
      <c r="R28" s="73"/>
      <c r="S28" s="56"/>
      <c r="T28" s="59">
        <f t="shared" si="0"/>
        <v>0</v>
      </c>
      <c r="U28" s="76">
        <f t="shared" si="4"/>
        <v>96</v>
      </c>
      <c r="V28" s="76">
        <f t="shared" si="5"/>
        <v>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1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1080</v>
      </c>
      <c r="V30" s="76">
        <f t="shared" si="5"/>
        <v>45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3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1080+1512</f>
        <v>2592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80</v>
      </c>
      <c r="N37" s="65"/>
      <c r="O37" s="66">
        <v>108</v>
      </c>
      <c r="P37" s="67"/>
      <c r="Q37" s="67">
        <v>118</v>
      </c>
      <c r="R37" s="68"/>
      <c r="S37" s="63"/>
      <c r="T37" s="78">
        <f t="shared" si="0"/>
        <v>2</v>
      </c>
      <c r="U37" s="78">
        <f>C37*6+M37*6+O37*6+Q37*6+T37</f>
        <v>17390</v>
      </c>
      <c r="V37" s="78">
        <f>U37/6</f>
        <v>2898.3333333333335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21+378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1056+70</f>
        <v>1126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10</v>
      </c>
      <c r="N41" s="90"/>
      <c r="O41" s="85">
        <v>5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13941</v>
      </c>
      <c r="V41" s="91">
        <f>U41/12</f>
        <v>1161.75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5940+8424+65+2052+4536+6480</f>
        <v>27497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314</v>
      </c>
      <c r="N43" s="65"/>
      <c r="O43" s="66">
        <v>384</v>
      </c>
      <c r="P43" s="67"/>
      <c r="Q43" s="67">
        <v>454</v>
      </c>
      <c r="R43" s="68"/>
      <c r="S43" s="63"/>
      <c r="T43" s="78">
        <f t="shared" ref="T43" si="6">H43+I43+J43+K43+N43+P43+R43</f>
        <v>218</v>
      </c>
      <c r="U43" s="78">
        <f>C43*6+M43*6+O43*6+Q43*6+T43</f>
        <v>172112</v>
      </c>
      <c r="V43" s="78">
        <f>U43/6</f>
        <v>28685.333333333332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33+2268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1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13882</v>
      </c>
      <c r="V47" s="78">
        <f>U47/6</f>
        <v>2313.6666666666665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37767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445</v>
      </c>
      <c r="N58" s="5">
        <f t="shared" si="12"/>
        <v>13</v>
      </c>
      <c r="O58" s="5">
        <f t="shared" si="12"/>
        <v>529</v>
      </c>
      <c r="P58" s="5">
        <f t="shared" si="12"/>
        <v>36</v>
      </c>
      <c r="Q58" s="5">
        <f t="shared" si="12"/>
        <v>632</v>
      </c>
      <c r="R58" s="5">
        <f t="shared" si="12"/>
        <v>13</v>
      </c>
      <c r="S58" s="56"/>
      <c r="T58" s="4">
        <f>SUM(T7:T57)</f>
        <v>442</v>
      </c>
      <c r="U58" s="95">
        <f>SUM(U7:U57)</f>
        <v>321388</v>
      </c>
      <c r="V58" s="4">
        <f>SUM(V7:V57)</f>
        <v>39420.541666666664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B5" sqref="B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09"/>
      <c r="Q5" s="109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1029</v>
      </c>
      <c r="V7" s="59">
        <f>U7/24</f>
        <v>42.875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1+8+63+15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72+720+60+63+432+50+1440+576</f>
        <v>3413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36</v>
      </c>
      <c r="N12" s="65">
        <v>11</v>
      </c>
      <c r="O12" s="66">
        <v>11</v>
      </c>
      <c r="P12" s="67">
        <v>15</v>
      </c>
      <c r="Q12" s="67">
        <v>20</v>
      </c>
      <c r="R12" s="68">
        <v>12</v>
      </c>
      <c r="S12" s="63"/>
      <c r="T12" s="59">
        <f t="shared" si="0"/>
        <v>38</v>
      </c>
      <c r="U12" s="70">
        <f>C12*24+M12*24+O12*24+Q12*24+T12</f>
        <v>83558</v>
      </c>
      <c r="V12" s="70">
        <f>U12/24</f>
        <v>3481.5833333333335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1067</v>
      </c>
      <c r="V25" s="76">
        <f t="shared" si="5"/>
        <v>44.458333333333336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63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1512</v>
      </c>
      <c r="V28" s="76">
        <f t="shared" si="5"/>
        <v>63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1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1080</v>
      </c>
      <c r="V30" s="76">
        <f t="shared" si="5"/>
        <v>45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3</v>
      </c>
      <c r="R34" s="73"/>
      <c r="S34" s="56"/>
      <c r="T34" s="59">
        <f t="shared" si="0"/>
        <v>5</v>
      </c>
      <c r="U34" s="76">
        <f t="shared" si="4"/>
        <v>1829</v>
      </c>
      <c r="V34" s="76">
        <f t="shared" si="5"/>
        <v>76.208333333333329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972+47+1512</f>
        <v>2531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28</v>
      </c>
      <c r="N37" s="65"/>
      <c r="O37" s="66">
        <v>39</v>
      </c>
      <c r="P37" s="67"/>
      <c r="Q37" s="67">
        <v>90</v>
      </c>
      <c r="R37" s="68"/>
      <c r="S37" s="63"/>
      <c r="T37" s="78">
        <f t="shared" si="0"/>
        <v>2</v>
      </c>
      <c r="U37" s="78">
        <f>C37*6+M37*6+O37*6+Q37*6+T37</f>
        <v>16130</v>
      </c>
      <c r="V37" s="78">
        <f>U37/6</f>
        <v>2688.3333333333335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20+1+378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9672</v>
      </c>
      <c r="V40" s="78">
        <f>U40/24</f>
        <v>403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1056+57</f>
        <v>1113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4</v>
      </c>
      <c r="P41" s="86"/>
      <c r="Q41" s="86">
        <v>19</v>
      </c>
      <c r="R41" s="87"/>
      <c r="S41" s="88"/>
      <c r="T41" s="91">
        <f t="shared" si="0"/>
        <v>9</v>
      </c>
      <c r="U41" s="91">
        <f>C41*12+M41*12+O41*12+Q41*12+T41</f>
        <v>13701</v>
      </c>
      <c r="V41" s="91">
        <f>U41/12</f>
        <v>1141.75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5940+8424+432+4536+6480+1728</f>
        <v>27540</v>
      </c>
      <c r="D43" s="66"/>
      <c r="E43" s="66"/>
      <c r="F43" s="66"/>
      <c r="G43" s="66"/>
      <c r="H43" s="66">
        <v>5</v>
      </c>
      <c r="I43" s="66">
        <v>7</v>
      </c>
      <c r="J43" s="67">
        <f>6*13</f>
        <v>78</v>
      </c>
      <c r="K43" s="68">
        <f>21*6+2</f>
        <v>128</v>
      </c>
      <c r="L43" s="63"/>
      <c r="M43" s="64">
        <v>590</v>
      </c>
      <c r="N43" s="65"/>
      <c r="O43" s="66">
        <v>424</v>
      </c>
      <c r="P43" s="67"/>
      <c r="Q43" s="67">
        <v>543</v>
      </c>
      <c r="R43" s="68"/>
      <c r="S43" s="63"/>
      <c r="T43" s="78">
        <f t="shared" ref="T43" si="6">H43+I43+J43+K43+N43+P43+R43</f>
        <v>218</v>
      </c>
      <c r="U43" s="78">
        <f>C43*6+M43*6+O43*6+Q43*6+T43</f>
        <v>174800</v>
      </c>
      <c r="V43" s="78">
        <f>U43/6</f>
        <v>29133.333333333332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5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13882</v>
      </c>
      <c r="V47" s="78">
        <f>U47/6</f>
        <v>2313.6666666666665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37749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662</v>
      </c>
      <c r="N58" s="5">
        <f t="shared" si="12"/>
        <v>11</v>
      </c>
      <c r="O58" s="5">
        <f t="shared" si="12"/>
        <v>491</v>
      </c>
      <c r="P58" s="5">
        <f t="shared" si="12"/>
        <v>50</v>
      </c>
      <c r="Q58" s="5">
        <f t="shared" si="12"/>
        <v>696</v>
      </c>
      <c r="R58" s="5">
        <f t="shared" si="12"/>
        <v>12</v>
      </c>
      <c r="S58" s="56"/>
      <c r="T58" s="4">
        <f>SUM(T7:T57)</f>
        <v>453</v>
      </c>
      <c r="U58" s="95">
        <f>SUM(U7:U57)</f>
        <v>322755</v>
      </c>
      <c r="V58" s="4">
        <f>SUM(V7:V57)</f>
        <v>39645.999999999993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393D-A9F7-456B-9502-F2AABC9F6E8D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10"/>
      <c r="Q5" s="110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1029</v>
      </c>
      <c r="V7" s="59">
        <f>U7/24</f>
        <v>42.875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72+720+63+60+432+26+1440+576</f>
        <v>3389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15</v>
      </c>
      <c r="O12" s="66">
        <v>11</v>
      </c>
      <c r="P12" s="67">
        <v>14</v>
      </c>
      <c r="Q12" s="67">
        <v>17</v>
      </c>
      <c r="R12" s="68">
        <v>10</v>
      </c>
      <c r="S12" s="63"/>
      <c r="T12" s="59">
        <f t="shared" si="0"/>
        <v>39</v>
      </c>
      <c r="U12" s="70">
        <f>C12*24+M12*24+O12*24+Q12*24+T12</f>
        <v>82575</v>
      </c>
      <c r="V12" s="70">
        <f>U12/24</f>
        <v>3440.625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1019</v>
      </c>
      <c r="V25" s="76">
        <f t="shared" si="5"/>
        <v>42.458333333333336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55</f>
        <v>55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>
        <v>3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1512</v>
      </c>
      <c r="V28" s="76">
        <f t="shared" si="5"/>
        <v>63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1056</v>
      </c>
      <c r="V30" s="76">
        <f t="shared" si="5"/>
        <v>44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1805</v>
      </c>
      <c r="V34" s="76">
        <f t="shared" si="5"/>
        <v>75.208333333333329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972+43+1512</f>
        <v>2527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28</v>
      </c>
      <c r="N37" s="65"/>
      <c r="O37" s="66">
        <v>20</v>
      </c>
      <c r="P37" s="67"/>
      <c r="Q37" s="67">
        <v>75</v>
      </c>
      <c r="R37" s="68"/>
      <c r="S37" s="63"/>
      <c r="T37" s="78">
        <f t="shared" si="0"/>
        <v>2</v>
      </c>
      <c r="U37" s="78">
        <f>C37*6+M37*6+O37*6+Q37*6+T37</f>
        <v>15902</v>
      </c>
      <c r="V37" s="78">
        <f>U37/6</f>
        <v>2650.3333333333335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378+21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/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1056+43</f>
        <v>1099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6</v>
      </c>
      <c r="P41" s="86"/>
      <c r="Q41" s="86">
        <v>22</v>
      </c>
      <c r="R41" s="87"/>
      <c r="S41" s="88"/>
      <c r="T41" s="91">
        <f t="shared" si="0"/>
        <v>9</v>
      </c>
      <c r="U41" s="91">
        <f>C41*12+M41*12+O41*12+Q41*12+T41</f>
        <v>13533</v>
      </c>
      <c r="V41" s="91">
        <f>U41/12</f>
        <v>1127.75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5940+8100+4536+6480+5400+1836+83</f>
        <v>32375</v>
      </c>
      <c r="D43" s="66"/>
      <c r="E43" s="66"/>
      <c r="F43" s="66"/>
      <c r="G43" s="66"/>
      <c r="H43" s="66"/>
      <c r="I43" s="66">
        <v>7</v>
      </c>
      <c r="J43" s="67">
        <f>13*6+4</f>
        <v>82</v>
      </c>
      <c r="K43" s="68">
        <f>21*6+2</f>
        <v>128</v>
      </c>
      <c r="L43" s="63"/>
      <c r="M43" s="64">
        <v>50</v>
      </c>
      <c r="N43" s="65"/>
      <c r="O43" s="66">
        <v>397</v>
      </c>
      <c r="P43" s="67"/>
      <c r="Q43" s="67">
        <v>534</v>
      </c>
      <c r="R43" s="68"/>
      <c r="S43" s="63"/>
      <c r="T43" s="78">
        <f t="shared" ref="T43" si="6">H43+I43+J43+K43+N43+P43+R43</f>
        <v>217</v>
      </c>
      <c r="U43" s="78">
        <f>C43*6+M43*6+O43*6+Q43*6+T43</f>
        <v>200353</v>
      </c>
      <c r="V43" s="78">
        <f>U43/6</f>
        <v>33392.166666666664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42534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125</v>
      </c>
      <c r="I58" s="6">
        <f t="shared" si="11"/>
        <v>9</v>
      </c>
      <c r="J58" s="6">
        <f t="shared" si="11"/>
        <v>82</v>
      </c>
      <c r="K58" s="6">
        <f t="shared" si="11"/>
        <v>163</v>
      </c>
      <c r="M58" s="5">
        <f t="shared" ref="M58:R58" si="12">SUM(M7:M57)</f>
        <v>103</v>
      </c>
      <c r="N58" s="5">
        <f t="shared" si="12"/>
        <v>15</v>
      </c>
      <c r="O58" s="5">
        <f t="shared" si="12"/>
        <v>447</v>
      </c>
      <c r="P58" s="5">
        <f t="shared" si="12"/>
        <v>49</v>
      </c>
      <c r="Q58" s="5">
        <f t="shared" si="12"/>
        <v>670</v>
      </c>
      <c r="R58" s="5">
        <f t="shared" si="12"/>
        <v>10</v>
      </c>
      <c r="S58" s="56"/>
      <c r="T58" s="4">
        <f>SUM(T7:T57)</f>
        <v>453</v>
      </c>
      <c r="U58" s="95">
        <f>SUM(U7:U57)</f>
        <v>346725</v>
      </c>
      <c r="V58" s="4">
        <f>SUM(V7:V57)</f>
        <v>43801.874999999993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F93D9-C7C3-417C-B865-72750FD7E798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11"/>
      <c r="Q5" s="111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0E6C0-DD51-4FD2-A640-9020E647A8E1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11"/>
      <c r="Q5" s="111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3F3BE-26D9-4F16-8FB3-4BF7E00B0AE7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9" t="s">
        <v>43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</row>
    <row r="2" spans="1:54" x14ac:dyDescent="0.25">
      <c r="B2" s="28" t="s">
        <v>91</v>
      </c>
    </row>
    <row r="3" spans="1:54" ht="19.5" thickBot="1" x14ac:dyDescent="0.3"/>
    <row r="4" spans="1:54" s="10" customFormat="1" ht="15.75" x14ac:dyDescent="0.25">
      <c r="B4" s="41" t="s">
        <v>52</v>
      </c>
      <c r="C4" s="120" t="s">
        <v>41</v>
      </c>
      <c r="D4" s="120"/>
      <c r="E4" s="120"/>
      <c r="F4" s="120"/>
      <c r="G4" s="120"/>
      <c r="H4" s="120"/>
      <c r="I4" s="120"/>
      <c r="J4" s="121"/>
      <c r="K4" s="12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3" t="s">
        <v>68</v>
      </c>
      <c r="U4" s="129" t="s">
        <v>67</v>
      </c>
      <c r="V4" s="11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7" t="s">
        <v>65</v>
      </c>
      <c r="K5" s="128"/>
      <c r="M5" s="37"/>
      <c r="N5" s="49"/>
      <c r="O5" s="40"/>
      <c r="P5" s="111"/>
      <c r="Q5" s="111"/>
      <c r="R5" s="38"/>
      <c r="S5" s="9"/>
      <c r="T5" s="124"/>
      <c r="U5" s="130"/>
      <c r="V5" s="11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6" t="s">
        <v>41</v>
      </c>
      <c r="D60" s="117"/>
      <c r="E60" s="117"/>
      <c r="F60" s="117"/>
      <c r="G60" s="117"/>
      <c r="H60" s="117"/>
      <c r="I60" s="117"/>
      <c r="J60" s="117"/>
      <c r="K60" s="11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03-14-2026</vt:lpstr>
      <vt:lpstr>03-16-2026</vt:lpstr>
      <vt:lpstr>03-17-2026</vt:lpstr>
      <vt:lpstr>03-18-2026</vt:lpstr>
      <vt:lpstr>03-19-2026</vt:lpstr>
      <vt:lpstr>03-20-2026</vt:lpstr>
      <vt:lpstr>03-23-2026</vt:lpstr>
      <vt:lpstr>03-24-2026</vt:lpstr>
      <vt:lpstr>03-25-2026</vt:lpstr>
      <vt:lpstr>03-26-2026</vt:lpstr>
      <vt:lpstr>03-27-2026</vt:lpstr>
      <vt:lpstr>03-28-2026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'03-14-2026'!Print_Area</vt:lpstr>
      <vt:lpstr>'03-16-2026'!Print_Area</vt:lpstr>
      <vt:lpstr>'03-17-2026'!Print_Area</vt:lpstr>
      <vt:lpstr>'03-18-2026'!Print_Area</vt:lpstr>
      <vt:lpstr>'03-19-2026'!Print_Area</vt:lpstr>
      <vt:lpstr>'03-20-2026'!Print_Area</vt:lpstr>
      <vt:lpstr>'03-23-2026'!Print_Area</vt:lpstr>
      <vt:lpstr>'03-24-2026'!Print_Area</vt:lpstr>
      <vt:lpstr>'03-25-2026'!Print_Area</vt:lpstr>
      <vt:lpstr>'03-26-2026'!Print_Area</vt:lpstr>
      <vt:lpstr>'03-27-2026'!Print_Area</vt:lpstr>
      <vt:lpstr>'03-28-2026'!Print_Area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2026-03-25T06:22:01Z</dcterms:modified>
</cp:coreProperties>
</file>