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908FF1D2-A70F-47C6-A0ED-20BFB0377348}" xr6:coauthVersionLast="45" xr6:coauthVersionMax="45" xr10:uidLastSave="{00000000-0000-0000-0000-000000000000}"/>
  <bookViews>
    <workbookView xWindow="-120" yWindow="-120" windowWidth="29040" windowHeight="15840" firstSheet="1" activeTab="9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  <sheet name="03-11-2026" sheetId="38" r:id="rId9"/>
    <sheet name="03-12-2026" sheetId="39" r:id="rId10"/>
    <sheet name="03-13-2026" sheetId="40" r:id="rId11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8">'03-11-2026'!$A$1:$W$59</definedName>
    <definedName name="_xlnm.Print_Area" localSheetId="9">'03-12-2026'!$A$1:$W$59</definedName>
    <definedName name="_xlnm.Print_Area" localSheetId="10">'03-13-2026'!$A$1:$W$59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39" l="1"/>
  <c r="K43" i="39"/>
  <c r="J43" i="39"/>
  <c r="C43" i="39"/>
  <c r="C41" i="39"/>
  <c r="C40" i="39"/>
  <c r="C37" i="39"/>
  <c r="C34" i="39"/>
  <c r="C28" i="39"/>
  <c r="C25" i="39"/>
  <c r="C12" i="39"/>
  <c r="C8" i="39"/>
  <c r="R58" i="40"/>
  <c r="Q58" i="40"/>
  <c r="P58" i="40"/>
  <c r="O58" i="40"/>
  <c r="N58" i="40"/>
  <c r="M58" i="40"/>
  <c r="K58" i="40"/>
  <c r="J58" i="40"/>
  <c r="I58" i="40"/>
  <c r="H58" i="40"/>
  <c r="G58" i="40"/>
  <c r="F58" i="40"/>
  <c r="C58" i="40"/>
  <c r="T54" i="40"/>
  <c r="U54" i="40" s="1"/>
  <c r="V54" i="40" s="1"/>
  <c r="T53" i="40"/>
  <c r="U53" i="40" s="1"/>
  <c r="V53" i="40" s="1"/>
  <c r="T52" i="40"/>
  <c r="U52" i="40" s="1"/>
  <c r="V52" i="40" s="1"/>
  <c r="T51" i="40"/>
  <c r="U51" i="40" s="1"/>
  <c r="V51" i="40" s="1"/>
  <c r="T50" i="40"/>
  <c r="U50" i="40" s="1"/>
  <c r="V50" i="40" s="1"/>
  <c r="T49" i="40"/>
  <c r="U49" i="40" s="1"/>
  <c r="V49" i="40" s="1"/>
  <c r="T48" i="40"/>
  <c r="U48" i="40" s="1"/>
  <c r="V48" i="40" s="1"/>
  <c r="T47" i="40"/>
  <c r="U47" i="40" s="1"/>
  <c r="V47" i="40" s="1"/>
  <c r="T46" i="40"/>
  <c r="U46" i="40" s="1"/>
  <c r="V46" i="40" s="1"/>
  <c r="T45" i="40"/>
  <c r="U45" i="40" s="1"/>
  <c r="V45" i="40" s="1"/>
  <c r="T43" i="40"/>
  <c r="U43" i="40" s="1"/>
  <c r="V43" i="40" s="1"/>
  <c r="T41" i="40"/>
  <c r="U41" i="40" s="1"/>
  <c r="V41" i="40" s="1"/>
  <c r="U40" i="40"/>
  <c r="V40" i="40" s="1"/>
  <c r="T40" i="40"/>
  <c r="T38" i="40"/>
  <c r="U38" i="40" s="1"/>
  <c r="V38" i="40" s="1"/>
  <c r="U37" i="40"/>
  <c r="V37" i="40" s="1"/>
  <c r="T37" i="40"/>
  <c r="T36" i="40"/>
  <c r="U36" i="40" s="1"/>
  <c r="V36" i="40" s="1"/>
  <c r="V35" i="40"/>
  <c r="U35" i="40"/>
  <c r="T35" i="40"/>
  <c r="T34" i="40"/>
  <c r="U34" i="40" s="1"/>
  <c r="V34" i="40" s="1"/>
  <c r="U33" i="40"/>
  <c r="V33" i="40" s="1"/>
  <c r="T33" i="40"/>
  <c r="T32" i="40"/>
  <c r="U32" i="40" s="1"/>
  <c r="V32" i="40" s="1"/>
  <c r="V31" i="40"/>
  <c r="U31" i="40"/>
  <c r="T31" i="40"/>
  <c r="T30" i="40"/>
  <c r="U30" i="40" s="1"/>
  <c r="V30" i="40" s="1"/>
  <c r="U29" i="40"/>
  <c r="V29" i="40" s="1"/>
  <c r="T29" i="40"/>
  <c r="T28" i="40"/>
  <c r="U28" i="40" s="1"/>
  <c r="V28" i="40" s="1"/>
  <c r="T26" i="40"/>
  <c r="U26" i="40" s="1"/>
  <c r="V26" i="40" s="1"/>
  <c r="AY25" i="40"/>
  <c r="T25" i="40"/>
  <c r="U25" i="40" s="1"/>
  <c r="V25" i="40" s="1"/>
  <c r="U24" i="40"/>
  <c r="V24" i="40" s="1"/>
  <c r="T24" i="40"/>
  <c r="T23" i="40"/>
  <c r="U23" i="40" s="1"/>
  <c r="V23" i="40" s="1"/>
  <c r="U22" i="40"/>
  <c r="V22" i="40" s="1"/>
  <c r="T22" i="40"/>
  <c r="T21" i="40"/>
  <c r="U21" i="40" s="1"/>
  <c r="V21" i="40" s="1"/>
  <c r="A21" i="40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U20" i="40"/>
  <c r="V20" i="40" s="1"/>
  <c r="T20" i="40"/>
  <c r="A20" i="40"/>
  <c r="T19" i="40"/>
  <c r="U19" i="40" s="1"/>
  <c r="V19" i="40" s="1"/>
  <c r="T18" i="40"/>
  <c r="U18" i="40" s="1"/>
  <c r="V18" i="40" s="1"/>
  <c r="T17" i="40"/>
  <c r="U17" i="40" s="1"/>
  <c r="V17" i="40" s="1"/>
  <c r="T16" i="40"/>
  <c r="U16" i="40" s="1"/>
  <c r="V16" i="40" s="1"/>
  <c r="T15" i="40"/>
  <c r="U15" i="40" s="1"/>
  <c r="V15" i="40" s="1"/>
  <c r="A15" i="40"/>
  <c r="A16" i="40" s="1"/>
  <c r="A17" i="40" s="1"/>
  <c r="A18" i="40" s="1"/>
  <c r="T14" i="40"/>
  <c r="U14" i="40" s="1"/>
  <c r="V14" i="40" s="1"/>
  <c r="A14" i="40"/>
  <c r="T13" i="40"/>
  <c r="U13" i="40" s="1"/>
  <c r="V13" i="40" s="1"/>
  <c r="U12" i="40"/>
  <c r="V12" i="40" s="1"/>
  <c r="T12" i="40"/>
  <c r="T11" i="40"/>
  <c r="U11" i="40" s="1"/>
  <c r="V11" i="40" s="1"/>
  <c r="U10" i="40"/>
  <c r="V10" i="40" s="1"/>
  <c r="T10" i="40"/>
  <c r="T9" i="40"/>
  <c r="U9" i="40" s="1"/>
  <c r="V9" i="40" s="1"/>
  <c r="A9" i="40"/>
  <c r="A10" i="40" s="1"/>
  <c r="A11" i="40" s="1"/>
  <c r="T8" i="40"/>
  <c r="U8" i="40" s="1"/>
  <c r="V8" i="40" s="1"/>
  <c r="A8" i="40"/>
  <c r="T7" i="40"/>
  <c r="T58" i="40" s="1"/>
  <c r="C47" i="38"/>
  <c r="K43" i="38"/>
  <c r="J43" i="38"/>
  <c r="C43" i="38"/>
  <c r="C41" i="38"/>
  <c r="C40" i="38"/>
  <c r="C37" i="38"/>
  <c r="C34" i="38"/>
  <c r="C28" i="38"/>
  <c r="C25" i="38"/>
  <c r="C12" i="38"/>
  <c r="C8" i="38"/>
  <c r="U7" i="40" l="1"/>
  <c r="C37" i="37"/>
  <c r="C7" i="37"/>
  <c r="C12" i="37"/>
  <c r="C47" i="37"/>
  <c r="K43" i="37"/>
  <c r="J43" i="37"/>
  <c r="C43" i="37"/>
  <c r="C41" i="37"/>
  <c r="C40" i="37"/>
  <c r="C34" i="37"/>
  <c r="C28" i="37"/>
  <c r="C25" i="37"/>
  <c r="C8" i="37"/>
  <c r="R58" i="39"/>
  <c r="Q58" i="39"/>
  <c r="P58" i="39"/>
  <c r="O58" i="39"/>
  <c r="N58" i="39"/>
  <c r="M58" i="39"/>
  <c r="K58" i="39"/>
  <c r="J58" i="39"/>
  <c r="I58" i="39"/>
  <c r="H58" i="39"/>
  <c r="G58" i="39"/>
  <c r="F58" i="39"/>
  <c r="C58" i="39"/>
  <c r="U54" i="39"/>
  <c r="V54" i="39" s="1"/>
  <c r="T54" i="39"/>
  <c r="T53" i="39"/>
  <c r="U53" i="39" s="1"/>
  <c r="V53" i="39" s="1"/>
  <c r="T52" i="39"/>
  <c r="U52" i="39" s="1"/>
  <c r="V52" i="39" s="1"/>
  <c r="T51" i="39"/>
  <c r="U51" i="39" s="1"/>
  <c r="V51" i="39" s="1"/>
  <c r="U50" i="39"/>
  <c r="V50" i="39" s="1"/>
  <c r="T50" i="39"/>
  <c r="T49" i="39"/>
  <c r="U49" i="39" s="1"/>
  <c r="V49" i="39" s="1"/>
  <c r="T48" i="39"/>
  <c r="U48" i="39" s="1"/>
  <c r="V48" i="39" s="1"/>
  <c r="T47" i="39"/>
  <c r="U47" i="39" s="1"/>
  <c r="V47" i="39" s="1"/>
  <c r="U46" i="39"/>
  <c r="V46" i="39" s="1"/>
  <c r="T46" i="39"/>
  <c r="T45" i="39"/>
  <c r="U45" i="39" s="1"/>
  <c r="V45" i="39" s="1"/>
  <c r="T43" i="39"/>
  <c r="U43" i="39" s="1"/>
  <c r="V43" i="39" s="1"/>
  <c r="U41" i="39"/>
  <c r="V41" i="39" s="1"/>
  <c r="T41" i="39"/>
  <c r="T40" i="39"/>
  <c r="U40" i="39" s="1"/>
  <c r="V40" i="39" s="1"/>
  <c r="T38" i="39"/>
  <c r="U38" i="39" s="1"/>
  <c r="V38" i="39" s="1"/>
  <c r="T37" i="39"/>
  <c r="U37" i="39" s="1"/>
  <c r="V37" i="39" s="1"/>
  <c r="T36" i="39"/>
  <c r="U36" i="39" s="1"/>
  <c r="V36" i="39" s="1"/>
  <c r="T35" i="39"/>
  <c r="U35" i="39" s="1"/>
  <c r="V35" i="39" s="1"/>
  <c r="T34" i="39"/>
  <c r="U34" i="39" s="1"/>
  <c r="V34" i="39" s="1"/>
  <c r="U33" i="39"/>
  <c r="V33" i="39" s="1"/>
  <c r="T33" i="39"/>
  <c r="T32" i="39"/>
  <c r="U32" i="39" s="1"/>
  <c r="V32" i="39" s="1"/>
  <c r="T31" i="39"/>
  <c r="U31" i="39" s="1"/>
  <c r="V31" i="39" s="1"/>
  <c r="T30" i="39"/>
  <c r="U30" i="39" s="1"/>
  <c r="V30" i="39" s="1"/>
  <c r="U29" i="39"/>
  <c r="V29" i="39" s="1"/>
  <c r="T29" i="39"/>
  <c r="T28" i="39"/>
  <c r="U28" i="39" s="1"/>
  <c r="V28" i="39" s="1"/>
  <c r="T26" i="39"/>
  <c r="U26" i="39" s="1"/>
  <c r="V26" i="39" s="1"/>
  <c r="AY25" i="39"/>
  <c r="T25" i="39"/>
  <c r="U25" i="39" s="1"/>
  <c r="V25" i="39" s="1"/>
  <c r="T24" i="39"/>
  <c r="U24" i="39" s="1"/>
  <c r="V24" i="39" s="1"/>
  <c r="T23" i="39"/>
  <c r="U23" i="39" s="1"/>
  <c r="V23" i="39" s="1"/>
  <c r="U22" i="39"/>
  <c r="V22" i="39" s="1"/>
  <c r="T22" i="39"/>
  <c r="T21" i="39"/>
  <c r="U21" i="39" s="1"/>
  <c r="V21" i="39" s="1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0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T20" i="39"/>
  <c r="U20" i="39" s="1"/>
  <c r="V20" i="39" s="1"/>
  <c r="A20" i="39"/>
  <c r="T19" i="39"/>
  <c r="U19" i="39" s="1"/>
  <c r="V19" i="39" s="1"/>
  <c r="T18" i="39"/>
  <c r="U18" i="39" s="1"/>
  <c r="V18" i="39" s="1"/>
  <c r="T17" i="39"/>
  <c r="U17" i="39" s="1"/>
  <c r="V17" i="39" s="1"/>
  <c r="T16" i="39"/>
  <c r="U16" i="39" s="1"/>
  <c r="V16" i="39" s="1"/>
  <c r="U15" i="39"/>
  <c r="V15" i="39" s="1"/>
  <c r="T15" i="39"/>
  <c r="T14" i="39"/>
  <c r="U14" i="39" s="1"/>
  <c r="V14" i="39" s="1"/>
  <c r="A14" i="39"/>
  <c r="A15" i="39" s="1"/>
  <c r="A16" i="39" s="1"/>
  <c r="A17" i="39" s="1"/>
  <c r="A18" i="39" s="1"/>
  <c r="T13" i="39"/>
  <c r="U13" i="39" s="1"/>
  <c r="V13" i="39" s="1"/>
  <c r="T12" i="39"/>
  <c r="U12" i="39" s="1"/>
  <c r="V12" i="39" s="1"/>
  <c r="T11" i="39"/>
  <c r="U11" i="39" s="1"/>
  <c r="V11" i="39" s="1"/>
  <c r="T10" i="39"/>
  <c r="U10" i="39" s="1"/>
  <c r="V10" i="39" s="1"/>
  <c r="T9" i="39"/>
  <c r="U9" i="39" s="1"/>
  <c r="V9" i="39" s="1"/>
  <c r="T8" i="39"/>
  <c r="A8" i="39"/>
  <c r="A9" i="39" s="1"/>
  <c r="A10" i="39" s="1"/>
  <c r="A11" i="39" s="1"/>
  <c r="T7" i="39"/>
  <c r="U7" i="39" s="1"/>
  <c r="R58" i="38"/>
  <c r="Q58" i="38"/>
  <c r="P58" i="38"/>
  <c r="O58" i="38"/>
  <c r="N58" i="38"/>
  <c r="M58" i="38"/>
  <c r="K58" i="38"/>
  <c r="J58" i="38"/>
  <c r="I58" i="38"/>
  <c r="H58" i="38"/>
  <c r="G58" i="38"/>
  <c r="F58" i="38"/>
  <c r="C58" i="38"/>
  <c r="U54" i="38"/>
  <c r="V54" i="38" s="1"/>
  <c r="T54" i="38"/>
  <c r="T53" i="38"/>
  <c r="U53" i="38" s="1"/>
  <c r="V53" i="38" s="1"/>
  <c r="U52" i="38"/>
  <c r="V52" i="38" s="1"/>
  <c r="T52" i="38"/>
  <c r="U51" i="38"/>
  <c r="V51" i="38" s="1"/>
  <c r="T51" i="38"/>
  <c r="U50" i="38"/>
  <c r="V50" i="38" s="1"/>
  <c r="T50" i="38"/>
  <c r="T49" i="38"/>
  <c r="U49" i="38" s="1"/>
  <c r="V49" i="38" s="1"/>
  <c r="U48" i="38"/>
  <c r="V48" i="38" s="1"/>
  <c r="T48" i="38"/>
  <c r="T47" i="38"/>
  <c r="U47" i="38" s="1"/>
  <c r="V47" i="38" s="1"/>
  <c r="U46" i="38"/>
  <c r="V46" i="38" s="1"/>
  <c r="T46" i="38"/>
  <c r="T45" i="38"/>
  <c r="U45" i="38" s="1"/>
  <c r="V45" i="38" s="1"/>
  <c r="T43" i="38"/>
  <c r="U43" i="38" s="1"/>
  <c r="V43" i="38" s="1"/>
  <c r="T41" i="38"/>
  <c r="U41" i="38" s="1"/>
  <c r="V41" i="38" s="1"/>
  <c r="T40" i="38"/>
  <c r="U40" i="38" s="1"/>
  <c r="V40" i="38" s="1"/>
  <c r="T38" i="38"/>
  <c r="U38" i="38" s="1"/>
  <c r="V38" i="38" s="1"/>
  <c r="T37" i="38"/>
  <c r="U37" i="38" s="1"/>
  <c r="V37" i="38" s="1"/>
  <c r="T36" i="38"/>
  <c r="U36" i="38" s="1"/>
  <c r="V36" i="38" s="1"/>
  <c r="T35" i="38"/>
  <c r="U35" i="38" s="1"/>
  <c r="V35" i="38" s="1"/>
  <c r="T34" i="38"/>
  <c r="U34" i="38" s="1"/>
  <c r="V34" i="38" s="1"/>
  <c r="T33" i="38"/>
  <c r="U33" i="38" s="1"/>
  <c r="V33" i="38" s="1"/>
  <c r="T32" i="38"/>
  <c r="U32" i="38" s="1"/>
  <c r="V32" i="38" s="1"/>
  <c r="T31" i="38"/>
  <c r="U31" i="38" s="1"/>
  <c r="V31" i="38" s="1"/>
  <c r="T30" i="38"/>
  <c r="U30" i="38" s="1"/>
  <c r="V30" i="38" s="1"/>
  <c r="T29" i="38"/>
  <c r="U29" i="38" s="1"/>
  <c r="V29" i="38" s="1"/>
  <c r="T28" i="38"/>
  <c r="U28" i="38" s="1"/>
  <c r="V28" i="38" s="1"/>
  <c r="T26" i="38"/>
  <c r="U26" i="38" s="1"/>
  <c r="V26" i="38" s="1"/>
  <c r="AY25" i="38"/>
  <c r="T25" i="38"/>
  <c r="U25" i="38" s="1"/>
  <c r="V25" i="38" s="1"/>
  <c r="T24" i="38"/>
  <c r="U24" i="38" s="1"/>
  <c r="V24" i="38" s="1"/>
  <c r="T23" i="38"/>
  <c r="U23" i="38" s="1"/>
  <c r="V23" i="38" s="1"/>
  <c r="T22" i="38"/>
  <c r="U22" i="38" s="1"/>
  <c r="V22" i="38" s="1"/>
  <c r="T21" i="38"/>
  <c r="U21" i="38" s="1"/>
  <c r="V21" i="38" s="1"/>
  <c r="A21" i="38"/>
  <c r="A22" i="38" s="1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A53" i="38" s="1"/>
  <c r="A54" i="38" s="1"/>
  <c r="A55" i="38" s="1"/>
  <c r="A56" i="38" s="1"/>
  <c r="A57" i="38" s="1"/>
  <c r="T20" i="38"/>
  <c r="U20" i="38" s="1"/>
  <c r="V20" i="38" s="1"/>
  <c r="A20" i="38"/>
  <c r="T19" i="38"/>
  <c r="U19" i="38" s="1"/>
  <c r="V19" i="38" s="1"/>
  <c r="T18" i="38"/>
  <c r="U18" i="38" s="1"/>
  <c r="V18" i="38" s="1"/>
  <c r="U17" i="38"/>
  <c r="V17" i="38" s="1"/>
  <c r="T17" i="38"/>
  <c r="U16" i="38"/>
  <c r="V16" i="38" s="1"/>
  <c r="T16" i="38"/>
  <c r="U15" i="38"/>
  <c r="V15" i="38" s="1"/>
  <c r="T15" i="38"/>
  <c r="T14" i="38"/>
  <c r="U14" i="38" s="1"/>
  <c r="V14" i="38" s="1"/>
  <c r="A14" i="38"/>
  <c r="A15" i="38" s="1"/>
  <c r="A16" i="38" s="1"/>
  <c r="A17" i="38" s="1"/>
  <c r="A18" i="38" s="1"/>
  <c r="U13" i="38"/>
  <c r="V13" i="38" s="1"/>
  <c r="T13" i="38"/>
  <c r="T12" i="38"/>
  <c r="U12" i="38" s="1"/>
  <c r="V12" i="38" s="1"/>
  <c r="T11" i="38"/>
  <c r="U11" i="38" s="1"/>
  <c r="V11" i="38" s="1"/>
  <c r="T10" i="38"/>
  <c r="U10" i="38" s="1"/>
  <c r="V10" i="38" s="1"/>
  <c r="T9" i="38"/>
  <c r="U9" i="38" s="1"/>
  <c r="V9" i="38" s="1"/>
  <c r="T8" i="38"/>
  <c r="U8" i="38" s="1"/>
  <c r="V8" i="38" s="1"/>
  <c r="A8" i="38"/>
  <c r="A9" i="38" s="1"/>
  <c r="A10" i="38" s="1"/>
  <c r="A11" i="38" s="1"/>
  <c r="T7" i="38"/>
  <c r="T58" i="39" l="1"/>
  <c r="U58" i="40"/>
  <c r="V7" i="40"/>
  <c r="V58" i="40" s="1"/>
  <c r="T58" i="38"/>
  <c r="U8" i="39"/>
  <c r="V8" i="39" s="1"/>
  <c r="V7" i="39"/>
  <c r="U7" i="38"/>
  <c r="U41" i="35"/>
  <c r="U43" i="35"/>
  <c r="C43" i="35"/>
  <c r="C47" i="35"/>
  <c r="K43" i="35"/>
  <c r="J43" i="35"/>
  <c r="C41" i="35"/>
  <c r="C40" i="35"/>
  <c r="C37" i="35"/>
  <c r="C34" i="35"/>
  <c r="C28" i="35"/>
  <c r="C25" i="35"/>
  <c r="C12" i="35"/>
  <c r="C8" i="35"/>
  <c r="C7" i="35"/>
  <c r="U58" i="39" l="1"/>
  <c r="V58" i="39"/>
  <c r="U58" i="38"/>
  <c r="V7" i="38"/>
  <c r="V58" i="38" s="1"/>
  <c r="R58" i="37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T37" i="37"/>
  <c r="U37" i="37" s="1"/>
  <c r="V37" i="37" s="1"/>
  <c r="U36" i="37"/>
  <c r="V36" i="37" s="1"/>
  <c r="T36" i="37"/>
  <c r="T35" i="37"/>
  <c r="U35" i="37" s="1"/>
  <c r="V35" i="37" s="1"/>
  <c r="T34" i="37"/>
  <c r="U34" i="37" s="1"/>
  <c r="V34" i="37" s="1"/>
  <c r="U33" i="37"/>
  <c r="V33" i="37" s="1"/>
  <c r="T33" i="37"/>
  <c r="U32" i="37"/>
  <c r="V32" i="37" s="1"/>
  <c r="T32" i="37"/>
  <c r="T31" i="37"/>
  <c r="U31" i="37" s="1"/>
  <c r="V31" i="37" s="1"/>
  <c r="T30" i="37"/>
  <c r="U30" i="37" s="1"/>
  <c r="V30" i="37" s="1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T12" i="37"/>
  <c r="U12" i="37" s="1"/>
  <c r="V12" i="37" s="1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V43" i="35" s="1"/>
  <c r="T41" i="35"/>
  <c r="V41" i="35" s="1"/>
  <c r="T40" i="35"/>
  <c r="U40" i="35" s="1"/>
  <c r="V40" i="35" s="1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T34" i="35"/>
  <c r="U34" i="35" s="1"/>
  <c r="V34" i="35" s="1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l="1"/>
  <c r="U58" i="36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<sst xmlns="http://schemas.openxmlformats.org/spreadsheetml/2006/main" count="924" uniqueCount="81">
  <si>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</si>
  <si>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</si>
  <si>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</si>
  <si>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</si>
  <si>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</si>
  <si>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</si>
  <si>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</si>
  <si>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</si>
  <si>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</si>
  <si>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</si>
  <si>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</si>
  <si>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</si>
  <si>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</si>
  <si>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</si>
  <si>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</si>
  <si>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</si>
  <si>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</si>
  <si>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</si>
  <si>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</si>
  <si>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</si>
  <si>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</si>
  <si>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</si>
  <si>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</si>
  <si>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</si>
  <si>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</si>
  <si>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</si>
  <si>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</si>
  <si>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</si>
  <si>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</si>
  <si>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</si>
  <si>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</si>
  <si>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</si>
  <si>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</si>
  <si>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</si>
  <si>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</si>
  <si>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</si>
  <si>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</si>
  <si>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</si>
  <si>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</si>
  <si>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</si>
  <si>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</si>
  <si>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</si>
  <si>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</si>
  <si>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</si>
  <si>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</si>
  <si>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</si>
  <si>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</si>
  <si>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</si>
  <si>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</si>
  <si>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</si>
  <si>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</si>
  <si>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</si>
  <si>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</si>
  <si>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</si>
  <si>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</si>
  <si>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</si>
  <si>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</si>
  <si>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</si>
  <si>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</si>
  <si>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</si>
  <si>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</si>
  <si>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</si>
  <si>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</si>
  <si>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</si>
  <si>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</si>
  <si>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</si>
  <si>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</si>
  <si>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</si>
  <si>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</si>
  <si>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</si>
  <si>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</si>
  <si>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</si>
  <si>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</si>
  <si>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</si>
  <si>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</si>
  <si>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</si>
  <si>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</si>
  <si>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</si>
  <si>
    <t>DATE: 03/11/2026</t>
  </si>
  <si>
    <t>DATE: 03/12/2026</t>
  </si>
  <si>
    <t>DATE: 03/13/2026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</si>
</sst>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5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4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K8" sqref="K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7" t="s">
        <v>68</v>
      </c>
      <c r="U4" s="119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08" t="s">
        <v>65</v>
      </c>
      <c r="K5" s="109"/>
      <c r="M5" s="37"/>
      <c r="N5" s="49"/>
      <c r="O5" s="40"/>
      <c r="P5" s="93"/>
      <c r="Q5" s="93"/>
      <c r="R5" s="38"/>
      <c r="S5" s="9"/>
      <c r="T5" s="118"/>
      <c r="U5" s="120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10" t="s">
        <v>41</v>
      </c>
      <c r="D62" s="111"/>
      <c r="E62" s="111"/>
      <c r="F62" s="111"/>
      <c r="G62" s="111"/>
      <c r="H62" s="111"/>
      <c r="I62" s="111"/>
      <c r="J62" s="111"/>
      <c r="K62" s="112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4"/>
      <c r="Q5" s="94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52"/>
      <c r="Q5" s="52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8"/>
      <c r="Q5" s="98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7" t="s">
        <v>68</v>
      </c>
      <c r="U4" s="119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08" t="s">
        <v>65</v>
      </c>
      <c r="K5" s="109"/>
      <c r="M5" s="37"/>
      <c r="N5" s="49"/>
      <c r="O5" s="40"/>
      <c r="P5" s="92"/>
      <c r="Q5" s="92"/>
      <c r="R5" s="38"/>
      <c r="S5" s="9"/>
      <c r="T5" s="118"/>
      <c r="U5" s="120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0"/>
      <c r="Q5" s="100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opLeftCell="A37"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7.570312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9"/>
      <c r="Q5" s="99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720+72+60+63+864+56+1440+576</f>
        <v>3851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/>
      <c r="O12" s="66">
        <v>5</v>
      </c>
      <c r="P12" s="67">
        <v>5</v>
      </c>
      <c r="Q12" s="67">
        <v>20</v>
      </c>
      <c r="R12" s="68"/>
      <c r="S12" s="63"/>
      <c r="T12" s="70">
        <f t="shared" si="0"/>
        <v>5</v>
      </c>
      <c r="U12" s="70">
        <f>C12*24+M12*24+O12*24+Q12*24+T12</f>
        <v>93557</v>
      </c>
      <c r="V12" s="70">
        <f>U12/24</f>
        <v>3898.2083333333335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7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6</v>
      </c>
      <c r="N23" s="75"/>
      <c r="O23" s="71">
        <v>10</v>
      </c>
      <c r="P23" s="72"/>
      <c r="Q23" s="72">
        <v>9</v>
      </c>
      <c r="R23" s="73"/>
      <c r="S23" s="56"/>
      <c r="T23" s="59">
        <f t="shared" si="0"/>
        <v>0</v>
      </c>
      <c r="U23" s="76">
        <f t="shared" si="4"/>
        <v>1008</v>
      </c>
      <c r="V23" s="76">
        <f t="shared" si="5"/>
        <v>42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57+63</f>
        <v>120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64+19</f>
        <v>83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2160</v>
      </c>
      <c r="V28" s="76">
        <f t="shared" si="5"/>
        <v>90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19+2376+1512</f>
        <v>3907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>
        <v>64</v>
      </c>
      <c r="M37" s="64">
        <v>64</v>
      </c>
      <c r="N37" s="65"/>
      <c r="O37" s="66">
        <v>10</v>
      </c>
      <c r="P37" s="67"/>
      <c r="Q37" s="67">
        <v>81</v>
      </c>
      <c r="R37" s="68"/>
      <c r="S37" s="63"/>
      <c r="T37" s="78">
        <f t="shared" si="0"/>
        <v>8</v>
      </c>
      <c r="U37" s="78">
        <f>C37*6+M37*6+O37*6+Q37*6+T37</f>
        <v>24380</v>
      </c>
      <c r="V37" s="78">
        <f>U37/6</f>
        <v>4063.3333333333335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12192</v>
      </c>
      <c r="V40" s="78">
        <f>U40/24</f>
        <v>508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6+1344</f>
        <v>1350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53</v>
      </c>
      <c r="N41" s="90"/>
      <c r="O41" s="85">
        <v>4</v>
      </c>
      <c r="P41" s="86"/>
      <c r="Q41" s="86">
        <v>15</v>
      </c>
      <c r="R41" s="87">
        <v>9</v>
      </c>
      <c r="S41" s="88"/>
      <c r="T41" s="91">
        <f t="shared" si="0"/>
        <v>18</v>
      </c>
      <c r="U41" s="91">
        <f>C41*12+M41*12+O41*12+Q41*12+T41</f>
        <v>17082</v>
      </c>
      <c r="V41" s="91">
        <f>U41/12</f>
        <v>1423.5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5940+8424+5400+4644+4104</f>
        <v>28512</v>
      </c>
      <c r="D43" s="66"/>
      <c r="E43" s="66"/>
      <c r="F43" s="66"/>
      <c r="G43" s="66"/>
      <c r="H43" s="66">
        <v>5</v>
      </c>
      <c r="I43" s="66">
        <v>7</v>
      </c>
      <c r="J43" s="67">
        <f>5*6+4</f>
        <v>34</v>
      </c>
      <c r="K43" s="68">
        <f>93*6+5</f>
        <v>563</v>
      </c>
      <c r="L43" s="63"/>
      <c r="M43" s="64">
        <v>452</v>
      </c>
      <c r="N43" s="65"/>
      <c r="O43" s="66">
        <v>328</v>
      </c>
      <c r="P43" s="67"/>
      <c r="Q43" s="67">
        <v>432</v>
      </c>
      <c r="R43" s="68">
        <v>109</v>
      </c>
      <c r="S43" s="63"/>
      <c r="T43" s="78">
        <f t="shared" ref="T43" si="6">H43+I43+J43+K43+N43+P43+R43</f>
        <v>718</v>
      </c>
      <c r="U43" s="78">
        <f>C43*6+M43*6+O43*6+Q43*6+T43</f>
        <v>179062</v>
      </c>
      <c r="V43" s="78">
        <f>U43/6</f>
        <v>29843.666666666668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18+2268+44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41183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34</v>
      </c>
      <c r="K58" s="6">
        <f t="shared" si="11"/>
        <v>604</v>
      </c>
      <c r="M58" s="5">
        <f t="shared" ref="M58:R58" si="12">SUM(M7:M57)</f>
        <v>606</v>
      </c>
      <c r="N58" s="5">
        <f t="shared" si="12"/>
        <v>12</v>
      </c>
      <c r="O58" s="5">
        <f t="shared" si="12"/>
        <v>368</v>
      </c>
      <c r="P58" s="5">
        <f t="shared" si="12"/>
        <v>21</v>
      </c>
      <c r="Q58" s="5">
        <f t="shared" si="12"/>
        <v>579</v>
      </c>
      <c r="R58" s="5">
        <f t="shared" si="12"/>
        <v>118</v>
      </c>
      <c r="S58" s="56"/>
      <c r="T58" s="4">
        <f>SUM(T7:T57)</f>
        <v>856</v>
      </c>
      <c r="U58" s="4">
        <f>SUM(U7:U57)</f>
        <v>358450</v>
      </c>
      <c r="V58" s="4">
        <f>SUM(V7:V57)</f>
        <v>42864.416666666664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0"/>
      <c r="Q5" s="100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19+41</f>
        <v>60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1581</v>
      </c>
      <c r="V7" s="59">
        <f>U7/24</f>
        <v>65.875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31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5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576+72+720+60+63+864+10+1440</f>
        <v>3805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19</v>
      </c>
      <c r="O12" s="66">
        <v>10</v>
      </c>
      <c r="P12" s="67">
        <v>21</v>
      </c>
      <c r="Q12" s="67">
        <v>15</v>
      </c>
      <c r="R12" s="68"/>
      <c r="S12" s="63"/>
      <c r="T12" s="59">
        <f t="shared" si="0"/>
        <v>40</v>
      </c>
      <c r="U12" s="70">
        <f>C12*24+M12*24+O12*24+Q12*24+T12</f>
        <v>92224</v>
      </c>
      <c r="V12" s="70">
        <f>U12/24</f>
        <v>3842.6666666666665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10</v>
      </c>
      <c r="P23" s="72"/>
      <c r="Q23" s="72">
        <v>8</v>
      </c>
      <c r="R23" s="73"/>
      <c r="S23" s="56"/>
      <c r="T23" s="59">
        <f t="shared" si="0"/>
        <v>0</v>
      </c>
      <c r="U23" s="76">
        <f t="shared" si="4"/>
        <v>936</v>
      </c>
      <c r="V23" s="76">
        <f t="shared" si="5"/>
        <v>39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63+54</f>
        <v>117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64+17</f>
        <v>81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2</v>
      </c>
      <c r="R28" s="73"/>
      <c r="S28" s="56"/>
      <c r="T28" s="59">
        <f t="shared" si="0"/>
        <v>0</v>
      </c>
      <c r="U28" s="76">
        <f t="shared" si="4"/>
        <v>2088</v>
      </c>
      <c r="V28" s="76">
        <f t="shared" si="5"/>
        <v>87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8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57+72</f>
        <v>129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3221</v>
      </c>
      <c r="V34" s="76">
        <f t="shared" si="5"/>
        <v>134.20833333333334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2052+74+1512</f>
        <v>3638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20</v>
      </c>
      <c r="N37" s="65"/>
      <c r="O37" s="66">
        <v>30</v>
      </c>
      <c r="P37" s="67"/>
      <c r="Q37" s="67">
        <v>126</v>
      </c>
      <c r="R37" s="68"/>
      <c r="S37" s="63"/>
      <c r="T37" s="78">
        <f t="shared" si="0"/>
        <v>8</v>
      </c>
      <c r="U37" s="78">
        <f>C37*6+M37*6+O37*6+Q37*6+T37</f>
        <v>22892</v>
      </c>
      <c r="V37" s="78">
        <f>U37/6</f>
        <v>3815.3333333333335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12168</v>
      </c>
      <c r="V40" s="78">
        <f>U40/24</f>
        <v>507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1248+80</f>
        <v>1328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10</v>
      </c>
      <c r="P41" s="86"/>
      <c r="Q41" s="86">
        <v>12</v>
      </c>
      <c r="R41" s="87"/>
      <c r="S41" s="88"/>
      <c r="T41" s="91">
        <f t="shared" si="0"/>
        <v>9</v>
      </c>
      <c r="U41" s="91">
        <f>C41*12+M41*12+O41*12+Q41*12+T41</f>
        <v>16269</v>
      </c>
      <c r="V41" s="91">
        <f>U41/12</f>
        <v>1355.75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5940+8424+5400+4644+2916</f>
        <v>27324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6*93+5</f>
        <v>563</v>
      </c>
      <c r="L43" s="63"/>
      <c r="M43" s="64">
        <v>326</v>
      </c>
      <c r="N43" s="65"/>
      <c r="O43" s="66">
        <v>272</v>
      </c>
      <c r="P43" s="67"/>
      <c r="Q43" s="67">
        <v>337</v>
      </c>
      <c r="R43" s="68"/>
      <c r="S43" s="63"/>
      <c r="T43" s="78">
        <f t="shared" ref="T43" si="6">H43+I43+J43+K43+N43+P43+R43</f>
        <v>609</v>
      </c>
      <c r="U43" s="78">
        <f>C43*6+M43*6+O43*6+Q43*6+T43</f>
        <v>170163</v>
      </c>
      <c r="V43" s="78">
        <f>U43/6</f>
        <v>28360.5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39629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389</v>
      </c>
      <c r="N58" s="5">
        <f t="shared" si="12"/>
        <v>19</v>
      </c>
      <c r="O58" s="5">
        <f t="shared" si="12"/>
        <v>355</v>
      </c>
      <c r="P58" s="5">
        <f t="shared" si="12"/>
        <v>37</v>
      </c>
      <c r="Q58" s="5">
        <f t="shared" si="12"/>
        <v>517</v>
      </c>
      <c r="R58" s="5">
        <f t="shared" si="12"/>
        <v>0</v>
      </c>
      <c r="S58" s="56"/>
      <c r="T58" s="4">
        <f>SUM(T7:T57)</f>
        <v>761</v>
      </c>
      <c r="U58" s="95">
        <f>SUM(U7:U57)</f>
        <v>345689</v>
      </c>
      <c r="V58" s="4">
        <f>SUM(V7:V57)</f>
        <v>41000.458333333328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36C6-0FF1-4950-9AC1-7191DC07D583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4"/>
      <c r="Q5" s="104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1557</v>
      </c>
      <c r="V7" s="59">
        <f>U7/24</f>
        <v>64.875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28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768</v>
      </c>
      <c r="V9" s="77">
        <f t="shared" ref="V9:V11" si="3">U9/24</f>
        <v>32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144</v>
      </c>
      <c r="V10" s="59">
        <f t="shared" si="3"/>
        <v>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72+720+60+63+792+33+1440+576</f>
        <v>3756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20</v>
      </c>
      <c r="N12" s="65">
        <v>13</v>
      </c>
      <c r="O12" s="66">
        <v>12</v>
      </c>
      <c r="P12" s="67">
        <v>15</v>
      </c>
      <c r="Q12" s="67">
        <v>22</v>
      </c>
      <c r="R12" s="68">
        <v>4</v>
      </c>
      <c r="S12" s="63"/>
      <c r="T12" s="59">
        <f t="shared" si="0"/>
        <v>32</v>
      </c>
      <c r="U12" s="70">
        <f>C12*24+M12*24+O12*24+Q12*24+T12</f>
        <v>91472</v>
      </c>
      <c r="V12" s="70">
        <f>U12/24</f>
        <v>3811.3333333333335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50+63</f>
        <v>113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64+14</f>
        <v>78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4</v>
      </c>
      <c r="N28" s="75"/>
      <c r="O28" s="71">
        <v>2</v>
      </c>
      <c r="P28" s="72"/>
      <c r="Q28" s="72">
        <v>1</v>
      </c>
      <c r="R28" s="73"/>
      <c r="S28" s="56"/>
      <c r="T28" s="59">
        <f t="shared" si="0"/>
        <v>0</v>
      </c>
      <c r="U28" s="76">
        <f t="shared" si="4"/>
        <v>2040</v>
      </c>
      <c r="V28" s="76">
        <f t="shared" si="5"/>
        <v>85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>
        <v>2</v>
      </c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2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53+72</f>
        <v>125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3173</v>
      </c>
      <c r="V34" s="76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2052+45+1512</f>
        <v>3609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30</v>
      </c>
      <c r="P37" s="67"/>
      <c r="Q37" s="67">
        <v>105</v>
      </c>
      <c r="R37" s="68"/>
      <c r="S37" s="63"/>
      <c r="T37" s="78">
        <f t="shared" si="0"/>
        <v>8</v>
      </c>
      <c r="U37" s="78">
        <f>C37*6+M37*6+O37*6+Q37*6+T37</f>
        <v>22472</v>
      </c>
      <c r="V37" s="78">
        <f>U37/6</f>
        <v>3745.3333333333335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59+441</f>
        <v>500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12144</v>
      </c>
      <c r="V40" s="78">
        <f>U40/24</f>
        <v>506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1248+68</f>
        <v>1316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16101</v>
      </c>
      <c r="V41" s="91">
        <f>U41/12</f>
        <v>1341.75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5940+8424+5400+4536+1728+88</f>
        <v>26116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93*6+5</f>
        <v>563</v>
      </c>
      <c r="L43" s="63"/>
      <c r="M43" s="64">
        <v>346</v>
      </c>
      <c r="N43" s="65"/>
      <c r="O43" s="66">
        <v>393</v>
      </c>
      <c r="P43" s="67"/>
      <c r="Q43" s="67">
        <v>440</v>
      </c>
      <c r="R43" s="68"/>
      <c r="S43" s="63"/>
      <c r="T43" s="78">
        <f t="shared" ref="T43" si="6">H43+I43+J43+K43+N43+P43+R43</f>
        <v>609</v>
      </c>
      <c r="U43" s="78">
        <f>C43*6+M43*6+O43*6+Q43*6+T43</f>
        <v>164379</v>
      </c>
      <c r="V43" s="78">
        <f>U43/6</f>
        <v>27396.5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38301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404</v>
      </c>
      <c r="N58" s="5">
        <f t="shared" si="12"/>
        <v>13</v>
      </c>
      <c r="O58" s="5">
        <f t="shared" si="12"/>
        <v>475</v>
      </c>
      <c r="P58" s="5">
        <f t="shared" si="12"/>
        <v>50</v>
      </c>
      <c r="Q58" s="5">
        <f t="shared" si="12"/>
        <v>619</v>
      </c>
      <c r="R58" s="5">
        <f t="shared" si="12"/>
        <v>4</v>
      </c>
      <c r="S58" s="56"/>
      <c r="T58" s="4">
        <f>SUM(T7:T57)</f>
        <v>772</v>
      </c>
      <c r="U58" s="95">
        <f>SUM(U7:U57)</f>
        <v>338296</v>
      </c>
      <c r="V58" s="4">
        <f>SUM(V7:V57)</f>
        <v>39909.916666666664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CD895-99B7-47F2-8E8B-4BB748FB001D}">
  <sheetPr>
    <pageSetUpPr fitToPage="1"/>
  </sheetPr>
  <dimension ref="A1:BB81"/>
  <sheetViews>
    <sheetView tabSelected="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4"/>
      <c r="Q5" s="104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27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744</v>
      </c>
      <c r="V9" s="77">
        <f t="shared" ref="V9:V11" si="3">U9/24</f>
        <v>31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96</v>
      </c>
      <c r="V10" s="59">
        <f t="shared" si="3"/>
        <v>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72+720+60+63+792+1440+576</f>
        <v>3723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19</v>
      </c>
      <c r="N12" s="65">
        <v>16</v>
      </c>
      <c r="O12" s="66">
        <v>10</v>
      </c>
      <c r="P12" s="67">
        <v>8</v>
      </c>
      <c r="Q12" s="67">
        <v>20</v>
      </c>
      <c r="R12" s="68">
        <v>14</v>
      </c>
      <c r="S12" s="63"/>
      <c r="T12" s="59">
        <f t="shared" si="0"/>
        <v>38</v>
      </c>
      <c r="U12" s="70">
        <f>C12*24+M12*24+O12*24+Q12*24+T12</f>
        <v>90566</v>
      </c>
      <c r="V12" s="70">
        <f>U12/24</f>
        <v>3773.5833333333335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63+50+2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64+12</f>
        <v>76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2016</v>
      </c>
      <c r="V28" s="76">
        <f t="shared" si="5"/>
        <v>84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49+72</f>
        <v>121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3077</v>
      </c>
      <c r="V34" s="76">
        <f t="shared" si="5"/>
        <v>128.20833333333334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1944+88+1512</f>
        <v>3544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50</v>
      </c>
      <c r="P37" s="67"/>
      <c r="Q37" s="67">
        <v>100</v>
      </c>
      <c r="R37" s="68"/>
      <c r="S37" s="63"/>
      <c r="T37" s="78">
        <f t="shared" si="0"/>
        <v>8</v>
      </c>
      <c r="U37" s="78">
        <f>C37*6+M37*6+O37*6+Q37*6+T37</f>
        <v>22442</v>
      </c>
      <c r="V37" s="78">
        <f>U37/6</f>
        <v>3740.3333333333335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57+441</f>
        <v>498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53+1248</f>
        <v>1301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15897</v>
      </c>
      <c r="V41" s="91">
        <f>U41/12</f>
        <v>1324.75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5940+8424+5400+4536+648+54</f>
        <v>25002</v>
      </c>
      <c r="D43" s="66"/>
      <c r="E43" s="66"/>
      <c r="F43" s="66"/>
      <c r="G43" s="66"/>
      <c r="H43" s="66"/>
      <c r="I43" s="66">
        <v>7</v>
      </c>
      <c r="J43" s="67">
        <f>8*6+3</f>
        <v>51</v>
      </c>
      <c r="K43" s="68">
        <f>93*6+5</f>
        <v>563</v>
      </c>
      <c r="L43" s="63"/>
      <c r="M43" s="64">
        <v>454</v>
      </c>
      <c r="N43" s="65"/>
      <c r="O43" s="66">
        <v>206</v>
      </c>
      <c r="P43" s="67"/>
      <c r="Q43" s="67">
        <v>454</v>
      </c>
      <c r="R43" s="68"/>
      <c r="S43" s="63"/>
      <c r="T43" s="78">
        <f t="shared" ref="T43" si="6">H43+I43+J43+K43+N43+P43+R43</f>
        <v>621</v>
      </c>
      <c r="U43" s="78">
        <f>C43*6+M43*6+O43*6+Q43*6+T43</f>
        <v>157317</v>
      </c>
      <c r="V43" s="78">
        <f>U43/6</f>
        <v>26219.5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37066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51</v>
      </c>
      <c r="K58" s="6">
        <f t="shared" si="11"/>
        <v>604</v>
      </c>
      <c r="M58" s="5">
        <f t="shared" ref="M58:R58" si="12">SUM(M7:M57)</f>
        <v>548</v>
      </c>
      <c r="N58" s="5">
        <f t="shared" si="12"/>
        <v>16</v>
      </c>
      <c r="O58" s="5">
        <f t="shared" si="12"/>
        <v>305</v>
      </c>
      <c r="P58" s="5">
        <f t="shared" si="12"/>
        <v>43</v>
      </c>
      <c r="Q58" s="5">
        <f t="shared" si="12"/>
        <v>625</v>
      </c>
      <c r="R58" s="5">
        <f t="shared" si="12"/>
        <v>14</v>
      </c>
      <c r="S58" s="56"/>
      <c r="T58" s="4">
        <f>SUM(T7:T57)</f>
        <v>790</v>
      </c>
      <c r="U58" s="95">
        <f>SUM(U7:U57)</f>
        <v>329728</v>
      </c>
      <c r="V58" s="4">
        <f>SUM(V7:V57)</f>
        <v>38657.166666666664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CCBB-02CD-417B-876A-5CAA07E5A1F2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03-11-2026</vt:lpstr>
      <vt:lpstr>03-12-2026</vt:lpstr>
      <vt:lpstr>03-13-2026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'03-11-2026'!Print_Area</vt:lpstr>
      <vt:lpstr>'03-12-2026'!Print_Area</vt:lpstr>
      <vt:lpstr>'03-13-2026'!Print_Area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2026-03-13T03:07:59Z</dcterms:modified>
</cp:coreProperties>
</file>