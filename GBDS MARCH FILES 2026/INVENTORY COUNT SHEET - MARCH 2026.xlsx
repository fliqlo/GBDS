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3A636911-D668-40F1-A67D-463E0E00E82F}" xr6:coauthVersionLast="45" xr6:coauthVersionMax="45" xr10:uidLastSave="{00000000-0000-0000-0000-000000000000}"/>
  <bookViews>
    <workbookView xWindow="-120" yWindow="-120" windowWidth="29040" windowHeight="15840" activeTab="2" xr2:uid="{D34C963E-9680-4B45-A4EE-B681FF0CEC08}"/>
  </bookViews>
  <sheets>
    <sheet name="SAMPLE" sheetId="32" r:id="rId1"/>
    <sheet name="03-02-20261" sheetId="33" r:id="rId2"/>
    <sheet name="03-04-2026" sheetId="30" r:id="rId3"/>
    <sheet name="03-05-2026" sheetId="34" r:id="rId4"/>
    <sheet name="03-06-2026" sheetId="31" r:id="rId5"/>
  </sheets>
  <definedNames>
    <definedName name="_xlnm.Print_Area" localSheetId="1">'03-02-20261'!$A$1:$W$59</definedName>
    <definedName name="_xlnm.Print_Area" localSheetId="2">'03-04-2026'!$A$1:$W$59</definedName>
    <definedName name="_xlnm.Print_Area" localSheetId="3">'03-05-2026'!$A$1:$W$59</definedName>
    <definedName name="_xlnm.Print_Area" localSheetId="4">'03-06-2026'!$A$1:$W$59</definedName>
    <definedName name="_xlnm.Print_Area" localSheetId="0">SAMPLE!$A$1:$W$61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43" i="34" l="1"/>
  <c r="J58" i="34"/>
  <c r="C28" i="34"/>
  <c r="C47" i="34"/>
  <c r="K43" i="34"/>
  <c r="K58" i="34" s="1"/>
  <c r="C43" i="34"/>
  <c r="C41" i="34"/>
  <c r="C40" i="34"/>
  <c r="C37" i="34"/>
  <c r="C34" i="34"/>
  <c r="C25" i="34"/>
  <c r="C12" i="34"/>
  <c r="C8" i="34"/>
  <c r="C7" i="34"/>
  <c r="R58" i="34"/>
  <c r="Q58" i="34"/>
  <c r="P58" i="34"/>
  <c r="O58" i="34"/>
  <c r="N58" i="34"/>
  <c r="M58" i="34"/>
  <c r="I58" i="34"/>
  <c r="H58" i="34"/>
  <c r="G58" i="34"/>
  <c r="F58" i="34"/>
  <c r="T54" i="34"/>
  <c r="U54" i="34" s="1"/>
  <c r="V54" i="34" s="1"/>
  <c r="U53" i="34"/>
  <c r="V53" i="34" s="1"/>
  <c r="T53" i="34"/>
  <c r="T52" i="34"/>
  <c r="U52" i="34" s="1"/>
  <c r="V52" i="34" s="1"/>
  <c r="U51" i="34"/>
  <c r="V51" i="34" s="1"/>
  <c r="T51" i="34"/>
  <c r="T50" i="34"/>
  <c r="U50" i="34" s="1"/>
  <c r="V50" i="34" s="1"/>
  <c r="U49" i="34"/>
  <c r="V49" i="34" s="1"/>
  <c r="T49" i="34"/>
  <c r="T48" i="34"/>
  <c r="U48" i="34" s="1"/>
  <c r="V48" i="34" s="1"/>
  <c r="T47" i="34"/>
  <c r="U47" i="34" s="1"/>
  <c r="V47" i="34" s="1"/>
  <c r="U46" i="34"/>
  <c r="V46" i="34" s="1"/>
  <c r="T46" i="34"/>
  <c r="U45" i="34"/>
  <c r="V45" i="34" s="1"/>
  <c r="T45" i="34"/>
  <c r="T41" i="34"/>
  <c r="T40" i="34"/>
  <c r="U40" i="34" s="1"/>
  <c r="V40" i="34" s="1"/>
  <c r="T38" i="34"/>
  <c r="U38" i="34" s="1"/>
  <c r="V38" i="34" s="1"/>
  <c r="T37" i="34"/>
  <c r="U37" i="34" s="1"/>
  <c r="V37" i="34" s="1"/>
  <c r="T36" i="34"/>
  <c r="U36" i="34" s="1"/>
  <c r="V36" i="34" s="1"/>
  <c r="T35" i="34"/>
  <c r="U35" i="34" s="1"/>
  <c r="V35" i="34" s="1"/>
  <c r="T34" i="34"/>
  <c r="T33" i="34"/>
  <c r="U33" i="34" s="1"/>
  <c r="V33" i="34" s="1"/>
  <c r="T32" i="34"/>
  <c r="U32" i="34" s="1"/>
  <c r="V32" i="34" s="1"/>
  <c r="T31" i="34"/>
  <c r="U31" i="34" s="1"/>
  <c r="V31" i="34" s="1"/>
  <c r="T30" i="34"/>
  <c r="U30" i="34" s="1"/>
  <c r="V30" i="34" s="1"/>
  <c r="T29" i="34"/>
  <c r="U29" i="34" s="1"/>
  <c r="V29" i="34" s="1"/>
  <c r="T28" i="34"/>
  <c r="U26" i="34"/>
  <c r="V26" i="34" s="1"/>
  <c r="T26" i="34"/>
  <c r="AY25" i="34"/>
  <c r="T25" i="34"/>
  <c r="T24" i="34"/>
  <c r="U24" i="34" s="1"/>
  <c r="V24" i="34" s="1"/>
  <c r="T23" i="34"/>
  <c r="U23" i="34" s="1"/>
  <c r="V23" i="34" s="1"/>
  <c r="T22" i="34"/>
  <c r="U22" i="34" s="1"/>
  <c r="V22" i="34" s="1"/>
  <c r="A22" i="34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T21" i="34"/>
  <c r="U21" i="34" s="1"/>
  <c r="V21" i="34" s="1"/>
  <c r="A21" i="34"/>
  <c r="T20" i="34"/>
  <c r="U20" i="34" s="1"/>
  <c r="V20" i="34" s="1"/>
  <c r="A20" i="34"/>
  <c r="T19" i="34"/>
  <c r="U19" i="34" s="1"/>
  <c r="V19" i="34" s="1"/>
  <c r="U18" i="34"/>
  <c r="V18" i="34" s="1"/>
  <c r="T18" i="34"/>
  <c r="T17" i="34"/>
  <c r="U17" i="34" s="1"/>
  <c r="V17" i="34" s="1"/>
  <c r="U16" i="34"/>
  <c r="V16" i="34" s="1"/>
  <c r="T16" i="34"/>
  <c r="T15" i="34"/>
  <c r="U15" i="34" s="1"/>
  <c r="V15" i="34" s="1"/>
  <c r="A15" i="34"/>
  <c r="A16" i="34" s="1"/>
  <c r="A17" i="34" s="1"/>
  <c r="A18" i="34" s="1"/>
  <c r="U14" i="34"/>
  <c r="V14" i="34" s="1"/>
  <c r="T14" i="34"/>
  <c r="A14" i="34"/>
  <c r="T13" i="34"/>
  <c r="U13" i="34" s="1"/>
  <c r="V13" i="34" s="1"/>
  <c r="T12" i="34"/>
  <c r="T11" i="34"/>
  <c r="U11" i="34" s="1"/>
  <c r="V11" i="34" s="1"/>
  <c r="T10" i="34"/>
  <c r="U10" i="34" s="1"/>
  <c r="V10" i="34" s="1"/>
  <c r="T9" i="34"/>
  <c r="U9" i="34" s="1"/>
  <c r="V9" i="34" s="1"/>
  <c r="T8" i="34"/>
  <c r="U8" i="34" s="1"/>
  <c r="V8" i="34" s="1"/>
  <c r="A8" i="34"/>
  <c r="A9" i="34" s="1"/>
  <c r="A10" i="34" s="1"/>
  <c r="A11" i="34" s="1"/>
  <c r="T7" i="34"/>
  <c r="T43" i="34" l="1"/>
  <c r="U43" i="34" s="1"/>
  <c r="V43" i="34" s="1"/>
  <c r="U41" i="34"/>
  <c r="V41" i="34" s="1"/>
  <c r="U34" i="34"/>
  <c r="V34" i="34" s="1"/>
  <c r="U28" i="34"/>
  <c r="V28" i="34" s="1"/>
  <c r="U25" i="34"/>
  <c r="V25" i="34" s="1"/>
  <c r="U12" i="34"/>
  <c r="V12" i="34" s="1"/>
  <c r="C58" i="34"/>
  <c r="U7" i="34"/>
  <c r="C41" i="30"/>
  <c r="C23" i="30"/>
  <c r="C12" i="30"/>
  <c r="C8" i="30"/>
  <c r="C53" i="30"/>
  <c r="C47" i="30"/>
  <c r="K43" i="30"/>
  <c r="J43" i="30"/>
  <c r="C43" i="30"/>
  <c r="C40" i="30"/>
  <c r="C38" i="30"/>
  <c r="C37" i="30"/>
  <c r="C34" i="30"/>
  <c r="C31" i="30"/>
  <c r="C28" i="30"/>
  <c r="C25" i="30"/>
  <c r="C7" i="30"/>
  <c r="T58" i="34" l="1"/>
  <c r="U58" i="34"/>
  <c r="V7" i="34"/>
  <c r="V58" i="34" s="1"/>
  <c r="R58" i="33"/>
  <c r="Q58" i="33"/>
  <c r="P58" i="33"/>
  <c r="O58" i="33"/>
  <c r="N58" i="33"/>
  <c r="M58" i="33"/>
  <c r="I58" i="33"/>
  <c r="H58" i="33"/>
  <c r="G58" i="33"/>
  <c r="F58" i="33"/>
  <c r="T54" i="33"/>
  <c r="U54" i="33" s="1"/>
  <c r="V54" i="33" s="1"/>
  <c r="T53" i="33"/>
  <c r="C53" i="33"/>
  <c r="U53" i="33" s="1"/>
  <c r="V53" i="33" s="1"/>
  <c r="U52" i="33"/>
  <c r="V52" i="33" s="1"/>
  <c r="T52" i="33"/>
  <c r="T51" i="33"/>
  <c r="U51" i="33" s="1"/>
  <c r="V51" i="33" s="1"/>
  <c r="U50" i="33"/>
  <c r="V50" i="33" s="1"/>
  <c r="T50" i="33"/>
  <c r="T49" i="33"/>
  <c r="U49" i="33" s="1"/>
  <c r="V49" i="33" s="1"/>
  <c r="U48" i="33"/>
  <c r="V48" i="33" s="1"/>
  <c r="T48" i="33"/>
  <c r="T47" i="33"/>
  <c r="C47" i="33"/>
  <c r="U47" i="33" s="1"/>
  <c r="V47" i="33" s="1"/>
  <c r="V46" i="33"/>
  <c r="U46" i="33"/>
  <c r="T46" i="33"/>
  <c r="U45" i="33"/>
  <c r="V45" i="33" s="1"/>
  <c r="T45" i="33"/>
  <c r="K43" i="33"/>
  <c r="K58" i="33" s="1"/>
  <c r="J43" i="33"/>
  <c r="J58" i="33" s="1"/>
  <c r="C43" i="33"/>
  <c r="T41" i="33"/>
  <c r="C41" i="33"/>
  <c r="U41" i="33" s="1"/>
  <c r="V41" i="33" s="1"/>
  <c r="T40" i="33"/>
  <c r="C40" i="33"/>
  <c r="U40" i="33" s="1"/>
  <c r="V40" i="33" s="1"/>
  <c r="T38" i="33"/>
  <c r="C38" i="33"/>
  <c r="U38" i="33" s="1"/>
  <c r="V38" i="33" s="1"/>
  <c r="T37" i="33"/>
  <c r="C37" i="33"/>
  <c r="U37" i="33" s="1"/>
  <c r="V37" i="33" s="1"/>
  <c r="T36" i="33"/>
  <c r="U36" i="33" s="1"/>
  <c r="V36" i="33" s="1"/>
  <c r="T35" i="33"/>
  <c r="U35" i="33" s="1"/>
  <c r="V35" i="33" s="1"/>
  <c r="T34" i="33"/>
  <c r="U34" i="33" s="1"/>
  <c r="V34" i="33" s="1"/>
  <c r="C34" i="33"/>
  <c r="T33" i="33"/>
  <c r="U33" i="33" s="1"/>
  <c r="V33" i="33" s="1"/>
  <c r="U32" i="33"/>
  <c r="V32" i="33" s="1"/>
  <c r="T32" i="33"/>
  <c r="T31" i="33"/>
  <c r="C31" i="33"/>
  <c r="U31" i="33" s="1"/>
  <c r="V31" i="33" s="1"/>
  <c r="V30" i="33"/>
  <c r="U30" i="33"/>
  <c r="T30" i="33"/>
  <c r="U29" i="33"/>
  <c r="V29" i="33" s="1"/>
  <c r="T29" i="33"/>
  <c r="T28" i="33"/>
  <c r="C28" i="33"/>
  <c r="U28" i="33" s="1"/>
  <c r="V28" i="33" s="1"/>
  <c r="T26" i="33"/>
  <c r="U26" i="33" s="1"/>
  <c r="V26" i="33" s="1"/>
  <c r="AY25" i="33"/>
  <c r="T25" i="33"/>
  <c r="U25" i="33" s="1"/>
  <c r="V25" i="33" s="1"/>
  <c r="C25" i="33"/>
  <c r="T24" i="33"/>
  <c r="U24" i="33" s="1"/>
  <c r="V24" i="33" s="1"/>
  <c r="T23" i="33"/>
  <c r="U23" i="33" s="1"/>
  <c r="V23" i="33" s="1"/>
  <c r="V22" i="33"/>
  <c r="U22" i="33"/>
  <c r="T22" i="33"/>
  <c r="U21" i="33"/>
  <c r="V21" i="33" s="1"/>
  <c r="T21" i="33"/>
  <c r="T20" i="33"/>
  <c r="U20" i="33" s="1"/>
  <c r="V20" i="33" s="1"/>
  <c r="A20" i="33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T19" i="33"/>
  <c r="U19" i="33" s="1"/>
  <c r="V19" i="33" s="1"/>
  <c r="U18" i="33"/>
  <c r="V18" i="33" s="1"/>
  <c r="T18" i="33"/>
  <c r="T17" i="33"/>
  <c r="U17" i="33" s="1"/>
  <c r="V17" i="33" s="1"/>
  <c r="U16" i="33"/>
  <c r="V16" i="33" s="1"/>
  <c r="T16" i="33"/>
  <c r="T15" i="33"/>
  <c r="U15" i="33" s="1"/>
  <c r="V15" i="33" s="1"/>
  <c r="A15" i="33"/>
  <c r="A16" i="33" s="1"/>
  <c r="A17" i="33" s="1"/>
  <c r="A18" i="33" s="1"/>
  <c r="U14" i="33"/>
  <c r="V14" i="33" s="1"/>
  <c r="T14" i="33"/>
  <c r="A14" i="33"/>
  <c r="T13" i="33"/>
  <c r="U13" i="33" s="1"/>
  <c r="V13" i="33" s="1"/>
  <c r="T12" i="33"/>
  <c r="C12" i="33"/>
  <c r="U12" i="33" s="1"/>
  <c r="V12" i="33" s="1"/>
  <c r="T11" i="33"/>
  <c r="U11" i="33" s="1"/>
  <c r="V11" i="33" s="1"/>
  <c r="T10" i="33"/>
  <c r="U10" i="33" s="1"/>
  <c r="V10" i="33" s="1"/>
  <c r="T9" i="33"/>
  <c r="C9" i="33"/>
  <c r="U9" i="33" s="1"/>
  <c r="V9" i="33" s="1"/>
  <c r="T8" i="33"/>
  <c r="C8" i="33"/>
  <c r="U8" i="33" s="1"/>
  <c r="V8" i="33" s="1"/>
  <c r="A8" i="33"/>
  <c r="A9" i="33" s="1"/>
  <c r="A10" i="33" s="1"/>
  <c r="A11" i="33" s="1"/>
  <c r="T7" i="33"/>
  <c r="C7" i="33"/>
  <c r="C58" i="33" s="1"/>
  <c r="U43" i="33" l="1"/>
  <c r="V43" i="33" s="1"/>
  <c r="T58" i="33"/>
  <c r="U7" i="33"/>
  <c r="T43" i="33"/>
  <c r="R58" i="32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V7" i="33" l="1"/>
  <c r="V58" i="33" s="1"/>
  <c r="U58" i="33"/>
  <c r="T58" i="32"/>
  <c r="U7" i="32"/>
  <c r="R58" i="31"/>
  <c r="Q58" i="31"/>
  <c r="P58" i="31"/>
  <c r="O58" i="31"/>
  <c r="N58" i="31"/>
  <c r="M58" i="31"/>
  <c r="K58" i="31"/>
  <c r="J58" i="31"/>
  <c r="I58" i="31"/>
  <c r="H58" i="31"/>
  <c r="G58" i="31"/>
  <c r="F58" i="31"/>
  <c r="C58" i="31"/>
  <c r="T54" i="31"/>
  <c r="U54" i="31" s="1"/>
  <c r="V54" i="31" s="1"/>
  <c r="T53" i="31"/>
  <c r="U53" i="31" s="1"/>
  <c r="V53" i="31" s="1"/>
  <c r="U52" i="31"/>
  <c r="V52" i="31" s="1"/>
  <c r="T52" i="31"/>
  <c r="T51" i="31"/>
  <c r="U51" i="31" s="1"/>
  <c r="V51" i="31" s="1"/>
  <c r="T50" i="31"/>
  <c r="U50" i="31" s="1"/>
  <c r="V50" i="31" s="1"/>
  <c r="T49" i="31"/>
  <c r="U49" i="31" s="1"/>
  <c r="V49" i="31" s="1"/>
  <c r="U48" i="31"/>
  <c r="V48" i="31" s="1"/>
  <c r="T48" i="31"/>
  <c r="T47" i="31"/>
  <c r="U47" i="31" s="1"/>
  <c r="V47" i="31" s="1"/>
  <c r="T46" i="31"/>
  <c r="U46" i="31" s="1"/>
  <c r="V46" i="31" s="1"/>
  <c r="T45" i="31"/>
  <c r="U45" i="31" s="1"/>
  <c r="V45" i="31" s="1"/>
  <c r="T43" i="31"/>
  <c r="U43" i="31" s="1"/>
  <c r="V43" i="31" s="1"/>
  <c r="U41" i="31"/>
  <c r="V41" i="31" s="1"/>
  <c r="T41" i="31"/>
  <c r="T40" i="31"/>
  <c r="U40" i="31" s="1"/>
  <c r="V40" i="31" s="1"/>
  <c r="T38" i="31"/>
  <c r="U38" i="31" s="1"/>
  <c r="V38" i="31" s="1"/>
  <c r="T37" i="31"/>
  <c r="U37" i="31" s="1"/>
  <c r="V37" i="31" s="1"/>
  <c r="T36" i="31"/>
  <c r="U36" i="31" s="1"/>
  <c r="V36" i="31" s="1"/>
  <c r="U35" i="31"/>
  <c r="V35" i="31" s="1"/>
  <c r="T35" i="31"/>
  <c r="T34" i="31"/>
  <c r="U34" i="31" s="1"/>
  <c r="V34" i="31" s="1"/>
  <c r="T33" i="31"/>
  <c r="U33" i="31" s="1"/>
  <c r="V33" i="31" s="1"/>
  <c r="T32" i="31"/>
  <c r="U32" i="31" s="1"/>
  <c r="V32" i="31" s="1"/>
  <c r="U31" i="31"/>
  <c r="V31" i="31" s="1"/>
  <c r="T31" i="31"/>
  <c r="T30" i="31"/>
  <c r="U30" i="31" s="1"/>
  <c r="V30" i="31" s="1"/>
  <c r="T29" i="31"/>
  <c r="U29" i="31" s="1"/>
  <c r="V29" i="31" s="1"/>
  <c r="T28" i="31"/>
  <c r="U28" i="31" s="1"/>
  <c r="V28" i="31" s="1"/>
  <c r="T26" i="31"/>
  <c r="U26" i="31" s="1"/>
  <c r="V26" i="31" s="1"/>
  <c r="AY25" i="31"/>
  <c r="T25" i="31"/>
  <c r="U25" i="31" s="1"/>
  <c r="V25" i="31" s="1"/>
  <c r="T24" i="31"/>
  <c r="U24" i="31" s="1"/>
  <c r="V24" i="31" s="1"/>
  <c r="U23" i="31"/>
  <c r="V23" i="31" s="1"/>
  <c r="T23" i="31"/>
  <c r="T22" i="31"/>
  <c r="U22" i="31" s="1"/>
  <c r="V22" i="31" s="1"/>
  <c r="T21" i="31"/>
  <c r="U21" i="31" s="1"/>
  <c r="V21" i="31" s="1"/>
  <c r="A21" i="3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T20" i="31"/>
  <c r="U20" i="31" s="1"/>
  <c r="V20" i="31" s="1"/>
  <c r="A20" i="31"/>
  <c r="U19" i="31"/>
  <c r="V19" i="31" s="1"/>
  <c r="T19" i="31"/>
  <c r="T18" i="31"/>
  <c r="U18" i="31" s="1"/>
  <c r="V18" i="31" s="1"/>
  <c r="U17" i="31"/>
  <c r="V17" i="31" s="1"/>
  <c r="T17" i="31"/>
  <c r="T16" i="31"/>
  <c r="T58" i="31" s="1"/>
  <c r="T15" i="31"/>
  <c r="U15" i="31" s="1"/>
  <c r="V15" i="31" s="1"/>
  <c r="T14" i="31"/>
  <c r="U14" i="31" s="1"/>
  <c r="V14" i="31" s="1"/>
  <c r="A14" i="31"/>
  <c r="A15" i="31" s="1"/>
  <c r="A16" i="31" s="1"/>
  <c r="A17" i="31" s="1"/>
  <c r="A18" i="31" s="1"/>
  <c r="U13" i="31"/>
  <c r="V13" i="31" s="1"/>
  <c r="T13" i="31"/>
  <c r="T12" i="31"/>
  <c r="U12" i="31" s="1"/>
  <c r="V12" i="31" s="1"/>
  <c r="U11" i="31"/>
  <c r="V11" i="31" s="1"/>
  <c r="T11" i="31"/>
  <c r="T10" i="31"/>
  <c r="U10" i="31" s="1"/>
  <c r="V10" i="31" s="1"/>
  <c r="U9" i="31"/>
  <c r="V9" i="31" s="1"/>
  <c r="T9" i="31"/>
  <c r="T8" i="31"/>
  <c r="U8" i="31" s="1"/>
  <c r="V8" i="31" s="1"/>
  <c r="A8" i="31"/>
  <c r="A9" i="31" s="1"/>
  <c r="A10" i="31" s="1"/>
  <c r="A11" i="31" s="1"/>
  <c r="U7" i="31"/>
  <c r="T7" i="31"/>
  <c r="U58" i="32" l="1"/>
  <c r="V7" i="32"/>
  <c r="V58" i="32" s="1"/>
  <c r="U16" i="31"/>
  <c r="V16" i="31" s="1"/>
  <c r="V7" i="31"/>
  <c r="R58" i="30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T51" i="30"/>
  <c r="U51" i="30" s="1"/>
  <c r="V51" i="30" s="1"/>
  <c r="T50" i="30"/>
  <c r="U50" i="30" s="1"/>
  <c r="V50" i="30" s="1"/>
  <c r="T49" i="30"/>
  <c r="U49" i="30" s="1"/>
  <c r="V49" i="30" s="1"/>
  <c r="T48" i="30"/>
  <c r="U48" i="30" s="1"/>
  <c r="V48" i="30" s="1"/>
  <c r="T47" i="30"/>
  <c r="U47" i="30" s="1"/>
  <c r="V47" i="30" s="1"/>
  <c r="T46" i="30"/>
  <c r="U46" i="30" s="1"/>
  <c r="V46" i="30" s="1"/>
  <c r="T45" i="30"/>
  <c r="U45" i="30" s="1"/>
  <c r="V45" i="30" s="1"/>
  <c r="T43" i="30"/>
  <c r="U43" i="30" s="1"/>
  <c r="V43" i="30" s="1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T36" i="30"/>
  <c r="U36" i="30" s="1"/>
  <c r="V36" i="30" s="1"/>
  <c r="T35" i="30"/>
  <c r="U35" i="30" s="1"/>
  <c r="V35" i="30" s="1"/>
  <c r="T34" i="30"/>
  <c r="U34" i="30" s="1"/>
  <c r="V34" i="30" s="1"/>
  <c r="T33" i="30"/>
  <c r="U33" i="30" s="1"/>
  <c r="V33" i="30" s="1"/>
  <c r="U32" i="30"/>
  <c r="V32" i="30" s="1"/>
  <c r="T32" i="30"/>
  <c r="T31" i="30"/>
  <c r="U31" i="30" s="1"/>
  <c r="V31" i="30" s="1"/>
  <c r="T30" i="30"/>
  <c r="U30" i="30" s="1"/>
  <c r="V30" i="30" s="1"/>
  <c r="T29" i="30"/>
  <c r="U29" i="30" s="1"/>
  <c r="V29" i="30" s="1"/>
  <c r="T28" i="30"/>
  <c r="U28" i="30" s="1"/>
  <c r="V28" i="30" s="1"/>
  <c r="T26" i="30"/>
  <c r="U26" i="30" s="1"/>
  <c r="V26" i="30" s="1"/>
  <c r="AY25" i="30"/>
  <c r="T25" i="30"/>
  <c r="U25" i="30" s="1"/>
  <c r="V25" i="30" s="1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T21" i="30"/>
  <c r="U21" i="30" s="1"/>
  <c r="V21" i="30" s="1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T16" i="30"/>
  <c r="U16" i="30" s="1"/>
  <c r="V16" i="30" s="1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U58" i="31" l="1"/>
  <c r="V58" i="31"/>
  <c r="U58" i="30"/>
  <c r="V7" i="30"/>
  <c r="V58" i="30" s="1"/>
  <c r="T58" i="30"/>
</calcChain>
</file>

<file path=xl/sharedStrings.xml><?xml version="1.0" encoding="utf-8"?>
<sst xmlns="http://schemas.openxmlformats.org/spreadsheetml/2006/main" count="420" uniqueCount="75">
  <si>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</si>
  <si>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</si>
  <si>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</si>
  <si>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</si>
  <si>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</si>
  <si>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</si>
  <si>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</si>
  <si>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</si>
  <si>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</si>
  <si>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</si>
  <si>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</si>
  <si>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</si>
  <si>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</si>
  <si>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</si>
  <si>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</si>
  <si>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</si>
  <si>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</si>
  <si>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</si>
  <si>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</si>
  <si>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</si>
  <si>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</si>
  <si>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</si>
  <si>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</si>
  <si>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</si>
  <si>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</si>
  <si>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</si>
  <si>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</si>
  <si>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</si>
  <si>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</si>
  <si>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</si>
  <si>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</si>
  <si>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</si>
  <si>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</si>
  <si>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</si>
  <si>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</si>
  <si>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</si>
  <si>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</si>
  <si>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</si>
  <si>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</si>
  <si>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</si>
  <si>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</si>
  <si>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</si>
  <si>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</si>
  <si>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</si>
  <si>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</si>
  <si>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</si>
  <si>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</si>
  <si>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</si>
  <si>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</si>
  <si>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</si>
  <si>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</si>
  <si>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</si>
  <si>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</si>
  <si>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</si>
  <si>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</si>
  <si>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</si>
  <si>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</si>
  <si>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</si>
  <si>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</si>
  <si>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</si>
  <si>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</si>
  <si>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</si>
  <si>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</si>
  <si>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</si>
  <si>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</si>
  <si>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</si>
  <si>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</si>
  <si>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</si>
  <si>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</si>
  <si>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</si>
  <si>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</si>
  <si>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03/02/2026</t>
  </si>
  <si>
    <t>DATE: 03/04/2026</t>
  </si>
  <si>
    <t>DATE: 03/06/2026</t>
  </si>
  <si>
    <t>DATE: 03/05/2026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</si>
</sst>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4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59" xfId="3" applyNumberFormat="1" applyFont="1" applyFill="1" applyBorder="1" applyAlignment="1">
      <alignment vertical="center"/>
    </xf>
    <xf numFmtId="166" fontId="13" fillId="0" borderId="63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2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01" t="s">
        <v>65</v>
      </c>
      <c r="K5" s="102"/>
      <c r="M5" s="37"/>
      <c r="N5" s="49"/>
      <c r="O5" s="40"/>
      <c r="P5" s="93"/>
      <c r="Q5" s="93"/>
      <c r="R5" s="38"/>
      <c r="S5" s="9"/>
      <c r="T5" s="111"/>
      <c r="U5" s="113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3"/>
      <c r="K6" s="38"/>
      <c r="M6" s="37"/>
      <c r="N6" s="49"/>
      <c r="O6" s="40"/>
      <c r="P6" s="93"/>
      <c r="Q6" s="9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6"/>
      <c r="C59" s="97"/>
      <c r="D59" s="97"/>
      <c r="E59" s="97"/>
      <c r="F59" s="97"/>
      <c r="G59" s="97"/>
      <c r="H59" s="97"/>
      <c r="I59" s="97"/>
      <c r="J59" s="97"/>
      <c r="K59" s="97"/>
      <c r="M59" s="97"/>
      <c r="N59" s="97"/>
      <c r="O59" s="97"/>
      <c r="P59" s="97"/>
      <c r="Q59" s="97"/>
      <c r="R59" s="97"/>
      <c r="S59" s="56"/>
      <c r="T59" s="97"/>
      <c r="U59" s="97"/>
      <c r="V59" s="97"/>
    </row>
    <row r="60" spans="1:22" s="15" customFormat="1" x14ac:dyDescent="0.25">
      <c r="B60" s="96"/>
      <c r="C60" s="97"/>
      <c r="D60" s="97"/>
      <c r="E60" s="97"/>
      <c r="F60" s="97"/>
      <c r="G60" s="97"/>
      <c r="H60" s="97"/>
      <c r="I60" s="97"/>
      <c r="J60" s="97"/>
      <c r="K60" s="97"/>
      <c r="M60" s="97"/>
      <c r="N60" s="97"/>
      <c r="O60" s="97"/>
      <c r="P60" s="97"/>
      <c r="Q60" s="97"/>
      <c r="R60" s="97"/>
      <c r="S60" s="56"/>
      <c r="T60" s="97"/>
      <c r="U60" s="97"/>
      <c r="V60" s="97"/>
    </row>
    <row r="61" spans="1:22" ht="20.25" customHeight="1" thickBot="1" x14ac:dyDescent="0.3"/>
    <row r="62" spans="1:22" ht="19.5" thickBot="1" x14ac:dyDescent="0.3">
      <c r="B62" s="30" t="s">
        <v>37</v>
      </c>
      <c r="C62" s="103" t="s">
        <v>41</v>
      </c>
      <c r="D62" s="104"/>
      <c r="E62" s="104"/>
      <c r="F62" s="104"/>
      <c r="G62" s="104"/>
      <c r="H62" s="104"/>
      <c r="I62" s="104"/>
      <c r="J62" s="104"/>
      <c r="K62" s="105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E3F5-60FD-438D-9CA9-F1C4B96DB6D9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2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01" t="s">
        <v>65</v>
      </c>
      <c r="K5" s="102"/>
      <c r="M5" s="37"/>
      <c r="N5" s="49"/>
      <c r="O5" s="40"/>
      <c r="P5" s="94"/>
      <c r="Q5" s="94"/>
      <c r="R5" s="38"/>
      <c r="S5" s="9"/>
      <c r="T5" s="111"/>
      <c r="U5" s="113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4"/>
      <c r="K6" s="38"/>
      <c r="M6" s="37"/>
      <c r="N6" s="49"/>
      <c r="O6" s="40"/>
      <c r="P6" s="94"/>
      <c r="Q6" s="9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1629</v>
      </c>
      <c r="V7" s="59">
        <f>U7/24</f>
        <v>67.875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15+62+25</f>
        <v>102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f>5+71</f>
        <v>76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1920</v>
      </c>
      <c r="V9" s="77">
        <f t="shared" ref="V9:V11" si="3">U9/24</f>
        <v>80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38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960</v>
      </c>
      <c r="V10" s="59">
        <f t="shared" si="3"/>
        <v>40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576+72+1+720+63+60+1008+36+1440</f>
        <v>3976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23</v>
      </c>
      <c r="O12" s="66">
        <v>14</v>
      </c>
      <c r="P12" s="67"/>
      <c r="Q12" s="67">
        <v>20</v>
      </c>
      <c r="R12" s="68">
        <v>20</v>
      </c>
      <c r="S12" s="63"/>
      <c r="T12" s="59">
        <f t="shared" si="0"/>
        <v>43</v>
      </c>
      <c r="U12" s="70">
        <f>C12*24+M12*24+O12*24+Q12*24+T12</f>
        <v>96547</v>
      </c>
      <c r="V12" s="70">
        <f>U12/24</f>
        <v>4022.7916666666665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42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2</v>
      </c>
      <c r="N23" s="75"/>
      <c r="O23" s="71">
        <v>1</v>
      </c>
      <c r="P23" s="72"/>
      <c r="Q23" s="72">
        <v>2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2472</v>
      </c>
      <c r="V28" s="76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11+4</f>
        <v>15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384</v>
      </c>
      <c r="V31" s="76">
        <f t="shared" si="5"/>
        <v>16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70+72</f>
        <v>142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540+51+2376+1512</f>
        <v>4479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35</v>
      </c>
      <c r="N37" s="65"/>
      <c r="O37" s="66">
        <v>42</v>
      </c>
      <c r="P37" s="67"/>
      <c r="Q37" s="67">
        <v>79</v>
      </c>
      <c r="R37" s="68"/>
      <c r="S37" s="63"/>
      <c r="T37" s="78">
        <f t="shared" si="0"/>
        <v>8</v>
      </c>
      <c r="U37" s="78">
        <f>C37*6+M37*6+O37*6+Q37*6+T37</f>
        <v>27818</v>
      </c>
      <c r="V37" s="78">
        <f>U37/6</f>
        <v>4636.333333333333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15+2+2</f>
        <v>19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51+504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13416</v>
      </c>
      <c r="V40" s="78">
        <f>U40/24</f>
        <v>559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1440+6</f>
        <v>1446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10</v>
      </c>
      <c r="N41" s="90"/>
      <c r="O41" s="85">
        <v>9</v>
      </c>
      <c r="P41" s="86"/>
      <c r="Q41" s="86">
        <v>20</v>
      </c>
      <c r="R41" s="87"/>
      <c r="S41" s="88"/>
      <c r="T41" s="91">
        <f t="shared" si="0"/>
        <v>0</v>
      </c>
      <c r="U41" s="91">
        <f>C41*12+M41*12+O41*12+Q41*12+T41</f>
        <v>17820</v>
      </c>
      <c r="V41" s="91">
        <f>U41/12</f>
        <v>1485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864+84+5940+8424+5400+4644+7128</f>
        <v>32484</v>
      </c>
      <c r="D43" s="66"/>
      <c r="E43" s="66"/>
      <c r="F43" s="66"/>
      <c r="G43" s="66"/>
      <c r="H43" s="66">
        <v>1</v>
      </c>
      <c r="I43" s="66">
        <v>7</v>
      </c>
      <c r="J43" s="67">
        <f>4*6+3</f>
        <v>27</v>
      </c>
      <c r="K43" s="68">
        <f>93*6+5</f>
        <v>563</v>
      </c>
      <c r="L43" s="63"/>
      <c r="M43" s="64">
        <v>419</v>
      </c>
      <c r="N43" s="65"/>
      <c r="O43" s="66">
        <v>364</v>
      </c>
      <c r="P43" s="67"/>
      <c r="Q43" s="67">
        <v>425</v>
      </c>
      <c r="R43" s="68"/>
      <c r="S43" s="63"/>
      <c r="T43" s="78">
        <f t="shared" ref="T43" si="6">H43+I43+J43+K43+N43+P43+R43</f>
        <v>598</v>
      </c>
      <c r="U43" s="78">
        <f>C43*6+M43*6+O43*6+Q43*6+T43</f>
        <v>202750</v>
      </c>
      <c r="V43" s="78">
        <f>U43/6</f>
        <v>33791.666666666664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7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14134</v>
      </c>
      <c r="V47" s="78">
        <f>U47/6</f>
        <v>2355.6666666666665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46165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45</v>
      </c>
      <c r="I58" s="6">
        <f t="shared" si="11"/>
        <v>9</v>
      </c>
      <c r="J58" s="6">
        <f t="shared" si="11"/>
        <v>27</v>
      </c>
      <c r="K58" s="6">
        <f t="shared" si="11"/>
        <v>604</v>
      </c>
      <c r="M58" s="5">
        <f t="shared" ref="M58:R58" si="12">SUM(M7:M57)</f>
        <v>492</v>
      </c>
      <c r="N58" s="5">
        <f t="shared" si="12"/>
        <v>35</v>
      </c>
      <c r="O58" s="5">
        <f t="shared" si="12"/>
        <v>444</v>
      </c>
      <c r="P58" s="5">
        <f t="shared" si="12"/>
        <v>16</v>
      </c>
      <c r="Q58" s="5">
        <f t="shared" si="12"/>
        <v>567</v>
      </c>
      <c r="R58" s="5">
        <f t="shared" si="12"/>
        <v>20</v>
      </c>
      <c r="S58" s="56"/>
      <c r="T58" s="4">
        <f>SUM(T7:T57)</f>
        <v>756</v>
      </c>
      <c r="U58" s="95">
        <f>SUM(U7:U57)</f>
        <v>394098</v>
      </c>
      <c r="V58" s="4">
        <f>SUM(V7:V57)</f>
        <v>47776.499999999993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tabSelected="1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2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01" t="s">
        <v>65</v>
      </c>
      <c r="K5" s="102"/>
      <c r="M5" s="37"/>
      <c r="N5" s="49"/>
      <c r="O5" s="40"/>
      <c r="P5" s="52"/>
      <c r="Q5" s="52"/>
      <c r="R5" s="38"/>
      <c r="S5" s="9"/>
      <c r="T5" s="111"/>
      <c r="U5" s="113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52"/>
      <c r="K6" s="38"/>
      <c r="M6" s="37"/>
      <c r="N6" s="49"/>
      <c r="O6" s="40"/>
      <c r="P6" s="52"/>
      <c r="Q6" s="5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62+23+15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66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2</v>
      </c>
      <c r="P9" s="72"/>
      <c r="Q9" s="72">
        <v>8</v>
      </c>
      <c r="R9" s="73"/>
      <c r="S9" s="56"/>
      <c r="T9" s="76">
        <f t="shared" si="0"/>
        <v>0</v>
      </c>
      <c r="U9" s="77">
        <f t="shared" ref="U9:U11" si="2">C9*24+M9*24+O9*24+Q9*24+T9</f>
        <v>1824</v>
      </c>
      <c r="V9" s="77">
        <f t="shared" ref="V9:V11" si="3">U9/24</f>
        <v>76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2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936</v>
      </c>
      <c r="V10" s="59">
        <f t="shared" si="3"/>
        <v>39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720+72+63+1008+16+1440+576+60</f>
        <v>3955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>
        <v>14</v>
      </c>
      <c r="O12" s="66">
        <v>15</v>
      </c>
      <c r="P12" s="67">
        <v>10</v>
      </c>
      <c r="Q12" s="67">
        <v>15</v>
      </c>
      <c r="R12" s="68">
        <v>20</v>
      </c>
      <c r="S12" s="63"/>
      <c r="T12" s="69">
        <f t="shared" si="0"/>
        <v>44</v>
      </c>
      <c r="U12" s="70">
        <f>C12*24+M12*24+O12*24+Q12*24+T12</f>
        <v>95996</v>
      </c>
      <c r="V12" s="70">
        <f>U12/24</f>
        <v>3999.8333333333335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6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f>16+1</f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2400</v>
      </c>
      <c r="V28" s="76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10+4</f>
        <v>14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10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324+68+2376+1512</f>
        <v>4280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112</v>
      </c>
      <c r="N37" s="65"/>
      <c r="O37" s="66">
        <v>41</v>
      </c>
      <c r="P37" s="67"/>
      <c r="Q37" s="67">
        <v>64</v>
      </c>
      <c r="R37" s="68"/>
      <c r="S37" s="63"/>
      <c r="T37" s="78">
        <f t="shared" si="0"/>
        <v>8</v>
      </c>
      <c r="U37" s="78">
        <f>C37*6+M37*6+O37*6+Q37*6+T37</f>
        <v>26990</v>
      </c>
      <c r="V37" s="78">
        <f>U37/6</f>
        <v>4498.333333333333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16+2</f>
        <v>18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>
        <v>1</v>
      </c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1344+87</f>
        <v>1431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3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17472</v>
      </c>
      <c r="V41" s="91">
        <f>U41/12</f>
        <v>1456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216+5940+8424+5400+4644+12+7128</f>
        <v>31764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325</v>
      </c>
      <c r="N43" s="65"/>
      <c r="O43" s="66">
        <v>356</v>
      </c>
      <c r="P43" s="67"/>
      <c r="Q43" s="67">
        <v>350</v>
      </c>
      <c r="R43" s="68"/>
      <c r="S43" s="63"/>
      <c r="T43" s="78">
        <f t="shared" ref="T43" si="6">H43+I43+J43+K43+N43+P43+R43</f>
        <v>598</v>
      </c>
      <c r="U43" s="78">
        <f>C43*6+M43*6+O43*6+Q43*6+T43</f>
        <v>197368</v>
      </c>
      <c r="V43" s="78">
        <f>U43/6</f>
        <v>32894.666666666664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14116</v>
      </c>
      <c r="V47" s="78">
        <f>U47/6</f>
        <v>2352.6666666666665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45160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482</v>
      </c>
      <c r="N58" s="5">
        <f t="shared" si="12"/>
        <v>26</v>
      </c>
      <c r="O58" s="5">
        <f t="shared" si="12"/>
        <v>444</v>
      </c>
      <c r="P58" s="5">
        <f t="shared" si="12"/>
        <v>26</v>
      </c>
      <c r="Q58" s="5">
        <f t="shared" si="12"/>
        <v>481</v>
      </c>
      <c r="R58" s="5">
        <f t="shared" si="12"/>
        <v>20</v>
      </c>
      <c r="S58" s="56"/>
      <c r="T58" s="4">
        <f>SUM(T7:T57)</f>
        <v>757</v>
      </c>
      <c r="U58" s="95">
        <f>SUM(U7:U57)</f>
        <v>386707</v>
      </c>
      <c r="V58" s="4">
        <f>SUM(V7:V57)</f>
        <v>46675.541666666664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C7BF-D8DE-45DD-AFA6-3473D86FD0E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2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01" t="s">
        <v>65</v>
      </c>
      <c r="K5" s="102"/>
      <c r="M5" s="37"/>
      <c r="N5" s="49"/>
      <c r="O5" s="40"/>
      <c r="P5" s="98"/>
      <c r="Q5" s="98"/>
      <c r="R5" s="38"/>
      <c r="S5" s="9"/>
      <c r="T5" s="111"/>
      <c r="U5" s="113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15+63+22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51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17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1632</v>
      </c>
      <c r="V9" s="77">
        <f t="shared" ref="V9:V11" si="3">U9/24</f>
        <v>68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23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13</v>
      </c>
      <c r="P10" s="72"/>
      <c r="Q10" s="72"/>
      <c r="R10" s="73"/>
      <c r="S10" s="56"/>
      <c r="T10" s="59">
        <f t="shared" si="0"/>
        <v>0</v>
      </c>
      <c r="U10" s="59">
        <f t="shared" si="2"/>
        <v>864</v>
      </c>
      <c r="V10" s="59">
        <f t="shared" si="3"/>
        <v>36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720+72+60+63+936+60+1440+576</f>
        <v>3927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11</v>
      </c>
      <c r="P12" s="67">
        <v>5</v>
      </c>
      <c r="Q12" s="67">
        <v>7</v>
      </c>
      <c r="R12" s="68">
        <v>13</v>
      </c>
      <c r="S12" s="63"/>
      <c r="T12" s="59">
        <f t="shared" si="0"/>
        <v>18</v>
      </c>
      <c r="U12" s="70">
        <f>C12*24+M12*24+O12*24+Q12*24+T12</f>
        <v>95010</v>
      </c>
      <c r="V12" s="70">
        <f>U12/24</f>
        <v>3958.75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59+63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2963</v>
      </c>
      <c r="V25" s="76">
        <f t="shared" si="5"/>
        <v>123.45833333333333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>
        <v>4</v>
      </c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64+30</f>
        <v>94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2328</v>
      </c>
      <c r="V28" s="76">
        <f t="shared" si="5"/>
        <v>97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>
        <v>3</v>
      </c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324+63+2376+1512</f>
        <v>4275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41</v>
      </c>
      <c r="P37" s="67"/>
      <c r="Q37" s="67">
        <v>35</v>
      </c>
      <c r="R37" s="68"/>
      <c r="S37" s="63"/>
      <c r="T37" s="78">
        <f t="shared" si="0"/>
        <v>8</v>
      </c>
      <c r="U37" s="78">
        <f>C37*6+M37*6+O37*6+Q37*6+T37</f>
        <v>26114</v>
      </c>
      <c r="V37" s="78">
        <f>U37/6</f>
        <v>4352.333333333333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13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>
        <v>5</v>
      </c>
      <c r="P38" s="72"/>
      <c r="Q38" s="72"/>
      <c r="R38" s="73"/>
      <c r="S38" s="56"/>
      <c r="T38" s="76">
        <f t="shared" si="0"/>
        <v>0</v>
      </c>
      <c r="U38" s="76">
        <f>C38*24+M38*24+O38*24+Q38*24+T38</f>
        <v>432</v>
      </c>
      <c r="V38" s="76">
        <f>U38/24</f>
        <v>18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17400</v>
      </c>
      <c r="V41" s="91">
        <f>U41/12</f>
        <v>1450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5940+8424+5400+4644+6696</f>
        <v>31104</v>
      </c>
      <c r="D43" s="66"/>
      <c r="E43" s="66"/>
      <c r="F43" s="66"/>
      <c r="G43" s="66"/>
      <c r="H43" s="66"/>
      <c r="I43" s="66">
        <v>7</v>
      </c>
      <c r="J43" s="67">
        <f>6*4+4</f>
        <v>28</v>
      </c>
      <c r="K43" s="68">
        <f>93*6+5</f>
        <v>563</v>
      </c>
      <c r="L43" s="63"/>
      <c r="M43" s="64">
        <v>398</v>
      </c>
      <c r="N43" s="65"/>
      <c r="O43" s="66">
        <v>258</v>
      </c>
      <c r="P43" s="67"/>
      <c r="Q43" s="67">
        <v>80</v>
      </c>
      <c r="R43" s="68"/>
      <c r="S43" s="63"/>
      <c r="T43" s="78">
        <f t="shared" ref="T43" si="6">H43+I43+J43+K43+N43+P43+R43</f>
        <v>598</v>
      </c>
      <c r="U43" s="78">
        <f>C43*6+M43*6+O43*6+Q43*6+T43</f>
        <v>191638</v>
      </c>
      <c r="V43" s="78">
        <f>U43/6</f>
        <v>31939.666666666668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>
        <v>4</v>
      </c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44405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427</v>
      </c>
      <c r="N58" s="5">
        <f t="shared" si="12"/>
        <v>12</v>
      </c>
      <c r="O58" s="5">
        <f t="shared" si="12"/>
        <v>394</v>
      </c>
      <c r="P58" s="5">
        <f t="shared" si="12"/>
        <v>21</v>
      </c>
      <c r="Q58" s="5">
        <f t="shared" si="12"/>
        <v>164</v>
      </c>
      <c r="R58" s="5">
        <f t="shared" si="12"/>
        <v>13</v>
      </c>
      <c r="S58" s="56"/>
      <c r="T58" s="4">
        <f>SUM(T7:T57)</f>
        <v>731</v>
      </c>
      <c r="U58" s="95">
        <f>SUM(U7:U57)</f>
        <v>378377</v>
      </c>
      <c r="V58" s="4">
        <f>SUM(V7:V57)</f>
        <v>45497.458333333336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F5F4-C5DF-4049-87CE-B29D5D492895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2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01" t="s">
        <v>65</v>
      </c>
      <c r="K5" s="102"/>
      <c r="M5" s="37"/>
      <c r="N5" s="49"/>
      <c r="O5" s="40"/>
      <c r="P5" s="92"/>
      <c r="Q5" s="92"/>
      <c r="R5" s="38"/>
      <c r="S5" s="9"/>
      <c r="T5" s="111"/>
      <c r="U5" s="113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2"/>
      <c r="K6" s="38"/>
      <c r="M6" s="37"/>
      <c r="N6" s="49"/>
      <c r="O6" s="40"/>
      <c r="P6" s="92"/>
      <c r="Q6" s="9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SAMPLE</vt:lpstr>
      <vt:lpstr>03-02-20261</vt:lpstr>
      <vt:lpstr>03-04-2026</vt:lpstr>
      <vt:lpstr>03-05-2026</vt:lpstr>
      <vt:lpstr>03-06-2026</vt:lpstr>
      <vt:lpstr>'03-02-20261'!Print_Area</vt:lpstr>
      <vt:lpstr>'03-04-2026'!Print_Area</vt:lpstr>
      <vt:lpstr>'03-05-2026'!Print_Area</vt:lpstr>
      <vt:lpstr>'03-06-2026'!Print_Area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2026-03-05T02:40:19Z</dcterms:modified>
</cp:coreProperties>
</file>