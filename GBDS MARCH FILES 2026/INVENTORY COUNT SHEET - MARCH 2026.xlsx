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F90376A-1B02-4917-9DDB-3EDE88A63CDE}" xr6:coauthVersionLast="45" xr6:coauthVersionMax="45" xr10:uidLastSave="{00000000-0000-0000-0000-000000000000}"/>
  <bookViews>
    <workbookView xWindow="-120" yWindow="-120" windowWidth="29040" windowHeight="15840" firstSheet="5" activeTab="13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  <sheet name="03-18-2026" sheetId="43" r:id="rId14"/>
    <sheet name="03-19-2026" sheetId="44" r:id="rId15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13">'03-18-2026'!$A$1:$W$59</definedName>
    <definedName name="_xlnm.Print_Area" localSheetId="14">'03-19-2026'!$A$1:$W$59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43" l="1"/>
  <c r="K43" i="43"/>
  <c r="J43" i="43"/>
  <c r="J58" i="43" s="1"/>
  <c r="C43" i="43"/>
  <c r="C41" i="43"/>
  <c r="C40" i="43"/>
  <c r="C37" i="43"/>
  <c r="C34" i="43"/>
  <c r="C20" i="43"/>
  <c r="C17" i="43"/>
  <c r="C58" i="43" s="1"/>
  <c r="C12" i="43"/>
  <c r="C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U52" i="44"/>
  <c r="V52" i="44" s="1"/>
  <c r="T52" i="44"/>
  <c r="T51" i="44"/>
  <c r="U51" i="44" s="1"/>
  <c r="V51" i="44" s="1"/>
  <c r="T50" i="44"/>
  <c r="U50" i="44" s="1"/>
  <c r="V50" i="44" s="1"/>
  <c r="T49" i="44"/>
  <c r="U49" i="44" s="1"/>
  <c r="V49" i="44" s="1"/>
  <c r="U48" i="44"/>
  <c r="V48" i="44" s="1"/>
  <c r="T48" i="44"/>
  <c r="T47" i="44"/>
  <c r="U47" i="44" s="1"/>
  <c r="V47" i="44" s="1"/>
  <c r="T46" i="44"/>
  <c r="U46" i="44" s="1"/>
  <c r="V46" i="44" s="1"/>
  <c r="T45" i="44"/>
  <c r="U45" i="44" s="1"/>
  <c r="V45" i="44" s="1"/>
  <c r="V43" i="44"/>
  <c r="U43" i="44"/>
  <c r="T43" i="44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V25" i="44"/>
  <c r="U25" i="44"/>
  <c r="T25" i="44"/>
  <c r="T24" i="44"/>
  <c r="U24" i="44" s="1"/>
  <c r="V24" i="44" s="1"/>
  <c r="U23" i="44"/>
  <c r="V23" i="44" s="1"/>
  <c r="T23" i="44"/>
  <c r="T22" i="44"/>
  <c r="U22" i="44" s="1"/>
  <c r="V22" i="44" s="1"/>
  <c r="V21" i="44"/>
  <c r="U21" i="44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U19" i="44"/>
  <c r="V19" i="44" s="1"/>
  <c r="T19" i="44"/>
  <c r="T18" i="44"/>
  <c r="U18" i="44" s="1"/>
  <c r="V18" i="44" s="1"/>
  <c r="U17" i="44"/>
  <c r="V17" i="44" s="1"/>
  <c r="T17" i="44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U13" i="44"/>
  <c r="V13" i="44" s="1"/>
  <c r="T13" i="44"/>
  <c r="T12" i="44"/>
  <c r="U12" i="44" s="1"/>
  <c r="V12" i="44" s="1"/>
  <c r="T11" i="44"/>
  <c r="U11" i="44" s="1"/>
  <c r="V11" i="44" s="1"/>
  <c r="T10" i="44"/>
  <c r="U10" i="44" s="1"/>
  <c r="V10" i="44" s="1"/>
  <c r="U9" i="44"/>
  <c r="V9" i="44" s="1"/>
  <c r="T9" i="44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U50" i="43"/>
  <c r="V50" i="43" s="1"/>
  <c r="T50" i="43"/>
  <c r="T49" i="43"/>
  <c r="U49" i="43" s="1"/>
  <c r="V49" i="43" s="1"/>
  <c r="T48" i="43"/>
  <c r="U48" i="43" s="1"/>
  <c r="V48" i="43" s="1"/>
  <c r="T47" i="43"/>
  <c r="U47" i="43" s="1"/>
  <c r="V47" i="43" s="1"/>
  <c r="U46" i="43"/>
  <c r="V46" i="43" s="1"/>
  <c r="T46" i="43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U33" i="43"/>
  <c r="V33" i="43" s="1"/>
  <c r="T33" i="43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U9" i="43"/>
  <c r="V9" i="43" s="1"/>
  <c r="T9" i="43"/>
  <c r="T8" i="43"/>
  <c r="U8" i="43" s="1"/>
  <c r="V8" i="43" s="1"/>
  <c r="A8" i="43"/>
  <c r="A9" i="43" s="1"/>
  <c r="A10" i="43" s="1"/>
  <c r="A11" i="43" s="1"/>
  <c r="T7" i="43"/>
  <c r="U7" i="43" s="1"/>
  <c r="T43" i="43" l="1"/>
  <c r="U43" i="43" s="1"/>
  <c r="V43" i="43" s="1"/>
  <c r="V7" i="44"/>
  <c r="V58" i="44" s="1"/>
  <c r="U58" i="44"/>
  <c r="T58" i="44"/>
  <c r="V7" i="43"/>
  <c r="C47" i="4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T58" i="43" l="1"/>
  <c r="V58" i="43"/>
  <c r="U58" i="43"/>
  <c r="U7" i="42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<sst xmlns="http://schemas.openxmlformats.org/spreadsheetml/2006/main" count="1260" uniqueCount="85">
  <si>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</si>
  <si>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</si>
  <si>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</si>
  <si>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</si>
  <si>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</si>
  <si>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</si>
  <si>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</si>
  <si>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</si>
  <si>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</si>
  <si>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</si>
  <si>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</si>
  <si>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</si>
  <si>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</si>
  <si>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</si>
  <si>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</si>
  <si>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</si>
  <si>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</si>
  <si>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</si>
  <si>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</si>
  <si>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</si>
  <si>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</si>
  <si>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</si>
  <si>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</si>
  <si>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</si>
  <si>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</si>
  <si>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</si>
  <si>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</si>
  <si>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</si>
  <si>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</si>
  <si>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</si>
  <si>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</si>
  <si>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</si>
  <si>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</si>
  <si>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</si>
  <si>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</si>
  <si>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</si>
  <si>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</si>
  <si>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</si>
  <si>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</si>
  <si>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</si>
  <si>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</si>
  <si>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</si>
  <si>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</si>
  <si>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</si>
  <si>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</si>
  <si>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</si>
  <si>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</si>
  <si>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</si>
  <si>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</si>
  <si>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</si>
  <si>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</si>
  <si>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</si>
  <si>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</si>
  <si>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</si>
  <si>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</si>
  <si>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</si>
  <si>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</si>
  <si>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</si>
  <si>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</si>
  <si>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</si>
  <si>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</si>
  <si>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</si>
  <si>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</si>
  <si>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</si>
  <si>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</si>
  <si>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</si>
  <si>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</si>
  <si>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</si>
  <si>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</si>
  <si>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</si>
  <si>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</si>
  <si>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</si>
  <si>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</si>
  <si>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</si>
  <si>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</si>
  <si>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</si>
  <si>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</si>
  <si>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</si>
  <si>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</si>
  <si>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</si>
  <si>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</si>
  <si>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</si>
  <si>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</si>
  <si>
    <t>DATE: 03/18/2026</t>
  </si>
  <si>
    <t>DATE: 03/19/2026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</si>
</sst>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0" t="s">
        <v>68</v>
      </c>
      <c r="U4" s="122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1" t="s">
        <v>65</v>
      </c>
      <c r="K5" s="112"/>
      <c r="M5" s="37"/>
      <c r="N5" s="49"/>
      <c r="O5" s="40"/>
      <c r="P5" s="93"/>
      <c r="Q5" s="93"/>
      <c r="R5" s="38"/>
      <c r="S5" s="9"/>
      <c r="T5" s="121"/>
      <c r="U5" s="123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3" t="s">
        <v>41</v>
      </c>
      <c r="D62" s="114"/>
      <c r="E62" s="114"/>
      <c r="F62" s="114"/>
      <c r="G62" s="114"/>
      <c r="H62" s="114"/>
      <c r="I62" s="114"/>
      <c r="J62" s="114"/>
      <c r="K62" s="11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4"/>
      <c r="Q5" s="94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52"/>
      <c r="Q5" s="52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20" t="s">
        <v>68</v>
      </c>
      <c r="U4" s="122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1" t="s">
        <v>65</v>
      </c>
      <c r="K5" s="112"/>
      <c r="M5" s="37"/>
      <c r="N5" s="49"/>
      <c r="O5" s="40"/>
      <c r="P5" s="92"/>
      <c r="Q5" s="92"/>
      <c r="R5" s="38"/>
      <c r="S5" s="9"/>
      <c r="T5" s="121"/>
      <c r="U5" s="123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0"/>
      <c r="Q5" s="100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0"/>
      <c r="Q5" s="100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4"/>
      <c r="Q5" s="104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4"/>
      <c r="Q5" s="104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5"/>
      <c r="Q5" s="105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6"/>
      <c r="Q5" s="106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C7" sqref="C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abSelected="1"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8"/>
      <c r="Q5" s="10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42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1389</v>
      </c>
      <c r="V7" s="59">
        <f>U7/24</f>
        <v>57.875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10+63+15</f>
        <v>88</v>
      </c>
      <c r="D8" s="60"/>
      <c r="E8" s="60"/>
      <c r="F8" s="60"/>
      <c r="G8" s="60"/>
      <c r="H8" s="60"/>
      <c r="I8" s="60"/>
      <c r="J8" s="61"/>
      <c r="K8" s="62"/>
      <c r="L8" s="63"/>
      <c r="M8" s="64">
        <v>5</v>
      </c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2280</v>
      </c>
      <c r="V8" s="70">
        <f>U8/24</f>
        <v>95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11</v>
      </c>
      <c r="D9" s="71"/>
      <c r="E9" s="71"/>
      <c r="F9" s="71"/>
      <c r="G9" s="71"/>
      <c r="H9" s="71"/>
      <c r="I9" s="71"/>
      <c r="J9" s="72"/>
      <c r="K9" s="73"/>
      <c r="L9" s="56"/>
      <c r="M9" s="74">
        <v>5</v>
      </c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384</v>
      </c>
      <c r="V9" s="77">
        <f t="shared" ref="V9:V11" si="3">U9/24</f>
        <v>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3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96</v>
      </c>
      <c r="V11" s="59">
        <f t="shared" si="3"/>
        <v>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72+720+60+63+576+70+1440+576</f>
        <v>3577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6</v>
      </c>
      <c r="O12" s="66">
        <v>15</v>
      </c>
      <c r="P12" s="67">
        <v>11</v>
      </c>
      <c r="Q12" s="67">
        <v>20</v>
      </c>
      <c r="R12" s="68">
        <v>14</v>
      </c>
      <c r="S12" s="63"/>
      <c r="T12" s="59">
        <f t="shared" si="0"/>
        <v>31</v>
      </c>
      <c r="U12" s="70">
        <f>C12*24+M12*24+O12*24+Q12*24+T12</f>
        <v>86839</v>
      </c>
      <c r="V12" s="70">
        <f>U12/24</f>
        <v>3618.2916666666665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3</v>
      </c>
      <c r="D13" s="71"/>
      <c r="E13" s="71"/>
      <c r="F13" s="71"/>
      <c r="G13" s="71"/>
      <c r="H13" s="71"/>
      <c r="I13" s="71"/>
      <c r="J13" s="72"/>
      <c r="K13" s="73"/>
      <c r="L13" s="56"/>
      <c r="M13" s="74">
        <v>1</v>
      </c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96</v>
      </c>
      <c r="V13" s="77">
        <f>U13/24</f>
        <v>4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f>1+1</f>
        <v>2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2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3</v>
      </c>
      <c r="D19" s="71"/>
      <c r="E19" s="71"/>
      <c r="F19" s="71"/>
      <c r="G19" s="71"/>
      <c r="H19" s="71"/>
      <c r="I19" s="71"/>
      <c r="J19" s="72"/>
      <c r="K19" s="73"/>
      <c r="L19" s="56"/>
      <c r="M19" s="74">
        <v>1</v>
      </c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f>1+5</f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2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2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1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24</v>
      </c>
      <c r="V22" s="76">
        <f t="shared" si="5"/>
        <v>1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6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144</v>
      </c>
      <c r="V24" s="76">
        <f t="shared" si="5"/>
        <v>6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v>54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2387</v>
      </c>
      <c r="V25" s="76">
        <f t="shared" si="5"/>
        <v>99.458333333333329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7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6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312</v>
      </c>
      <c r="V26" s="76">
        <f t="shared" si="5"/>
        <v>13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v>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28</v>
      </c>
      <c r="N28" s="75"/>
      <c r="O28" s="71"/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912</v>
      </c>
      <c r="V28" s="76">
        <f t="shared" si="5"/>
        <v>38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>
        <v>44</v>
      </c>
      <c r="D30" s="71"/>
      <c r="E30" s="71"/>
      <c r="F30" s="71"/>
      <c r="G30" s="71"/>
      <c r="H30" s="71"/>
      <c r="I30" s="71"/>
      <c r="J30" s="72"/>
      <c r="K30" s="73"/>
      <c r="L30" s="56"/>
      <c r="M30" s="74">
        <v>10</v>
      </c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1344</v>
      </c>
      <c r="V30" s="76">
        <f t="shared" si="5"/>
        <v>56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4+72</f>
        <v>76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2237</v>
      </c>
      <c r="V34" s="76">
        <f t="shared" si="5"/>
        <v>93.208333333333329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1512+1512</f>
        <v>3024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24</v>
      </c>
      <c r="P37" s="67"/>
      <c r="Q37" s="67">
        <v>111</v>
      </c>
      <c r="R37" s="68"/>
      <c r="S37" s="63"/>
      <c r="T37" s="78">
        <f t="shared" si="0"/>
        <v>8</v>
      </c>
      <c r="U37" s="78">
        <f>C37*6+M37*6+O37*6+Q37*6+T37</f>
        <v>19232</v>
      </c>
      <c r="V37" s="78">
        <f>U37/6</f>
        <v>3205.3333333333335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8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216</v>
      </c>
      <c r="V38" s="76">
        <f>U38/24</f>
        <v>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441+27</f>
        <v>468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12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11616</v>
      </c>
      <c r="V40" s="78">
        <f>U40/24</f>
        <v>484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23+1152</f>
        <v>1175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21</v>
      </c>
      <c r="N41" s="90"/>
      <c r="O41" s="85">
        <v>5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14601</v>
      </c>
      <c r="V41" s="91">
        <f>U41/12</f>
        <v>1216.75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5940+8424+5292+3672+1836</f>
        <v>25164</v>
      </c>
      <c r="D43" s="66"/>
      <c r="E43" s="66"/>
      <c r="F43" s="66"/>
      <c r="G43" s="66"/>
      <c r="H43" s="66">
        <v>2</v>
      </c>
      <c r="I43" s="66">
        <v>7</v>
      </c>
      <c r="J43" s="67">
        <f>11*6+1</f>
        <v>67</v>
      </c>
      <c r="K43" s="68">
        <f>93*6+5</f>
        <v>563</v>
      </c>
      <c r="L43" s="63"/>
      <c r="M43" s="64">
        <v>356</v>
      </c>
      <c r="N43" s="65"/>
      <c r="O43" s="66">
        <v>450</v>
      </c>
      <c r="P43" s="67"/>
      <c r="Q43" s="67">
        <v>554</v>
      </c>
      <c r="R43" s="68"/>
      <c r="S43" s="63"/>
      <c r="T43" s="78">
        <f t="shared" ref="T43" si="6">H43+I43+J43+K43+N43+P43+R43</f>
        <v>639</v>
      </c>
      <c r="U43" s="78">
        <f>C43*6+M43*6+O43*6+Q43*6+T43</f>
        <v>159783</v>
      </c>
      <c r="V43" s="78">
        <f>U43/6</f>
        <v>26630.5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2268+35</f>
        <v>2303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13984</v>
      </c>
      <c r="V47" s="78">
        <f>U47/6</f>
        <v>2330.6666666666665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36127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55</v>
      </c>
      <c r="I58" s="6">
        <f t="shared" si="11"/>
        <v>9</v>
      </c>
      <c r="J58" s="6">
        <f t="shared" si="11"/>
        <v>67</v>
      </c>
      <c r="K58" s="6">
        <f t="shared" si="11"/>
        <v>604</v>
      </c>
      <c r="M58" s="5">
        <f t="shared" ref="M58:R58" si="12">SUM(M7:M57)</f>
        <v>581</v>
      </c>
      <c r="N58" s="5">
        <f t="shared" si="12"/>
        <v>6</v>
      </c>
      <c r="O58" s="5">
        <f t="shared" si="12"/>
        <v>517</v>
      </c>
      <c r="P58" s="5">
        <f t="shared" si="12"/>
        <v>46</v>
      </c>
      <c r="Q58" s="5">
        <f t="shared" si="12"/>
        <v>734</v>
      </c>
      <c r="R58" s="5">
        <f t="shared" si="12"/>
        <v>14</v>
      </c>
      <c r="S58" s="56"/>
      <c r="T58" s="4">
        <f>SUM(T7:T57)</f>
        <v>801</v>
      </c>
      <c r="U58" s="95">
        <f>SUM(U7:U57)</f>
        <v>319587</v>
      </c>
      <c r="V58" s="4">
        <f>SUM(V7:V57)</f>
        <v>38074.875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8"/>
      <c r="Q5" s="10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15</vt:i4>
      </vt:variant>
    </vt:vector>
  </HeadingPairs>
  <TitlesOfParts>
    <vt:vector size="30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03-18-2026</vt:lpstr>
      <vt:lpstr>03-19-2026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'03-18-2026'!Print_Area</vt:lpstr>
      <vt:lpstr>'03-19-2026'!Print_Area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2026-03-18T05:29:22Z</dcterms:modified>
</cp:coreProperties>
</file>