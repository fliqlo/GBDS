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0607F600-B5F7-4E0F-898E-57DBDD1DEAE7}" xr6:coauthVersionLast="47" xr6:coauthVersionMax="47" xr10:uidLastSave="{00000000-0000-0000-0000-000000000000}"/>
  <bookViews>
    <workbookView xWindow="0" yWindow="0" windowWidth="14400" windowHeight="15600" xr2:uid="{B997F013-12E6-4AA2-8A9D-EFCC32EA76C2}"/>
  </bookViews>
  <sheets>
    <sheet name="MARCH, SRS R1" sheetId="6" r:id="rId1"/>
    <sheet name="MARCH, SRS R2" sheetId="12" r:id="rId2"/>
    <sheet name="MARCH, SRS R3" sheetId="13" r:id="rId3"/>
    <sheet name="," sheetId="14" r:id="rId4"/>
  </sheets>
  <definedNames>
    <definedName name="_xlnm.Print_Area" localSheetId="0">'MARCH, SRS R1'!$A$1:$G$44</definedName>
    <definedName name="_xlnm.Print_Area" localSheetId="1">'MARCH, SRS R2'!$A$1:$G$44</definedName>
    <definedName name="_xlnm.Print_Area" localSheetId="2">'MARCH, SRS R3'!$A$1:$G$44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6" l="1"/>
  <c r="F15" i="13"/>
  <c r="F43" i="13" l="1"/>
  <c r="F43" i="12"/>
  <c r="F43" i="6"/>
  <c r="G43" i="13" l="1"/>
  <c r="E43" i="13"/>
  <c r="D43" i="13"/>
  <c r="C43" i="13"/>
  <c r="G43" i="12"/>
  <c r="E43" i="12"/>
  <c r="D43" i="12"/>
  <c r="C43" i="12"/>
  <c r="D43" i="6" l="1"/>
  <c r="E43" i="6"/>
  <c r="G43" i="6"/>
  <c r="C43" i="6" l="1"/>
</calcChain>
</file>

<file path=xl/sharedStrings.xml><?xml version="1.0" encoding="utf-8"?>
<sst xmlns="http://schemas.openxmlformats.org/spreadsheetml/2006/main" count="69" uniqueCount="19">
  <si>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</si>
  <si>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</si>
  <si>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</si>
  <si>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</si>
  <si>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</si>
  <si>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</si>
  <si>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</si>
  <si>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</si>
  <si>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</si>
  <si>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</si>
  <si>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</si>
  <si>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</si>
  <si>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</si>
  <si>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</si>
  <si>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</si>
  <si>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</si>
  <si>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MARCH</t>
  </si>
  <si>
    <t>DISCOUNT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</si>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</sst>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43" fontId="2" fillId="0" borderId="0" xfId="1" applyFont="1"/>
    <xf numFmtId="43" fontId="9" fillId="0" borderId="0" xfId="1" applyFont="1"/>
    <xf numFmtId="43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43" fontId="2" fillId="0" borderId="1" xfId="1" applyFont="1" applyBorder="1"/>
    <xf numFmtId="43" fontId="9" fillId="0" borderId="1" xfId="1" applyFont="1" applyBorder="1"/>
    <xf numFmtId="0" fontId="3" fillId="0" borderId="3" xfId="0" applyFont="1" applyBorder="1"/>
    <xf numFmtId="43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43" fontId="3" fillId="0" borderId="1" xfId="1" applyFont="1" applyBorder="1"/>
    <xf numFmtId="43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3" fontId="3" fillId="0" borderId="0" xfId="1" applyFont="1" applyBorder="1"/>
    <xf numFmtId="0" fontId="3" fillId="0" borderId="1" xfId="0" applyFont="1" applyBorder="1"/>
    <xf numFmtId="0" fontId="9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3" fontId="10" fillId="0" borderId="1" xfId="1" applyFont="1" applyBorder="1"/>
    <xf numFmtId="0" fontId="9" fillId="0" borderId="0" xfId="0" applyFont="1" applyAlignment="1">
      <alignment horizontal="center" vertical="center"/>
    </xf>
    <xf numFmtId="43" fontId="2" fillId="0" borderId="6" xfId="1" applyFont="1" applyBorder="1" applyAlignment="1"/>
    <xf numFmtId="43" fontId="9" fillId="0" borderId="6" xfId="1" applyFont="1" applyBorder="1" applyAlignment="1"/>
    <xf numFmtId="43" fontId="9" fillId="0" borderId="1" xfId="1" applyFont="1" applyBorder="1" applyAlignment="1"/>
    <xf numFmtId="43" fontId="14" fillId="0" borderId="1" xfId="1" applyFont="1" applyBorder="1" applyAlignment="1"/>
    <xf numFmtId="43" fontId="14" fillId="0" borderId="6" xfId="1" applyFont="1" applyBorder="1" applyAlignment="1"/>
    <xf numFmtId="43" fontId="14" fillId="0" borderId="1" xfId="1" applyFont="1" applyBorder="1"/>
    <xf numFmtId="43" fontId="2" fillId="0" borderId="6" xfId="1" applyFont="1" applyBorder="1"/>
    <xf numFmtId="43" fontId="9" fillId="0" borderId="4" xfId="1" applyFont="1" applyBorder="1" applyAlignment="1">
      <alignment horizontal="center"/>
    </xf>
    <xf numFmtId="43" fontId="9" fillId="0" borderId="5" xfId="1" applyFont="1" applyBorder="1" applyAlignment="1">
      <alignment horizontal="center"/>
    </xf>
    <xf numFmtId="43" fontId="9" fillId="0" borderId="6" xfId="1" applyFont="1" applyBorder="1" applyAlignment="1">
      <alignment horizontal="center"/>
    </xf>
    <xf numFmtId="43" fontId="2" fillId="0" borderId="1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R279"/>
  <sheetViews>
    <sheetView tabSelected="1" zoomScaleNormal="100" zoomScaleSheetLayoutView="100" workbookViewId="0">
      <selection activeCell="C21" sqref="C21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16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265882</v>
      </c>
      <c r="D11" s="35">
        <v>15.75</v>
      </c>
      <c r="E11" s="34"/>
      <c r="F11" s="37">
        <v>1356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322724</v>
      </c>
      <c r="D12" s="13"/>
      <c r="E12" s="38">
        <v>928.5</v>
      </c>
      <c r="F12" s="38"/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387395</v>
      </c>
      <c r="D13" s="35">
        <v>836.75</v>
      </c>
      <c r="E13" s="35"/>
      <c r="F13" s="36">
        <v>2004</v>
      </c>
      <c r="G13" s="35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301631</v>
      </c>
      <c r="D14" s="13">
        <v>91.5</v>
      </c>
      <c r="E14" s="12"/>
      <c r="F14" s="12">
        <v>1950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319434</v>
      </c>
      <c r="D16" s="35">
        <v>1647.25</v>
      </c>
      <c r="E16" s="35"/>
      <c r="F16" s="35"/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529181</v>
      </c>
      <c r="D18" s="15">
        <v>659.25</v>
      </c>
      <c r="E18" s="12"/>
      <c r="F18" s="12">
        <f>3204</f>
        <v>3204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267570</v>
      </c>
      <c r="D19" s="35"/>
      <c r="E19" s="37">
        <v>477.75</v>
      </c>
      <c r="F19" s="37"/>
      <c r="G19" s="12">
        <v>50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320439</v>
      </c>
      <c r="D20" s="35">
        <v>297</v>
      </c>
      <c r="E20" s="35"/>
      <c r="F20" s="43">
        <v>1938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2714256</v>
      </c>
      <c r="D43" s="31">
        <f>SUM(D10:D42)</f>
        <v>3547.5</v>
      </c>
      <c r="E43" s="18">
        <f>SUM(E10:E42)</f>
        <v>1406.25</v>
      </c>
      <c r="F43" s="18">
        <f>SUM(F10:F42)</f>
        <v>10452</v>
      </c>
      <c r="G43" s="18">
        <f>SUM(G10:G42)</f>
        <v>50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32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R279"/>
  <sheetViews>
    <sheetView zoomScaleNormal="100" zoomScaleSheetLayoutView="100" workbookViewId="0">
      <selection activeCell="C21" sqref="C21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313708.5</v>
      </c>
      <c r="D11" s="35">
        <v>624</v>
      </c>
      <c r="E11" s="34"/>
      <c r="F11" s="37">
        <v>1380</v>
      </c>
      <c r="G11" s="1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228774</v>
      </c>
      <c r="D12" s="13">
        <v>142</v>
      </c>
      <c r="E12" s="13"/>
      <c r="F12" s="38">
        <v>732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253739</v>
      </c>
      <c r="D13" s="35">
        <v>44</v>
      </c>
      <c r="E13" s="35"/>
      <c r="F13" s="36">
        <v>1944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12">
        <v>264640</v>
      </c>
      <c r="D14" s="13">
        <v>3553</v>
      </c>
      <c r="E14" s="12"/>
      <c r="F14" s="12">
        <v>1182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40" t="s">
        <v>18</v>
      </c>
      <c r="D15" s="41"/>
      <c r="E15" s="41"/>
      <c r="F15" s="41"/>
      <c r="G15" s="4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351657</v>
      </c>
      <c r="D16" s="35">
        <v>12</v>
      </c>
      <c r="E16" s="35"/>
      <c r="F16" s="35">
        <v>1200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502921</v>
      </c>
      <c r="D18" s="15">
        <v>197.5</v>
      </c>
      <c r="E18" s="12"/>
      <c r="F18" s="12">
        <v>3372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266386.58333333331</v>
      </c>
      <c r="D19" s="35"/>
      <c r="E19" s="37">
        <v>39.92</v>
      </c>
      <c r="F19" s="37">
        <v>648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268786</v>
      </c>
      <c r="D20" s="35">
        <v>1173.5</v>
      </c>
      <c r="E20" s="35"/>
      <c r="F20" s="43">
        <v>1776</v>
      </c>
      <c r="G20" s="43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2450612.0833333335</v>
      </c>
      <c r="D43" s="31">
        <f>SUM(D10:D42)</f>
        <v>5746</v>
      </c>
      <c r="E43" s="18">
        <f>SUM(E10:E42)</f>
        <v>39.92</v>
      </c>
      <c r="F43" s="18">
        <f>SUM(F10:F42)</f>
        <v>12234</v>
      </c>
      <c r="G43" s="18">
        <f>SUM(G10:G42)</f>
        <v>100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5:G15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R279"/>
  <sheetViews>
    <sheetView zoomScaleNormal="100" zoomScaleSheetLayoutView="100" workbookViewId="0">
      <selection activeCell="C21" sqref="C21"/>
    </sheetView>
  </sheetViews>
  <sheetFormatPr defaultRowHeight="15" x14ac:dyDescent="0.25"/>
  <cols>
    <col min="1" max="1" width="4.28515625" customWidth="1"/>
    <col min="2" max="2" width="29" bestFit="1" customWidth="1"/>
    <col min="3" max="3" width="14.85546875" customWidth="1"/>
    <col min="4" max="4" width="14.7109375" customWidth="1"/>
    <col min="5" max="5" width="15" style="17" customWidth="1"/>
    <col min="6" max="6" width="15" customWidth="1"/>
    <col min="7" max="7" width="14.7109375" customWidth="1"/>
    <col min="10" max="10" width="13.140625" bestFit="1" customWidth="1"/>
    <col min="13" max="13" width="13.28515625" bestFit="1" customWidth="1"/>
  </cols>
  <sheetData>
    <row r="1" spans="1:18" x14ac:dyDescent="0.25">
      <c r="E1"/>
    </row>
    <row r="2" spans="1:18" ht="16.5" x14ac:dyDescent="0.2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ht="15.75" x14ac:dyDescent="0.2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4" t="s">
        <v>3</v>
      </c>
      <c r="B9" s="10" t="s">
        <v>12</v>
      </c>
      <c r="C9" s="24" t="s">
        <v>0</v>
      </c>
      <c r="D9" s="25" t="s">
        <v>6</v>
      </c>
      <c r="E9" s="16" t="s">
        <v>4</v>
      </c>
      <c r="F9" s="16" t="s">
        <v>17</v>
      </c>
      <c r="G9" s="16" t="s">
        <v>5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1">
        <v>1</v>
      </c>
      <c r="B10" s="29" t="s">
        <v>1</v>
      </c>
      <c r="C10" s="40" t="s">
        <v>1</v>
      </c>
      <c r="D10" s="41"/>
      <c r="E10" s="41"/>
      <c r="F10" s="41"/>
      <c r="G10" s="42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1">
        <v>2</v>
      </c>
      <c r="B11" s="30">
        <v>46083</v>
      </c>
      <c r="C11" s="12">
        <v>259606</v>
      </c>
      <c r="D11" s="35"/>
      <c r="E11" s="37">
        <v>107</v>
      </c>
      <c r="F11" s="37">
        <v>690</v>
      </c>
      <c r="G11" s="37">
        <v>50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1">
        <v>3</v>
      </c>
      <c r="B12" s="30">
        <v>46084</v>
      </c>
      <c r="C12" s="12">
        <v>273403</v>
      </c>
      <c r="D12" s="13"/>
      <c r="E12" s="38">
        <v>1.5</v>
      </c>
      <c r="F12" s="38">
        <v>918</v>
      </c>
      <c r="G12" s="1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1">
        <v>4</v>
      </c>
      <c r="B13" s="30">
        <v>46085</v>
      </c>
      <c r="C13" s="36">
        <v>236285</v>
      </c>
      <c r="D13" s="35">
        <v>67.75</v>
      </c>
      <c r="E13" s="35"/>
      <c r="F13" s="36">
        <v>1158</v>
      </c>
      <c r="G13" s="36">
        <v>50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11">
        <v>5</v>
      </c>
      <c r="B14" s="30">
        <v>46086</v>
      </c>
      <c r="C14" s="40" t="s">
        <v>18</v>
      </c>
      <c r="D14" s="41"/>
      <c r="E14" s="41"/>
      <c r="F14" s="41"/>
      <c r="G14" s="42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11">
        <v>6</v>
      </c>
      <c r="B15" s="30">
        <v>46087</v>
      </c>
      <c r="C15" s="12">
        <v>363462</v>
      </c>
      <c r="D15" s="15"/>
      <c r="E15" s="12">
        <v>393</v>
      </c>
      <c r="F15" s="39">
        <f>2472</f>
        <v>2472</v>
      </c>
      <c r="G15" s="33">
        <v>50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1">
        <v>7</v>
      </c>
      <c r="B16" s="30">
        <v>46088</v>
      </c>
      <c r="C16" s="36">
        <v>412474</v>
      </c>
      <c r="D16" s="35"/>
      <c r="E16" s="36">
        <v>1346.5</v>
      </c>
      <c r="F16" s="36">
        <v>2736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1">
        <v>8</v>
      </c>
      <c r="B17" s="29" t="s">
        <v>1</v>
      </c>
      <c r="C17" s="40" t="s">
        <v>1</v>
      </c>
      <c r="D17" s="41"/>
      <c r="E17" s="41"/>
      <c r="F17" s="41"/>
      <c r="G17" s="42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1">
        <v>9</v>
      </c>
      <c r="B18" s="30">
        <v>46090</v>
      </c>
      <c r="C18" s="12">
        <v>344843</v>
      </c>
      <c r="D18" s="15">
        <v>220.75</v>
      </c>
      <c r="E18" s="12"/>
      <c r="F18" s="12">
        <v>300</v>
      </c>
      <c r="G18" s="1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1">
        <v>10</v>
      </c>
      <c r="B19" s="30">
        <v>46091</v>
      </c>
      <c r="C19" s="12">
        <v>281186</v>
      </c>
      <c r="D19" s="35">
        <v>149.75</v>
      </c>
      <c r="E19" s="37"/>
      <c r="F19" s="37">
        <v>1128</v>
      </c>
      <c r="G19" s="1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1">
        <v>11</v>
      </c>
      <c r="B20" s="30">
        <v>46092</v>
      </c>
      <c r="C20" s="36">
        <v>349583</v>
      </c>
      <c r="D20" s="35"/>
      <c r="E20" s="43">
        <v>112</v>
      </c>
      <c r="F20" s="43">
        <v>2388</v>
      </c>
      <c r="G20" s="43">
        <v>50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1">
        <v>12</v>
      </c>
      <c r="B21" s="30">
        <v>46093</v>
      </c>
      <c r="C21" s="12"/>
      <c r="D21" s="13"/>
      <c r="E21" s="12"/>
      <c r="F21" s="39"/>
      <c r="G21" s="34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1">
        <v>13</v>
      </c>
      <c r="B22" s="30">
        <v>46094</v>
      </c>
      <c r="C22" s="12"/>
      <c r="D22" s="13"/>
      <c r="E22" s="12"/>
      <c r="F22" s="39"/>
      <c r="G22" s="34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s="11">
        <v>14</v>
      </c>
      <c r="B23" s="30">
        <v>46095</v>
      </c>
      <c r="C23" s="36"/>
      <c r="D23" s="35"/>
      <c r="E23" s="35"/>
      <c r="F23" s="35"/>
      <c r="G23" s="35"/>
      <c r="H23" s="1"/>
      <c r="I23" s="1"/>
      <c r="J23" s="7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1">
        <v>15</v>
      </c>
      <c r="B24" s="29" t="s">
        <v>1</v>
      </c>
      <c r="C24" s="40" t="s">
        <v>1</v>
      </c>
      <c r="D24" s="41"/>
      <c r="E24" s="41"/>
      <c r="F24" s="41"/>
      <c r="G24" s="42"/>
      <c r="H24" s="1"/>
      <c r="I24" s="1"/>
      <c r="J24" s="7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1">
        <v>16</v>
      </c>
      <c r="B25" s="30">
        <v>46097</v>
      </c>
      <c r="C25" s="12"/>
      <c r="D25" s="15"/>
      <c r="E25" s="12"/>
      <c r="F25" s="12"/>
      <c r="G25" s="11"/>
      <c r="H25" s="1"/>
      <c r="I25" s="1"/>
      <c r="J25" s="7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1">
        <v>17</v>
      </c>
      <c r="B26" s="30">
        <v>46098</v>
      </c>
      <c r="C26" s="12"/>
      <c r="D26" s="35"/>
      <c r="E26" s="36"/>
      <c r="F26" s="36"/>
      <c r="G26" s="11"/>
      <c r="H26" s="1"/>
      <c r="I26" s="1"/>
      <c r="J26" s="19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1">
        <v>18</v>
      </c>
      <c r="B27" s="30">
        <v>46099</v>
      </c>
      <c r="C27" s="12"/>
      <c r="D27" s="35"/>
      <c r="E27" s="36"/>
      <c r="F27" s="36"/>
      <c r="G27" s="11"/>
      <c r="H27" s="1"/>
      <c r="I27" s="1"/>
      <c r="J27" s="7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1">
        <v>19</v>
      </c>
      <c r="B28" s="30">
        <v>46100</v>
      </c>
      <c r="C28" s="12"/>
      <c r="D28" s="13"/>
      <c r="E28" s="12"/>
      <c r="F28" s="39"/>
      <c r="G28" s="34"/>
      <c r="H28" s="1"/>
      <c r="I28" s="1"/>
      <c r="J28" s="7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1">
        <v>20</v>
      </c>
      <c r="B29" s="30">
        <v>46101</v>
      </c>
      <c r="C29" s="12"/>
      <c r="D29" s="15"/>
      <c r="E29" s="12"/>
      <c r="F29" s="39"/>
      <c r="G29" s="33"/>
      <c r="H29" s="1"/>
      <c r="I29" s="1"/>
      <c r="J29" s="7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s="11">
        <v>21</v>
      </c>
      <c r="B30" s="30">
        <v>46102</v>
      </c>
      <c r="C30" s="36"/>
      <c r="D30" s="35"/>
      <c r="E30" s="36"/>
      <c r="F30" s="36"/>
      <c r="G30" s="35"/>
      <c r="H30" s="1"/>
      <c r="I30" s="1"/>
      <c r="J30" s="7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1">
        <v>22</v>
      </c>
      <c r="B31" s="29" t="s">
        <v>1</v>
      </c>
      <c r="C31" s="40" t="s">
        <v>1</v>
      </c>
      <c r="D31" s="41"/>
      <c r="E31" s="41"/>
      <c r="F31" s="41"/>
      <c r="G31" s="42"/>
      <c r="H31" s="1"/>
      <c r="I31" s="1"/>
      <c r="J31" s="19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1">
        <v>23</v>
      </c>
      <c r="B32" s="30">
        <v>46104</v>
      </c>
      <c r="C32" s="12"/>
      <c r="D32" s="15"/>
      <c r="E32" s="12"/>
      <c r="F32" s="12"/>
      <c r="G32" s="11"/>
      <c r="H32" s="1"/>
      <c r="I32" s="1"/>
      <c r="J32" s="7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1">
        <v>24</v>
      </c>
      <c r="B33" s="30">
        <v>46105</v>
      </c>
      <c r="C33" s="12"/>
      <c r="D33" s="35"/>
      <c r="E33" s="34"/>
      <c r="F33" s="34"/>
      <c r="G33" s="11"/>
      <c r="H33" s="1"/>
      <c r="I33" s="1"/>
      <c r="J33" s="7"/>
      <c r="K33" s="1"/>
      <c r="L33" s="1"/>
      <c r="M33" s="7"/>
      <c r="N33" s="1"/>
      <c r="O33" s="1"/>
      <c r="P33" s="1"/>
      <c r="Q33" s="1"/>
      <c r="R33" s="1"/>
    </row>
    <row r="34" spans="1:18" x14ac:dyDescent="0.25">
      <c r="A34" s="11">
        <v>25</v>
      </c>
      <c r="B34" s="30">
        <v>46106</v>
      </c>
      <c r="C34" s="35"/>
      <c r="D34" s="35"/>
      <c r="E34" s="35"/>
      <c r="F34" s="35"/>
      <c r="G34" s="35"/>
      <c r="H34" s="1"/>
      <c r="I34" s="1"/>
      <c r="J34" s="7"/>
      <c r="K34" s="1"/>
      <c r="L34" s="1"/>
      <c r="M34" s="7"/>
      <c r="N34" s="1"/>
      <c r="O34" s="1"/>
      <c r="P34" s="1"/>
      <c r="Q34" s="1"/>
      <c r="R34" s="1"/>
    </row>
    <row r="35" spans="1:18" x14ac:dyDescent="0.25">
      <c r="A35" s="11">
        <v>26</v>
      </c>
      <c r="B35" s="30">
        <v>46107</v>
      </c>
      <c r="C35" s="12"/>
      <c r="D35" s="13"/>
      <c r="E35" s="12"/>
      <c r="F35" s="39"/>
      <c r="G35" s="34"/>
      <c r="H35" s="1"/>
      <c r="I35" s="1"/>
      <c r="J35" s="7"/>
      <c r="K35" s="1"/>
      <c r="L35" s="1"/>
      <c r="M35" s="7"/>
      <c r="N35" s="1"/>
      <c r="O35" s="1"/>
      <c r="P35" s="1"/>
      <c r="Q35" s="1"/>
      <c r="R35" s="1"/>
    </row>
    <row r="36" spans="1:18" x14ac:dyDescent="0.25">
      <c r="A36" s="11">
        <v>27</v>
      </c>
      <c r="B36" s="30">
        <v>46108</v>
      </c>
      <c r="C36" s="12"/>
      <c r="D36" s="13"/>
      <c r="E36" s="12"/>
      <c r="F36" s="39"/>
      <c r="G36" s="34"/>
      <c r="H36" s="1"/>
      <c r="I36" s="1"/>
      <c r="J36" s="7"/>
      <c r="K36" s="1"/>
      <c r="L36" s="1"/>
      <c r="M36" s="7"/>
      <c r="N36" s="1"/>
      <c r="O36" s="1"/>
      <c r="P36" s="1"/>
      <c r="Q36" s="1"/>
      <c r="R36" s="1"/>
    </row>
    <row r="37" spans="1:18" x14ac:dyDescent="0.25">
      <c r="A37" s="11">
        <v>28</v>
      </c>
      <c r="B37" s="30">
        <v>46109</v>
      </c>
      <c r="C37" s="26"/>
      <c r="D37" s="15"/>
      <c r="E37" s="12"/>
      <c r="F37" s="39"/>
      <c r="G37" s="33"/>
      <c r="H37" s="1"/>
      <c r="I37" s="1"/>
      <c r="J37" s="8"/>
      <c r="K37" s="1"/>
      <c r="L37" s="1"/>
      <c r="M37" s="7"/>
      <c r="N37" s="1"/>
      <c r="O37" s="1"/>
      <c r="P37" s="1"/>
      <c r="Q37" s="1"/>
      <c r="R37" s="1"/>
    </row>
    <row r="38" spans="1:18" x14ac:dyDescent="0.25">
      <c r="A38" s="11">
        <v>29</v>
      </c>
      <c r="B38" s="29" t="s">
        <v>1</v>
      </c>
      <c r="C38" s="40" t="s">
        <v>1</v>
      </c>
      <c r="D38" s="41"/>
      <c r="E38" s="41"/>
      <c r="F38" s="41"/>
      <c r="G38" s="42"/>
      <c r="H38" s="1"/>
      <c r="I38" s="1"/>
      <c r="J38" s="7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s="11">
        <v>30</v>
      </c>
      <c r="B39" s="30">
        <v>46111</v>
      </c>
      <c r="C39" s="12"/>
      <c r="D39" s="13"/>
      <c r="E39" s="12"/>
      <c r="F39" s="12"/>
      <c r="G39" s="11"/>
      <c r="H39" s="1"/>
      <c r="I39" s="1"/>
      <c r="J39" s="7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1">
        <v>29</v>
      </c>
      <c r="B40" s="30">
        <v>46112</v>
      </c>
      <c r="C40" s="12"/>
      <c r="D40" s="15"/>
      <c r="E40" s="12"/>
      <c r="F40" s="12"/>
      <c r="G40" s="11"/>
      <c r="H40" s="1"/>
      <c r="I40" s="1"/>
      <c r="J40" s="7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1">
        <v>30</v>
      </c>
      <c r="B41" s="29"/>
      <c r="C41" s="12"/>
      <c r="D41" s="35"/>
      <c r="E41" s="35"/>
      <c r="F41" s="35"/>
      <c r="G41" s="11"/>
      <c r="H41" s="1"/>
      <c r="I41" s="1"/>
      <c r="J41" s="7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23">
        <v>31</v>
      </c>
      <c r="B42" s="30"/>
      <c r="C42" s="12"/>
      <c r="D42" s="13"/>
      <c r="E42" s="12"/>
      <c r="F42" s="12"/>
      <c r="G42" s="11"/>
      <c r="H42" s="1"/>
      <c r="I42" s="1"/>
      <c r="J42" s="7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28" t="s">
        <v>2</v>
      </c>
      <c r="B43" s="30"/>
      <c r="C43" s="18">
        <f>SUM(C10:C42)</f>
        <v>2520842</v>
      </c>
      <c r="D43" s="31">
        <f>SUM(D10:D42)</f>
        <v>438.25</v>
      </c>
      <c r="E43" s="18">
        <f>SUM(E10:E42)</f>
        <v>1960</v>
      </c>
      <c r="F43" s="18">
        <f>SUM(F10:F42)</f>
        <v>11790</v>
      </c>
      <c r="G43" s="18">
        <f>SUM(G10:G42)</f>
        <v>200</v>
      </c>
      <c r="H43" s="1"/>
      <c r="I43" s="1"/>
      <c r="J43" s="9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/>
      <c r="B44" s="1"/>
      <c r="C44" s="22"/>
      <c r="D44" s="27"/>
      <c r="E44" s="9"/>
      <c r="F44" s="9"/>
      <c r="G44" s="1"/>
      <c r="H44" s="1"/>
      <c r="I44" s="1"/>
      <c r="J44" s="19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/>
      <c r="B45" s="1"/>
      <c r="C45" s="1"/>
      <c r="D45" s="1"/>
      <c r="E45" s="1"/>
      <c r="F45" s="1"/>
      <c r="G45" s="1"/>
      <c r="H45" s="1"/>
      <c r="I45" s="1"/>
      <c r="J45" s="7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/>
      <c r="B46" s="1"/>
      <c r="C46" s="1"/>
      <c r="D46" s="1"/>
      <c r="E46" s="1"/>
      <c r="F46" s="1"/>
      <c r="G46" s="1"/>
      <c r="H46" s="1"/>
      <c r="I46" s="1"/>
      <c r="J46" s="7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/>
      <c r="B47" s="1"/>
      <c r="C47" s="1"/>
      <c r="D47" s="1"/>
      <c r="E47" s="1"/>
      <c r="F47" s="1"/>
      <c r="G47" s="1"/>
      <c r="H47" s="1"/>
      <c r="I47" s="1"/>
      <c r="J47" s="7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A48" s="1"/>
      <c r="B48" s="1"/>
      <c r="C48" s="1"/>
      <c r="D48" s="1"/>
      <c r="E48" s="1"/>
      <c r="F48" s="1"/>
      <c r="G48" s="1"/>
      <c r="H48" s="1"/>
      <c r="I48" s="1"/>
      <c r="J48" s="7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/>
      <c r="B49" s="1"/>
      <c r="C49" s="1"/>
      <c r="D49" s="1"/>
      <c r="E49" s="1"/>
      <c r="F49" s="1"/>
      <c r="G49" s="1"/>
      <c r="H49" s="1"/>
      <c r="I49" s="1"/>
      <c r="J49" s="7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1:1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1:1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1:1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1:1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1:1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1:1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1:1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1:1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1:1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1:1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1:1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1:1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1:1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1:1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1:1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1:1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1:1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1:1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1:1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1:1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1:1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1:1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1:1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1:1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1:1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1:1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1:1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1:1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1:1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1:1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1:1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1:1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1:1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spans="1:1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spans="1:1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spans="1:1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spans="1:1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spans="1:1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spans="1:1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spans="1:1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spans="1:1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spans="1:1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spans="1:1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spans="1:1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spans="1:1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spans="1:1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spans="1:1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spans="1:1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spans="1:1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spans="1:1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spans="1:1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spans="1:1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spans="1:1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spans="1:1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spans="1:1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spans="1:1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spans="1:1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spans="1:1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  <row r="139" spans="1:1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</row>
    <row r="140" spans="1:1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</row>
    <row r="141" spans="1:1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</row>
    <row r="142" spans="1:1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</row>
    <row r="143" spans="1:1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</row>
    <row r="144" spans="1:1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</row>
    <row r="145" spans="1:1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</row>
    <row r="146" spans="1:1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</row>
    <row r="147" spans="1:1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</row>
    <row r="148" spans="1:1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</row>
    <row r="149" spans="1:1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</row>
    <row r="150" spans="1:1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</row>
    <row r="151" spans="1:1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</row>
    <row r="152" spans="1:1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</row>
    <row r="153" spans="1:1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</row>
    <row r="154" spans="1:1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</row>
    <row r="155" spans="1:1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</row>
    <row r="156" spans="1:1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</row>
    <row r="157" spans="1:1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</row>
    <row r="158" spans="1:1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</row>
    <row r="159" spans="1:1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</row>
    <row r="160" spans="1:1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</row>
    <row r="161" spans="1:1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</row>
    <row r="162" spans="1:1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</row>
    <row r="163" spans="1:1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</row>
    <row r="164" spans="1:1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</row>
    <row r="165" spans="1:1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</row>
    <row r="166" spans="1:1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</row>
    <row r="167" spans="1:1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</row>
    <row r="168" spans="1:1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</row>
    <row r="169" spans="1:1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</row>
    <row r="170" spans="1:1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</row>
    <row r="171" spans="1:1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</row>
    <row r="172" spans="1:1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</row>
    <row r="173" spans="1:1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</row>
    <row r="174" spans="1:1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</row>
    <row r="175" spans="1:1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</row>
    <row r="176" spans="1:1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</row>
    <row r="177" spans="1:1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</row>
    <row r="178" spans="1:1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</row>
    <row r="179" spans="1:1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</row>
    <row r="180" spans="1:1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</row>
    <row r="181" spans="1:1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</row>
    <row r="182" spans="1:1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</row>
    <row r="183" spans="1:1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</row>
    <row r="184" spans="1:1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</row>
    <row r="185" spans="1:1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</row>
    <row r="186" spans="1:1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</row>
    <row r="187" spans="1:1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</row>
    <row r="188" spans="1:1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</row>
    <row r="189" spans="1:1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</row>
    <row r="190" spans="1:1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</row>
    <row r="191" spans="1:1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</row>
    <row r="192" spans="1:1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</row>
    <row r="193" spans="1:1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</row>
    <row r="194" spans="1:1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</row>
    <row r="195" spans="1:1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</row>
    <row r="196" spans="1:18" x14ac:dyDescent="0.25">
      <c r="E196"/>
    </row>
    <row r="197" spans="1:18" x14ac:dyDescent="0.25">
      <c r="E197"/>
    </row>
    <row r="198" spans="1:18" x14ac:dyDescent="0.25">
      <c r="E198"/>
    </row>
    <row r="199" spans="1:18" x14ac:dyDescent="0.25">
      <c r="E199"/>
    </row>
    <row r="200" spans="1:18" x14ac:dyDescent="0.25">
      <c r="E200"/>
    </row>
    <row r="201" spans="1:18" x14ac:dyDescent="0.25">
      <c r="E201"/>
    </row>
    <row r="202" spans="1:18" x14ac:dyDescent="0.25">
      <c r="E202"/>
    </row>
    <row r="203" spans="1:18" x14ac:dyDescent="0.25">
      <c r="E203"/>
    </row>
    <row r="204" spans="1:18" x14ac:dyDescent="0.25">
      <c r="E204"/>
    </row>
    <row r="205" spans="1:18" x14ac:dyDescent="0.25">
      <c r="E205"/>
    </row>
    <row r="206" spans="1:18" x14ac:dyDescent="0.25">
      <c r="E206"/>
    </row>
    <row r="207" spans="1:18" x14ac:dyDescent="0.25">
      <c r="E207"/>
    </row>
    <row r="208" spans="1:18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</sheetData>
  <mergeCells count="6">
    <mergeCell ref="C38:G38"/>
    <mergeCell ref="C10:G10"/>
    <mergeCell ref="C17:G17"/>
    <mergeCell ref="C24:G24"/>
    <mergeCell ref="C31:G31"/>
    <mergeCell ref="C14:G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MARCH, SRS R1</vt:lpstr>
      <vt:lpstr>MARCH, SRS R2</vt:lpstr>
      <vt:lpstr>MARCH, SRS R3</vt:lpstr>
      <vt:lpstr>,</vt:lpstr>
      <vt:lpstr>'MARCH, SRS R1'!Print_Area</vt:lpstr>
      <vt:lpstr>'MARCH, SRS R2'!Print_Area</vt:lpstr>
      <vt:lpstr>'MARCH,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Hu4fxw</cp:lastModifiedBy>
  <cp:lastPrinted>2024-09-23T01:47:46Z</cp:lastPrinted>
  <dcterms:created xsi:type="dcterms:W3CDTF">2024-09-02T06:49:39Z</dcterms:created>
  <dcterms:modified xsi:type="dcterms:W3CDTF">2026-03-11T13:15:32Z</dcterms:modified>
</cp:coreProperties>
</file>