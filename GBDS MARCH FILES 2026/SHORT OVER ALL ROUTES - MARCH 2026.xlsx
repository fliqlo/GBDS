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878A510-668E-4A61-9DCB-FBE3BD61C79D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4" i="13" l="1"/>
  <c r="F27" i="13" l="1"/>
  <c r="F23" i="6" l="1"/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<sst xmlns="http://schemas.openxmlformats.org/spreadsheetml/2006/main" count="82" uniqueCount="18">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</sst>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14" fillId="0" borderId="1" xfId="1" applyFont="1" applyBorder="1"/>
    <xf numFmtId="164" fontId="2" fillId="0" borderId="6" xfId="1" applyFont="1" applyBorder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topLeftCell="A10" zoomScaleNormal="100" zoomScaleSheetLayoutView="100" workbookViewId="0">
      <selection activeCell="F40" sqref="F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265882</v>
      </c>
      <c r="D11" s="34">
        <v>15.75</v>
      </c>
      <c r="E11" s="33"/>
      <c r="F11" s="36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322724</v>
      </c>
      <c r="D12" s="13"/>
      <c r="E12" s="37">
        <v>928.5</v>
      </c>
      <c r="F12" s="37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387395</v>
      </c>
      <c r="D13" s="34">
        <v>836.75</v>
      </c>
      <c r="E13" s="34"/>
      <c r="F13" s="35">
        <v>2004</v>
      </c>
      <c r="G13" s="3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12">
        <v>301631</v>
      </c>
      <c r="D14" s="13">
        <v>91.5</v>
      </c>
      <c r="E14" s="12"/>
      <c r="F14" s="12">
        <v>1950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40" t="s">
        <v>17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319434</v>
      </c>
      <c r="D16" s="34">
        <v>1647.25</v>
      </c>
      <c r="E16" s="34"/>
      <c r="F16" s="34"/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267570</v>
      </c>
      <c r="D19" s="34"/>
      <c r="E19" s="36">
        <v>477.75</v>
      </c>
      <c r="F19" s="36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320439</v>
      </c>
      <c r="D20" s="34">
        <v>297</v>
      </c>
      <c r="E20" s="34"/>
      <c r="F20" s="39">
        <v>1938</v>
      </c>
      <c r="G20" s="34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335528</v>
      </c>
      <c r="D21" s="13">
        <v>178.5</v>
      </c>
      <c r="E21" s="12"/>
      <c r="F21" s="38">
        <v>2268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561365</v>
      </c>
      <c r="D23" s="34"/>
      <c r="E23" s="39">
        <v>91.5</v>
      </c>
      <c r="F23" s="39">
        <f>1998</f>
        <v>1998</v>
      </c>
      <c r="G23" s="39">
        <v>50</v>
      </c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40" t="s">
        <v>17</v>
      </c>
      <c r="D25" s="41"/>
      <c r="E25" s="41"/>
      <c r="F25" s="41"/>
      <c r="G25" s="42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793392</v>
      </c>
      <c r="D26" s="34">
        <v>874.75</v>
      </c>
      <c r="E26" s="35"/>
      <c r="F26" s="35">
        <v>5466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401678</v>
      </c>
      <c r="D27" s="34">
        <v>560.5</v>
      </c>
      <c r="E27" s="35"/>
      <c r="F27" s="35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449433</v>
      </c>
      <c r="D28" s="13">
        <v>83</v>
      </c>
      <c r="E28" s="12"/>
      <c r="F28" s="38">
        <v>1944</v>
      </c>
      <c r="G28" s="32">
        <v>50</v>
      </c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343569</v>
      </c>
      <c r="D29" s="15">
        <v>3750</v>
      </c>
      <c r="E29" s="12"/>
      <c r="F29" s="38"/>
      <c r="G29" s="32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441683</v>
      </c>
      <c r="D32" s="15">
        <v>479.25</v>
      </c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356654</v>
      </c>
      <c r="D33" s="34"/>
      <c r="E33" s="33">
        <v>164.5</v>
      </c>
      <c r="F33" s="32">
        <v>2592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40" t="s">
        <v>17</v>
      </c>
      <c r="D34" s="41"/>
      <c r="E34" s="41"/>
      <c r="F34" s="41"/>
      <c r="G34" s="42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12">
        <v>441829</v>
      </c>
      <c r="D35" s="13"/>
      <c r="E35" s="12">
        <v>53</v>
      </c>
      <c r="F35" s="38">
        <v>2886</v>
      </c>
      <c r="G35" s="36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236341</v>
      </c>
      <c r="D36" s="13">
        <v>1490.75</v>
      </c>
      <c r="E36" s="12"/>
      <c r="F36" s="38"/>
      <c r="G36" s="32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12">
        <v>712160</v>
      </c>
      <c r="D39" s="13"/>
      <c r="E39" s="12">
        <v>1676.5</v>
      </c>
      <c r="F39" s="12">
        <v>5202</v>
      </c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7787888</v>
      </c>
      <c r="D43" s="30">
        <f>SUM(D10:D42)</f>
        <v>10964.25</v>
      </c>
      <c r="E43" s="18">
        <f>SUM(E10:E42)</f>
        <v>3391.75</v>
      </c>
      <c r="F43" s="18">
        <f>SUM(F10:F42)</f>
        <v>32808</v>
      </c>
      <c r="G43" s="18">
        <f>SUM(G10:G42)</f>
        <v>250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3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8:G38"/>
    <mergeCell ref="C10:G10"/>
    <mergeCell ref="C17:G17"/>
    <mergeCell ref="C24:G24"/>
    <mergeCell ref="C31:G31"/>
    <mergeCell ref="C15:G15"/>
    <mergeCell ref="C22:G22"/>
    <mergeCell ref="C25:G25"/>
    <mergeCell ref="C30:G30"/>
    <mergeCell ref="C34:G34"/>
    <mergeCell ref="C37:G3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topLeftCell="A8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313708.5</v>
      </c>
      <c r="D11" s="34">
        <v>624</v>
      </c>
      <c r="E11" s="33"/>
      <c r="F11" s="36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228774</v>
      </c>
      <c r="D12" s="13">
        <v>142</v>
      </c>
      <c r="E12" s="13"/>
      <c r="F12" s="37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253739</v>
      </c>
      <c r="D13" s="34">
        <v>44</v>
      </c>
      <c r="E13" s="34"/>
      <c r="F13" s="35">
        <v>1944</v>
      </c>
      <c r="G13" s="35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12">
        <v>264640</v>
      </c>
      <c r="D14" s="13">
        <v>3553</v>
      </c>
      <c r="E14" s="12"/>
      <c r="F14" s="12">
        <v>1182</v>
      </c>
      <c r="G14" s="3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40" t="s">
        <v>17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351657</v>
      </c>
      <c r="D16" s="34">
        <v>12</v>
      </c>
      <c r="E16" s="34"/>
      <c r="F16" s="39">
        <v>1200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266386.58333333331</v>
      </c>
      <c r="D19" s="34"/>
      <c r="E19" s="36">
        <v>39.92</v>
      </c>
      <c r="F19" s="36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268786</v>
      </c>
      <c r="D20" s="34">
        <v>1173.5</v>
      </c>
      <c r="E20" s="34"/>
      <c r="F20" s="39">
        <v>1776</v>
      </c>
      <c r="G20" s="39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383159</v>
      </c>
      <c r="D21" s="13"/>
      <c r="E21" s="12">
        <v>580.5</v>
      </c>
      <c r="F21" s="38">
        <v>2160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279612</v>
      </c>
      <c r="D23" s="34"/>
      <c r="E23" s="39">
        <v>148.5</v>
      </c>
      <c r="F23" s="34"/>
      <c r="G23" s="34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12">
        <v>451583</v>
      </c>
      <c r="D25" s="15">
        <v>158.5</v>
      </c>
      <c r="E25" s="12"/>
      <c r="F25" s="12">
        <v>2982</v>
      </c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327138</v>
      </c>
      <c r="D26" s="34">
        <v>1542</v>
      </c>
      <c r="E26" s="35"/>
      <c r="F26" s="35">
        <v>2496</v>
      </c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309448</v>
      </c>
      <c r="D27" s="34">
        <v>278.75</v>
      </c>
      <c r="E27" s="35"/>
      <c r="F27" s="35">
        <v>1944</v>
      </c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267889</v>
      </c>
      <c r="D28" s="13"/>
      <c r="E28" s="12">
        <v>22.25</v>
      </c>
      <c r="F28" s="38">
        <v>624</v>
      </c>
      <c r="G28" s="33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348180</v>
      </c>
      <c r="D29" s="15"/>
      <c r="E29" s="12">
        <v>352.75</v>
      </c>
      <c r="F29" s="38">
        <v>648</v>
      </c>
      <c r="G29" s="32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356198</v>
      </c>
      <c r="D32" s="15"/>
      <c r="E32" s="12">
        <v>245</v>
      </c>
      <c r="F32" s="12">
        <v>2598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291721</v>
      </c>
      <c r="D33" s="34">
        <v>375.25</v>
      </c>
      <c r="E33" s="33"/>
      <c r="F33" s="32">
        <v>2064</v>
      </c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39">
        <v>232411</v>
      </c>
      <c r="D34" s="34">
        <v>340.75</v>
      </c>
      <c r="E34" s="34"/>
      <c r="F34" s="39">
        <v>1296</v>
      </c>
      <c r="G34" s="34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12">
        <v>255036</v>
      </c>
      <c r="D35" s="13">
        <v>682.5</v>
      </c>
      <c r="E35" s="12"/>
      <c r="F35" s="38">
        <v>1296</v>
      </c>
      <c r="G35" s="33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377865</v>
      </c>
      <c r="D36" s="13">
        <v>76</v>
      </c>
      <c r="E36" s="12"/>
      <c r="F36" s="38">
        <v>1980</v>
      </c>
      <c r="G36" s="33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40" t="s">
        <v>17</v>
      </c>
      <c r="D39" s="41"/>
      <c r="E39" s="41"/>
      <c r="F39" s="41"/>
      <c r="G39" s="42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6330852.083333334</v>
      </c>
      <c r="D43" s="30">
        <f>SUM(D10:D42)</f>
        <v>9199.75</v>
      </c>
      <c r="E43" s="18">
        <f>SUM(E10:E42)</f>
        <v>1388.92</v>
      </c>
      <c r="F43" s="18">
        <f>SUM(F10:F42)</f>
        <v>32322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0">
    <mergeCell ref="C39:G39"/>
    <mergeCell ref="C38:G38"/>
    <mergeCell ref="C10:G10"/>
    <mergeCell ref="C17:G17"/>
    <mergeCell ref="C24:G24"/>
    <mergeCell ref="C31:G31"/>
    <mergeCell ref="C15:G15"/>
    <mergeCell ref="C22:G22"/>
    <mergeCell ref="C30:G30"/>
    <mergeCell ref="C37:G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topLeftCell="A8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5" customWidth="1"/>
    <col min="7" max="7" width="14.75" customWidth="1"/>
    <col min="10" max="10" width="13.125" bestFit="1" customWidth="1"/>
    <col min="13" max="13" width="13.25" bestFit="1" customWidth="1"/>
  </cols>
  <sheetData>
    <row r="1" spans="1:18">
      <c r="E1"/>
    </row>
    <row r="2" spans="1:18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16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15">
      <c r="A10" s="11">
        <v>1</v>
      </c>
      <c r="B10" s="28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15">
      <c r="A11" s="11">
        <v>2</v>
      </c>
      <c r="B11" s="29">
        <v>46083</v>
      </c>
      <c r="C11" s="12">
        <v>259606</v>
      </c>
      <c r="D11" s="34"/>
      <c r="E11" s="36">
        <v>107</v>
      </c>
      <c r="F11" s="36">
        <v>690</v>
      </c>
      <c r="G11" s="36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15">
      <c r="A12" s="11">
        <v>3</v>
      </c>
      <c r="B12" s="29">
        <v>46084</v>
      </c>
      <c r="C12" s="12">
        <v>273403</v>
      </c>
      <c r="D12" s="13"/>
      <c r="E12" s="37">
        <v>1.5</v>
      </c>
      <c r="F12" s="37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5">
      <c r="A13" s="11">
        <v>4</v>
      </c>
      <c r="B13" s="29">
        <v>46085</v>
      </c>
      <c r="C13" s="35">
        <v>236285</v>
      </c>
      <c r="D13" s="34">
        <v>67.75</v>
      </c>
      <c r="E13" s="34"/>
      <c r="F13" s="35">
        <v>1158</v>
      </c>
      <c r="G13" s="35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5">
      <c r="A14" s="11">
        <v>5</v>
      </c>
      <c r="B14" s="29">
        <v>46086</v>
      </c>
      <c r="C14" s="40" t="s">
        <v>17</v>
      </c>
      <c r="D14" s="41"/>
      <c r="E14" s="41"/>
      <c r="F14" s="41"/>
      <c r="G14" s="4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5">
      <c r="A15" s="11">
        <v>6</v>
      </c>
      <c r="B15" s="29">
        <v>46087</v>
      </c>
      <c r="C15" s="12">
        <v>363462</v>
      </c>
      <c r="D15" s="15"/>
      <c r="E15" s="12">
        <v>393</v>
      </c>
      <c r="F15" s="38">
        <f>2472</f>
        <v>2472</v>
      </c>
      <c r="G15" s="32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5">
      <c r="A16" s="11">
        <v>7</v>
      </c>
      <c r="B16" s="29">
        <v>46088</v>
      </c>
      <c r="C16" s="35">
        <v>412474</v>
      </c>
      <c r="D16" s="34"/>
      <c r="E16" s="35">
        <v>1346.5</v>
      </c>
      <c r="F16" s="35">
        <v>2736</v>
      </c>
      <c r="G16" s="3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5">
      <c r="A17" s="11">
        <v>8</v>
      </c>
      <c r="B17" s="28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5">
      <c r="A18" s="11">
        <v>9</v>
      </c>
      <c r="B18" s="29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5">
      <c r="A19" s="11">
        <v>10</v>
      </c>
      <c r="B19" s="29">
        <v>46091</v>
      </c>
      <c r="C19" s="12">
        <v>281186</v>
      </c>
      <c r="D19" s="34">
        <v>149.75</v>
      </c>
      <c r="E19" s="36"/>
      <c r="F19" s="36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5">
      <c r="A20" s="11">
        <v>11</v>
      </c>
      <c r="B20" s="29">
        <v>46092</v>
      </c>
      <c r="C20" s="35">
        <v>349583</v>
      </c>
      <c r="D20" s="34"/>
      <c r="E20" s="39">
        <v>112</v>
      </c>
      <c r="F20" s="39">
        <v>2388</v>
      </c>
      <c r="G20" s="39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5">
      <c r="A21" s="11">
        <v>12</v>
      </c>
      <c r="B21" s="29">
        <v>46093</v>
      </c>
      <c r="C21" s="12">
        <v>320630</v>
      </c>
      <c r="D21" s="13">
        <v>437.25</v>
      </c>
      <c r="E21" s="12"/>
      <c r="F21" s="38">
        <v>1890</v>
      </c>
      <c r="G21" s="33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5">
      <c r="A22" s="11">
        <v>13</v>
      </c>
      <c r="B22" s="29">
        <v>46094</v>
      </c>
      <c r="C22" s="40" t="s">
        <v>17</v>
      </c>
      <c r="D22" s="41"/>
      <c r="E22" s="41"/>
      <c r="F22" s="41"/>
      <c r="G22" s="42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5">
      <c r="A23" s="11">
        <v>14</v>
      </c>
      <c r="B23" s="29">
        <v>46095</v>
      </c>
      <c r="C23" s="35">
        <v>267902</v>
      </c>
      <c r="D23" s="34"/>
      <c r="E23" s="39">
        <v>193.25</v>
      </c>
      <c r="F23" s="39">
        <v>1266</v>
      </c>
      <c r="G23" s="34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ht="15">
      <c r="A24" s="11">
        <v>15</v>
      </c>
      <c r="B24" s="28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ht="15">
      <c r="A25" s="11">
        <v>16</v>
      </c>
      <c r="B25" s="29">
        <v>46097</v>
      </c>
      <c r="C25" s="12">
        <v>415764</v>
      </c>
      <c r="D25" s="15"/>
      <c r="E25" s="12">
        <v>691</v>
      </c>
      <c r="F25" s="12">
        <v>1662</v>
      </c>
      <c r="G25" s="39">
        <v>50</v>
      </c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ht="15">
      <c r="A26" s="11">
        <v>17</v>
      </c>
      <c r="B26" s="29">
        <v>46098</v>
      </c>
      <c r="C26" s="12">
        <v>454572</v>
      </c>
      <c r="D26" s="34">
        <v>242.75</v>
      </c>
      <c r="E26" s="35"/>
      <c r="F26" s="35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ht="15">
      <c r="A27" s="11">
        <v>18</v>
      </c>
      <c r="B27" s="29">
        <v>46099</v>
      </c>
      <c r="C27" s="12">
        <v>311662</v>
      </c>
      <c r="D27" s="34"/>
      <c r="E27" s="35">
        <v>261</v>
      </c>
      <c r="F27" s="35">
        <f>1206</f>
        <v>1206</v>
      </c>
      <c r="G27" s="39">
        <v>70</v>
      </c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ht="15">
      <c r="A28" s="11">
        <v>19</v>
      </c>
      <c r="B28" s="29">
        <v>46100</v>
      </c>
      <c r="C28" s="12">
        <v>432743</v>
      </c>
      <c r="D28" s="13">
        <v>422</v>
      </c>
      <c r="E28" s="12"/>
      <c r="F28" s="38">
        <v>3228</v>
      </c>
      <c r="G28" s="33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ht="15">
      <c r="A29" s="11">
        <v>20</v>
      </c>
      <c r="B29" s="29">
        <v>46101</v>
      </c>
      <c r="C29" s="12">
        <v>313665</v>
      </c>
      <c r="D29" s="15">
        <v>95</v>
      </c>
      <c r="E29" s="12"/>
      <c r="F29" s="38">
        <v>2052</v>
      </c>
      <c r="G29" s="32">
        <v>50</v>
      </c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ht="15">
      <c r="A30" s="11">
        <v>21</v>
      </c>
      <c r="B30" s="29">
        <v>46102</v>
      </c>
      <c r="C30" s="40" t="s">
        <v>17</v>
      </c>
      <c r="D30" s="41"/>
      <c r="E30" s="41"/>
      <c r="F30" s="41"/>
      <c r="G30" s="42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ht="15">
      <c r="A31" s="11">
        <v>22</v>
      </c>
      <c r="B31" s="28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ht="15">
      <c r="A32" s="11">
        <v>23</v>
      </c>
      <c r="B32" s="29">
        <v>46104</v>
      </c>
      <c r="C32" s="12">
        <v>376448</v>
      </c>
      <c r="D32" s="15">
        <v>79.5</v>
      </c>
      <c r="E32" s="12"/>
      <c r="F32" s="12">
        <v>2304</v>
      </c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ht="15">
      <c r="A33" s="11">
        <v>24</v>
      </c>
      <c r="B33" s="29">
        <v>46105</v>
      </c>
      <c r="C33" s="12">
        <v>362847</v>
      </c>
      <c r="D33" s="34">
        <v>103.25</v>
      </c>
      <c r="E33" s="33"/>
      <c r="F33" s="33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ht="15">
      <c r="A34" s="11">
        <v>25</v>
      </c>
      <c r="B34" s="29">
        <v>46106</v>
      </c>
      <c r="C34" s="39">
        <v>429981</v>
      </c>
      <c r="D34" s="34"/>
      <c r="E34" s="39">
        <v>36.75</v>
      </c>
      <c r="F34" s="39">
        <f>1620+10*6</f>
        <v>1680</v>
      </c>
      <c r="G34" s="39">
        <v>50</v>
      </c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ht="15">
      <c r="A35" s="11">
        <v>26</v>
      </c>
      <c r="B35" s="29">
        <v>46107</v>
      </c>
      <c r="C35" s="40" t="s">
        <v>17</v>
      </c>
      <c r="D35" s="41"/>
      <c r="E35" s="41"/>
      <c r="F35" s="41"/>
      <c r="G35" s="42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ht="15">
      <c r="A36" s="11">
        <v>27</v>
      </c>
      <c r="B36" s="29">
        <v>46108</v>
      </c>
      <c r="C36" s="12">
        <v>488484</v>
      </c>
      <c r="D36" s="13"/>
      <c r="E36" s="12">
        <v>107.5</v>
      </c>
      <c r="F36" s="38">
        <v>2568</v>
      </c>
      <c r="G36" s="32">
        <v>50</v>
      </c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ht="15">
      <c r="A37" s="11">
        <v>28</v>
      </c>
      <c r="B37" s="29">
        <v>46109</v>
      </c>
      <c r="C37" s="40" t="s">
        <v>17</v>
      </c>
      <c r="D37" s="41"/>
      <c r="E37" s="41"/>
      <c r="F37" s="41"/>
      <c r="G37" s="42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ht="15">
      <c r="A38" s="11">
        <v>29</v>
      </c>
      <c r="B38" s="28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ht="15">
      <c r="A39" s="11">
        <v>30</v>
      </c>
      <c r="B39" s="29">
        <v>46111</v>
      </c>
      <c r="C39" s="12">
        <v>384352</v>
      </c>
      <c r="D39" s="13"/>
      <c r="E39" s="12">
        <v>148.25</v>
      </c>
      <c r="F39" s="12">
        <v>2316</v>
      </c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ht="15">
      <c r="A40" s="11">
        <v>29</v>
      </c>
      <c r="B40" s="29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ht="15">
      <c r="A41" s="11">
        <v>30</v>
      </c>
      <c r="B41" s="28"/>
      <c r="C41" s="12"/>
      <c r="D41" s="34"/>
      <c r="E41" s="34"/>
      <c r="F41" s="34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ht="15">
      <c r="A42" s="23">
        <v>31</v>
      </c>
      <c r="B42" s="29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ht="15">
      <c r="A43" s="27" t="s">
        <v>2</v>
      </c>
      <c r="B43" s="29"/>
      <c r="C43" s="18">
        <f>SUM(C10:C42)</f>
        <v>7079892</v>
      </c>
      <c r="D43" s="30">
        <f>SUM(D10:D42)</f>
        <v>1818</v>
      </c>
      <c r="E43" s="18">
        <f>SUM(E10:E42)</f>
        <v>3397.75</v>
      </c>
      <c r="F43" s="18">
        <f>SUM(F10:F42)</f>
        <v>31962</v>
      </c>
      <c r="G43" s="18">
        <f>SUM(G10:G42)</f>
        <v>470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ht="15">
      <c r="A44" s="1"/>
      <c r="B44" s="1"/>
      <c r="C44" s="22"/>
      <c r="D44" s="26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ht="1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ht="1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ht="1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ht="1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ht="1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>
      <c r="E196"/>
    </row>
    <row r="197" spans="1:18">
      <c r="E197"/>
    </row>
    <row r="198" spans="1:18">
      <c r="E198"/>
    </row>
    <row r="199" spans="1:18">
      <c r="E199"/>
    </row>
    <row r="200" spans="1:18">
      <c r="E200"/>
    </row>
    <row r="201" spans="1:18">
      <c r="E201"/>
    </row>
    <row r="202" spans="1:18">
      <c r="E202"/>
    </row>
    <row r="203" spans="1:18">
      <c r="E203"/>
    </row>
    <row r="204" spans="1:18">
      <c r="E204"/>
    </row>
    <row r="205" spans="1:18">
      <c r="E205"/>
    </row>
    <row r="206" spans="1:18">
      <c r="E206"/>
    </row>
    <row r="207" spans="1:18">
      <c r="E207"/>
    </row>
    <row r="208" spans="1:18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0">
    <mergeCell ref="C38:G38"/>
    <mergeCell ref="C10:G10"/>
    <mergeCell ref="C17:G17"/>
    <mergeCell ref="C24:G24"/>
    <mergeCell ref="C31:G31"/>
    <mergeCell ref="C14:G14"/>
    <mergeCell ref="C22:G22"/>
    <mergeCell ref="C30:G30"/>
    <mergeCell ref="C35:G35"/>
    <mergeCell ref="C37:G3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2026-03-31T00:06:45Z</dcterms:modified>
</cp:coreProperties>
</file>