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\GBDS MARCH FILES 2026\"/>
    </mc:Choice>
  </mc:AlternateContent>
  <xr:revisionPtr revIDLastSave="0" documentId="13_ncr:1_{1F6024DF-A57A-4244-B27D-2131C4FABD2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13" l="1"/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<sst xmlns="http://schemas.openxmlformats.org/spreadsheetml/2006/main" count="83" uniqueCount="18">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</sst>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opLeftCell="A10" zoomScaleNormal="100" zoomScaleSheetLayoutView="100" workbookViewId="0">
      <selection activeCell="C41" sqref="C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265882</v>
      </c>
      <c r="D11" s="34">
        <v>15.75</v>
      </c>
      <c r="E11" s="33"/>
      <c r="F11" s="36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322724</v>
      </c>
      <c r="D12" s="13"/>
      <c r="E12" s="37">
        <v>928.5</v>
      </c>
      <c r="F12" s="37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387395</v>
      </c>
      <c r="D13" s="34">
        <v>836.75</v>
      </c>
      <c r="E13" s="34"/>
      <c r="F13" s="35">
        <v>2004</v>
      </c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301631</v>
      </c>
      <c r="D14" s="13">
        <v>91.5</v>
      </c>
      <c r="E14" s="12"/>
      <c r="F14" s="12">
        <v>1950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319434</v>
      </c>
      <c r="D16" s="34">
        <v>1647.25</v>
      </c>
      <c r="E16" s="34"/>
      <c r="F16" s="34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267570</v>
      </c>
      <c r="D19" s="34"/>
      <c r="E19" s="36">
        <v>477.75</v>
      </c>
      <c r="F19" s="36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320439</v>
      </c>
      <c r="D20" s="34">
        <v>297</v>
      </c>
      <c r="E20" s="34"/>
      <c r="F20" s="39">
        <v>1938</v>
      </c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335528</v>
      </c>
      <c r="D21" s="13">
        <v>178.5</v>
      </c>
      <c r="E21" s="12"/>
      <c r="F21" s="38">
        <v>2268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561365</v>
      </c>
      <c r="D23" s="34"/>
      <c r="E23" s="39">
        <v>91.5</v>
      </c>
      <c r="F23" s="39">
        <f>1998</f>
        <v>1998</v>
      </c>
      <c r="G23" s="39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40" t="s">
        <v>17</v>
      </c>
      <c r="D25" s="41"/>
      <c r="E25" s="41"/>
      <c r="F25" s="41"/>
      <c r="G25" s="42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793392</v>
      </c>
      <c r="D26" s="34">
        <v>874.75</v>
      </c>
      <c r="E26" s="35"/>
      <c r="F26" s="35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401678</v>
      </c>
      <c r="D27" s="34">
        <v>560.5</v>
      </c>
      <c r="E27" s="35"/>
      <c r="F27" s="35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449433</v>
      </c>
      <c r="D28" s="13">
        <v>83</v>
      </c>
      <c r="E28" s="12"/>
      <c r="F28" s="38">
        <v>1944</v>
      </c>
      <c r="G28" s="32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343569</v>
      </c>
      <c r="D29" s="15">
        <v>3750</v>
      </c>
      <c r="E29" s="12"/>
      <c r="F29" s="38"/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356654</v>
      </c>
      <c r="D33" s="34"/>
      <c r="E33" s="33">
        <v>164.5</v>
      </c>
      <c r="F33" s="32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40" t="s">
        <v>17</v>
      </c>
      <c r="D34" s="41"/>
      <c r="E34" s="41"/>
      <c r="F34" s="41"/>
      <c r="G34" s="4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441829</v>
      </c>
      <c r="D35" s="13"/>
      <c r="E35" s="12">
        <v>53</v>
      </c>
      <c r="F35" s="38">
        <v>2886</v>
      </c>
      <c r="G35" s="36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236341</v>
      </c>
      <c r="D36" s="13">
        <v>1490.75</v>
      </c>
      <c r="E36" s="12"/>
      <c r="F36" s="38"/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712160</v>
      </c>
      <c r="D39" s="13"/>
      <c r="E39" s="12">
        <v>1676.5</v>
      </c>
      <c r="F39" s="12">
        <v>5202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>
        <v>724297</v>
      </c>
      <c r="D40" s="15"/>
      <c r="E40" s="12">
        <v>413.25</v>
      </c>
      <c r="F40" s="12">
        <v>7968</v>
      </c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8512185</v>
      </c>
      <c r="D43" s="30">
        <f>SUM(D10:D42)</f>
        <v>10964.25</v>
      </c>
      <c r="E43" s="18">
        <f>SUM(E10:E42)</f>
        <v>3805</v>
      </c>
      <c r="F43" s="18">
        <f>SUM(F10:F42)</f>
        <v>40776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  <mergeCell ref="C34:G34"/>
    <mergeCell ref="C37:G3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topLeftCell="A10" zoomScaleNormal="100" zoomScaleSheetLayoutView="100" workbookViewId="0">
      <selection activeCell="F41" sqref="F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313708.5</v>
      </c>
      <c r="D11" s="34">
        <v>624</v>
      </c>
      <c r="E11" s="33"/>
      <c r="F11" s="36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228774</v>
      </c>
      <c r="D12" s="13">
        <v>142</v>
      </c>
      <c r="E12" s="13"/>
      <c r="F12" s="37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253739</v>
      </c>
      <c r="D13" s="34">
        <v>44</v>
      </c>
      <c r="E13" s="34"/>
      <c r="F13" s="35">
        <v>1944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264640</v>
      </c>
      <c r="D14" s="13">
        <v>3553</v>
      </c>
      <c r="E14" s="12"/>
      <c r="F14" s="12">
        <v>1182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351657</v>
      </c>
      <c r="D16" s="34">
        <v>12</v>
      </c>
      <c r="E16" s="34"/>
      <c r="F16" s="39">
        <v>1200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266386.58333333331</v>
      </c>
      <c r="D19" s="34"/>
      <c r="E19" s="36">
        <v>39.92</v>
      </c>
      <c r="F19" s="36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268786</v>
      </c>
      <c r="D20" s="34">
        <v>1173.5</v>
      </c>
      <c r="E20" s="34"/>
      <c r="F20" s="39">
        <v>1776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383159</v>
      </c>
      <c r="D21" s="13"/>
      <c r="E21" s="12">
        <v>580.5</v>
      </c>
      <c r="F21" s="38">
        <v>2160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279612</v>
      </c>
      <c r="D23" s="34"/>
      <c r="E23" s="39">
        <v>148.5</v>
      </c>
      <c r="F23" s="34"/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327138</v>
      </c>
      <c r="D26" s="34">
        <v>1542</v>
      </c>
      <c r="E26" s="35"/>
      <c r="F26" s="35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309448</v>
      </c>
      <c r="D27" s="34">
        <v>278.75</v>
      </c>
      <c r="E27" s="35"/>
      <c r="F27" s="35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267889</v>
      </c>
      <c r="D28" s="13"/>
      <c r="E28" s="12">
        <v>22.25</v>
      </c>
      <c r="F28" s="38">
        <v>624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348180</v>
      </c>
      <c r="D29" s="15"/>
      <c r="E29" s="12">
        <v>352.75</v>
      </c>
      <c r="F29" s="38">
        <v>648</v>
      </c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291721</v>
      </c>
      <c r="D33" s="34">
        <v>375.25</v>
      </c>
      <c r="E33" s="33"/>
      <c r="F33" s="32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232411</v>
      </c>
      <c r="D34" s="34">
        <v>340.75</v>
      </c>
      <c r="E34" s="34"/>
      <c r="F34" s="39">
        <v>1296</v>
      </c>
      <c r="G34" s="34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255036</v>
      </c>
      <c r="D35" s="13">
        <v>682.5</v>
      </c>
      <c r="E35" s="12"/>
      <c r="F35" s="38">
        <v>1296</v>
      </c>
      <c r="G35" s="33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377865</v>
      </c>
      <c r="D36" s="13">
        <v>76</v>
      </c>
      <c r="E36" s="12"/>
      <c r="F36" s="38">
        <v>1980</v>
      </c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40" t="s">
        <v>17</v>
      </c>
      <c r="D39" s="41"/>
      <c r="E39" s="41"/>
      <c r="F39" s="41"/>
      <c r="G39" s="4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>
        <v>315369</v>
      </c>
      <c r="D40" s="15"/>
      <c r="E40" s="12">
        <v>21</v>
      </c>
      <c r="F40" s="12">
        <v>1200</v>
      </c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6646221.083333334</v>
      </c>
      <c r="D43" s="30">
        <f>SUM(D10:D42)</f>
        <v>9199.75</v>
      </c>
      <c r="E43" s="18">
        <f>SUM(E10:E42)</f>
        <v>1409.92</v>
      </c>
      <c r="F43" s="18">
        <f>SUM(F10:F42)</f>
        <v>33522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9:G39"/>
    <mergeCell ref="C38:G38"/>
    <mergeCell ref="C10:G10"/>
    <mergeCell ref="C17:G17"/>
    <mergeCell ref="C24:G24"/>
    <mergeCell ref="C31:G31"/>
    <mergeCell ref="C15:G15"/>
    <mergeCell ref="C22:G22"/>
    <mergeCell ref="C30:G30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abSelected="1" topLeftCell="A10" zoomScaleNormal="100" zoomScaleSheetLayoutView="100" workbookViewId="0">
      <selection activeCell="C40" sqref="C40:G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259606</v>
      </c>
      <c r="D11" s="34"/>
      <c r="E11" s="36">
        <v>107</v>
      </c>
      <c r="F11" s="36">
        <v>690</v>
      </c>
      <c r="G11" s="36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273403</v>
      </c>
      <c r="D12" s="13"/>
      <c r="E12" s="37">
        <v>1.5</v>
      </c>
      <c r="F12" s="37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236285</v>
      </c>
      <c r="D13" s="34">
        <v>67.75</v>
      </c>
      <c r="E13" s="34"/>
      <c r="F13" s="35">
        <v>1158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40" t="s">
        <v>17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12">
        <v>363462</v>
      </c>
      <c r="D15" s="15"/>
      <c r="E15" s="12">
        <v>393</v>
      </c>
      <c r="F15" s="38">
        <f>2472</f>
        <v>2472</v>
      </c>
      <c r="G15" s="32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412474</v>
      </c>
      <c r="D16" s="34"/>
      <c r="E16" s="35">
        <v>1346.5</v>
      </c>
      <c r="F16" s="35">
        <v>2736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281186</v>
      </c>
      <c r="D19" s="34">
        <v>149.75</v>
      </c>
      <c r="E19" s="36"/>
      <c r="F19" s="36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349583</v>
      </c>
      <c r="D20" s="34"/>
      <c r="E20" s="39">
        <v>112</v>
      </c>
      <c r="F20" s="39">
        <v>2388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320630</v>
      </c>
      <c r="D21" s="13">
        <v>437.25</v>
      </c>
      <c r="E21" s="12"/>
      <c r="F21" s="38">
        <v>1890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267902</v>
      </c>
      <c r="D23" s="34"/>
      <c r="E23" s="39">
        <v>193.25</v>
      </c>
      <c r="F23" s="39">
        <v>1266</v>
      </c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415764</v>
      </c>
      <c r="D25" s="15"/>
      <c r="E25" s="12">
        <v>691</v>
      </c>
      <c r="F25" s="12">
        <v>1662</v>
      </c>
      <c r="G25" s="39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454572</v>
      </c>
      <c r="D26" s="34">
        <v>242.75</v>
      </c>
      <c r="E26" s="35"/>
      <c r="F26" s="35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311662</v>
      </c>
      <c r="D27" s="34"/>
      <c r="E27" s="35">
        <v>261</v>
      </c>
      <c r="F27" s="35">
        <f>1206</f>
        <v>1206</v>
      </c>
      <c r="G27" s="39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432743</v>
      </c>
      <c r="D28" s="13">
        <v>422</v>
      </c>
      <c r="E28" s="12"/>
      <c r="F28" s="38">
        <v>3228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313665</v>
      </c>
      <c r="D29" s="15">
        <v>95</v>
      </c>
      <c r="E29" s="12"/>
      <c r="F29" s="38">
        <v>2052</v>
      </c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362847</v>
      </c>
      <c r="D33" s="34">
        <v>103.25</v>
      </c>
      <c r="E33" s="33"/>
      <c r="F33" s="33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429981</v>
      </c>
      <c r="D34" s="34"/>
      <c r="E34" s="39">
        <v>36.75</v>
      </c>
      <c r="F34" s="39">
        <f>1620+10*6</f>
        <v>1680</v>
      </c>
      <c r="G34" s="39">
        <v>50</v>
      </c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40" t="s">
        <v>17</v>
      </c>
      <c r="D35" s="41"/>
      <c r="E35" s="41"/>
      <c r="F35" s="41"/>
      <c r="G35" s="42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488484</v>
      </c>
      <c r="D36" s="13"/>
      <c r="E36" s="12">
        <v>107.5</v>
      </c>
      <c r="F36" s="38">
        <v>2568</v>
      </c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384352</v>
      </c>
      <c r="D39" s="13"/>
      <c r="E39" s="12">
        <v>148.25</v>
      </c>
      <c r="F39" s="12">
        <v>2316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40" t="s">
        <v>17</v>
      </c>
      <c r="D40" s="41"/>
      <c r="E40" s="41"/>
      <c r="F40" s="41"/>
      <c r="G40" s="42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7079892</v>
      </c>
      <c r="D43" s="30">
        <f>SUM(D10:D42)</f>
        <v>1818</v>
      </c>
      <c r="E43" s="18">
        <f>SUM(E10:E42)</f>
        <v>3397.75</v>
      </c>
      <c r="F43" s="18">
        <f>SUM(F10:F42)</f>
        <v>31962</v>
      </c>
      <c r="G43" s="18">
        <f>SUM(G10:G42)</f>
        <v>470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40:G40"/>
    <mergeCell ref="C38:G38"/>
    <mergeCell ref="C10:G10"/>
    <mergeCell ref="C17:G17"/>
    <mergeCell ref="C24:G24"/>
    <mergeCell ref="C31:G31"/>
    <mergeCell ref="C14:G14"/>
    <mergeCell ref="C22:G22"/>
    <mergeCell ref="C30:G30"/>
    <mergeCell ref="C35:G35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2026-04-02T01:31:37Z</dcterms:modified>
</cp:coreProperties>
</file>