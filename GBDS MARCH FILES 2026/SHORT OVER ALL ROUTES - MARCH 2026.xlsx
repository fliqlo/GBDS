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u4fxw\GBDS\GBDS MARCH FILES 2026\"/>
    </mc:Choice>
  </mc:AlternateContent>
  <xr:revisionPtr revIDLastSave="0" documentId="13_ncr:1_{C7469D2E-9B0D-4D16-8D1B-161AB8AC666C}" xr6:coauthVersionLast="47" xr6:coauthVersionMax="47" xr10:uidLastSave="{00000000-0000-0000-0000-000000000000}"/>
  <bookViews>
    <workbookView xWindow="0" yWindow="0" windowWidth="14400" windowHeight="15600" activeTab="2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<sst xmlns="http://schemas.openxmlformats.org/spreadsheetml/2006/main" count="69" uniqueCount="19">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</sst>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[$-F800]dddd\,\ mmmm\ dd\,\ yy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43" fontId="2" fillId="0" borderId="0" xfId="1" applyFont="1"/>
    <xf numFmtId="43" fontId="9" fillId="0" borderId="0" xfId="1" applyFont="1"/>
    <xf numFmtId="43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43" fontId="2" fillId="0" borderId="1" xfId="1" applyFont="1" applyBorder="1"/>
    <xf numFmtId="43" fontId="9" fillId="0" borderId="1" xfId="1" applyFont="1" applyBorder="1"/>
    <xf numFmtId="0" fontId="3" fillId="0" borderId="3" xfId="0" applyFont="1" applyBorder="1"/>
    <xf numFmtId="43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43" fontId="3" fillId="0" borderId="1" xfId="1" applyFont="1" applyBorder="1"/>
    <xf numFmtId="43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3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43" fontId="10" fillId="0" borderId="1" xfId="1" applyFont="1" applyBorder="1"/>
    <xf numFmtId="0" fontId="9" fillId="0" borderId="0" xfId="0" applyFont="1" applyAlignment="1">
      <alignment horizontal="center" vertical="center"/>
    </xf>
    <xf numFmtId="43" fontId="2" fillId="0" borderId="6" xfId="1" applyFont="1" applyBorder="1" applyAlignment="1"/>
    <xf numFmtId="43" fontId="9" fillId="0" borderId="6" xfId="1" applyFont="1" applyBorder="1" applyAlignment="1"/>
    <xf numFmtId="43" fontId="9" fillId="0" borderId="1" xfId="1" applyFont="1" applyBorder="1" applyAlignment="1"/>
    <xf numFmtId="43" fontId="14" fillId="0" borderId="1" xfId="1" applyFont="1" applyBorder="1" applyAlignment="1"/>
    <xf numFmtId="43" fontId="14" fillId="0" borderId="6" xfId="1" applyFont="1" applyBorder="1" applyAlignment="1"/>
    <xf numFmtId="43" fontId="14" fillId="0" borderId="1" xfId="1" applyFont="1" applyBorder="1"/>
    <xf numFmtId="43" fontId="2" fillId="0" borderId="6" xfId="1" applyFont="1" applyBorder="1"/>
    <xf numFmtId="43" fontId="9" fillId="0" borderId="4" xfId="1" applyFont="1" applyBorder="1" applyAlignment="1">
      <alignment horizontal="center"/>
    </xf>
    <xf numFmtId="43" fontId="9" fillId="0" borderId="5" xfId="1" applyFont="1" applyBorder="1" applyAlignment="1">
      <alignment horizontal="center"/>
    </xf>
    <xf numFmtId="43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zoomScaleNormal="100" zoomScaleSheetLayoutView="100" workbookViewId="0">
      <selection activeCell="C19" sqref="C19"/>
    </sheetView>
  </sheetViews>
  <sheetFormatPr defaultRowHeight="15" x14ac:dyDescent="0.25"/>
  <cols>
    <col min="1" max="1" width="4.28515625" customWidth="1"/>
    <col min="2" max="2" width="29" bestFit="1" customWidth="1"/>
    <col min="3" max="3" width="14.85546875" customWidth="1"/>
    <col min="4" max="4" width="14.7109375" customWidth="1"/>
    <col min="5" max="5" width="15" style="17" customWidth="1"/>
    <col min="6" max="6" width="15" customWidth="1"/>
    <col min="7" max="7" width="14.7109375" customWidth="1"/>
    <col min="10" max="10" width="13.140625" bestFit="1" customWidth="1"/>
    <col min="13" max="13" width="13.28515625" bestFit="1" customWidth="1"/>
  </cols>
  <sheetData>
    <row r="1" spans="1:18" x14ac:dyDescent="0.25">
      <c r="E1"/>
    </row>
    <row r="2" spans="1:18" ht="16.5" x14ac:dyDescent="0.2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 x14ac:dyDescent="0.2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A10" s="11">
        <v>1</v>
      </c>
      <c r="B10" s="29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11">
        <v>2</v>
      </c>
      <c r="B11" s="30">
        <v>46083</v>
      </c>
      <c r="C11" s="12">
        <v>265882</v>
      </c>
      <c r="D11" s="35">
        <v>15.75</v>
      </c>
      <c r="E11" s="34"/>
      <c r="F11" s="37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11">
        <v>3</v>
      </c>
      <c r="B12" s="30">
        <v>46084</v>
      </c>
      <c r="C12" s="12">
        <v>322724</v>
      </c>
      <c r="D12" s="13"/>
      <c r="E12" s="38">
        <v>928.5</v>
      </c>
      <c r="F12" s="38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11">
        <v>4</v>
      </c>
      <c r="B13" s="30">
        <v>46085</v>
      </c>
      <c r="C13" s="36">
        <v>387395</v>
      </c>
      <c r="D13" s="35">
        <v>836.75</v>
      </c>
      <c r="E13" s="35"/>
      <c r="F13" s="36">
        <v>2004</v>
      </c>
      <c r="G13" s="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A14" s="11">
        <v>5</v>
      </c>
      <c r="B14" s="30">
        <v>46086</v>
      </c>
      <c r="C14" s="12">
        <v>301631</v>
      </c>
      <c r="D14" s="13">
        <v>91.5</v>
      </c>
      <c r="E14" s="12"/>
      <c r="F14" s="12">
        <v>1950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11">
        <v>6</v>
      </c>
      <c r="B15" s="30">
        <v>46087</v>
      </c>
      <c r="C15" s="40" t="s">
        <v>18</v>
      </c>
      <c r="D15" s="41"/>
      <c r="E15" s="41"/>
      <c r="F15" s="41"/>
      <c r="G15" s="4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11">
        <v>7</v>
      </c>
      <c r="B16" s="30">
        <v>46088</v>
      </c>
      <c r="C16" s="36">
        <v>319434</v>
      </c>
      <c r="D16" s="35">
        <v>1647.25</v>
      </c>
      <c r="E16" s="35"/>
      <c r="F16" s="35"/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11">
        <v>8</v>
      </c>
      <c r="B17" s="29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11">
        <v>9</v>
      </c>
      <c r="B18" s="30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11">
        <v>10</v>
      </c>
      <c r="B19" s="30">
        <v>46091</v>
      </c>
      <c r="C19" s="12"/>
      <c r="D19" s="35"/>
      <c r="E19" s="37"/>
      <c r="F19" s="37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11">
        <v>11</v>
      </c>
      <c r="B20" s="30">
        <v>46092</v>
      </c>
      <c r="C20" s="36"/>
      <c r="D20" s="35"/>
      <c r="E20" s="35"/>
      <c r="F20" s="35"/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11">
        <v>12</v>
      </c>
      <c r="B21" s="30">
        <v>46093</v>
      </c>
      <c r="C21" s="12"/>
      <c r="D21" s="13"/>
      <c r="E21" s="12"/>
      <c r="F21" s="39"/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11">
        <v>13</v>
      </c>
      <c r="B22" s="30">
        <v>46094</v>
      </c>
      <c r="C22" s="12"/>
      <c r="D22" s="13"/>
      <c r="E22" s="12"/>
      <c r="F22" s="39"/>
      <c r="G22" s="34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s="11">
        <v>14</v>
      </c>
      <c r="B23" s="30">
        <v>46095</v>
      </c>
      <c r="C23" s="36"/>
      <c r="D23" s="35"/>
      <c r="E23" s="35"/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11">
        <v>15</v>
      </c>
      <c r="B24" s="29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11">
        <v>22</v>
      </c>
      <c r="B31" s="29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x14ac:dyDescent="0.2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x14ac:dyDescent="0.2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x14ac:dyDescent="0.2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x14ac:dyDescent="0.2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x14ac:dyDescent="0.25">
      <c r="A38" s="11">
        <v>29</v>
      </c>
      <c r="B38" s="29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s="28" t="s">
        <v>2</v>
      </c>
      <c r="B43" s="30"/>
      <c r="C43" s="18">
        <f>SUM(C10:C42)</f>
        <v>2126247</v>
      </c>
      <c r="D43" s="31">
        <f>SUM(D10:D42)</f>
        <v>3250.5</v>
      </c>
      <c r="E43" s="18">
        <f>SUM(E10:E42)</f>
        <v>928.5</v>
      </c>
      <c r="F43" s="18">
        <f>SUM(F10:F42)</f>
        <v>8514</v>
      </c>
      <c r="G43" s="18">
        <f>SUM(G10:G42)</f>
        <v>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s="1"/>
      <c r="B44" s="32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x14ac:dyDescent="0.2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x14ac:dyDescent="0.2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x14ac:dyDescent="0.2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 x14ac:dyDescent="0.25">
      <c r="E196"/>
    </row>
    <row r="197" spans="1:18" x14ac:dyDescent="0.25">
      <c r="E197"/>
    </row>
    <row r="198" spans="1:18" x14ac:dyDescent="0.25">
      <c r="E198"/>
    </row>
    <row r="199" spans="1:18" x14ac:dyDescent="0.25">
      <c r="E199"/>
    </row>
    <row r="200" spans="1:18" x14ac:dyDescent="0.25">
      <c r="E200"/>
    </row>
    <row r="201" spans="1:18" x14ac:dyDescent="0.25">
      <c r="E201"/>
    </row>
    <row r="202" spans="1:18" x14ac:dyDescent="0.25">
      <c r="E202"/>
    </row>
    <row r="203" spans="1:18" x14ac:dyDescent="0.25">
      <c r="E203"/>
    </row>
    <row r="204" spans="1:18" x14ac:dyDescent="0.25">
      <c r="E204"/>
    </row>
    <row r="205" spans="1:18" x14ac:dyDescent="0.25">
      <c r="E205"/>
    </row>
    <row r="206" spans="1:18" x14ac:dyDescent="0.25">
      <c r="E206"/>
    </row>
    <row r="207" spans="1:18" x14ac:dyDescent="0.25">
      <c r="E207"/>
    </row>
    <row r="208" spans="1:18" x14ac:dyDescent="0.25">
      <c r="E208"/>
    </row>
    <row r="209" spans="5:5" x14ac:dyDescent="0.25">
      <c r="E209"/>
    </row>
    <row r="210" spans="5:5" x14ac:dyDescent="0.25">
      <c r="E210"/>
    </row>
    <row r="211" spans="5:5" x14ac:dyDescent="0.25">
      <c r="E211"/>
    </row>
    <row r="212" spans="5:5" x14ac:dyDescent="0.25">
      <c r="E212"/>
    </row>
    <row r="213" spans="5:5" x14ac:dyDescent="0.25">
      <c r="E213"/>
    </row>
    <row r="214" spans="5:5" x14ac:dyDescent="0.25">
      <c r="E214"/>
    </row>
    <row r="215" spans="5:5" x14ac:dyDescent="0.25">
      <c r="E215"/>
    </row>
    <row r="216" spans="5:5" x14ac:dyDescent="0.25">
      <c r="E216"/>
    </row>
    <row r="217" spans="5:5" x14ac:dyDescent="0.25">
      <c r="E217"/>
    </row>
    <row r="218" spans="5:5" x14ac:dyDescent="0.25">
      <c r="E218"/>
    </row>
    <row r="219" spans="5:5" x14ac:dyDescent="0.25">
      <c r="E219"/>
    </row>
    <row r="220" spans="5:5" x14ac:dyDescent="0.25">
      <c r="E220"/>
    </row>
    <row r="221" spans="5:5" x14ac:dyDescent="0.25">
      <c r="E221"/>
    </row>
    <row r="222" spans="5:5" x14ac:dyDescent="0.25">
      <c r="E222"/>
    </row>
    <row r="223" spans="5:5" x14ac:dyDescent="0.25">
      <c r="E223"/>
    </row>
    <row r="224" spans="5:5" x14ac:dyDescent="0.25">
      <c r="E224"/>
    </row>
    <row r="225" spans="5:5" x14ac:dyDescent="0.25">
      <c r="E225"/>
    </row>
    <row r="226" spans="5:5" x14ac:dyDescent="0.25">
      <c r="E226"/>
    </row>
    <row r="227" spans="5:5" x14ac:dyDescent="0.25">
      <c r="E227"/>
    </row>
    <row r="228" spans="5:5" x14ac:dyDescent="0.25">
      <c r="E228"/>
    </row>
    <row r="229" spans="5:5" x14ac:dyDescent="0.25">
      <c r="E229"/>
    </row>
    <row r="230" spans="5:5" x14ac:dyDescent="0.25">
      <c r="E230"/>
    </row>
    <row r="231" spans="5:5" x14ac:dyDescent="0.25">
      <c r="E231"/>
    </row>
    <row r="232" spans="5:5" x14ac:dyDescent="0.25">
      <c r="E232"/>
    </row>
    <row r="233" spans="5:5" x14ac:dyDescent="0.25">
      <c r="E233"/>
    </row>
    <row r="234" spans="5:5" x14ac:dyDescent="0.25">
      <c r="E234"/>
    </row>
    <row r="235" spans="5:5" x14ac:dyDescent="0.25">
      <c r="E235"/>
    </row>
    <row r="236" spans="5:5" x14ac:dyDescent="0.25">
      <c r="E236"/>
    </row>
    <row r="237" spans="5:5" x14ac:dyDescent="0.25">
      <c r="E237"/>
    </row>
    <row r="238" spans="5:5" x14ac:dyDescent="0.25">
      <c r="E238"/>
    </row>
    <row r="239" spans="5:5" x14ac:dyDescent="0.25">
      <c r="E239"/>
    </row>
    <row r="240" spans="5:5" x14ac:dyDescent="0.25">
      <c r="E240"/>
    </row>
    <row r="241" spans="5:5" x14ac:dyDescent="0.25">
      <c r="E241"/>
    </row>
    <row r="242" spans="5:5" x14ac:dyDescent="0.25">
      <c r="E242"/>
    </row>
    <row r="243" spans="5:5" x14ac:dyDescent="0.25">
      <c r="E243"/>
    </row>
    <row r="244" spans="5:5" x14ac:dyDescent="0.25">
      <c r="E244"/>
    </row>
    <row r="245" spans="5:5" x14ac:dyDescent="0.25">
      <c r="E245"/>
    </row>
    <row r="246" spans="5:5" x14ac:dyDescent="0.25">
      <c r="E246"/>
    </row>
    <row r="247" spans="5:5" x14ac:dyDescent="0.25">
      <c r="E247"/>
    </row>
    <row r="248" spans="5:5" x14ac:dyDescent="0.25">
      <c r="E248"/>
    </row>
    <row r="249" spans="5:5" x14ac:dyDescent="0.25">
      <c r="E249"/>
    </row>
    <row r="250" spans="5:5" x14ac:dyDescent="0.25">
      <c r="E250"/>
    </row>
    <row r="251" spans="5:5" x14ac:dyDescent="0.25">
      <c r="E251"/>
    </row>
    <row r="252" spans="5:5" x14ac:dyDescent="0.25">
      <c r="E252"/>
    </row>
    <row r="253" spans="5:5" x14ac:dyDescent="0.25">
      <c r="E253"/>
    </row>
    <row r="254" spans="5:5" x14ac:dyDescent="0.25">
      <c r="E254"/>
    </row>
    <row r="255" spans="5:5" x14ac:dyDescent="0.25">
      <c r="E255"/>
    </row>
    <row r="256" spans="5:5" x14ac:dyDescent="0.25">
      <c r="E256"/>
    </row>
    <row r="257" spans="5:5" x14ac:dyDescent="0.25">
      <c r="E257"/>
    </row>
    <row r="258" spans="5:5" x14ac:dyDescent="0.25">
      <c r="E258"/>
    </row>
    <row r="259" spans="5:5" x14ac:dyDescent="0.25">
      <c r="E259"/>
    </row>
    <row r="260" spans="5:5" x14ac:dyDescent="0.25">
      <c r="E260"/>
    </row>
    <row r="261" spans="5:5" x14ac:dyDescent="0.25">
      <c r="E261"/>
    </row>
    <row r="262" spans="5:5" x14ac:dyDescent="0.25">
      <c r="E262"/>
    </row>
    <row r="263" spans="5:5" x14ac:dyDescent="0.25">
      <c r="E263"/>
    </row>
    <row r="264" spans="5:5" x14ac:dyDescent="0.25">
      <c r="E264"/>
    </row>
    <row r="265" spans="5:5" x14ac:dyDescent="0.25">
      <c r="E265"/>
    </row>
    <row r="266" spans="5:5" x14ac:dyDescent="0.25">
      <c r="E266"/>
    </row>
    <row r="267" spans="5:5" x14ac:dyDescent="0.25">
      <c r="E267"/>
    </row>
    <row r="268" spans="5:5" x14ac:dyDescent="0.25">
      <c r="E268"/>
    </row>
    <row r="269" spans="5:5" x14ac:dyDescent="0.25">
      <c r="E269"/>
    </row>
    <row r="270" spans="5:5" x14ac:dyDescent="0.25">
      <c r="E270"/>
    </row>
    <row r="271" spans="5:5" x14ac:dyDescent="0.25">
      <c r="E271"/>
    </row>
    <row r="272" spans="5:5" x14ac:dyDescent="0.25">
      <c r="E272"/>
    </row>
    <row r="273" spans="5:5" x14ac:dyDescent="0.25">
      <c r="E273"/>
    </row>
    <row r="274" spans="5:5" x14ac:dyDescent="0.25">
      <c r="E274"/>
    </row>
    <row r="275" spans="5:5" x14ac:dyDescent="0.25">
      <c r="E275"/>
    </row>
    <row r="276" spans="5:5" x14ac:dyDescent="0.25">
      <c r="E276"/>
    </row>
    <row r="277" spans="5:5" x14ac:dyDescent="0.25">
      <c r="E277"/>
    </row>
    <row r="278" spans="5:5" x14ac:dyDescent="0.25">
      <c r="E278"/>
    </row>
    <row r="279" spans="5:5" x14ac:dyDescent="0.25">
      <c r="E279"/>
    </row>
  </sheetData>
  <mergeCells count="6">
    <mergeCell ref="C38:G38"/>
    <mergeCell ref="C10:G10"/>
    <mergeCell ref="C17:G17"/>
    <mergeCell ref="C24:G24"/>
    <mergeCell ref="C31:G31"/>
    <mergeCell ref="C15:G15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19" sqref="C19"/>
    </sheetView>
  </sheetViews>
  <sheetFormatPr defaultRowHeight="15" x14ac:dyDescent="0.25"/>
  <cols>
    <col min="1" max="1" width="4.28515625" customWidth="1"/>
    <col min="2" max="2" width="29" bestFit="1" customWidth="1"/>
    <col min="3" max="3" width="14.85546875" customWidth="1"/>
    <col min="4" max="4" width="14.7109375" customWidth="1"/>
    <col min="5" max="5" width="15" style="17" customWidth="1"/>
    <col min="6" max="6" width="15" customWidth="1"/>
    <col min="7" max="7" width="14.7109375" customWidth="1"/>
    <col min="10" max="10" width="13.140625" bestFit="1" customWidth="1"/>
    <col min="13" max="13" width="13.28515625" bestFit="1" customWidth="1"/>
  </cols>
  <sheetData>
    <row r="1" spans="1:18" x14ac:dyDescent="0.25">
      <c r="E1"/>
    </row>
    <row r="2" spans="1:18" ht="16.5" x14ac:dyDescent="0.2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 x14ac:dyDescent="0.2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A10" s="11">
        <v>1</v>
      </c>
      <c r="B10" s="29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11">
        <v>2</v>
      </c>
      <c r="B11" s="30">
        <v>46083</v>
      </c>
      <c r="C11" s="12">
        <v>313708.5</v>
      </c>
      <c r="D11" s="35">
        <v>624</v>
      </c>
      <c r="E11" s="34"/>
      <c r="F11" s="37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11">
        <v>3</v>
      </c>
      <c r="B12" s="30">
        <v>46084</v>
      </c>
      <c r="C12" s="12">
        <v>228774</v>
      </c>
      <c r="D12" s="13">
        <v>142</v>
      </c>
      <c r="E12" s="13"/>
      <c r="F12" s="38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11">
        <v>4</v>
      </c>
      <c r="B13" s="30">
        <v>46085</v>
      </c>
      <c r="C13" s="36">
        <v>253739</v>
      </c>
      <c r="D13" s="35">
        <v>44</v>
      </c>
      <c r="E13" s="35"/>
      <c r="F13" s="36">
        <v>1944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A14" s="11">
        <v>5</v>
      </c>
      <c r="B14" s="30">
        <v>46086</v>
      </c>
      <c r="C14" s="12">
        <v>264640</v>
      </c>
      <c r="D14" s="13">
        <v>3553</v>
      </c>
      <c r="E14" s="12"/>
      <c r="F14" s="12">
        <v>1182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11">
        <v>6</v>
      </c>
      <c r="B15" s="30">
        <v>46087</v>
      </c>
      <c r="C15" s="40" t="s">
        <v>18</v>
      </c>
      <c r="D15" s="41"/>
      <c r="E15" s="41"/>
      <c r="F15" s="41"/>
      <c r="G15" s="4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11">
        <v>7</v>
      </c>
      <c r="B16" s="30">
        <v>46088</v>
      </c>
      <c r="C16" s="36">
        <v>351657</v>
      </c>
      <c r="D16" s="35">
        <v>12</v>
      </c>
      <c r="E16" s="35"/>
      <c r="F16" s="35">
        <v>1200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11">
        <v>8</v>
      </c>
      <c r="B17" s="29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11">
        <v>9</v>
      </c>
      <c r="B18" s="30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11">
        <v>10</v>
      </c>
      <c r="B19" s="30">
        <v>46091</v>
      </c>
      <c r="C19" s="12"/>
      <c r="D19" s="35"/>
      <c r="E19" s="37"/>
      <c r="F19" s="37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11">
        <v>11</v>
      </c>
      <c r="B20" s="30">
        <v>46092</v>
      </c>
      <c r="C20" s="36"/>
      <c r="D20" s="35"/>
      <c r="E20" s="35"/>
      <c r="F20" s="35"/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11">
        <v>12</v>
      </c>
      <c r="B21" s="30">
        <v>46093</v>
      </c>
      <c r="C21" s="12"/>
      <c r="D21" s="13"/>
      <c r="E21" s="12"/>
      <c r="F21" s="39"/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11">
        <v>13</v>
      </c>
      <c r="B22" s="30">
        <v>46094</v>
      </c>
      <c r="C22" s="12"/>
      <c r="D22" s="13"/>
      <c r="E22" s="12"/>
      <c r="F22" s="39"/>
      <c r="G22" s="34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s="11">
        <v>14</v>
      </c>
      <c r="B23" s="30">
        <v>46095</v>
      </c>
      <c r="C23" s="36"/>
      <c r="D23" s="35"/>
      <c r="E23" s="35"/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11">
        <v>15</v>
      </c>
      <c r="B24" s="29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11">
        <v>22</v>
      </c>
      <c r="B31" s="29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x14ac:dyDescent="0.2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x14ac:dyDescent="0.2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x14ac:dyDescent="0.2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x14ac:dyDescent="0.2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x14ac:dyDescent="0.25">
      <c r="A38" s="11">
        <v>29</v>
      </c>
      <c r="B38" s="29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s="28" t="s">
        <v>2</v>
      </c>
      <c r="B43" s="30"/>
      <c r="C43" s="18">
        <f>SUM(C10:C42)</f>
        <v>1915439.5</v>
      </c>
      <c r="D43" s="31">
        <f>SUM(D10:D42)</f>
        <v>4572.5</v>
      </c>
      <c r="E43" s="18">
        <f>SUM(E10:E42)</f>
        <v>0</v>
      </c>
      <c r="F43" s="18">
        <f>SUM(F10:F42)</f>
        <v>9810</v>
      </c>
      <c r="G43" s="18">
        <f>SUM(G10:G42)</f>
        <v>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x14ac:dyDescent="0.2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x14ac:dyDescent="0.2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x14ac:dyDescent="0.2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 x14ac:dyDescent="0.25">
      <c r="E196"/>
    </row>
    <row r="197" spans="1:18" x14ac:dyDescent="0.25">
      <c r="E197"/>
    </row>
    <row r="198" spans="1:18" x14ac:dyDescent="0.25">
      <c r="E198"/>
    </row>
    <row r="199" spans="1:18" x14ac:dyDescent="0.25">
      <c r="E199"/>
    </row>
    <row r="200" spans="1:18" x14ac:dyDescent="0.25">
      <c r="E200"/>
    </row>
    <row r="201" spans="1:18" x14ac:dyDescent="0.25">
      <c r="E201"/>
    </row>
    <row r="202" spans="1:18" x14ac:dyDescent="0.25">
      <c r="E202"/>
    </row>
    <row r="203" spans="1:18" x14ac:dyDescent="0.25">
      <c r="E203"/>
    </row>
    <row r="204" spans="1:18" x14ac:dyDescent="0.25">
      <c r="E204"/>
    </row>
    <row r="205" spans="1:18" x14ac:dyDescent="0.25">
      <c r="E205"/>
    </row>
    <row r="206" spans="1:18" x14ac:dyDescent="0.25">
      <c r="E206"/>
    </row>
    <row r="207" spans="1:18" x14ac:dyDescent="0.25">
      <c r="E207"/>
    </row>
    <row r="208" spans="1:18" x14ac:dyDescent="0.25">
      <c r="E208"/>
    </row>
    <row r="209" spans="5:5" x14ac:dyDescent="0.25">
      <c r="E209"/>
    </row>
    <row r="210" spans="5:5" x14ac:dyDescent="0.25">
      <c r="E210"/>
    </row>
    <row r="211" spans="5:5" x14ac:dyDescent="0.25">
      <c r="E211"/>
    </row>
    <row r="212" spans="5:5" x14ac:dyDescent="0.25">
      <c r="E212"/>
    </row>
    <row r="213" spans="5:5" x14ac:dyDescent="0.25">
      <c r="E213"/>
    </row>
    <row r="214" spans="5:5" x14ac:dyDescent="0.25">
      <c r="E214"/>
    </row>
    <row r="215" spans="5:5" x14ac:dyDescent="0.25">
      <c r="E215"/>
    </row>
    <row r="216" spans="5:5" x14ac:dyDescent="0.25">
      <c r="E216"/>
    </row>
    <row r="217" spans="5:5" x14ac:dyDescent="0.25">
      <c r="E217"/>
    </row>
    <row r="218" spans="5:5" x14ac:dyDescent="0.25">
      <c r="E218"/>
    </row>
    <row r="219" spans="5:5" x14ac:dyDescent="0.25">
      <c r="E219"/>
    </row>
    <row r="220" spans="5:5" x14ac:dyDescent="0.25">
      <c r="E220"/>
    </row>
    <row r="221" spans="5:5" x14ac:dyDescent="0.25">
      <c r="E221"/>
    </row>
    <row r="222" spans="5:5" x14ac:dyDescent="0.25">
      <c r="E222"/>
    </row>
    <row r="223" spans="5:5" x14ac:dyDescent="0.25">
      <c r="E223"/>
    </row>
    <row r="224" spans="5:5" x14ac:dyDescent="0.25">
      <c r="E224"/>
    </row>
    <row r="225" spans="5:5" x14ac:dyDescent="0.25">
      <c r="E225"/>
    </row>
    <row r="226" spans="5:5" x14ac:dyDescent="0.25">
      <c r="E226"/>
    </row>
    <row r="227" spans="5:5" x14ac:dyDescent="0.25">
      <c r="E227"/>
    </row>
    <row r="228" spans="5:5" x14ac:dyDescent="0.25">
      <c r="E228"/>
    </row>
    <row r="229" spans="5:5" x14ac:dyDescent="0.25">
      <c r="E229"/>
    </row>
    <row r="230" spans="5:5" x14ac:dyDescent="0.25">
      <c r="E230"/>
    </row>
    <row r="231" spans="5:5" x14ac:dyDescent="0.25">
      <c r="E231"/>
    </row>
    <row r="232" spans="5:5" x14ac:dyDescent="0.25">
      <c r="E232"/>
    </row>
    <row r="233" spans="5:5" x14ac:dyDescent="0.25">
      <c r="E233"/>
    </row>
    <row r="234" spans="5:5" x14ac:dyDescent="0.25">
      <c r="E234"/>
    </row>
    <row r="235" spans="5:5" x14ac:dyDescent="0.25">
      <c r="E235"/>
    </row>
    <row r="236" spans="5:5" x14ac:dyDescent="0.25">
      <c r="E236"/>
    </row>
    <row r="237" spans="5:5" x14ac:dyDescent="0.25">
      <c r="E237"/>
    </row>
    <row r="238" spans="5:5" x14ac:dyDescent="0.25">
      <c r="E238"/>
    </row>
    <row r="239" spans="5:5" x14ac:dyDescent="0.25">
      <c r="E239"/>
    </row>
    <row r="240" spans="5:5" x14ac:dyDescent="0.25">
      <c r="E240"/>
    </row>
    <row r="241" spans="5:5" x14ac:dyDescent="0.25">
      <c r="E241"/>
    </row>
    <row r="242" spans="5:5" x14ac:dyDescent="0.25">
      <c r="E242"/>
    </row>
    <row r="243" spans="5:5" x14ac:dyDescent="0.25">
      <c r="E243"/>
    </row>
    <row r="244" spans="5:5" x14ac:dyDescent="0.25">
      <c r="E244"/>
    </row>
    <row r="245" spans="5:5" x14ac:dyDescent="0.25">
      <c r="E245"/>
    </row>
    <row r="246" spans="5:5" x14ac:dyDescent="0.25">
      <c r="E246"/>
    </row>
    <row r="247" spans="5:5" x14ac:dyDescent="0.25">
      <c r="E247"/>
    </row>
    <row r="248" spans="5:5" x14ac:dyDescent="0.25">
      <c r="E248"/>
    </row>
    <row r="249" spans="5:5" x14ac:dyDescent="0.25">
      <c r="E249"/>
    </row>
    <row r="250" spans="5:5" x14ac:dyDescent="0.25">
      <c r="E250"/>
    </row>
    <row r="251" spans="5:5" x14ac:dyDescent="0.25">
      <c r="E251"/>
    </row>
    <row r="252" spans="5:5" x14ac:dyDescent="0.25">
      <c r="E252"/>
    </row>
    <row r="253" spans="5:5" x14ac:dyDescent="0.25">
      <c r="E253"/>
    </row>
    <row r="254" spans="5:5" x14ac:dyDescent="0.25">
      <c r="E254"/>
    </row>
    <row r="255" spans="5:5" x14ac:dyDescent="0.25">
      <c r="E255"/>
    </row>
    <row r="256" spans="5:5" x14ac:dyDescent="0.25">
      <c r="E256"/>
    </row>
    <row r="257" spans="5:5" x14ac:dyDescent="0.25">
      <c r="E257"/>
    </row>
    <row r="258" spans="5:5" x14ac:dyDescent="0.25">
      <c r="E258"/>
    </row>
    <row r="259" spans="5:5" x14ac:dyDescent="0.25">
      <c r="E259"/>
    </row>
    <row r="260" spans="5:5" x14ac:dyDescent="0.25">
      <c r="E260"/>
    </row>
    <row r="261" spans="5:5" x14ac:dyDescent="0.25">
      <c r="E261"/>
    </row>
    <row r="262" spans="5:5" x14ac:dyDescent="0.25">
      <c r="E262"/>
    </row>
    <row r="263" spans="5:5" x14ac:dyDescent="0.25">
      <c r="E263"/>
    </row>
    <row r="264" spans="5:5" x14ac:dyDescent="0.25">
      <c r="E264"/>
    </row>
    <row r="265" spans="5:5" x14ac:dyDescent="0.25">
      <c r="E265"/>
    </row>
    <row r="266" spans="5:5" x14ac:dyDescent="0.25">
      <c r="E266"/>
    </row>
    <row r="267" spans="5:5" x14ac:dyDescent="0.25">
      <c r="E267"/>
    </row>
    <row r="268" spans="5:5" x14ac:dyDescent="0.25">
      <c r="E268"/>
    </row>
    <row r="269" spans="5:5" x14ac:dyDescent="0.25">
      <c r="E269"/>
    </row>
    <row r="270" spans="5:5" x14ac:dyDescent="0.25">
      <c r="E270"/>
    </row>
    <row r="271" spans="5:5" x14ac:dyDescent="0.25">
      <c r="E271"/>
    </row>
    <row r="272" spans="5:5" x14ac:dyDescent="0.25">
      <c r="E272"/>
    </row>
    <row r="273" spans="5:5" x14ac:dyDescent="0.25">
      <c r="E273"/>
    </row>
    <row r="274" spans="5:5" x14ac:dyDescent="0.25">
      <c r="E274"/>
    </row>
    <row r="275" spans="5:5" x14ac:dyDescent="0.25">
      <c r="E275"/>
    </row>
    <row r="276" spans="5:5" x14ac:dyDescent="0.25">
      <c r="E276"/>
    </row>
    <row r="277" spans="5:5" x14ac:dyDescent="0.25">
      <c r="E277"/>
    </row>
    <row r="278" spans="5:5" x14ac:dyDescent="0.25">
      <c r="E278"/>
    </row>
    <row r="279" spans="5:5" x14ac:dyDescent="0.25">
      <c r="E279"/>
    </row>
  </sheetData>
  <mergeCells count="6">
    <mergeCell ref="C38:G38"/>
    <mergeCell ref="C10:G10"/>
    <mergeCell ref="C17:G17"/>
    <mergeCell ref="C24:G24"/>
    <mergeCell ref="C31:G31"/>
    <mergeCell ref="C15:G15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tabSelected="1" zoomScaleNormal="100" zoomScaleSheetLayoutView="100" workbookViewId="0">
      <selection activeCell="C19" sqref="C19"/>
    </sheetView>
  </sheetViews>
  <sheetFormatPr defaultRowHeight="15" x14ac:dyDescent="0.25"/>
  <cols>
    <col min="1" max="1" width="4.28515625" customWidth="1"/>
    <col min="2" max="2" width="29" bestFit="1" customWidth="1"/>
    <col min="3" max="3" width="14.85546875" customWidth="1"/>
    <col min="4" max="4" width="14.7109375" customWidth="1"/>
    <col min="5" max="5" width="15" style="17" customWidth="1"/>
    <col min="6" max="6" width="15" customWidth="1"/>
    <col min="7" max="7" width="14.7109375" customWidth="1"/>
    <col min="10" max="10" width="13.140625" bestFit="1" customWidth="1"/>
    <col min="13" max="13" width="13.28515625" bestFit="1" customWidth="1"/>
  </cols>
  <sheetData>
    <row r="1" spans="1:18" x14ac:dyDescent="0.25">
      <c r="E1"/>
    </row>
    <row r="2" spans="1:18" ht="16.5" x14ac:dyDescent="0.2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 x14ac:dyDescent="0.2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A10" s="11">
        <v>1</v>
      </c>
      <c r="B10" s="29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11">
        <v>2</v>
      </c>
      <c r="B11" s="30">
        <v>46083</v>
      </c>
      <c r="C11" s="12">
        <v>259606</v>
      </c>
      <c r="D11" s="35"/>
      <c r="E11" s="37">
        <v>107</v>
      </c>
      <c r="F11" s="37">
        <v>690</v>
      </c>
      <c r="G11" s="37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11">
        <v>3</v>
      </c>
      <c r="B12" s="30">
        <v>46084</v>
      </c>
      <c r="C12" s="12">
        <v>273403</v>
      </c>
      <c r="D12" s="13"/>
      <c r="E12" s="38">
        <v>1.5</v>
      </c>
      <c r="F12" s="38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11">
        <v>4</v>
      </c>
      <c r="B13" s="30">
        <v>46085</v>
      </c>
      <c r="C13" s="36">
        <v>236285</v>
      </c>
      <c r="D13" s="35">
        <v>67.75</v>
      </c>
      <c r="E13" s="35"/>
      <c r="F13" s="36">
        <v>1158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A14" s="11">
        <v>5</v>
      </c>
      <c r="B14" s="30">
        <v>46086</v>
      </c>
      <c r="C14" s="40" t="s">
        <v>18</v>
      </c>
      <c r="D14" s="41"/>
      <c r="E14" s="41"/>
      <c r="F14" s="41"/>
      <c r="G14" s="4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11">
        <v>6</v>
      </c>
      <c r="B15" s="30">
        <v>46087</v>
      </c>
      <c r="C15" s="12">
        <v>363462</v>
      </c>
      <c r="D15" s="15"/>
      <c r="E15" s="12">
        <v>393</v>
      </c>
      <c r="F15" s="39">
        <f>2472</f>
        <v>2472</v>
      </c>
      <c r="G15" s="33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11">
        <v>7</v>
      </c>
      <c r="B16" s="30">
        <v>46088</v>
      </c>
      <c r="C16" s="36">
        <v>412474</v>
      </c>
      <c r="D16" s="35"/>
      <c r="E16" s="36">
        <v>1346.5</v>
      </c>
      <c r="F16" s="36">
        <v>2736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11">
        <v>8</v>
      </c>
      <c r="B17" s="29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11">
        <v>9</v>
      </c>
      <c r="B18" s="30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11">
        <v>10</v>
      </c>
      <c r="B19" s="30">
        <v>46091</v>
      </c>
      <c r="C19" s="12"/>
      <c r="D19" s="35"/>
      <c r="E19" s="37"/>
      <c r="F19" s="37"/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11">
        <v>11</v>
      </c>
      <c r="B20" s="30">
        <v>46092</v>
      </c>
      <c r="C20" s="36"/>
      <c r="D20" s="35"/>
      <c r="E20" s="35"/>
      <c r="F20" s="35"/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11">
        <v>12</v>
      </c>
      <c r="B21" s="30">
        <v>46093</v>
      </c>
      <c r="C21" s="12"/>
      <c r="D21" s="13"/>
      <c r="E21" s="12"/>
      <c r="F21" s="39"/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11">
        <v>13</v>
      </c>
      <c r="B22" s="30">
        <v>46094</v>
      </c>
      <c r="C22" s="12"/>
      <c r="D22" s="13"/>
      <c r="E22" s="12"/>
      <c r="F22" s="39"/>
      <c r="G22" s="34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s="11">
        <v>14</v>
      </c>
      <c r="B23" s="30">
        <v>46095</v>
      </c>
      <c r="C23" s="36"/>
      <c r="D23" s="35"/>
      <c r="E23" s="35"/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11">
        <v>15</v>
      </c>
      <c r="B24" s="29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11">
        <v>22</v>
      </c>
      <c r="B31" s="29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x14ac:dyDescent="0.2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x14ac:dyDescent="0.2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x14ac:dyDescent="0.2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x14ac:dyDescent="0.2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x14ac:dyDescent="0.25">
      <c r="A38" s="11">
        <v>29</v>
      </c>
      <c r="B38" s="29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s="28" t="s">
        <v>2</v>
      </c>
      <c r="B43" s="30"/>
      <c r="C43" s="18">
        <f>SUM(C10:C42)</f>
        <v>1890073</v>
      </c>
      <c r="D43" s="31">
        <f>SUM(D10:D42)</f>
        <v>288.5</v>
      </c>
      <c r="E43" s="18">
        <f>SUM(E10:E42)</f>
        <v>1848</v>
      </c>
      <c r="F43" s="18">
        <f>SUM(F10:F42)</f>
        <v>8274</v>
      </c>
      <c r="G43" s="18">
        <f>SUM(G10:G42)</f>
        <v>150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x14ac:dyDescent="0.2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x14ac:dyDescent="0.2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x14ac:dyDescent="0.2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 x14ac:dyDescent="0.25">
      <c r="E196"/>
    </row>
    <row r="197" spans="1:18" x14ac:dyDescent="0.25">
      <c r="E197"/>
    </row>
    <row r="198" spans="1:18" x14ac:dyDescent="0.25">
      <c r="E198"/>
    </row>
    <row r="199" spans="1:18" x14ac:dyDescent="0.25">
      <c r="E199"/>
    </row>
    <row r="200" spans="1:18" x14ac:dyDescent="0.25">
      <c r="E200"/>
    </row>
    <row r="201" spans="1:18" x14ac:dyDescent="0.25">
      <c r="E201"/>
    </row>
    <row r="202" spans="1:18" x14ac:dyDescent="0.25">
      <c r="E202"/>
    </row>
    <row r="203" spans="1:18" x14ac:dyDescent="0.25">
      <c r="E203"/>
    </row>
    <row r="204" spans="1:18" x14ac:dyDescent="0.25">
      <c r="E204"/>
    </row>
    <row r="205" spans="1:18" x14ac:dyDescent="0.25">
      <c r="E205"/>
    </row>
    <row r="206" spans="1:18" x14ac:dyDescent="0.25">
      <c r="E206"/>
    </row>
    <row r="207" spans="1:18" x14ac:dyDescent="0.25">
      <c r="E207"/>
    </row>
    <row r="208" spans="1:18" x14ac:dyDescent="0.25">
      <c r="E208"/>
    </row>
    <row r="209" spans="5:5" x14ac:dyDescent="0.25">
      <c r="E209"/>
    </row>
    <row r="210" spans="5:5" x14ac:dyDescent="0.25">
      <c r="E210"/>
    </row>
    <row r="211" spans="5:5" x14ac:dyDescent="0.25">
      <c r="E211"/>
    </row>
    <row r="212" spans="5:5" x14ac:dyDescent="0.25">
      <c r="E212"/>
    </row>
    <row r="213" spans="5:5" x14ac:dyDescent="0.25">
      <c r="E213"/>
    </row>
    <row r="214" spans="5:5" x14ac:dyDescent="0.25">
      <c r="E214"/>
    </row>
    <row r="215" spans="5:5" x14ac:dyDescent="0.25">
      <c r="E215"/>
    </row>
    <row r="216" spans="5:5" x14ac:dyDescent="0.25">
      <c r="E216"/>
    </row>
    <row r="217" spans="5:5" x14ac:dyDescent="0.25">
      <c r="E217"/>
    </row>
    <row r="218" spans="5:5" x14ac:dyDescent="0.25">
      <c r="E218"/>
    </row>
    <row r="219" spans="5:5" x14ac:dyDescent="0.25">
      <c r="E219"/>
    </row>
    <row r="220" spans="5:5" x14ac:dyDescent="0.25">
      <c r="E220"/>
    </row>
    <row r="221" spans="5:5" x14ac:dyDescent="0.25">
      <c r="E221"/>
    </row>
    <row r="222" spans="5:5" x14ac:dyDescent="0.25">
      <c r="E222"/>
    </row>
    <row r="223" spans="5:5" x14ac:dyDescent="0.25">
      <c r="E223"/>
    </row>
    <row r="224" spans="5:5" x14ac:dyDescent="0.25">
      <c r="E224"/>
    </row>
    <row r="225" spans="5:5" x14ac:dyDescent="0.25">
      <c r="E225"/>
    </row>
    <row r="226" spans="5:5" x14ac:dyDescent="0.25">
      <c r="E226"/>
    </row>
    <row r="227" spans="5:5" x14ac:dyDescent="0.25">
      <c r="E227"/>
    </row>
    <row r="228" spans="5:5" x14ac:dyDescent="0.25">
      <c r="E228"/>
    </row>
    <row r="229" spans="5:5" x14ac:dyDescent="0.25">
      <c r="E229"/>
    </row>
    <row r="230" spans="5:5" x14ac:dyDescent="0.25">
      <c r="E230"/>
    </row>
    <row r="231" spans="5:5" x14ac:dyDescent="0.25">
      <c r="E231"/>
    </row>
    <row r="232" spans="5:5" x14ac:dyDescent="0.25">
      <c r="E232"/>
    </row>
    <row r="233" spans="5:5" x14ac:dyDescent="0.25">
      <c r="E233"/>
    </row>
    <row r="234" spans="5:5" x14ac:dyDescent="0.25">
      <c r="E234"/>
    </row>
    <row r="235" spans="5:5" x14ac:dyDescent="0.25">
      <c r="E235"/>
    </row>
    <row r="236" spans="5:5" x14ac:dyDescent="0.25">
      <c r="E236"/>
    </row>
    <row r="237" spans="5:5" x14ac:dyDescent="0.25">
      <c r="E237"/>
    </row>
    <row r="238" spans="5:5" x14ac:dyDescent="0.25">
      <c r="E238"/>
    </row>
    <row r="239" spans="5:5" x14ac:dyDescent="0.25">
      <c r="E239"/>
    </row>
    <row r="240" spans="5:5" x14ac:dyDescent="0.25">
      <c r="E240"/>
    </row>
    <row r="241" spans="5:5" x14ac:dyDescent="0.25">
      <c r="E241"/>
    </row>
    <row r="242" spans="5:5" x14ac:dyDescent="0.25">
      <c r="E242"/>
    </row>
    <row r="243" spans="5:5" x14ac:dyDescent="0.25">
      <c r="E243"/>
    </row>
    <row r="244" spans="5:5" x14ac:dyDescent="0.25">
      <c r="E244"/>
    </row>
    <row r="245" spans="5:5" x14ac:dyDescent="0.25">
      <c r="E245"/>
    </row>
    <row r="246" spans="5:5" x14ac:dyDescent="0.25">
      <c r="E246"/>
    </row>
    <row r="247" spans="5:5" x14ac:dyDescent="0.25">
      <c r="E247"/>
    </row>
    <row r="248" spans="5:5" x14ac:dyDescent="0.25">
      <c r="E248"/>
    </row>
    <row r="249" spans="5:5" x14ac:dyDescent="0.25">
      <c r="E249"/>
    </row>
    <row r="250" spans="5:5" x14ac:dyDescent="0.25">
      <c r="E250"/>
    </row>
    <row r="251" spans="5:5" x14ac:dyDescent="0.25">
      <c r="E251"/>
    </row>
    <row r="252" spans="5:5" x14ac:dyDescent="0.25">
      <c r="E252"/>
    </row>
    <row r="253" spans="5:5" x14ac:dyDescent="0.25">
      <c r="E253"/>
    </row>
    <row r="254" spans="5:5" x14ac:dyDescent="0.25">
      <c r="E254"/>
    </row>
    <row r="255" spans="5:5" x14ac:dyDescent="0.25">
      <c r="E255"/>
    </row>
    <row r="256" spans="5:5" x14ac:dyDescent="0.25">
      <c r="E256"/>
    </row>
    <row r="257" spans="5:5" x14ac:dyDescent="0.25">
      <c r="E257"/>
    </row>
    <row r="258" spans="5:5" x14ac:dyDescent="0.25">
      <c r="E258"/>
    </row>
    <row r="259" spans="5:5" x14ac:dyDescent="0.25">
      <c r="E259"/>
    </row>
    <row r="260" spans="5:5" x14ac:dyDescent="0.25">
      <c r="E260"/>
    </row>
    <row r="261" spans="5:5" x14ac:dyDescent="0.25">
      <c r="E261"/>
    </row>
    <row r="262" spans="5:5" x14ac:dyDescent="0.25">
      <c r="E262"/>
    </row>
    <row r="263" spans="5:5" x14ac:dyDescent="0.25">
      <c r="E263"/>
    </row>
    <row r="264" spans="5:5" x14ac:dyDescent="0.25">
      <c r="E264"/>
    </row>
    <row r="265" spans="5:5" x14ac:dyDescent="0.25">
      <c r="E265"/>
    </row>
    <row r="266" spans="5:5" x14ac:dyDescent="0.25">
      <c r="E266"/>
    </row>
    <row r="267" spans="5:5" x14ac:dyDescent="0.25">
      <c r="E267"/>
    </row>
    <row r="268" spans="5:5" x14ac:dyDescent="0.25">
      <c r="E268"/>
    </row>
    <row r="269" spans="5:5" x14ac:dyDescent="0.25">
      <c r="E269"/>
    </row>
    <row r="270" spans="5:5" x14ac:dyDescent="0.25">
      <c r="E270"/>
    </row>
    <row r="271" spans="5:5" x14ac:dyDescent="0.25">
      <c r="E271"/>
    </row>
    <row r="272" spans="5:5" x14ac:dyDescent="0.25">
      <c r="E272"/>
    </row>
    <row r="273" spans="5:5" x14ac:dyDescent="0.25">
      <c r="E273"/>
    </row>
    <row r="274" spans="5:5" x14ac:dyDescent="0.25">
      <c r="E274"/>
    </row>
    <row r="275" spans="5:5" x14ac:dyDescent="0.25">
      <c r="E275"/>
    </row>
    <row r="276" spans="5:5" x14ac:dyDescent="0.25">
      <c r="E276"/>
    </row>
    <row r="277" spans="5:5" x14ac:dyDescent="0.25">
      <c r="E277"/>
    </row>
    <row r="278" spans="5:5" x14ac:dyDescent="0.25">
      <c r="E278"/>
    </row>
    <row r="279" spans="5:5" x14ac:dyDescent="0.25">
      <c r="E279"/>
    </row>
  </sheetData>
  <mergeCells count="6">
    <mergeCell ref="C38:G38"/>
    <mergeCell ref="C10:G10"/>
    <mergeCell ref="C17:G17"/>
    <mergeCell ref="C24:G24"/>
    <mergeCell ref="C31:G31"/>
    <mergeCell ref="C14:G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Hu4fxw</cp:lastModifiedBy>
  <cp:lastPrinted>2024-09-23T01:47:46Z</cp:lastPrinted>
  <dcterms:created xsi:type="dcterms:W3CDTF">2024-09-02T06:49:39Z</dcterms:created>
  <dcterms:modified xsi:type="dcterms:W3CDTF">2026-03-09T13:22:37Z</dcterms:modified>
</cp:coreProperties>
</file>