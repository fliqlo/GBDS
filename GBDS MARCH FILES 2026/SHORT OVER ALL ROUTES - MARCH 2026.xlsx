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51C63E8E-0C00-4F8F-B0B5-76B9CD4E049A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R1'!$A$1:$G$44</definedName>
    <definedName name="_xlnm.Print_Area" localSheetId="1">'MARCH, SRS R2'!$A$1:$G$44</definedName>
    <definedName name="_xlnm.Print_Area" localSheetId="2">'MARCH,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7" i="13" l="1"/>
  <c r="F23" i="6" l="1"/>
  <c r="F18" i="6" l="1"/>
  <c r="F15" i="13"/>
  <c r="F43" i="13" l="1"/>
  <c r="F43" i="12"/>
  <c r="F43" i="6"/>
  <c r="G43" i="13" l="1"/>
  <c r="E43" i="13"/>
  <c r="D43" i="13"/>
  <c r="C43" i="13"/>
  <c r="G43" i="12"/>
  <c r="E43" i="12"/>
  <c r="D43" i="12"/>
  <c r="C43" i="12"/>
  <c r="D43" i="6" l="1"/>
  <c r="E43" i="6"/>
  <c r="G43" i="6"/>
  <c r="C43" i="6" l="1"/>
</calcChain>
</file>

<file path=xl/sharedStrings.xml><?xml version="1.0" encoding="utf-8"?>
<sst xmlns="http://schemas.openxmlformats.org/spreadsheetml/2006/main" count="76" uniqueCount="18">
  <si>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</si>
  <si>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</si>
  <si>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</si>
  <si>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</si>
  <si>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</si>
  <si>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</si>
  <si>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</si>
  <si>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</si>
  <si>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</si>
  <si>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</si>
  <si>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</si>
  <si>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</si>
  <si>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</si>
  <si>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</si>
  <si>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</si>
  <si>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MARCH</t>
  </si>
  <si>
    <t>DISCOUNT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</si>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</sst>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14" fillId="0" borderId="1" xfId="1" applyFont="1" applyBorder="1"/>
    <xf numFmtId="164" fontId="2" fillId="0" borderId="6" xfId="1" applyFont="1" applyBorder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tabSelected="1" zoomScaleNormal="100" zoomScaleSheetLayoutView="100" workbookViewId="0">
      <selection activeCell="C34" sqref="C3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16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265882</v>
      </c>
      <c r="D11" s="35">
        <v>15.75</v>
      </c>
      <c r="E11" s="34"/>
      <c r="F11" s="37">
        <v>1356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322724</v>
      </c>
      <c r="D12" s="13"/>
      <c r="E12" s="38">
        <v>928.5</v>
      </c>
      <c r="F12" s="38"/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387395</v>
      </c>
      <c r="D13" s="35">
        <v>836.75</v>
      </c>
      <c r="E13" s="35"/>
      <c r="F13" s="36">
        <v>2004</v>
      </c>
      <c r="G13" s="3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12">
        <v>301631</v>
      </c>
      <c r="D14" s="13">
        <v>91.5</v>
      </c>
      <c r="E14" s="12"/>
      <c r="F14" s="12">
        <v>1950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41" t="s">
        <v>17</v>
      </c>
      <c r="D15" s="42"/>
      <c r="E15" s="42"/>
      <c r="F15" s="42"/>
      <c r="G15" s="4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319434</v>
      </c>
      <c r="D16" s="35">
        <v>1647.25</v>
      </c>
      <c r="E16" s="35"/>
      <c r="F16" s="35"/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529181</v>
      </c>
      <c r="D18" s="15">
        <v>659.25</v>
      </c>
      <c r="E18" s="12"/>
      <c r="F18" s="12">
        <f>3204</f>
        <v>3204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267570</v>
      </c>
      <c r="D19" s="35"/>
      <c r="E19" s="37">
        <v>477.75</v>
      </c>
      <c r="F19" s="37"/>
      <c r="G19" s="12">
        <v>50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320439</v>
      </c>
      <c r="D20" s="35">
        <v>297</v>
      </c>
      <c r="E20" s="35"/>
      <c r="F20" s="40">
        <v>1938</v>
      </c>
      <c r="G20" s="3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335528</v>
      </c>
      <c r="D21" s="13">
        <v>178.5</v>
      </c>
      <c r="E21" s="12"/>
      <c r="F21" s="39">
        <v>2268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17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561365</v>
      </c>
      <c r="D23" s="35"/>
      <c r="E23" s="40">
        <v>91.5</v>
      </c>
      <c r="F23" s="40">
        <f>1998</f>
        <v>1998</v>
      </c>
      <c r="G23" s="40">
        <v>50</v>
      </c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41" t="s">
        <v>17</v>
      </c>
      <c r="D25" s="42"/>
      <c r="E25" s="42"/>
      <c r="F25" s="42"/>
      <c r="G25" s="43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>
        <v>793392</v>
      </c>
      <c r="D26" s="35">
        <v>874.75</v>
      </c>
      <c r="E26" s="36"/>
      <c r="F26" s="36">
        <v>5466</v>
      </c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>
        <v>401678</v>
      </c>
      <c r="D27" s="35">
        <v>560.5</v>
      </c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>
        <v>449433</v>
      </c>
      <c r="D28" s="13">
        <v>83</v>
      </c>
      <c r="E28" s="12"/>
      <c r="F28" s="39">
        <v>1944</v>
      </c>
      <c r="G28" s="33">
        <v>50</v>
      </c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>
        <v>343569</v>
      </c>
      <c r="D29" s="15">
        <v>3750</v>
      </c>
      <c r="E29" s="12"/>
      <c r="F29" s="39"/>
      <c r="G29" s="33">
        <v>50</v>
      </c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41" t="s">
        <v>17</v>
      </c>
      <c r="D30" s="42"/>
      <c r="E30" s="42"/>
      <c r="F30" s="42"/>
      <c r="G30" s="43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>
        <v>441683</v>
      </c>
      <c r="D32" s="15">
        <v>479.25</v>
      </c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>
        <v>356654</v>
      </c>
      <c r="D33" s="35"/>
      <c r="E33" s="34">
        <v>164.5</v>
      </c>
      <c r="F33" s="33">
        <v>2592</v>
      </c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6397558</v>
      </c>
      <c r="D43" s="31">
        <f>SUM(D10:D42)</f>
        <v>9473.5</v>
      </c>
      <c r="E43" s="18">
        <f>SUM(E10:E42)</f>
        <v>1662.25</v>
      </c>
      <c r="F43" s="18">
        <f>SUM(F10:F42)</f>
        <v>24720</v>
      </c>
      <c r="G43" s="18">
        <f>SUM(G10:G42)</f>
        <v>200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32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9">
    <mergeCell ref="C38:G38"/>
    <mergeCell ref="C10:G10"/>
    <mergeCell ref="C17:G17"/>
    <mergeCell ref="C24:G24"/>
    <mergeCell ref="C31:G31"/>
    <mergeCell ref="C15:G15"/>
    <mergeCell ref="C22:G22"/>
    <mergeCell ref="C25:G25"/>
    <mergeCell ref="C30:G30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zoomScaleNormal="100" zoomScaleSheetLayoutView="100" workbookViewId="0">
      <selection activeCell="C34" sqref="C3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16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313708.5</v>
      </c>
      <c r="D11" s="35">
        <v>624</v>
      </c>
      <c r="E11" s="34"/>
      <c r="F11" s="37">
        <v>1380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228774</v>
      </c>
      <c r="D12" s="13">
        <v>142</v>
      </c>
      <c r="E12" s="13"/>
      <c r="F12" s="38">
        <v>732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253739</v>
      </c>
      <c r="D13" s="35">
        <v>44</v>
      </c>
      <c r="E13" s="35"/>
      <c r="F13" s="36">
        <v>1944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12">
        <v>264640</v>
      </c>
      <c r="D14" s="13">
        <v>3553</v>
      </c>
      <c r="E14" s="12"/>
      <c r="F14" s="12">
        <v>1182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41" t="s">
        <v>17</v>
      </c>
      <c r="D15" s="42"/>
      <c r="E15" s="42"/>
      <c r="F15" s="42"/>
      <c r="G15" s="4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351657</v>
      </c>
      <c r="D16" s="35">
        <v>12</v>
      </c>
      <c r="E16" s="35"/>
      <c r="F16" s="40">
        <v>1200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502921</v>
      </c>
      <c r="D18" s="15">
        <v>197.5</v>
      </c>
      <c r="E18" s="12"/>
      <c r="F18" s="12">
        <v>3372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266386.58333333331</v>
      </c>
      <c r="D19" s="35"/>
      <c r="E19" s="37">
        <v>39.92</v>
      </c>
      <c r="F19" s="37">
        <v>648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268786</v>
      </c>
      <c r="D20" s="35">
        <v>1173.5</v>
      </c>
      <c r="E20" s="35"/>
      <c r="F20" s="40">
        <v>1776</v>
      </c>
      <c r="G20" s="40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383159</v>
      </c>
      <c r="D21" s="13"/>
      <c r="E21" s="12">
        <v>580.5</v>
      </c>
      <c r="F21" s="39">
        <v>2160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17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279612</v>
      </c>
      <c r="D23" s="35"/>
      <c r="E23" s="40">
        <v>148.5</v>
      </c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12">
        <v>451583</v>
      </c>
      <c r="D25" s="15">
        <v>158.5</v>
      </c>
      <c r="E25" s="12"/>
      <c r="F25" s="12">
        <v>2982</v>
      </c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>
        <v>327138</v>
      </c>
      <c r="D26" s="35">
        <v>1542</v>
      </c>
      <c r="E26" s="36"/>
      <c r="F26" s="36">
        <v>2496</v>
      </c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>
        <v>309448</v>
      </c>
      <c r="D27" s="35">
        <v>278.75</v>
      </c>
      <c r="E27" s="36"/>
      <c r="F27" s="36">
        <v>1944</v>
      </c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>
        <v>267889</v>
      </c>
      <c r="D28" s="13"/>
      <c r="E28" s="12">
        <v>22.25</v>
      </c>
      <c r="F28" s="39">
        <v>624</v>
      </c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>
        <v>348180</v>
      </c>
      <c r="D29" s="15"/>
      <c r="E29" s="12">
        <v>352.75</v>
      </c>
      <c r="F29" s="39">
        <v>648</v>
      </c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41" t="s">
        <v>17</v>
      </c>
      <c r="D30" s="42"/>
      <c r="E30" s="42"/>
      <c r="F30" s="42"/>
      <c r="G30" s="43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>
        <v>356198</v>
      </c>
      <c r="D32" s="15"/>
      <c r="E32" s="12">
        <v>245</v>
      </c>
      <c r="F32" s="12">
        <v>2598</v>
      </c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>
        <v>291721</v>
      </c>
      <c r="D33" s="35">
        <v>375.25</v>
      </c>
      <c r="E33" s="34"/>
      <c r="F33" s="33">
        <v>2064</v>
      </c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5465540.083333334</v>
      </c>
      <c r="D43" s="31">
        <f>SUM(D10:D42)</f>
        <v>8100.5</v>
      </c>
      <c r="E43" s="18">
        <f>SUM(E10:E42)</f>
        <v>1388.92</v>
      </c>
      <c r="F43" s="18">
        <f>SUM(F10:F42)</f>
        <v>27750</v>
      </c>
      <c r="G43" s="18">
        <f>SUM(G10:G42)</f>
        <v>100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C38:G38"/>
    <mergeCell ref="C10:G10"/>
    <mergeCell ref="C17:G17"/>
    <mergeCell ref="C24:G24"/>
    <mergeCell ref="C31:G31"/>
    <mergeCell ref="C15:G15"/>
    <mergeCell ref="C22:G22"/>
    <mergeCell ref="C30:G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zoomScaleNormal="100" zoomScaleSheetLayoutView="100" workbookViewId="0">
      <selection activeCell="C34" sqref="C3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16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259606</v>
      </c>
      <c r="D11" s="35"/>
      <c r="E11" s="37">
        <v>107</v>
      </c>
      <c r="F11" s="37">
        <v>690</v>
      </c>
      <c r="G11" s="37">
        <v>50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273403</v>
      </c>
      <c r="D12" s="13"/>
      <c r="E12" s="38">
        <v>1.5</v>
      </c>
      <c r="F12" s="38">
        <v>918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236285</v>
      </c>
      <c r="D13" s="35">
        <v>67.75</v>
      </c>
      <c r="E13" s="35"/>
      <c r="F13" s="36">
        <v>1158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41" t="s">
        <v>17</v>
      </c>
      <c r="D14" s="42"/>
      <c r="E14" s="42"/>
      <c r="F14" s="42"/>
      <c r="G14" s="43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12">
        <v>363462</v>
      </c>
      <c r="D15" s="15"/>
      <c r="E15" s="12">
        <v>393</v>
      </c>
      <c r="F15" s="39">
        <f>2472</f>
        <v>2472</v>
      </c>
      <c r="G15" s="33">
        <v>50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412474</v>
      </c>
      <c r="D16" s="35"/>
      <c r="E16" s="36">
        <v>1346.5</v>
      </c>
      <c r="F16" s="36">
        <v>2736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344843</v>
      </c>
      <c r="D18" s="15">
        <v>220.75</v>
      </c>
      <c r="E18" s="12"/>
      <c r="F18" s="12">
        <v>300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281186</v>
      </c>
      <c r="D19" s="35">
        <v>149.75</v>
      </c>
      <c r="E19" s="37"/>
      <c r="F19" s="37">
        <v>1128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349583</v>
      </c>
      <c r="D20" s="35"/>
      <c r="E20" s="40">
        <v>112</v>
      </c>
      <c r="F20" s="40">
        <v>2388</v>
      </c>
      <c r="G20" s="40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320630</v>
      </c>
      <c r="D21" s="13">
        <v>437.25</v>
      </c>
      <c r="E21" s="12"/>
      <c r="F21" s="39">
        <v>1890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17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267902</v>
      </c>
      <c r="D23" s="35"/>
      <c r="E23" s="35">
        <v>193.25</v>
      </c>
      <c r="F23" s="40">
        <v>1266</v>
      </c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12">
        <v>415764</v>
      </c>
      <c r="D25" s="15"/>
      <c r="E25" s="12">
        <v>691</v>
      </c>
      <c r="F25" s="12">
        <v>1662</v>
      </c>
      <c r="G25" s="40">
        <v>50</v>
      </c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>
        <v>454572</v>
      </c>
      <c r="D26" s="35">
        <v>242.75</v>
      </c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>
        <v>311662</v>
      </c>
      <c r="D27" s="35"/>
      <c r="E27" s="36">
        <v>261</v>
      </c>
      <c r="F27" s="36">
        <f>1206</f>
        <v>1206</v>
      </c>
      <c r="G27" s="40">
        <v>70</v>
      </c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>
        <v>432743</v>
      </c>
      <c r="D28" s="13">
        <v>422</v>
      </c>
      <c r="E28" s="12"/>
      <c r="F28" s="39">
        <v>3228</v>
      </c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>
        <v>313665</v>
      </c>
      <c r="D29" s="15">
        <v>95</v>
      </c>
      <c r="E29" s="12"/>
      <c r="F29" s="39">
        <v>2052</v>
      </c>
      <c r="G29" s="33">
        <v>50</v>
      </c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41" t="s">
        <v>17</v>
      </c>
      <c r="D30" s="42"/>
      <c r="E30" s="42"/>
      <c r="F30" s="42"/>
      <c r="G30" s="43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>
        <v>376448</v>
      </c>
      <c r="D32" s="15">
        <v>79.5</v>
      </c>
      <c r="E32" s="12"/>
      <c r="F32" s="12">
        <v>2304</v>
      </c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>
        <v>362847</v>
      </c>
      <c r="D33" s="35">
        <v>103.25</v>
      </c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5777075</v>
      </c>
      <c r="D43" s="31">
        <f>SUM(D10:D42)</f>
        <v>1818</v>
      </c>
      <c r="E43" s="18">
        <f>SUM(E10:E42)</f>
        <v>3105.25</v>
      </c>
      <c r="F43" s="18">
        <f>SUM(F10:F42)</f>
        <v>25398</v>
      </c>
      <c r="G43" s="18">
        <f>SUM(G10:G42)</f>
        <v>370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C38:G38"/>
    <mergeCell ref="C10:G10"/>
    <mergeCell ref="C17:G17"/>
    <mergeCell ref="C24:G24"/>
    <mergeCell ref="C31:G31"/>
    <mergeCell ref="C14:G14"/>
    <mergeCell ref="C22:G22"/>
    <mergeCell ref="C30:G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2026-03-24T23:59:51Z</dcterms:modified>
</cp:coreProperties>
</file>