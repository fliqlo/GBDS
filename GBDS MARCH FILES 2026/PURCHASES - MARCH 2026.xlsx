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8D992AAE-1849-4407-8604-6183161B0FAB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MARCH" sheetId="6" r:id="rId2"/>
  </sheets>
  <definedNames>
    <definedName name="_xlnm.Print_Area" localSheetId="1">'PE, MARCH'!#REF!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16" i="6" l="1"/>
  <c r="I15" i="6"/>
  <c r="G15" i="6"/>
  <c r="I14" i="6" l="1"/>
  <c r="I13" i="6" l="1"/>
  <c r="I12" i="6" l="1"/>
  <c r="I11" i="6" l="1"/>
  <c r="I10" i="6" l="1"/>
  <c r="I9" i="6" l="1"/>
  <c r="I8" i="6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<sst xmlns="http://schemas.openxmlformats.org/spreadsheetml/2006/main" count="262" uniqueCount="83">
  <si>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</si>
  <si>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</si>
  <si>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</si>
  <si>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</si>
  <si>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</si>
  <si>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</si>
  <si>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</si>
  <si>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</si>
  <si>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</si>
  <si>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</si>
  <si>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</si>
  <si>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</si>
  <si>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</si>
  <si>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</si>
  <si>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</si>
  <si>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</si>
  <si>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</si>
  <si>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</si>
  <si>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</si>
  <si>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</si>
  <si>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</si>
  <si>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</si>
  <si>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</si>
  <si>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</si>
  <si>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</si>
  <si>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</si>
  <si>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</si>
  <si>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</si>
  <si>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</si>
  <si>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</si>
  <si>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</si>
  <si>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</si>
  <si>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</si>
  <si>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</si>
  <si>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</si>
  <si>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</si>
  <si>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</si>
  <si>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</si>
  <si>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</si>
  <si>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</si>
  <si>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</si>
  <si>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</si>
  <si>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</si>
  <si>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</si>
  <si>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</si>
  <si>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</si>
  <si>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</si>
  <si>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</si>
  <si>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</si>
  <si>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</si>
  <si>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</si>
  <si>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</si>
  <si>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</si>
  <si>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</si>
  <si>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</si>
  <si>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</si>
  <si>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</si>
  <si>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</si>
  <si>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</si>
  <si>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</si>
  <si>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</si>
  <si>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</si>
  <si>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</si>
  <si>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</si>
  <si>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</si>
  <si>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</si>
  <si>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</si>
  <si>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</si>
  <si>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</si>
  <si>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</si>
  <si>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</si>
  <si>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</si>
  <si>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</si>
  <si>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</si>
  <si>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</si>
  <si>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MARCH 2026</t>
  </si>
  <si>
    <t>03/16/2026</t>
  </si>
  <si>
    <t>03/17/2026</t>
  </si>
  <si>
    <t>03/18/2026</t>
  </si>
  <si>
    <t>03/20/2026</t>
  </si>
  <si>
    <t>51847------</t>
  </si>
  <si>
    <t>03/23/2026</t>
  </si>
  <si>
    <t>03/24/2026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</si>
</sst>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C17" sqref="C17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 t="s">
        <v>76</v>
      </c>
      <c r="D7" s="20" t="s">
        <v>68</v>
      </c>
      <c r="E7" s="12"/>
      <c r="F7" s="20" t="s">
        <v>70</v>
      </c>
      <c r="G7" s="20">
        <v>518463754</v>
      </c>
      <c r="H7" s="20" t="s">
        <v>74</v>
      </c>
      <c r="I7" s="21">
        <f t="shared" ref="I7:I12" si="0">1397196-60845.04</f>
        <v>1336350.96</v>
      </c>
      <c r="K7" s="21">
        <f>M7*12</f>
        <v>143180.46</v>
      </c>
      <c r="L7" s="27">
        <f>I7-K7</f>
        <v>1193170.5</v>
      </c>
      <c r="M7" s="33">
        <f>I7/112</f>
        <v>11931.705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 t="s">
        <v>77</v>
      </c>
      <c r="D8" s="20" t="s">
        <v>68</v>
      </c>
      <c r="E8" s="20"/>
      <c r="F8" s="20" t="s">
        <v>70</v>
      </c>
      <c r="G8" s="20">
        <v>518467776</v>
      </c>
      <c r="H8" s="20" t="s">
        <v>74</v>
      </c>
      <c r="I8" s="21">
        <f t="shared" si="0"/>
        <v>1336350.96</v>
      </c>
      <c r="K8" s="21">
        <f>M8*12</f>
        <v>143180.46</v>
      </c>
      <c r="L8" s="27">
        <f>I8-K8</f>
        <v>1193170.5</v>
      </c>
      <c r="M8" s="33">
        <f t="shared" ref="M8:M26" si="1">I8/112</f>
        <v>11931.705</v>
      </c>
    </row>
    <row r="9" spans="1:15" x14ac:dyDescent="0.25">
      <c r="A9">
        <f t="shared" ref="A9:B27" si="2">A8+1</f>
        <v>3</v>
      </c>
      <c r="B9" s="23">
        <f t="shared" si="2"/>
        <v>3</v>
      </c>
      <c r="C9" s="19" t="s">
        <v>77</v>
      </c>
      <c r="D9" s="20" t="s">
        <v>68</v>
      </c>
      <c r="E9" s="20"/>
      <c r="F9" s="20" t="s">
        <v>70</v>
      </c>
      <c r="G9" s="20">
        <v>518467485</v>
      </c>
      <c r="H9" s="20" t="s">
        <v>74</v>
      </c>
      <c r="I9" s="21">
        <f t="shared" si="0"/>
        <v>1336350.96</v>
      </c>
      <c r="K9" s="21">
        <f t="shared" ref="K9:K26" si="3">M9*12</f>
        <v>143180.46</v>
      </c>
      <c r="L9" s="27">
        <f t="shared" ref="L9:L26" si="4">I9-K9</f>
        <v>1193170.5</v>
      </c>
      <c r="M9" s="33">
        <f t="shared" si="1"/>
        <v>11931.705</v>
      </c>
    </row>
    <row r="10" spans="1:15" x14ac:dyDescent="0.25">
      <c r="A10">
        <f t="shared" si="2"/>
        <v>4</v>
      </c>
      <c r="B10" s="23">
        <f t="shared" si="2"/>
        <v>4</v>
      </c>
      <c r="C10" s="19" t="s">
        <v>78</v>
      </c>
      <c r="D10" s="20" t="s">
        <v>68</v>
      </c>
      <c r="E10" s="20"/>
      <c r="F10" s="20" t="s">
        <v>70</v>
      </c>
      <c r="G10" s="20">
        <v>518471084</v>
      </c>
      <c r="H10" s="20" t="s">
        <v>74</v>
      </c>
      <c r="I10" s="21">
        <f t="shared" si="0"/>
        <v>1336350.96</v>
      </c>
      <c r="K10" s="21">
        <f t="shared" si="3"/>
        <v>143180.46</v>
      </c>
      <c r="L10" s="27">
        <f t="shared" si="4"/>
        <v>1193170.5</v>
      </c>
      <c r="M10" s="33">
        <f t="shared" si="1"/>
        <v>11931.705</v>
      </c>
    </row>
    <row r="11" spans="1:15" x14ac:dyDescent="0.25">
      <c r="A11">
        <f t="shared" si="2"/>
        <v>5</v>
      </c>
      <c r="B11" s="23">
        <f t="shared" si="2"/>
        <v>5</v>
      </c>
      <c r="C11" s="19" t="s">
        <v>78</v>
      </c>
      <c r="D11" s="20" t="s">
        <v>68</v>
      </c>
      <c r="E11" s="20"/>
      <c r="F11" s="20" t="s">
        <v>70</v>
      </c>
      <c r="G11" s="20">
        <v>518471366</v>
      </c>
      <c r="H11" s="20" t="s">
        <v>74</v>
      </c>
      <c r="I11" s="21">
        <f t="shared" si="0"/>
        <v>1336350.96</v>
      </c>
      <c r="K11" s="21">
        <f t="shared" si="3"/>
        <v>143180.46</v>
      </c>
      <c r="L11" s="27">
        <f t="shared" si="4"/>
        <v>1193170.5</v>
      </c>
      <c r="M11" s="33">
        <f t="shared" si="1"/>
        <v>11931.705</v>
      </c>
    </row>
    <row r="12" spans="1:15" x14ac:dyDescent="0.25">
      <c r="A12">
        <f t="shared" si="2"/>
        <v>6</v>
      </c>
      <c r="B12" s="23">
        <f t="shared" si="2"/>
        <v>6</v>
      </c>
      <c r="C12" s="19" t="s">
        <v>79</v>
      </c>
      <c r="D12" s="20" t="s">
        <v>68</v>
      </c>
      <c r="E12" s="20"/>
      <c r="F12" s="20" t="s">
        <v>70</v>
      </c>
      <c r="G12" s="20" t="s">
        <v>80</v>
      </c>
      <c r="H12" s="20" t="s">
        <v>74</v>
      </c>
      <c r="I12" s="21">
        <f t="shared" si="0"/>
        <v>1336350.96</v>
      </c>
      <c r="K12" s="21">
        <f t="shared" si="3"/>
        <v>143180.46</v>
      </c>
      <c r="L12" s="27">
        <f t="shared" si="4"/>
        <v>1193170.5</v>
      </c>
      <c r="M12" s="33">
        <f t="shared" si="1"/>
        <v>11931.705</v>
      </c>
    </row>
    <row r="13" spans="1:15" x14ac:dyDescent="0.25">
      <c r="A13">
        <f t="shared" si="2"/>
        <v>7</v>
      </c>
      <c r="B13" s="23">
        <f t="shared" si="2"/>
        <v>7</v>
      </c>
      <c r="C13" s="19" t="s">
        <v>81</v>
      </c>
      <c r="D13" s="20" t="s">
        <v>68</v>
      </c>
      <c r="E13" s="20"/>
      <c r="F13" s="20" t="s">
        <v>70</v>
      </c>
      <c r="G13" s="20">
        <v>518484687</v>
      </c>
      <c r="H13" s="20" t="s">
        <v>74</v>
      </c>
      <c r="I13" s="21">
        <f>1377504-85074.83</f>
        <v>1292429.17</v>
      </c>
      <c r="K13" s="21">
        <f t="shared" si="3"/>
        <v>138474.5539285714</v>
      </c>
      <c r="L13" s="27">
        <f>I13-K13</f>
        <v>1153954.6160714286</v>
      </c>
      <c r="M13" s="33">
        <f>I13/112</f>
        <v>11539.546160714284</v>
      </c>
    </row>
    <row r="14" spans="1:15" x14ac:dyDescent="0.25">
      <c r="A14">
        <f t="shared" si="2"/>
        <v>8</v>
      </c>
      <c r="B14" s="23">
        <f t="shared" si="2"/>
        <v>8</v>
      </c>
      <c r="C14" s="19" t="s">
        <v>82</v>
      </c>
      <c r="D14" s="20" t="s">
        <v>68</v>
      </c>
      <c r="E14" s="20"/>
      <c r="F14" s="20" t="s">
        <v>70</v>
      </c>
      <c r="G14" s="20">
        <v>518489181</v>
      </c>
      <c r="H14" s="20" t="s">
        <v>74</v>
      </c>
      <c r="I14" s="38">
        <f>1397196-60845.04</f>
        <v>1336350.96</v>
      </c>
      <c r="K14" s="21">
        <f t="shared" si="3"/>
        <v>143180.46</v>
      </c>
      <c r="L14" s="27">
        <f t="shared" si="4"/>
        <v>1193170.5</v>
      </c>
      <c r="M14" s="33">
        <f t="shared" si="1"/>
        <v>11931.705</v>
      </c>
    </row>
    <row r="15" spans="1:15" x14ac:dyDescent="0.25">
      <c r="A15">
        <f t="shared" si="2"/>
        <v>9</v>
      </c>
      <c r="B15" s="23">
        <f t="shared" si="2"/>
        <v>9</v>
      </c>
      <c r="C15" s="19" t="s">
        <v>82</v>
      </c>
      <c r="D15" s="20" t="s">
        <v>68</v>
      </c>
      <c r="E15" s="20"/>
      <c r="F15" s="20" t="s">
        <v>70</v>
      </c>
      <c r="G15" s="20">
        <f>518488649</f>
        <v>518488649</v>
      </c>
      <c r="H15" s="20" t="s">
        <v>74</v>
      </c>
      <c r="I15" s="21">
        <f>1397196-60845.04</f>
        <v>1336350.96</v>
      </c>
      <c r="K15" s="21">
        <f t="shared" si="3"/>
        <v>143180.46</v>
      </c>
      <c r="L15" s="27">
        <f>I15-K15</f>
        <v>1193170.5</v>
      </c>
      <c r="M15" s="33">
        <f>I15/112</f>
        <v>11931.705</v>
      </c>
    </row>
    <row r="16" spans="1:15" x14ac:dyDescent="0.25">
      <c r="A16">
        <f t="shared" si="2"/>
        <v>10</v>
      </c>
      <c r="B16" s="23">
        <f t="shared" si="2"/>
        <v>10</v>
      </c>
      <c r="C16" s="19" t="s">
        <v>82</v>
      </c>
      <c r="D16" s="20" t="s">
        <v>68</v>
      </c>
      <c r="E16" s="20"/>
      <c r="F16" s="20" t="s">
        <v>70</v>
      </c>
      <c r="G16" s="20">
        <v>518488736</v>
      </c>
      <c r="H16" s="20" t="s">
        <v>74</v>
      </c>
      <c r="I16" s="21">
        <f>1397196-60845.04</f>
        <v>1336350.96</v>
      </c>
      <c r="K16" s="21">
        <f t="shared" si="3"/>
        <v>143180.46</v>
      </c>
      <c r="L16" s="27">
        <f t="shared" si="4"/>
        <v>1193170.5</v>
      </c>
      <c r="M16" s="33">
        <f t="shared" si="1"/>
        <v>11931.705</v>
      </c>
    </row>
    <row r="17" spans="1:13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3"/>
        <v>0</v>
      </c>
      <c r="L17" s="27">
        <f t="shared" si="4"/>
        <v>0</v>
      </c>
      <c r="M17" s="33">
        <f t="shared" si="1"/>
        <v>0</v>
      </c>
    </row>
    <row r="18" spans="1:13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3"/>
        <v>0</v>
      </c>
      <c r="L18" s="27">
        <f t="shared" si="4"/>
        <v>0</v>
      </c>
      <c r="M18" s="33">
        <f t="shared" si="1"/>
        <v>0</v>
      </c>
    </row>
    <row r="19" spans="1:13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3"/>
        <v>0</v>
      </c>
      <c r="L19" s="27">
        <f t="shared" si="4"/>
        <v>0</v>
      </c>
      <c r="M19" s="33">
        <f t="shared" si="1"/>
        <v>0</v>
      </c>
    </row>
    <row r="20" spans="1:13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3"/>
        <v>0</v>
      </c>
      <c r="L20" s="27">
        <f t="shared" si="4"/>
        <v>0</v>
      </c>
      <c r="M20" s="33">
        <f t="shared" si="1"/>
        <v>0</v>
      </c>
    </row>
    <row r="21" spans="1:13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3"/>
        <v>0</v>
      </c>
      <c r="L21" s="27">
        <f t="shared" si="4"/>
        <v>0</v>
      </c>
      <c r="M21" s="33">
        <f t="shared" si="1"/>
        <v>0</v>
      </c>
    </row>
    <row r="22" spans="1:13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3"/>
        <v>0</v>
      </c>
      <c r="L22" s="27">
        <f t="shared" si="4"/>
        <v>0</v>
      </c>
      <c r="M22" s="33">
        <f t="shared" si="1"/>
        <v>0</v>
      </c>
    </row>
    <row r="23" spans="1:13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3"/>
        <v>0</v>
      </c>
      <c r="L23" s="27">
        <f t="shared" si="4"/>
        <v>0</v>
      </c>
      <c r="M23" s="33">
        <f t="shared" si="1"/>
        <v>0</v>
      </c>
    </row>
    <row r="24" spans="1:13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3"/>
        <v>0</v>
      </c>
      <c r="L24" s="27">
        <f t="shared" si="4"/>
        <v>0</v>
      </c>
      <c r="M24" s="33">
        <f t="shared" si="1"/>
        <v>0</v>
      </c>
    </row>
    <row r="25" spans="1:13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3"/>
        <v>0</v>
      </c>
      <c r="L25" s="27">
        <f t="shared" si="4"/>
        <v>0</v>
      </c>
      <c r="M25" s="33">
        <f t="shared" si="1"/>
        <v>0</v>
      </c>
    </row>
    <row r="26" spans="1:13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3"/>
        <v>0</v>
      </c>
      <c r="L26" s="27">
        <f t="shared" si="4"/>
        <v>0</v>
      </c>
      <c r="M26" s="33">
        <f t="shared" si="1"/>
        <v>0</v>
      </c>
    </row>
    <row r="27" spans="1:13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5">M27*12</f>
        <v>0</v>
      </c>
      <c r="L27" s="27">
        <f t="shared" ref="L27" si="6">I27-K27</f>
        <v>0</v>
      </c>
      <c r="M27" s="33">
        <f t="shared" ref="M27" si="7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13319587.810000002</v>
      </c>
      <c r="K32" s="14">
        <f>SUM(K7:K31)</f>
        <v>1427098.6939285712</v>
      </c>
      <c r="L32" s="14">
        <f>SUM(L7:L31)</f>
        <v>11892489.116071429</v>
      </c>
      <c r="M32" s="36">
        <f>SUM(M7:M31)</f>
        <v>118924.89116071428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8">M40*12</f>
        <v>0</v>
      </c>
      <c r="L40" s="27">
        <f>I40-K40</f>
        <v>0</v>
      </c>
      <c r="M40" s="33">
        <f t="shared" ref="M40:M59" si="9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8"/>
        <v>0</v>
      </c>
      <c r="L41" s="27">
        <f t="shared" ref="L41:L59" si="10">I41-K41</f>
        <v>0</v>
      </c>
      <c r="M41" s="33">
        <f t="shared" si="9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8"/>
        <v>0</v>
      </c>
      <c r="L42" s="27">
        <f t="shared" si="10"/>
        <v>0</v>
      </c>
      <c r="M42" s="33">
        <f t="shared" si="9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8"/>
        <v>0</v>
      </c>
      <c r="L43" s="27">
        <f t="shared" si="10"/>
        <v>0</v>
      </c>
      <c r="M43" s="33">
        <f t="shared" si="9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8"/>
        <v>0</v>
      </c>
      <c r="L44" s="27">
        <f t="shared" si="10"/>
        <v>0</v>
      </c>
      <c r="M44" s="33">
        <f t="shared" si="9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8"/>
        <v>0</v>
      </c>
      <c r="L45" s="27">
        <f t="shared" si="10"/>
        <v>0</v>
      </c>
      <c r="M45" s="33">
        <f t="shared" si="9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8"/>
        <v>0</v>
      </c>
      <c r="L46" s="27">
        <f t="shared" si="10"/>
        <v>0</v>
      </c>
      <c r="M46" s="33">
        <f t="shared" si="9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8"/>
        <v>0</v>
      </c>
      <c r="L47" s="27">
        <f t="shared" si="10"/>
        <v>0</v>
      </c>
      <c r="M47" s="33">
        <f t="shared" si="9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8"/>
        <v>0</v>
      </c>
      <c r="L48" s="27">
        <f t="shared" si="10"/>
        <v>0</v>
      </c>
      <c r="M48" s="33">
        <f t="shared" si="9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8"/>
        <v>0</v>
      </c>
      <c r="L49" s="27">
        <f t="shared" si="10"/>
        <v>0</v>
      </c>
      <c r="M49" s="33">
        <f t="shared" si="9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8"/>
        <v>0</v>
      </c>
      <c r="L50" s="27">
        <f t="shared" si="10"/>
        <v>0</v>
      </c>
      <c r="M50" s="33">
        <f t="shared" si="9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8"/>
        <v>0</v>
      </c>
      <c r="L51" s="27">
        <f t="shared" si="10"/>
        <v>0</v>
      </c>
      <c r="M51" s="33">
        <f t="shared" si="9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8"/>
        <v>0</v>
      </c>
      <c r="L52" s="27">
        <f t="shared" si="10"/>
        <v>0</v>
      </c>
      <c r="M52" s="33">
        <f t="shared" si="9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8"/>
        <v>0</v>
      </c>
      <c r="L53" s="27">
        <f t="shared" si="10"/>
        <v>0</v>
      </c>
      <c r="M53" s="33">
        <f t="shared" si="9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8"/>
        <v>0</v>
      </c>
      <c r="L54" s="27">
        <f t="shared" si="10"/>
        <v>0</v>
      </c>
      <c r="M54" s="33">
        <f t="shared" si="9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8"/>
        <v>0</v>
      </c>
      <c r="L55" s="27">
        <f t="shared" si="10"/>
        <v>0</v>
      </c>
      <c r="M55" s="33">
        <f t="shared" si="9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8"/>
        <v>0</v>
      </c>
      <c r="L56" s="27">
        <f t="shared" si="10"/>
        <v>0</v>
      </c>
      <c r="M56" s="33">
        <f t="shared" si="9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8"/>
        <v>0</v>
      </c>
      <c r="L57" s="27">
        <f t="shared" si="10"/>
        <v>0</v>
      </c>
      <c r="M57" s="33">
        <f t="shared" si="9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8"/>
        <v>0</v>
      </c>
      <c r="L58" s="27">
        <f t="shared" si="10"/>
        <v>0</v>
      </c>
      <c r="M58" s="33">
        <f t="shared" si="9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8"/>
        <v>0</v>
      </c>
      <c r="L59" s="27">
        <f t="shared" si="10"/>
        <v>0</v>
      </c>
      <c r="M59" s="33">
        <f t="shared" si="9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MARCH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2026-03-25T02:58:42Z</dcterms:modified>
</cp:coreProperties>
</file>