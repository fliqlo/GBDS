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0029676-ACE2-4AEE-8808-6DD1C952D33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RCH" sheetId="6" r:id="rId2"/>
  </sheets>
  <definedNames>
    <definedName name="_xlnm.Print_Area" localSheetId="1">'PE, MARCH'!#REF!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<sst xmlns="http://schemas.openxmlformats.org/spreadsheetml/2006/main" count="258" uniqueCount="81">
  <si>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</si>
  <si>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</si>
  <si>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</si>
  <si>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</si>
  <si>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</si>
  <si>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</si>
  <si>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</si>
  <si>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</si>
  <si>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</si>
  <si>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</si>
  <si>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</si>
  <si>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</si>
  <si>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</si>
  <si>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</si>
  <si>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</si>
  <si>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</si>
  <si>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</si>
  <si>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</si>
  <si>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</si>
  <si>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</si>
  <si>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</si>
  <si>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</si>
  <si>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</si>
  <si>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</si>
  <si>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</si>
  <si>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</si>
  <si>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</si>
  <si>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</si>
  <si>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</si>
  <si>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</si>
  <si>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</si>
  <si>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</si>
  <si>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</si>
  <si>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</si>
  <si>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</si>
  <si>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</si>
  <si>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</si>
  <si>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</si>
  <si>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</si>
  <si>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</si>
  <si>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</si>
  <si>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</si>
  <si>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</si>
  <si>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</si>
  <si>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</si>
  <si>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</si>
  <si>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</si>
  <si>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</si>
  <si>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</si>
  <si>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</si>
  <si>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</si>
  <si>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</si>
  <si>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</si>
  <si>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</si>
  <si>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</si>
  <si>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</si>
  <si>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</si>
  <si>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</si>
  <si>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</si>
  <si>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</si>
  <si>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</si>
  <si>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</si>
  <si>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</si>
  <si>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</si>
  <si>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</si>
  <si>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</si>
  <si>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</si>
  <si>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</si>
  <si>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</si>
  <si>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</si>
  <si>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</si>
  <si>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</si>
  <si>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</si>
  <si>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</si>
  <si>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</si>
  <si>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</si>
  <si>
    <t>03/16/2026</t>
  </si>
  <si>
    <t>03/17/2026</t>
  </si>
  <si>
    <t>03/18/2026</t>
  </si>
  <si>
    <t>03/20/2026</t>
  </si>
  <si>
    <t>51847------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</si>
</sst>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3" sqref="I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518463754</v>
      </c>
      <c r="H7" s="20" t="s">
        <v>74</v>
      </c>
      <c r="I7" s="21">
        <f>1397196-60845.04</f>
        <v>1336350.96</v>
      </c>
      <c r="K7" s="21">
        <f>M7*12</f>
        <v>143180.46</v>
      </c>
      <c r="L7" s="27">
        <f>I7-K7</f>
        <v>1193170.5</v>
      </c>
      <c r="M7" s="33">
        <f>I7/112</f>
        <v>11931.705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518467776</v>
      </c>
      <c r="H8" s="20" t="s">
        <v>74</v>
      </c>
      <c r="I8" s="21">
        <f>1397196-60845.04</f>
        <v>1336350.96</v>
      </c>
      <c r="K8" s="21">
        <f>M8*12</f>
        <v>143180.46</v>
      </c>
      <c r="L8" s="27">
        <f>I8-K8</f>
        <v>1193170.5</v>
      </c>
      <c r="M8" s="33">
        <f t="shared" ref="M8:M26" si="0">I8/112</f>
        <v>11931.705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77</v>
      </c>
      <c r="D9" s="20" t="s">
        <v>68</v>
      </c>
      <c r="E9" s="20"/>
      <c r="F9" s="20" t="s">
        <v>70</v>
      </c>
      <c r="G9" s="20">
        <v>518467485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78</v>
      </c>
      <c r="D10" s="20" t="s">
        <v>68</v>
      </c>
      <c r="E10" s="20"/>
      <c r="F10" s="20" t="s">
        <v>70</v>
      </c>
      <c r="G10" s="20">
        <v>518471084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78</v>
      </c>
      <c r="D11" s="20" t="s">
        <v>68</v>
      </c>
      <c r="E11" s="20"/>
      <c r="F11" s="20" t="s">
        <v>70</v>
      </c>
      <c r="G11" s="20">
        <v>518471366</v>
      </c>
      <c r="H11" s="20" t="s">
        <v>74</v>
      </c>
      <c r="I11" s="21">
        <f>1397196-60845.04</f>
        <v>1336350.96</v>
      </c>
      <c r="K11" s="21">
        <f t="shared" si="2"/>
        <v>143180.46</v>
      </c>
      <c r="L11" s="27">
        <f t="shared" si="3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79</v>
      </c>
      <c r="D12" s="20" t="s">
        <v>68</v>
      </c>
      <c r="E12" s="20"/>
      <c r="F12" s="20" t="s">
        <v>70</v>
      </c>
      <c r="G12" s="20" t="s">
        <v>80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8018105.7599999998</v>
      </c>
      <c r="K32" s="14">
        <f>SUM(K7:K31)</f>
        <v>859082.75999999989</v>
      </c>
      <c r="L32" s="14">
        <f>SUM(L7:L31)</f>
        <v>7159023</v>
      </c>
      <c r="M32" s="36">
        <f>SUM(M7:M31)</f>
        <v>71590.23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2026-03-23T07:40:43Z</dcterms:modified>
</cp:coreProperties>
</file>