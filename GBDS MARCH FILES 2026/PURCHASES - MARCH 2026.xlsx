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60EBCC46-6999-43C7-8571-F43F4DDAE0B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RCH" sheetId="6" r:id="rId2"/>
  </sheets>
  <definedNames>
    <definedName name="_xlnm.Print_Area" localSheetId="1">'PE, MARCH'!#REF!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7" i="6" l="1"/>
  <c r="I16" i="6" l="1"/>
  <c r="I15" i="6"/>
  <c r="G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<sst xmlns="http://schemas.openxmlformats.org/spreadsheetml/2006/main" count="263" uniqueCount="84">
  <si>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</si>
  <si>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</si>
  <si>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</si>
  <si>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</si>
  <si>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</si>
  <si>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</si>
  <si>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</si>
  <si>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</si>
  <si>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</si>
  <si>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</si>
  <si>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</si>
  <si>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</si>
  <si>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</si>
  <si>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</si>
  <si>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</si>
  <si>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</si>
  <si>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</si>
  <si>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</si>
  <si>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</si>
  <si>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</si>
  <si>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</si>
  <si>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</si>
  <si>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</si>
  <si>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</si>
  <si>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</si>
  <si>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</si>
  <si>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</si>
  <si>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</si>
  <si>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</si>
  <si>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</si>
  <si>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</si>
  <si>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</si>
  <si>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</si>
  <si>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</si>
  <si>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</si>
  <si>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</si>
  <si>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</si>
  <si>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</si>
  <si>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</si>
  <si>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</si>
  <si>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</si>
  <si>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</si>
  <si>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</si>
  <si>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</si>
  <si>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</si>
  <si>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</si>
  <si>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</si>
  <si>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</si>
  <si>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</si>
  <si>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</si>
  <si>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</si>
  <si>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</si>
  <si>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</si>
  <si>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</si>
  <si>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</si>
  <si>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</si>
  <si>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</si>
  <si>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</si>
  <si>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</si>
  <si>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</si>
  <si>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</si>
  <si>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</si>
  <si>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</si>
  <si>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</si>
  <si>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</si>
  <si>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</si>
  <si>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</si>
  <si>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</si>
  <si>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</si>
  <si>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</si>
  <si>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</si>
  <si>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</si>
  <si>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</si>
  <si>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</si>
  <si>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</si>
  <si>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MARCH 2026</t>
  </si>
  <si>
    <t>03/16/2026</t>
  </si>
  <si>
    <t>03/17/2026</t>
  </si>
  <si>
    <t>03/18/2026</t>
  </si>
  <si>
    <t>03/20/2026</t>
  </si>
  <si>
    <t>51847------</t>
  </si>
  <si>
    <t>03/23/2026</t>
  </si>
  <si>
    <t>03/24/2026</t>
  </si>
  <si>
    <t>03/26/2026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</si>
</sst>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8" sqref="C1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518463754</v>
      </c>
      <c r="H7" s="20" t="s">
        <v>74</v>
      </c>
      <c r="I7" s="21">
        <f t="shared" ref="I7:I12" si="0">1397196-60845.04</f>
        <v>1336350.96</v>
      </c>
      <c r="K7" s="21">
        <f>M7*12</f>
        <v>143180.46</v>
      </c>
      <c r="L7" s="27">
        <f>I7-K7</f>
        <v>1193170.5</v>
      </c>
      <c r="M7" s="33">
        <f>I7/112</f>
        <v>11931.705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518467776</v>
      </c>
      <c r="H8" s="20" t="s">
        <v>74</v>
      </c>
      <c r="I8" s="21">
        <f t="shared" si="0"/>
        <v>1336350.96</v>
      </c>
      <c r="K8" s="21">
        <f>M8*12</f>
        <v>143180.46</v>
      </c>
      <c r="L8" s="27">
        <f>I8-K8</f>
        <v>1193170.5</v>
      </c>
      <c r="M8" s="33">
        <f t="shared" ref="M8:M26" si="1">I8/112</f>
        <v>11931.705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 t="s">
        <v>77</v>
      </c>
      <c r="D9" s="20" t="s">
        <v>68</v>
      </c>
      <c r="E9" s="20"/>
      <c r="F9" s="20" t="s">
        <v>70</v>
      </c>
      <c r="G9" s="20">
        <v>518467485</v>
      </c>
      <c r="H9" s="20" t="s">
        <v>74</v>
      </c>
      <c r="I9" s="21">
        <f t="shared" si="0"/>
        <v>1336350.96</v>
      </c>
      <c r="K9" s="21">
        <f t="shared" ref="K9:K26" si="3">M9*12</f>
        <v>143180.46</v>
      </c>
      <c r="L9" s="27">
        <f t="shared" ref="L9:L26" si="4">I9-K9</f>
        <v>1193170.5</v>
      </c>
      <c r="M9" s="33">
        <f t="shared" si="1"/>
        <v>11931.705</v>
      </c>
    </row>
    <row r="10" spans="1:15" x14ac:dyDescent="0.25">
      <c r="A10">
        <f t="shared" si="2"/>
        <v>4</v>
      </c>
      <c r="B10" s="23">
        <f t="shared" si="2"/>
        <v>4</v>
      </c>
      <c r="C10" s="19" t="s">
        <v>78</v>
      </c>
      <c r="D10" s="20" t="s">
        <v>68</v>
      </c>
      <c r="E10" s="20"/>
      <c r="F10" s="20" t="s">
        <v>70</v>
      </c>
      <c r="G10" s="20">
        <v>518471084</v>
      </c>
      <c r="H10" s="20" t="s">
        <v>74</v>
      </c>
      <c r="I10" s="21">
        <f t="shared" si="0"/>
        <v>1336350.96</v>
      </c>
      <c r="K10" s="21">
        <f t="shared" si="3"/>
        <v>143180.46</v>
      </c>
      <c r="L10" s="27">
        <f t="shared" si="4"/>
        <v>1193170.5</v>
      </c>
      <c r="M10" s="33">
        <f t="shared" si="1"/>
        <v>11931.705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78</v>
      </c>
      <c r="D11" s="20" t="s">
        <v>68</v>
      </c>
      <c r="E11" s="20"/>
      <c r="F11" s="20" t="s">
        <v>70</v>
      </c>
      <c r="G11" s="20">
        <v>518471366</v>
      </c>
      <c r="H11" s="20" t="s">
        <v>74</v>
      </c>
      <c r="I11" s="21">
        <f t="shared" si="0"/>
        <v>1336350.96</v>
      </c>
      <c r="K11" s="21">
        <f t="shared" si="3"/>
        <v>143180.46</v>
      </c>
      <c r="L11" s="27">
        <f t="shared" si="4"/>
        <v>1193170.5</v>
      </c>
      <c r="M11" s="33">
        <f t="shared" si="1"/>
        <v>11931.705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79</v>
      </c>
      <c r="D12" s="20" t="s">
        <v>68</v>
      </c>
      <c r="E12" s="20"/>
      <c r="F12" s="20" t="s">
        <v>70</v>
      </c>
      <c r="G12" s="20" t="s">
        <v>80</v>
      </c>
      <c r="H12" s="20" t="s">
        <v>74</v>
      </c>
      <c r="I12" s="21">
        <f t="shared" si="0"/>
        <v>1336350.96</v>
      </c>
      <c r="K12" s="21">
        <f t="shared" si="3"/>
        <v>143180.46</v>
      </c>
      <c r="L12" s="27">
        <f t="shared" si="4"/>
        <v>1193170.5</v>
      </c>
      <c r="M12" s="33">
        <f t="shared" si="1"/>
        <v>11931.705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81</v>
      </c>
      <c r="D13" s="20" t="s">
        <v>68</v>
      </c>
      <c r="E13" s="20"/>
      <c r="F13" s="20" t="s">
        <v>70</v>
      </c>
      <c r="G13" s="20">
        <v>518484687</v>
      </c>
      <c r="H13" s="20" t="s">
        <v>74</v>
      </c>
      <c r="I13" s="21">
        <f>1377504-85074.83</f>
        <v>1292429.17</v>
      </c>
      <c r="K13" s="21">
        <f t="shared" si="3"/>
        <v>138474.5539285714</v>
      </c>
      <c r="L13" s="27">
        <f>I13-K13</f>
        <v>1153954.6160714286</v>
      </c>
      <c r="M13" s="33">
        <f>I13/112</f>
        <v>11539.546160714284</v>
      </c>
    </row>
    <row r="14" spans="1:15" x14ac:dyDescent="0.25">
      <c r="A14">
        <f t="shared" si="2"/>
        <v>8</v>
      </c>
      <c r="B14" s="23">
        <f t="shared" si="2"/>
        <v>8</v>
      </c>
      <c r="C14" s="19" t="s">
        <v>82</v>
      </c>
      <c r="D14" s="20" t="s">
        <v>68</v>
      </c>
      <c r="E14" s="20"/>
      <c r="F14" s="20" t="s">
        <v>70</v>
      </c>
      <c r="G14" s="20">
        <v>518489181</v>
      </c>
      <c r="H14" s="20" t="s">
        <v>74</v>
      </c>
      <c r="I14" s="38">
        <f>1397196-60845.04</f>
        <v>1336350.96</v>
      </c>
      <c r="K14" s="21">
        <f t="shared" si="3"/>
        <v>143180.46</v>
      </c>
      <c r="L14" s="27">
        <f t="shared" si="4"/>
        <v>1193170.5</v>
      </c>
      <c r="M14" s="33">
        <f t="shared" si="1"/>
        <v>11931.705</v>
      </c>
    </row>
    <row r="15" spans="1:15" x14ac:dyDescent="0.25">
      <c r="A15">
        <f t="shared" si="2"/>
        <v>9</v>
      </c>
      <c r="B15" s="23">
        <f t="shared" si="2"/>
        <v>9</v>
      </c>
      <c r="C15" s="19" t="s">
        <v>82</v>
      </c>
      <c r="D15" s="20" t="s">
        <v>68</v>
      </c>
      <c r="E15" s="20"/>
      <c r="F15" s="20" t="s">
        <v>70</v>
      </c>
      <c r="G15" s="20">
        <f>518488649</f>
        <v>518488649</v>
      </c>
      <c r="H15" s="20" t="s">
        <v>74</v>
      </c>
      <c r="I15" s="21">
        <f>1397196-60845.04</f>
        <v>1336350.96</v>
      </c>
      <c r="K15" s="21">
        <f t="shared" si="3"/>
        <v>143180.46</v>
      </c>
      <c r="L15" s="27">
        <f>I15-K15</f>
        <v>1193170.5</v>
      </c>
      <c r="M15" s="33">
        <f>I15/112</f>
        <v>11931.705</v>
      </c>
    </row>
    <row r="16" spans="1:15" x14ac:dyDescent="0.25">
      <c r="A16">
        <f t="shared" si="2"/>
        <v>10</v>
      </c>
      <c r="B16" s="23">
        <f t="shared" si="2"/>
        <v>10</v>
      </c>
      <c r="C16" s="19" t="s">
        <v>82</v>
      </c>
      <c r="D16" s="20" t="s">
        <v>68</v>
      </c>
      <c r="E16" s="20"/>
      <c r="F16" s="20" t="s">
        <v>70</v>
      </c>
      <c r="G16" s="20">
        <v>518488736</v>
      </c>
      <c r="H16" s="20" t="s">
        <v>74</v>
      </c>
      <c r="I16" s="21">
        <f>1397196-60845.04</f>
        <v>1336350.96</v>
      </c>
      <c r="K16" s="21">
        <f t="shared" si="3"/>
        <v>143180.46</v>
      </c>
      <c r="L16" s="27">
        <f t="shared" si="4"/>
        <v>1193170.5</v>
      </c>
      <c r="M16" s="33">
        <f t="shared" si="1"/>
        <v>11931.705</v>
      </c>
    </row>
    <row r="17" spans="1:13" x14ac:dyDescent="0.25">
      <c r="A17">
        <f t="shared" si="2"/>
        <v>11</v>
      </c>
      <c r="B17" s="23">
        <f t="shared" si="2"/>
        <v>11</v>
      </c>
      <c r="C17" s="19" t="s">
        <v>83</v>
      </c>
      <c r="D17" s="20" t="s">
        <v>68</v>
      </c>
      <c r="E17" s="20"/>
      <c r="F17" s="20" t="s">
        <v>70</v>
      </c>
      <c r="G17" s="20">
        <v>518496823</v>
      </c>
      <c r="H17" s="20" t="s">
        <v>74</v>
      </c>
      <c r="I17" s="21">
        <f>1397196-138903.62</f>
        <v>1258292.3799999999</v>
      </c>
      <c r="K17" s="21">
        <f t="shared" si="3"/>
        <v>134817.04071428569</v>
      </c>
      <c r="L17" s="27">
        <f t="shared" si="4"/>
        <v>1123475.3392857141</v>
      </c>
      <c r="M17" s="33">
        <f t="shared" si="1"/>
        <v>11234.753392857141</v>
      </c>
    </row>
    <row r="18" spans="1:13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3"/>
        <v>0</v>
      </c>
      <c r="L18" s="27">
        <f t="shared" si="4"/>
        <v>0</v>
      </c>
      <c r="M18" s="33">
        <f t="shared" si="1"/>
        <v>0</v>
      </c>
    </row>
    <row r="19" spans="1:13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3"/>
        <v>0</v>
      </c>
      <c r="L19" s="27">
        <f t="shared" si="4"/>
        <v>0</v>
      </c>
      <c r="M19" s="33">
        <f t="shared" si="1"/>
        <v>0</v>
      </c>
    </row>
    <row r="20" spans="1:13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3"/>
        <v>0</v>
      </c>
      <c r="L20" s="27">
        <f t="shared" si="4"/>
        <v>0</v>
      </c>
      <c r="M20" s="33">
        <f t="shared" si="1"/>
        <v>0</v>
      </c>
    </row>
    <row r="21" spans="1:13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3"/>
        <v>0</v>
      </c>
      <c r="L21" s="27">
        <f t="shared" si="4"/>
        <v>0</v>
      </c>
      <c r="M21" s="33">
        <f t="shared" si="1"/>
        <v>0</v>
      </c>
    </row>
    <row r="22" spans="1:13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3"/>
        <v>0</v>
      </c>
      <c r="L22" s="27">
        <f t="shared" si="4"/>
        <v>0</v>
      </c>
      <c r="M22" s="33">
        <f t="shared" si="1"/>
        <v>0</v>
      </c>
    </row>
    <row r="23" spans="1:13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3"/>
        <v>0</v>
      </c>
      <c r="L23" s="27">
        <f t="shared" si="4"/>
        <v>0</v>
      </c>
      <c r="M23" s="33">
        <f t="shared" si="1"/>
        <v>0</v>
      </c>
    </row>
    <row r="24" spans="1:13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1"/>
        <v>0</v>
      </c>
    </row>
    <row r="25" spans="1:13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1"/>
        <v>0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14577880.190000001</v>
      </c>
      <c r="K32" s="14">
        <f>SUM(K7:K31)</f>
        <v>1561915.7346428568</v>
      </c>
      <c r="L32" s="14">
        <f>SUM(L7:L31)</f>
        <v>13015964.455357144</v>
      </c>
      <c r="M32" s="36">
        <f>SUM(M7:M31)</f>
        <v>130159.64455357142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2026-03-27T02:58:43Z</dcterms:modified>
</cp:coreProperties>
</file>