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89279520-0F79-4DED-9C38-BA1C6B391C33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RCH" sheetId="6" r:id="rId2"/>
  </sheets>
  <definedNames>
    <definedName name="_xlnm.Print_Area" localSheetId="1">'PE, MARCH'!#REF!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<sst xmlns="http://schemas.openxmlformats.org/spreadsheetml/2006/main" count="254" uniqueCount="78">
  <si>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</si>
  <si>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</si>
  <si>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</si>
  <si>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</si>
  <si>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</si>
  <si>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</si>
  <si>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</si>
  <si>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</si>
  <si>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</si>
  <si>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</si>
  <si>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</si>
  <si>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</si>
  <si>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</si>
  <si>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</si>
  <si>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</si>
  <si>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</si>
  <si>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</si>
  <si>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</si>
  <si>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</si>
  <si>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</si>
  <si>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</si>
  <si>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</si>
  <si>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</si>
  <si>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</si>
  <si>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</si>
  <si>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</si>
  <si>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</si>
  <si>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</si>
  <si>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</si>
  <si>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</si>
  <si>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</si>
  <si>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</si>
  <si>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</si>
  <si>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</si>
  <si>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</si>
  <si>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</si>
  <si>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</si>
  <si>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</si>
  <si>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</si>
  <si>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</si>
  <si>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</si>
  <si>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</si>
  <si>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</si>
  <si>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</si>
  <si>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</si>
  <si>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</si>
  <si>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</si>
  <si>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</si>
  <si>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</si>
  <si>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</si>
  <si>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</si>
  <si>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</si>
  <si>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</si>
  <si>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</si>
  <si>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</si>
  <si>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</si>
  <si>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</si>
  <si>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</si>
  <si>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</si>
  <si>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</si>
  <si>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</si>
  <si>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</si>
  <si>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</si>
  <si>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</si>
  <si>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</si>
  <si>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</si>
  <si>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</si>
  <si>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</si>
  <si>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</si>
  <si>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</si>
  <si>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</si>
  <si>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</si>
  <si>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</si>
  <si>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</si>
  <si>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</si>
  <si>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MARCH 2026</t>
  </si>
  <si>
    <t>03/16/2026</t>
  </si>
  <si>
    <t>03/17/2026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</si>
</sst>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0" sqref="I10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518463754</v>
      </c>
      <c r="H7" s="20" t="s">
        <v>74</v>
      </c>
      <c r="I7" s="21">
        <f>1397196-60845.04</f>
        <v>1336350.96</v>
      </c>
      <c r="K7" s="21">
        <f>M7*12</f>
        <v>143180.46</v>
      </c>
      <c r="L7" s="27">
        <f>I7-K7</f>
        <v>1193170.5</v>
      </c>
      <c r="M7" s="33">
        <f>I7/112</f>
        <v>11931.705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518467776</v>
      </c>
      <c r="H8" s="20" t="s">
        <v>74</v>
      </c>
      <c r="I8" s="21">
        <f>1397196-60845.04</f>
        <v>1336350.96</v>
      </c>
      <c r="K8" s="21">
        <f>M8*12</f>
        <v>143180.46</v>
      </c>
      <c r="L8" s="27">
        <f>I8-K8</f>
        <v>1193170.5</v>
      </c>
      <c r="M8" s="33">
        <f t="shared" ref="M8:M26" si="0">I8/112</f>
        <v>11931.705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77</v>
      </c>
      <c r="D9" s="20" t="s">
        <v>68</v>
      </c>
      <c r="E9" s="20"/>
      <c r="F9" s="20" t="s">
        <v>70</v>
      </c>
      <c r="G9" s="20">
        <v>518467485</v>
      </c>
      <c r="H9" s="20" t="s">
        <v>74</v>
      </c>
      <c r="I9" s="21">
        <f>1397196-60845.04</f>
        <v>1336350.96</v>
      </c>
      <c r="K9" s="21">
        <f t="shared" ref="K9:K26" si="2">M9*12</f>
        <v>143180.46</v>
      </c>
      <c r="L9" s="27">
        <f t="shared" ref="L9:L26" si="3">I9-K9</f>
        <v>1193170.5</v>
      </c>
      <c r="M9" s="33">
        <f t="shared" si="0"/>
        <v>11931.705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4009052.88</v>
      </c>
      <c r="K32" s="14">
        <f>SUM(K7:K31)</f>
        <v>429541.38</v>
      </c>
      <c r="L32" s="14">
        <f>SUM(L7:L31)</f>
        <v>3579511.5</v>
      </c>
      <c r="M32" s="36">
        <f>SUM(M7:M31)</f>
        <v>35795.114999999998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MARCH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2026-03-18T02:45:20Z</dcterms:modified>
</cp:coreProperties>
</file>