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93174A7-BA42-4A12-9411-66E433E0001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5" i="6" l="1"/>
  <c r="I24" i="6"/>
  <c r="I23" i="6"/>
  <c r="I22" i="6"/>
  <c r="I21" i="6"/>
  <c r="I20" i="6" l="1"/>
  <c r="I19" i="6" l="1"/>
  <c r="I18" i="6"/>
  <c r="I17" i="6" l="1"/>
  <c r="I16" i="6" l="1"/>
  <c r="I15" i="6"/>
  <c r="G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<sst xmlns="http://schemas.openxmlformats.org/spreadsheetml/2006/main" count="271" uniqueCount="87">
  <si>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</si>
  <si>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</si>
  <si>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</si>
  <si>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</si>
  <si>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</si>
  <si>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</si>
  <si>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</si>
  <si>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</si>
  <si>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</si>
  <si>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</si>
  <si>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</si>
  <si>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</si>
  <si>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</si>
  <si>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</si>
  <si>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</si>
  <si>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</si>
  <si>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</si>
  <si>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</si>
  <si>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</si>
  <si>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</si>
  <si>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</si>
  <si>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</si>
  <si>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</si>
  <si>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</si>
  <si>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</si>
  <si>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</si>
  <si>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</si>
  <si>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</si>
  <si>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</si>
  <si>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</si>
  <si>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</si>
  <si>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</si>
  <si>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</si>
  <si>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</si>
  <si>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</si>
  <si>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</si>
  <si>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</si>
  <si>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</si>
  <si>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</si>
  <si>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</si>
  <si>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</si>
  <si>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</si>
  <si>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</si>
  <si>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</si>
  <si>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</si>
  <si>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</si>
  <si>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</si>
  <si>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</si>
  <si>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</si>
  <si>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</si>
  <si>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</si>
  <si>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</si>
  <si>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</si>
  <si>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</si>
  <si>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</si>
  <si>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</si>
  <si>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</si>
  <si>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</si>
  <si>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</si>
  <si>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</si>
  <si>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</si>
  <si>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</si>
  <si>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</si>
  <si>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</si>
  <si>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</si>
  <si>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</si>
  <si>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</si>
  <si>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</si>
  <si>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</si>
  <si>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</si>
  <si>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</si>
  <si>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</si>
  <si>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</si>
  <si>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</si>
  <si>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</si>
  <si>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</si>
  <si>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</si>
  <si>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</si>
  <si>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</si>
  <si>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</si>
  <si>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</si>
  <si>
    <t>03/23/2026</t>
  </si>
  <si>
    <t>03/24/2026</t>
  </si>
  <si>
    <t>03/26/2026</t>
  </si>
  <si>
    <t>03/27/2026</t>
  </si>
  <si>
    <t>03/30/2026</t>
  </si>
  <si>
    <t>03/31/2026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</si>
</sst>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26" sqref="C2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 t="shared" ref="I7:I12" si="0"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 t="shared" si="0"/>
        <v>1336350.96</v>
      </c>
      <c r="K8" s="21">
        <f>M8*12</f>
        <v>143180.46</v>
      </c>
      <c r="L8" s="27">
        <f>I8-K8</f>
        <v>1193170.5</v>
      </c>
      <c r="M8" s="33">
        <f t="shared" ref="M8:M26" si="1">I8/112</f>
        <v>11931.705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 t="shared" si="0"/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1"/>
        <v>11931.705</v>
      </c>
    </row>
    <row r="10" spans="1:15" x14ac:dyDescent="0.25">
      <c r="A10">
        <f t="shared" si="2"/>
        <v>4</v>
      </c>
      <c r="B10" s="23">
        <f t="shared" si="2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 t="shared" si="0"/>
        <v>1336350.96</v>
      </c>
      <c r="K10" s="21">
        <f t="shared" si="3"/>
        <v>143180.46</v>
      </c>
      <c r="L10" s="27">
        <f t="shared" si="4"/>
        <v>1193170.5</v>
      </c>
      <c r="M10" s="33">
        <f t="shared" si="1"/>
        <v>11931.705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 t="shared" si="0"/>
        <v>1336350.96</v>
      </c>
      <c r="K11" s="21">
        <f t="shared" si="3"/>
        <v>143180.46</v>
      </c>
      <c r="L11" s="27">
        <f t="shared" si="4"/>
        <v>1193170.5</v>
      </c>
      <c r="M11" s="33">
        <f t="shared" si="1"/>
        <v>11931.705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 t="shared" si="0"/>
        <v>1336350.96</v>
      </c>
      <c r="K12" s="21">
        <f t="shared" si="3"/>
        <v>143180.46</v>
      </c>
      <c r="L12" s="27">
        <f t="shared" si="4"/>
        <v>1193170.5</v>
      </c>
      <c r="M12" s="33">
        <f t="shared" si="1"/>
        <v>11931.705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81</v>
      </c>
      <c r="D13" s="20" t="s">
        <v>68</v>
      </c>
      <c r="E13" s="20"/>
      <c r="F13" s="20" t="s">
        <v>70</v>
      </c>
      <c r="G13" s="20">
        <v>518484687</v>
      </c>
      <c r="H13" s="20" t="s">
        <v>74</v>
      </c>
      <c r="I13" s="21">
        <f>1377504-85074.83</f>
        <v>1292429.17</v>
      </c>
      <c r="K13" s="21">
        <f t="shared" si="3"/>
        <v>138474.5539285714</v>
      </c>
      <c r="L13" s="27">
        <f>I13-K13</f>
        <v>1153954.6160714286</v>
      </c>
      <c r="M13" s="33">
        <f>I13/112</f>
        <v>11539.546160714284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82</v>
      </c>
      <c r="D14" s="20" t="s">
        <v>68</v>
      </c>
      <c r="E14" s="20"/>
      <c r="F14" s="20" t="s">
        <v>70</v>
      </c>
      <c r="G14" s="20">
        <v>518489181</v>
      </c>
      <c r="H14" s="20" t="s">
        <v>74</v>
      </c>
      <c r="I14" s="38">
        <f>1397196-60845.04</f>
        <v>1336350.96</v>
      </c>
      <c r="K14" s="21">
        <f t="shared" si="3"/>
        <v>143180.46</v>
      </c>
      <c r="L14" s="27">
        <f t="shared" si="4"/>
        <v>1193170.5</v>
      </c>
      <c r="M14" s="33">
        <f t="shared" si="1"/>
        <v>11931.705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82</v>
      </c>
      <c r="D15" s="20" t="s">
        <v>68</v>
      </c>
      <c r="E15" s="20"/>
      <c r="F15" s="20" t="s">
        <v>70</v>
      </c>
      <c r="G15" s="20">
        <f>518488649</f>
        <v>518488649</v>
      </c>
      <c r="H15" s="20" t="s">
        <v>74</v>
      </c>
      <c r="I15" s="21">
        <f>1397196-60845.04</f>
        <v>1336350.96</v>
      </c>
      <c r="K15" s="21">
        <f t="shared" si="3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82</v>
      </c>
      <c r="D16" s="20" t="s">
        <v>68</v>
      </c>
      <c r="E16" s="20"/>
      <c r="F16" s="20" t="s">
        <v>70</v>
      </c>
      <c r="G16" s="20">
        <v>518488736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1"/>
        <v>11931.705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83</v>
      </c>
      <c r="D17" s="20" t="s">
        <v>68</v>
      </c>
      <c r="E17" s="20"/>
      <c r="F17" s="20" t="s">
        <v>70</v>
      </c>
      <c r="G17" s="20">
        <v>518496823</v>
      </c>
      <c r="H17" s="20" t="s">
        <v>74</v>
      </c>
      <c r="I17" s="21">
        <f>1397196-138903.62</f>
        <v>1258292.3799999999</v>
      </c>
      <c r="K17" s="21">
        <f t="shared" si="3"/>
        <v>134817.04071428569</v>
      </c>
      <c r="L17" s="27">
        <f t="shared" si="4"/>
        <v>1123475.3392857141</v>
      </c>
      <c r="M17" s="33">
        <f t="shared" si="1"/>
        <v>11234.753392857141</v>
      </c>
    </row>
    <row r="18" spans="1:13" x14ac:dyDescent="0.25">
      <c r="A18">
        <f t="shared" si="2"/>
        <v>12</v>
      </c>
      <c r="B18" s="23">
        <f t="shared" si="2"/>
        <v>12</v>
      </c>
      <c r="C18" s="19" t="s">
        <v>84</v>
      </c>
      <c r="D18" s="20" t="s">
        <v>68</v>
      </c>
      <c r="E18" s="20"/>
      <c r="F18" s="20" t="s">
        <v>70</v>
      </c>
      <c r="G18" s="20">
        <v>518501229</v>
      </c>
      <c r="H18" s="20" t="s">
        <v>74</v>
      </c>
      <c r="I18" s="21">
        <f>1338600-59929.27</f>
        <v>1278670.73</v>
      </c>
      <c r="K18" s="21">
        <f t="shared" si="3"/>
        <v>137000.43535714285</v>
      </c>
      <c r="L18" s="27">
        <f t="shared" si="4"/>
        <v>1141670.294642857</v>
      </c>
      <c r="M18" s="33">
        <f t="shared" si="1"/>
        <v>11416.702946428572</v>
      </c>
    </row>
    <row r="19" spans="1:13" x14ac:dyDescent="0.25">
      <c r="A19">
        <f t="shared" si="2"/>
        <v>13</v>
      </c>
      <c r="B19" s="23">
        <f t="shared" si="2"/>
        <v>13</v>
      </c>
      <c r="C19" s="19" t="s">
        <v>84</v>
      </c>
      <c r="D19" s="20" t="s">
        <v>68</v>
      </c>
      <c r="E19" s="20"/>
      <c r="F19" s="20" t="s">
        <v>70</v>
      </c>
      <c r="G19" s="20">
        <v>518501527</v>
      </c>
      <c r="H19" s="20" t="s">
        <v>74</v>
      </c>
      <c r="I19" s="21">
        <f>1397196-60845.04</f>
        <v>1336350.96</v>
      </c>
      <c r="K19" s="21">
        <f t="shared" si="3"/>
        <v>143180.46</v>
      </c>
      <c r="L19" s="27">
        <f t="shared" si="4"/>
        <v>1193170.5</v>
      </c>
      <c r="M19" s="33">
        <f t="shared" si="1"/>
        <v>11931.705</v>
      </c>
    </row>
    <row r="20" spans="1:13" x14ac:dyDescent="0.25">
      <c r="A20">
        <f t="shared" si="2"/>
        <v>14</v>
      </c>
      <c r="B20" s="23">
        <f t="shared" si="2"/>
        <v>14</v>
      </c>
      <c r="C20" s="19" t="s">
        <v>85</v>
      </c>
      <c r="D20" s="20" t="s">
        <v>68</v>
      </c>
      <c r="E20" s="20"/>
      <c r="F20" s="20" t="s">
        <v>70</v>
      </c>
      <c r="G20" s="20">
        <v>518509931</v>
      </c>
      <c r="H20" s="20" t="s">
        <v>74</v>
      </c>
      <c r="I20" s="21">
        <f>1397196-60845.06</f>
        <v>1336350.94</v>
      </c>
      <c r="K20" s="21">
        <f t="shared" si="3"/>
        <v>143180.45785714284</v>
      </c>
      <c r="L20" s="27">
        <f t="shared" si="4"/>
        <v>1193170.482142857</v>
      </c>
      <c r="M20" s="33">
        <f t="shared" si="1"/>
        <v>11931.704821428571</v>
      </c>
    </row>
    <row r="21" spans="1:13" x14ac:dyDescent="0.25">
      <c r="A21">
        <f t="shared" si="2"/>
        <v>15</v>
      </c>
      <c r="B21" s="23">
        <f t="shared" si="2"/>
        <v>15</v>
      </c>
      <c r="C21" s="19" t="s">
        <v>86</v>
      </c>
      <c r="D21" s="20" t="s">
        <v>68</v>
      </c>
      <c r="E21" s="20"/>
      <c r="F21" s="20" t="s">
        <v>70</v>
      </c>
      <c r="G21" s="20">
        <v>518515402</v>
      </c>
      <c r="H21" s="20" t="s">
        <v>74</v>
      </c>
      <c r="I21" s="21">
        <f>1410532-61119.12</f>
        <v>1349412.88</v>
      </c>
      <c r="K21" s="21">
        <f t="shared" si="3"/>
        <v>144579.95142857142</v>
      </c>
      <c r="L21" s="27">
        <f t="shared" si="4"/>
        <v>1204832.9285714284</v>
      </c>
      <c r="M21" s="33">
        <f t="shared" si="1"/>
        <v>12048.329285714284</v>
      </c>
    </row>
    <row r="22" spans="1:13" x14ac:dyDescent="0.25">
      <c r="A22">
        <f t="shared" si="2"/>
        <v>16</v>
      </c>
      <c r="B22" s="23">
        <f t="shared" si="2"/>
        <v>16</v>
      </c>
      <c r="C22" s="19" t="s">
        <v>86</v>
      </c>
      <c r="D22" s="20" t="s">
        <v>68</v>
      </c>
      <c r="E22" s="20"/>
      <c r="F22" s="20" t="s">
        <v>70</v>
      </c>
      <c r="G22" s="20">
        <v>518515941</v>
      </c>
      <c r="H22" s="20" t="s">
        <v>74</v>
      </c>
      <c r="I22" s="21">
        <f>1407049-61066.66</f>
        <v>1345982.34</v>
      </c>
      <c r="K22" s="21">
        <f t="shared" si="3"/>
        <v>144212.39357142858</v>
      </c>
      <c r="L22" s="27">
        <f t="shared" si="4"/>
        <v>1201769.9464285716</v>
      </c>
      <c r="M22" s="33">
        <f t="shared" si="1"/>
        <v>12017.699464285715</v>
      </c>
    </row>
    <row r="23" spans="1:13" x14ac:dyDescent="0.25">
      <c r="A23">
        <f t="shared" si="2"/>
        <v>17</v>
      </c>
      <c r="B23" s="23">
        <f t="shared" si="2"/>
        <v>17</v>
      </c>
      <c r="C23" s="19" t="s">
        <v>86</v>
      </c>
      <c r="D23" s="20" t="s">
        <v>68</v>
      </c>
      <c r="E23" s="20"/>
      <c r="F23" s="20" t="s">
        <v>70</v>
      </c>
      <c r="G23" s="20">
        <v>518516276</v>
      </c>
      <c r="H23" s="20" t="s">
        <v>74</v>
      </c>
      <c r="I23" s="21">
        <f>1382580-60763.96</f>
        <v>1321816.04</v>
      </c>
      <c r="K23" s="21">
        <f t="shared" si="3"/>
        <v>141623.14714285714</v>
      </c>
      <c r="L23" s="27">
        <f t="shared" si="4"/>
        <v>1180192.892857143</v>
      </c>
      <c r="M23" s="33">
        <f t="shared" si="1"/>
        <v>11801.928928571429</v>
      </c>
    </row>
    <row r="24" spans="1:13" x14ac:dyDescent="0.25">
      <c r="A24">
        <f t="shared" si="2"/>
        <v>18</v>
      </c>
      <c r="B24" s="23">
        <f t="shared" si="2"/>
        <v>18</v>
      </c>
      <c r="C24" s="19" t="s">
        <v>86</v>
      </c>
      <c r="D24" s="20" t="s">
        <v>68</v>
      </c>
      <c r="E24" s="20"/>
      <c r="F24" s="20" t="s">
        <v>70</v>
      </c>
      <c r="G24" s="20">
        <v>518515718</v>
      </c>
      <c r="H24" s="20" t="s">
        <v>74</v>
      </c>
      <c r="I24" s="21">
        <f>176525-16425</f>
        <v>160100</v>
      </c>
      <c r="K24" s="21">
        <f t="shared" si="3"/>
        <v>17153.571428571428</v>
      </c>
      <c r="L24" s="27">
        <f t="shared" si="4"/>
        <v>142946.42857142858</v>
      </c>
      <c r="M24" s="33">
        <f t="shared" si="1"/>
        <v>1429.4642857142858</v>
      </c>
    </row>
    <row r="25" spans="1:13" x14ac:dyDescent="0.25">
      <c r="A25">
        <f t="shared" si="2"/>
        <v>19</v>
      </c>
      <c r="B25" s="23">
        <f t="shared" si="2"/>
        <v>19</v>
      </c>
      <c r="C25" s="19" t="s">
        <v>86</v>
      </c>
      <c r="D25" s="20" t="s">
        <v>68</v>
      </c>
      <c r="E25" s="20"/>
      <c r="F25" s="20" t="s">
        <v>70</v>
      </c>
      <c r="G25" s="20">
        <v>518515706</v>
      </c>
      <c r="H25" s="20" t="s">
        <v>74</v>
      </c>
      <c r="I25" s="21">
        <f>347075-14003.02</f>
        <v>333071.98</v>
      </c>
      <c r="K25" s="21">
        <f t="shared" si="3"/>
        <v>35686.283571428568</v>
      </c>
      <c r="L25" s="27">
        <f t="shared" si="4"/>
        <v>297385.69642857142</v>
      </c>
      <c r="M25" s="33">
        <f t="shared" si="1"/>
        <v>2973.8569642857142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23039636.060000002</v>
      </c>
      <c r="K32" s="14">
        <f>SUM(K7:K31)</f>
        <v>2468532.4349999996</v>
      </c>
      <c r="L32" s="14">
        <f>SUM(L7:L31)</f>
        <v>20571103.624999996</v>
      </c>
      <c r="M32" s="36">
        <f>SUM(M7:M31)</f>
        <v>205711.03624999998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2026-04-01T07:47:10Z</dcterms:modified>
</cp:coreProperties>
</file>