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252B7AE6-2A8B-4256-93D6-8717679C0A4A}" xr6:coauthVersionLast="45" xr6:coauthVersionMax="47" xr10:uidLastSave="{00000000-0000-0000-0000-000000000000}"/>
  <bookViews>
    <workbookView xWindow="-120" yWindow="-120" windowWidth="29040" windowHeight="15840" firstSheet="15" activeTab="28" xr2:uid="{00000000-000D-0000-FFFF-FFFF00000000}"/>
  </bookViews>
  <sheets>
    <sheet name="(March 2026)" sheetId="814" r:id="rId1"/>
    <sheet name="(2)" sheetId="1818" r:id="rId2"/>
    <sheet name="03,02 R1" sheetId="1819" r:id="rId3"/>
    <sheet name="03,02 R2" sheetId="1820" r:id="rId4"/>
    <sheet name="03,02 R3" sheetId="1821" r:id="rId5"/>
    <sheet name="(3)" sheetId="1842" r:id="rId6"/>
    <sheet name="03,03 R1" sheetId="1843" r:id="rId7"/>
    <sheet name="03,03 R2" sheetId="1844" r:id="rId8"/>
    <sheet name="03,03 R3" sheetId="1845" r:id="rId9"/>
    <sheet name="(4)" sheetId="1846" r:id="rId10"/>
    <sheet name="04,03 R1" sheetId="1847" r:id="rId11"/>
    <sheet name="04,03 R2" sheetId="1848" r:id="rId12"/>
    <sheet name="04,03 R3" sheetId="1849" r:id="rId13"/>
    <sheet name="(5)" sheetId="1850" r:id="rId14"/>
    <sheet name="05,03 R1" sheetId="1851" r:id="rId15"/>
    <sheet name="05,03 R2" sheetId="1852" r:id="rId16"/>
    <sheet name="05,03 R3" sheetId="1853" r:id="rId17"/>
    <sheet name="(6)" sheetId="1854" r:id="rId18"/>
    <sheet name="06,03 R1" sheetId="1855" r:id="rId19"/>
    <sheet name="06,03 R2" sheetId="1856" r:id="rId20"/>
    <sheet name="06,03 R3" sheetId="1857" r:id="rId21"/>
    <sheet name="(7)" sheetId="1858" r:id="rId22"/>
    <sheet name="07,03 R1" sheetId="1859" r:id="rId23"/>
    <sheet name="07,03 R2" sheetId="1860" r:id="rId24"/>
    <sheet name="07,03 R3" sheetId="1861" r:id="rId25"/>
    <sheet name="(9)" sheetId="1862" r:id="rId26"/>
    <sheet name="09,03 R1" sheetId="1863" r:id="rId27"/>
    <sheet name="09,03 R2" sheetId="1864" r:id="rId28"/>
    <sheet name="09,03 R3" sheetId="1865" r:id="rId29"/>
  </sheets>
  <definedNames>
    <definedName name="_xlnm.Print_Area" localSheetId="1">'(2)'!$A$1:$J$60</definedName>
    <definedName name="_xlnm.Print_Area" localSheetId="5">'(3)'!$A$1:$J$60</definedName>
    <definedName name="_xlnm.Print_Area" localSheetId="9">'(4)'!$A$1:$J$60</definedName>
    <definedName name="_xlnm.Print_Area" localSheetId="13">'(5)'!$A$1:$J$60</definedName>
    <definedName name="_xlnm.Print_Area" localSheetId="17">'(6)'!$A$1:$J$60</definedName>
    <definedName name="_xlnm.Print_Area" localSheetId="21">'(7)'!$A$1:$J$60</definedName>
    <definedName name="_xlnm.Print_Area" localSheetId="25">'(9)'!$A$1:$J$60</definedName>
    <definedName name="_xlnm.Print_Area" localSheetId="2">'03,02 R1'!$A$1:$J$60</definedName>
    <definedName name="_xlnm.Print_Area" localSheetId="3">'03,02 R2'!$A$1:$J$60</definedName>
    <definedName name="_xlnm.Print_Area" localSheetId="4">'03,02 R3'!$A$1:$J$60</definedName>
    <definedName name="_xlnm.Print_Area" localSheetId="6">'03,03 R1'!$A$1:$J$60</definedName>
    <definedName name="_xlnm.Print_Area" localSheetId="7">'03,03 R2'!$A$1:$J$60</definedName>
    <definedName name="_xlnm.Print_Area" localSheetId="8">'03,03 R3'!$A$1:$J$60</definedName>
    <definedName name="_xlnm.Print_Area" localSheetId="10">'04,03 R1'!$A$1:$J$60</definedName>
    <definedName name="_xlnm.Print_Area" localSheetId="11">'04,03 R2'!$A$1:$J$60</definedName>
    <definedName name="_xlnm.Print_Area" localSheetId="12">'04,03 R3'!$A$1:$J$60</definedName>
    <definedName name="_xlnm.Print_Area" localSheetId="14">'05,03 R1'!$A$1:$J$60</definedName>
    <definedName name="_xlnm.Print_Area" localSheetId="15">'05,03 R2'!$A$1:$J$60</definedName>
    <definedName name="_xlnm.Print_Area" localSheetId="16">'05,03 R3'!$A$1:$J$60</definedName>
    <definedName name="_xlnm.Print_Area" localSheetId="18">'06,03 R1'!$A$1:$J$60</definedName>
    <definedName name="_xlnm.Print_Area" localSheetId="19">'06,03 R2'!$A$1:$J$60</definedName>
    <definedName name="_xlnm.Print_Area" localSheetId="20">'06,03 R3'!$A$1:$J$60</definedName>
    <definedName name="_xlnm.Print_Area" localSheetId="22">'07,03 R1'!$A$1:$J$60</definedName>
    <definedName name="_xlnm.Print_Area" localSheetId="23">'07,03 R2'!$A$1:$J$60</definedName>
    <definedName name="_xlnm.Print_Area" localSheetId="24">'07,03 R3'!$A$1:$J$60</definedName>
    <definedName name="_xlnm.Print_Area" localSheetId="26">'09,03 R1'!$A$1:$J$60</definedName>
    <definedName name="_xlnm.Print_Area" localSheetId="27">'09,03 R2'!$A$1:$J$60</definedName>
    <definedName name="_xlnm.Print_Area" localSheetId="28">'09,03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2" i="1865" l="1"/>
  <c r="R51" i="1865"/>
  <c r="D50" i="1865"/>
  <c r="R49" i="1865"/>
  <c r="D49" i="1865"/>
  <c r="R48" i="1865"/>
  <c r="D48" i="1865"/>
  <c r="D46" i="1865"/>
  <c r="D45" i="1865"/>
  <c r="R44" i="1865"/>
  <c r="D44" i="1865"/>
  <c r="R42" i="1865"/>
  <c r="L6" i="1865" s="1"/>
  <c r="D6" i="1865" s="1"/>
  <c r="D29" i="1865" s="1"/>
  <c r="H13" i="1865" s="1"/>
  <c r="H15" i="1865" s="1"/>
  <c r="H29" i="1865" s="1"/>
  <c r="D42" i="1865"/>
  <c r="R41" i="1865"/>
  <c r="L7" i="1865" s="1"/>
  <c r="D7" i="1865" s="1"/>
  <c r="D41" i="1865"/>
  <c r="R40" i="1865"/>
  <c r="D40" i="1865"/>
  <c r="R39" i="1865"/>
  <c r="H39" i="1865"/>
  <c r="D39" i="1865"/>
  <c r="R38" i="1865"/>
  <c r="H38" i="1865"/>
  <c r="D38" i="1865"/>
  <c r="R37" i="1865"/>
  <c r="H37" i="1865"/>
  <c r="D37" i="1865"/>
  <c r="R36" i="1865"/>
  <c r="H36" i="1865"/>
  <c r="G49" i="1865" s="1"/>
  <c r="D36" i="1865"/>
  <c r="D54" i="1865" s="1"/>
  <c r="H14" i="1865" s="1"/>
  <c r="R35" i="1865"/>
  <c r="L19" i="1865" s="1"/>
  <c r="D19" i="1865" s="1"/>
  <c r="H35" i="1865"/>
  <c r="D35" i="1865"/>
  <c r="R34" i="1865"/>
  <c r="L12" i="1865" s="1"/>
  <c r="D12" i="1865" s="1"/>
  <c r="H34" i="1865"/>
  <c r="D34" i="1865"/>
  <c r="R33" i="1865"/>
  <c r="R32" i="1865"/>
  <c r="R31" i="1865"/>
  <c r="R30" i="1865"/>
  <c r="R29" i="1865"/>
  <c r="R28" i="1865"/>
  <c r="L28" i="1865"/>
  <c r="D28" i="1865"/>
  <c r="R27" i="1865"/>
  <c r="D27" i="1865"/>
  <c r="R26" i="1865"/>
  <c r="L26" i="1865"/>
  <c r="D26" i="1865" s="1"/>
  <c r="R25" i="1865"/>
  <c r="L25" i="1865"/>
  <c r="D25" i="1865" s="1"/>
  <c r="R24" i="1865"/>
  <c r="D24" i="1865"/>
  <c r="R23" i="1865"/>
  <c r="L23" i="1865"/>
  <c r="D23" i="1865"/>
  <c r="R22" i="1865"/>
  <c r="L22" i="1865"/>
  <c r="D22" i="1865"/>
  <c r="R21" i="1865"/>
  <c r="D21" i="1865"/>
  <c r="R20" i="1865"/>
  <c r="L20" i="1865"/>
  <c r="D20" i="1865" s="1"/>
  <c r="R19" i="1865"/>
  <c r="R18" i="1865"/>
  <c r="D18" i="1865"/>
  <c r="R17" i="1865"/>
  <c r="D17" i="1865"/>
  <c r="R16" i="1865"/>
  <c r="L16" i="1865"/>
  <c r="D16" i="1865"/>
  <c r="R15" i="1865"/>
  <c r="D15" i="1865"/>
  <c r="R14" i="1865"/>
  <c r="D14" i="1865"/>
  <c r="R13" i="1865"/>
  <c r="D13" i="1865"/>
  <c r="R12" i="1865"/>
  <c r="R11" i="1865"/>
  <c r="L11" i="1865"/>
  <c r="D11" i="1865"/>
  <c r="L10" i="1865"/>
  <c r="D10" i="1865"/>
  <c r="L9" i="1865"/>
  <c r="D9" i="1865" s="1"/>
  <c r="L8" i="1865"/>
  <c r="D8" i="1865"/>
  <c r="R6" i="1865"/>
  <c r="R5" i="1865"/>
  <c r="R4" i="1865"/>
  <c r="R52" i="1864"/>
  <c r="R51" i="1864"/>
  <c r="D50" i="1864"/>
  <c r="R49" i="1864"/>
  <c r="D49" i="1864"/>
  <c r="R48" i="1864"/>
  <c r="D48" i="1864"/>
  <c r="D46" i="1864"/>
  <c r="D45" i="1864"/>
  <c r="R44" i="1864"/>
  <c r="D44" i="1864"/>
  <c r="R42" i="1864"/>
  <c r="L6" i="1864" s="1"/>
  <c r="D6" i="1864" s="1"/>
  <c r="D42" i="1864"/>
  <c r="R41" i="1864"/>
  <c r="D41" i="1864"/>
  <c r="R40" i="1864"/>
  <c r="D40" i="1864"/>
  <c r="R39" i="1864"/>
  <c r="H39" i="1864"/>
  <c r="D39" i="1864"/>
  <c r="R38" i="1864"/>
  <c r="L9" i="1864" s="1"/>
  <c r="D9" i="1864" s="1"/>
  <c r="H38" i="1864"/>
  <c r="D38" i="1864"/>
  <c r="R37" i="1864"/>
  <c r="H37" i="1864"/>
  <c r="D37" i="1864"/>
  <c r="R36" i="1864"/>
  <c r="L10" i="1864" s="1"/>
  <c r="D10" i="1864" s="1"/>
  <c r="H36" i="1864"/>
  <c r="D36" i="1864"/>
  <c r="R35" i="1864"/>
  <c r="H35" i="1864"/>
  <c r="D35" i="1864"/>
  <c r="R34" i="1864"/>
  <c r="H34" i="1864"/>
  <c r="G49" i="1864" s="1"/>
  <c r="D34" i="1864"/>
  <c r="D54" i="1864" s="1"/>
  <c r="H14" i="1864" s="1"/>
  <c r="R33" i="1864"/>
  <c r="R32" i="1864"/>
  <c r="R31" i="1864"/>
  <c r="R30" i="1864"/>
  <c r="R29" i="1864"/>
  <c r="R28" i="1864"/>
  <c r="L28" i="1864"/>
  <c r="D28" i="1864"/>
  <c r="R27" i="1864"/>
  <c r="D27" i="1864"/>
  <c r="R26" i="1864"/>
  <c r="L26" i="1864"/>
  <c r="D26" i="1864" s="1"/>
  <c r="R25" i="1864"/>
  <c r="L25" i="1864"/>
  <c r="D25" i="1864"/>
  <c r="R24" i="1864"/>
  <c r="L24" i="1864"/>
  <c r="D24" i="1864"/>
  <c r="R23" i="1864"/>
  <c r="L23" i="1864"/>
  <c r="D23" i="1864" s="1"/>
  <c r="R22" i="1864"/>
  <c r="L22" i="1864"/>
  <c r="D22" i="1864" s="1"/>
  <c r="R21" i="1864"/>
  <c r="D21" i="1864"/>
  <c r="R20" i="1864"/>
  <c r="L20" i="1864"/>
  <c r="D20" i="1864" s="1"/>
  <c r="R19" i="1864"/>
  <c r="L19" i="1864"/>
  <c r="D19" i="1864" s="1"/>
  <c r="R18" i="1864"/>
  <c r="D18" i="1864"/>
  <c r="R17" i="1864"/>
  <c r="L17" i="1864"/>
  <c r="D17" i="1864" s="1"/>
  <c r="R16" i="1864"/>
  <c r="L16" i="1864"/>
  <c r="D16" i="1864" s="1"/>
  <c r="R15" i="1864"/>
  <c r="D15" i="1864"/>
  <c r="R14" i="1864"/>
  <c r="D14" i="1864"/>
  <c r="R13" i="1864"/>
  <c r="D13" i="1864"/>
  <c r="R12" i="1864"/>
  <c r="L12" i="1864"/>
  <c r="D12" i="1864" s="1"/>
  <c r="R11" i="1864"/>
  <c r="L11" i="1864"/>
  <c r="D11" i="1864"/>
  <c r="L8" i="1864"/>
  <c r="D8" i="1864" s="1"/>
  <c r="L7" i="1864"/>
  <c r="D7" i="1864"/>
  <c r="R6" i="1864"/>
  <c r="R5" i="1864"/>
  <c r="R4" i="1864"/>
  <c r="R52" i="1863"/>
  <c r="R51" i="1863"/>
  <c r="D50" i="1863"/>
  <c r="R49" i="1863"/>
  <c r="D49" i="1863"/>
  <c r="R48" i="1863"/>
  <c r="D48" i="1863"/>
  <c r="D46" i="1863"/>
  <c r="D45" i="1863"/>
  <c r="R44" i="1863"/>
  <c r="L28" i="1863" s="1"/>
  <c r="D28" i="1863" s="1"/>
  <c r="D44" i="1863"/>
  <c r="R42" i="1863"/>
  <c r="L6" i="1863" s="1"/>
  <c r="D6" i="1863" s="1"/>
  <c r="D42" i="1863"/>
  <c r="R41" i="1863"/>
  <c r="D41" i="1863"/>
  <c r="R40" i="1863"/>
  <c r="L8" i="1863" s="1"/>
  <c r="D8" i="1863" s="1"/>
  <c r="D40" i="1863"/>
  <c r="R39" i="1863"/>
  <c r="H39" i="1863"/>
  <c r="D39" i="1863"/>
  <c r="R38" i="1863"/>
  <c r="H38" i="1863"/>
  <c r="D38" i="1863"/>
  <c r="R37" i="1863"/>
  <c r="H37" i="1863"/>
  <c r="D37" i="1863"/>
  <c r="R36" i="1863"/>
  <c r="L10" i="1863" s="1"/>
  <c r="D10" i="1863" s="1"/>
  <c r="H36" i="1863"/>
  <c r="G49" i="1863" s="1"/>
  <c r="D36" i="1863"/>
  <c r="R35" i="1863"/>
  <c r="H35" i="1863"/>
  <c r="D35" i="1863"/>
  <c r="R34" i="1863"/>
  <c r="H34" i="1863"/>
  <c r="D34" i="1863"/>
  <c r="D54" i="1863" s="1"/>
  <c r="H14" i="1863" s="1"/>
  <c r="R33" i="1863"/>
  <c r="R32" i="1863"/>
  <c r="R31" i="1863"/>
  <c r="R30" i="1863"/>
  <c r="R29" i="1863"/>
  <c r="R28" i="1863"/>
  <c r="L16" i="1863" s="1"/>
  <c r="D16" i="1863" s="1"/>
  <c r="R27" i="1863"/>
  <c r="D27" i="1863"/>
  <c r="R26" i="1863"/>
  <c r="L26" i="1863"/>
  <c r="D26" i="1863" s="1"/>
  <c r="R25" i="1863"/>
  <c r="L25" i="1863"/>
  <c r="D25" i="1863" s="1"/>
  <c r="R24" i="1863"/>
  <c r="L24" i="1863"/>
  <c r="D24" i="1863"/>
  <c r="R23" i="1863"/>
  <c r="D23" i="1863"/>
  <c r="R22" i="1863"/>
  <c r="D22" i="1863"/>
  <c r="R21" i="1863"/>
  <c r="D21" i="1863"/>
  <c r="R20" i="1863"/>
  <c r="L20" i="1863"/>
  <c r="D20" i="1863" s="1"/>
  <c r="R19" i="1863"/>
  <c r="D19" i="1863"/>
  <c r="R18" i="1863"/>
  <c r="D18" i="1863"/>
  <c r="R17" i="1863"/>
  <c r="L17" i="1863"/>
  <c r="D17" i="1863"/>
  <c r="R16" i="1863"/>
  <c r="R15" i="1863"/>
  <c r="D15" i="1863"/>
  <c r="R14" i="1863"/>
  <c r="D14" i="1863"/>
  <c r="R13" i="1863"/>
  <c r="D13" i="1863"/>
  <c r="R12" i="1863"/>
  <c r="L12" i="1863"/>
  <c r="D12" i="1863"/>
  <c r="R11" i="1863"/>
  <c r="L11" i="1863"/>
  <c r="D11" i="1863"/>
  <c r="L9" i="1863"/>
  <c r="D9" i="1863" s="1"/>
  <c r="L7" i="1863"/>
  <c r="D7" i="1863" s="1"/>
  <c r="R6" i="1863"/>
  <c r="R5" i="1863"/>
  <c r="R4" i="1863"/>
  <c r="R52" i="1862"/>
  <c r="R51" i="1862"/>
  <c r="D50" i="1862"/>
  <c r="R49" i="1862"/>
  <c r="G49" i="1862"/>
  <c r="D49" i="1862"/>
  <c r="R48" i="1862"/>
  <c r="D48" i="1862"/>
  <c r="D46" i="1862"/>
  <c r="D45" i="1862"/>
  <c r="D44" i="1862"/>
  <c r="R42" i="1862"/>
  <c r="D42" i="1862"/>
  <c r="R41" i="1862"/>
  <c r="L7" i="1862" s="1"/>
  <c r="D7" i="1862" s="1"/>
  <c r="D41" i="1862"/>
  <c r="R40" i="1862"/>
  <c r="D40" i="1862"/>
  <c r="R39" i="1862"/>
  <c r="D39" i="1862"/>
  <c r="R38" i="1862"/>
  <c r="D38" i="1862"/>
  <c r="R37" i="1862"/>
  <c r="D37" i="1862"/>
  <c r="R36" i="1862"/>
  <c r="L10" i="1862" s="1"/>
  <c r="D10" i="1862" s="1"/>
  <c r="D36" i="1862"/>
  <c r="R35" i="1862"/>
  <c r="D35" i="1862"/>
  <c r="R34" i="1862"/>
  <c r="L12" i="1862" s="1"/>
  <c r="D12" i="1862" s="1"/>
  <c r="D34" i="1862"/>
  <c r="D54" i="1862" s="1"/>
  <c r="H14" i="1862" s="1"/>
  <c r="R33" i="1862"/>
  <c r="L23" i="1862" s="1"/>
  <c r="D23" i="1862" s="1"/>
  <c r="R32" i="1862"/>
  <c r="R31" i="1862"/>
  <c r="R30" i="1862"/>
  <c r="R29" i="1862"/>
  <c r="R28" i="1862"/>
  <c r="L16" i="1862" s="1"/>
  <c r="D16" i="1862" s="1"/>
  <c r="D28" i="1862"/>
  <c r="R27" i="1862"/>
  <c r="D27" i="1862"/>
  <c r="R26" i="1862"/>
  <c r="L26" i="1862"/>
  <c r="D26" i="1862"/>
  <c r="R25" i="1862"/>
  <c r="L25" i="1862"/>
  <c r="D25" i="1862"/>
  <c r="R24" i="1862"/>
  <c r="D24" i="1862"/>
  <c r="R23" i="1862"/>
  <c r="R22" i="1862"/>
  <c r="L22" i="1862"/>
  <c r="D22" i="1862" s="1"/>
  <c r="R21" i="1862"/>
  <c r="D21" i="1862"/>
  <c r="R20" i="1862"/>
  <c r="L20" i="1862"/>
  <c r="D20" i="1862"/>
  <c r="R19" i="1862"/>
  <c r="L19" i="1862"/>
  <c r="D19" i="1862"/>
  <c r="R18" i="1862"/>
  <c r="D18" i="1862"/>
  <c r="R17" i="1862"/>
  <c r="D17" i="1862"/>
  <c r="R16" i="1862"/>
  <c r="S15" i="1862"/>
  <c r="R15" i="1862"/>
  <c r="D15" i="1862"/>
  <c r="S14" i="1862"/>
  <c r="R14" i="1862"/>
  <c r="D14" i="1862"/>
  <c r="R13" i="1862"/>
  <c r="D13" i="1862"/>
  <c r="R12" i="1862"/>
  <c r="R11" i="1862"/>
  <c r="L11" i="1862"/>
  <c r="D11" i="1862" s="1"/>
  <c r="L9" i="1862"/>
  <c r="D9" i="1862" s="1"/>
  <c r="L8" i="1862"/>
  <c r="D8" i="1862" s="1"/>
  <c r="R6" i="1862"/>
  <c r="L6" i="1862"/>
  <c r="D6" i="1862" s="1"/>
  <c r="D29" i="1862" s="1"/>
  <c r="H13" i="1862" s="1"/>
  <c r="H15" i="1862" s="1"/>
  <c r="H29" i="1862" s="1"/>
  <c r="R5" i="1862"/>
  <c r="R4" i="1862"/>
  <c r="R52" i="1861"/>
  <c r="R51" i="1861"/>
  <c r="D50" i="1861"/>
  <c r="R49" i="1861"/>
  <c r="D49" i="1861"/>
  <c r="R48" i="1861"/>
  <c r="D48" i="1861"/>
  <c r="D46" i="1861"/>
  <c r="D45" i="1861"/>
  <c r="R44" i="1861"/>
  <c r="L28" i="1861" s="1"/>
  <c r="D28" i="1861" s="1"/>
  <c r="D44" i="1861"/>
  <c r="R42" i="1861"/>
  <c r="L6" i="1861" s="1"/>
  <c r="D6" i="1861" s="1"/>
  <c r="D29" i="1861" s="1"/>
  <c r="H13" i="1861" s="1"/>
  <c r="H15" i="1861" s="1"/>
  <c r="H29" i="1861" s="1"/>
  <c r="D42" i="1861"/>
  <c r="R41" i="1861"/>
  <c r="D41" i="1861"/>
  <c r="R40" i="1861"/>
  <c r="D40" i="1861"/>
  <c r="R39" i="1861"/>
  <c r="H39" i="1861"/>
  <c r="D39" i="1861"/>
  <c r="R38" i="1861"/>
  <c r="H38" i="1861"/>
  <c r="D38" i="1861"/>
  <c r="R37" i="1861"/>
  <c r="H37" i="1861"/>
  <c r="D37" i="1861"/>
  <c r="D54" i="1861" s="1"/>
  <c r="H14" i="1861" s="1"/>
  <c r="R36" i="1861"/>
  <c r="L10" i="1861" s="1"/>
  <c r="D10" i="1861" s="1"/>
  <c r="H36" i="1861"/>
  <c r="D36" i="1861"/>
  <c r="R35" i="1861"/>
  <c r="L19" i="1861" s="1"/>
  <c r="D19" i="1861" s="1"/>
  <c r="H35" i="1861"/>
  <c r="D35" i="1861"/>
  <c r="R34" i="1861"/>
  <c r="H34" i="1861"/>
  <c r="G49" i="1861" s="1"/>
  <c r="D34" i="1861"/>
  <c r="R33" i="1861"/>
  <c r="R32" i="1861"/>
  <c r="R31" i="1861"/>
  <c r="R30" i="1861"/>
  <c r="R29" i="1861"/>
  <c r="R28" i="1861"/>
  <c r="L16" i="1861" s="1"/>
  <c r="D16" i="1861" s="1"/>
  <c r="R27" i="1861"/>
  <c r="D27" i="1861"/>
  <c r="R26" i="1861"/>
  <c r="L26" i="1861"/>
  <c r="D26" i="1861"/>
  <c r="R25" i="1861"/>
  <c r="L25" i="1861"/>
  <c r="D25" i="1861"/>
  <c r="R24" i="1861"/>
  <c r="D24" i="1861"/>
  <c r="R23" i="1861"/>
  <c r="L23" i="1861"/>
  <c r="D23" i="1861"/>
  <c r="R22" i="1861"/>
  <c r="L22" i="1861"/>
  <c r="D22" i="1861" s="1"/>
  <c r="R21" i="1861"/>
  <c r="D21" i="1861"/>
  <c r="R20" i="1861"/>
  <c r="L20" i="1861"/>
  <c r="D20" i="1861"/>
  <c r="R19" i="1861"/>
  <c r="R18" i="1861"/>
  <c r="D18" i="1861"/>
  <c r="R17" i="1861"/>
  <c r="D17" i="1861"/>
  <c r="R16" i="1861"/>
  <c r="R15" i="1861"/>
  <c r="D15" i="1861"/>
  <c r="R14" i="1861"/>
  <c r="D14" i="1861"/>
  <c r="R13" i="1861"/>
  <c r="D13" i="1861"/>
  <c r="R12" i="1861"/>
  <c r="L12" i="1861"/>
  <c r="D12" i="1861" s="1"/>
  <c r="R11" i="1861"/>
  <c r="L11" i="1861"/>
  <c r="D11" i="1861"/>
  <c r="L9" i="1861"/>
  <c r="D9" i="1861" s="1"/>
  <c r="L8" i="1861"/>
  <c r="D8" i="1861"/>
  <c r="L7" i="1861"/>
  <c r="D7" i="1861" s="1"/>
  <c r="R6" i="1861"/>
  <c r="R5" i="1861"/>
  <c r="R4" i="1861"/>
  <c r="R52" i="1860"/>
  <c r="R51" i="1860"/>
  <c r="D50" i="1860"/>
  <c r="R49" i="1860"/>
  <c r="D49" i="1860"/>
  <c r="R48" i="1860"/>
  <c r="D48" i="1860"/>
  <c r="D46" i="1860"/>
  <c r="D45" i="1860"/>
  <c r="R44" i="1860"/>
  <c r="L28" i="1860" s="1"/>
  <c r="D28" i="1860" s="1"/>
  <c r="D44" i="1860"/>
  <c r="R42" i="1860"/>
  <c r="D42" i="1860"/>
  <c r="R41" i="1860"/>
  <c r="L7" i="1860" s="1"/>
  <c r="D7" i="1860" s="1"/>
  <c r="D41" i="1860"/>
  <c r="R40" i="1860"/>
  <c r="D40" i="1860"/>
  <c r="R39" i="1860"/>
  <c r="H39" i="1860"/>
  <c r="D39" i="1860"/>
  <c r="R38" i="1860"/>
  <c r="L9" i="1860" s="1"/>
  <c r="D9" i="1860" s="1"/>
  <c r="H38" i="1860"/>
  <c r="D38" i="1860"/>
  <c r="R37" i="1860"/>
  <c r="H37" i="1860"/>
  <c r="D37" i="1860"/>
  <c r="R36" i="1860"/>
  <c r="L10" i="1860" s="1"/>
  <c r="D10" i="1860" s="1"/>
  <c r="H36" i="1860"/>
  <c r="D36" i="1860"/>
  <c r="R35" i="1860"/>
  <c r="L19" i="1860" s="1"/>
  <c r="D19" i="1860" s="1"/>
  <c r="H35" i="1860"/>
  <c r="D35" i="1860"/>
  <c r="R34" i="1860"/>
  <c r="H34" i="1860"/>
  <c r="G49" i="1860" s="1"/>
  <c r="D34" i="1860"/>
  <c r="D54" i="1860" s="1"/>
  <c r="H14" i="1860" s="1"/>
  <c r="R33" i="1860"/>
  <c r="R32" i="1860"/>
  <c r="L11" i="1860" s="1"/>
  <c r="D11" i="1860" s="1"/>
  <c r="R31" i="1860"/>
  <c r="R30" i="1860"/>
  <c r="R29" i="1860"/>
  <c r="R28" i="1860"/>
  <c r="L16" i="1860" s="1"/>
  <c r="D16" i="1860" s="1"/>
  <c r="R27" i="1860"/>
  <c r="D27" i="1860"/>
  <c r="R26" i="1860"/>
  <c r="L26" i="1860"/>
  <c r="D26" i="1860"/>
  <c r="R25" i="1860"/>
  <c r="L25" i="1860"/>
  <c r="D25" i="1860"/>
  <c r="R24" i="1860"/>
  <c r="L24" i="1860"/>
  <c r="D24" i="1860" s="1"/>
  <c r="R23" i="1860"/>
  <c r="L23" i="1860"/>
  <c r="D23" i="1860"/>
  <c r="R22" i="1860"/>
  <c r="L22" i="1860"/>
  <c r="D22" i="1860" s="1"/>
  <c r="R21" i="1860"/>
  <c r="D21" i="1860"/>
  <c r="R20" i="1860"/>
  <c r="L20" i="1860"/>
  <c r="D20" i="1860"/>
  <c r="R19" i="1860"/>
  <c r="R18" i="1860"/>
  <c r="D18" i="1860"/>
  <c r="R17" i="1860"/>
  <c r="L17" i="1860"/>
  <c r="D17" i="1860"/>
  <c r="R16" i="1860"/>
  <c r="R15" i="1860"/>
  <c r="D15" i="1860"/>
  <c r="R14" i="1860"/>
  <c r="D14" i="1860"/>
  <c r="R13" i="1860"/>
  <c r="D13" i="1860"/>
  <c r="R12" i="1860"/>
  <c r="L12" i="1860"/>
  <c r="D12" i="1860"/>
  <c r="R11" i="1860"/>
  <c r="L8" i="1860"/>
  <c r="D8" i="1860"/>
  <c r="R6" i="1860"/>
  <c r="L6" i="1860"/>
  <c r="D6" i="1860" s="1"/>
  <c r="R5" i="1860"/>
  <c r="R4" i="1860"/>
  <c r="R52" i="1859"/>
  <c r="R51" i="1859"/>
  <c r="D50" i="1859"/>
  <c r="R49" i="1859"/>
  <c r="G49" i="1859"/>
  <c r="D49" i="1859"/>
  <c r="R48" i="1859"/>
  <c r="D48" i="1859"/>
  <c r="D46" i="1859"/>
  <c r="D45" i="1859"/>
  <c r="R44" i="1859"/>
  <c r="D44" i="1859"/>
  <c r="R42" i="1859"/>
  <c r="D42" i="1859"/>
  <c r="R41" i="1859"/>
  <c r="L7" i="1859" s="1"/>
  <c r="D7" i="1859" s="1"/>
  <c r="D41" i="1859"/>
  <c r="R40" i="1859"/>
  <c r="L8" i="1859" s="1"/>
  <c r="D8" i="1859" s="1"/>
  <c r="D40" i="1859"/>
  <c r="R39" i="1859"/>
  <c r="H39" i="1859"/>
  <c r="D39" i="1859"/>
  <c r="R38" i="1859"/>
  <c r="H38" i="1859"/>
  <c r="D38" i="1859"/>
  <c r="R37" i="1859"/>
  <c r="H37" i="1859"/>
  <c r="D37" i="1859"/>
  <c r="R36" i="1859"/>
  <c r="H36" i="1859"/>
  <c r="D36" i="1859"/>
  <c r="R35" i="1859"/>
  <c r="H35" i="1859"/>
  <c r="D35" i="1859"/>
  <c r="D54" i="1859" s="1"/>
  <c r="H14" i="1859" s="1"/>
  <c r="R34" i="1859"/>
  <c r="H34" i="1859"/>
  <c r="D34" i="1859"/>
  <c r="R33" i="1859"/>
  <c r="R32" i="1859"/>
  <c r="R31" i="1859"/>
  <c r="R30" i="1859"/>
  <c r="R29" i="1859"/>
  <c r="R28" i="1859"/>
  <c r="L28" i="1859"/>
  <c r="D28" i="1859"/>
  <c r="R27" i="1859"/>
  <c r="D27" i="1859"/>
  <c r="R26" i="1859"/>
  <c r="L26" i="1859"/>
  <c r="D26" i="1859"/>
  <c r="R25" i="1859"/>
  <c r="L25" i="1859"/>
  <c r="D25" i="1859" s="1"/>
  <c r="R24" i="1859"/>
  <c r="L24" i="1859"/>
  <c r="D24" i="1859"/>
  <c r="R23" i="1859"/>
  <c r="D23" i="1859"/>
  <c r="R22" i="1859"/>
  <c r="D22" i="1859"/>
  <c r="R21" i="1859"/>
  <c r="D21" i="1859"/>
  <c r="R20" i="1859"/>
  <c r="L20" i="1859"/>
  <c r="D20" i="1859" s="1"/>
  <c r="R19" i="1859"/>
  <c r="D19" i="1859"/>
  <c r="R18" i="1859"/>
  <c r="D18" i="1859"/>
  <c r="R17" i="1859"/>
  <c r="L17" i="1859"/>
  <c r="D17" i="1859"/>
  <c r="R16" i="1859"/>
  <c r="L16" i="1859"/>
  <c r="D16" i="1859" s="1"/>
  <c r="R15" i="1859"/>
  <c r="D15" i="1859"/>
  <c r="R14" i="1859"/>
  <c r="D14" i="1859"/>
  <c r="R13" i="1859"/>
  <c r="D13" i="1859"/>
  <c r="R12" i="1859"/>
  <c r="L12" i="1859"/>
  <c r="D12" i="1859" s="1"/>
  <c r="R11" i="1859"/>
  <c r="L11" i="1859"/>
  <c r="D11" i="1859" s="1"/>
  <c r="L10" i="1859"/>
  <c r="D10" i="1859"/>
  <c r="L9" i="1859"/>
  <c r="D9" i="1859" s="1"/>
  <c r="R6" i="1859"/>
  <c r="L6" i="1859"/>
  <c r="D6" i="1859" s="1"/>
  <c r="R5" i="1859"/>
  <c r="R4" i="1859"/>
  <c r="R52" i="1858"/>
  <c r="R51" i="1858"/>
  <c r="D50" i="1858"/>
  <c r="R49" i="1858"/>
  <c r="G49" i="1858"/>
  <c r="D49" i="1858"/>
  <c r="R48" i="1858"/>
  <c r="D48" i="1858"/>
  <c r="D46" i="1858"/>
  <c r="D45" i="1858"/>
  <c r="D44" i="1858"/>
  <c r="R42" i="1858"/>
  <c r="L6" i="1858" s="1"/>
  <c r="D6" i="1858" s="1"/>
  <c r="D42" i="1858"/>
  <c r="R41" i="1858"/>
  <c r="L7" i="1858" s="1"/>
  <c r="D7" i="1858" s="1"/>
  <c r="D41" i="1858"/>
  <c r="R40" i="1858"/>
  <c r="L8" i="1858" s="1"/>
  <c r="D8" i="1858" s="1"/>
  <c r="D40" i="1858"/>
  <c r="R39" i="1858"/>
  <c r="D39" i="1858"/>
  <c r="R38" i="1858"/>
  <c r="D38" i="1858"/>
  <c r="R37" i="1858"/>
  <c r="D37" i="1858"/>
  <c r="R36" i="1858"/>
  <c r="L10" i="1858" s="1"/>
  <c r="D10" i="1858" s="1"/>
  <c r="D36" i="1858"/>
  <c r="R35" i="1858"/>
  <c r="D35" i="1858"/>
  <c r="R34" i="1858"/>
  <c r="L12" i="1858" s="1"/>
  <c r="D12" i="1858" s="1"/>
  <c r="D34" i="1858"/>
  <c r="D54" i="1858" s="1"/>
  <c r="H14" i="1858" s="1"/>
  <c r="R33" i="1858"/>
  <c r="L23" i="1858" s="1"/>
  <c r="D23" i="1858" s="1"/>
  <c r="R32" i="1858"/>
  <c r="R31" i="1858"/>
  <c r="R30" i="1858"/>
  <c r="R29" i="1858"/>
  <c r="R28" i="1858"/>
  <c r="D28" i="1858"/>
  <c r="R27" i="1858"/>
  <c r="D27" i="1858"/>
  <c r="R26" i="1858"/>
  <c r="L26" i="1858"/>
  <c r="D26" i="1858"/>
  <c r="R25" i="1858"/>
  <c r="L25" i="1858"/>
  <c r="D25" i="1858"/>
  <c r="R24" i="1858"/>
  <c r="D24" i="1858"/>
  <c r="R23" i="1858"/>
  <c r="R22" i="1858"/>
  <c r="L22" i="1858"/>
  <c r="D22" i="1858"/>
  <c r="R21" i="1858"/>
  <c r="D21" i="1858"/>
  <c r="R20" i="1858"/>
  <c r="L20" i="1858"/>
  <c r="D20" i="1858"/>
  <c r="R19" i="1858"/>
  <c r="L19" i="1858"/>
  <c r="D19" i="1858"/>
  <c r="R18" i="1858"/>
  <c r="D18" i="1858"/>
  <c r="R17" i="1858"/>
  <c r="D17" i="1858"/>
  <c r="R16" i="1858"/>
  <c r="L16" i="1858"/>
  <c r="D16" i="1858" s="1"/>
  <c r="S15" i="1858"/>
  <c r="R15" i="1858"/>
  <c r="D15" i="1858"/>
  <c r="S14" i="1858"/>
  <c r="R14" i="1858"/>
  <c r="D14" i="1858"/>
  <c r="R13" i="1858"/>
  <c r="D13" i="1858"/>
  <c r="R12" i="1858"/>
  <c r="R11" i="1858"/>
  <c r="L11" i="1858"/>
  <c r="D11" i="1858"/>
  <c r="L9" i="1858"/>
  <c r="D9" i="1858" s="1"/>
  <c r="R6" i="1858"/>
  <c r="R5" i="1858"/>
  <c r="R4" i="1858"/>
  <c r="R52" i="1857"/>
  <c r="R51" i="1857"/>
  <c r="D50" i="1857"/>
  <c r="R49" i="1857"/>
  <c r="D49" i="1857"/>
  <c r="R48" i="1857"/>
  <c r="D48" i="1857"/>
  <c r="D46" i="1857"/>
  <c r="D45" i="1857"/>
  <c r="R44" i="1857"/>
  <c r="D44" i="1857"/>
  <c r="R42" i="1857"/>
  <c r="L6" i="1857" s="1"/>
  <c r="D6" i="1857" s="1"/>
  <c r="D42" i="1857"/>
  <c r="R41" i="1857"/>
  <c r="D41" i="1857"/>
  <c r="R40" i="1857"/>
  <c r="D40" i="1857"/>
  <c r="R39" i="1857"/>
  <c r="H39" i="1857"/>
  <c r="D39" i="1857"/>
  <c r="R38" i="1857"/>
  <c r="L9" i="1857" s="1"/>
  <c r="D9" i="1857" s="1"/>
  <c r="H38" i="1857"/>
  <c r="D38" i="1857"/>
  <c r="R37" i="1857"/>
  <c r="H37" i="1857"/>
  <c r="D37" i="1857"/>
  <c r="R36" i="1857"/>
  <c r="H36" i="1857"/>
  <c r="D36" i="1857"/>
  <c r="R35" i="1857"/>
  <c r="H35" i="1857"/>
  <c r="D35" i="1857"/>
  <c r="R34" i="1857"/>
  <c r="L12" i="1857" s="1"/>
  <c r="D12" i="1857" s="1"/>
  <c r="H34" i="1857"/>
  <c r="G49" i="1857" s="1"/>
  <c r="D34" i="1857"/>
  <c r="D54" i="1857" s="1"/>
  <c r="H14" i="1857" s="1"/>
  <c r="R33" i="1857"/>
  <c r="R32" i="1857"/>
  <c r="R31" i="1857"/>
  <c r="R30" i="1857"/>
  <c r="R29" i="1857"/>
  <c r="R28" i="1857"/>
  <c r="L16" i="1857" s="1"/>
  <c r="D16" i="1857" s="1"/>
  <c r="L28" i="1857"/>
  <c r="D28" i="1857"/>
  <c r="R27" i="1857"/>
  <c r="D27" i="1857"/>
  <c r="R26" i="1857"/>
  <c r="L26" i="1857"/>
  <c r="D26" i="1857" s="1"/>
  <c r="R25" i="1857"/>
  <c r="L25" i="1857"/>
  <c r="D25" i="1857"/>
  <c r="R24" i="1857"/>
  <c r="D24" i="1857"/>
  <c r="R23" i="1857"/>
  <c r="L23" i="1857"/>
  <c r="D23" i="1857" s="1"/>
  <c r="R22" i="1857"/>
  <c r="L22" i="1857"/>
  <c r="D22" i="1857"/>
  <c r="R21" i="1857"/>
  <c r="D21" i="1857"/>
  <c r="R20" i="1857"/>
  <c r="L20" i="1857"/>
  <c r="D20" i="1857" s="1"/>
  <c r="R19" i="1857"/>
  <c r="L19" i="1857"/>
  <c r="D19" i="1857"/>
  <c r="R18" i="1857"/>
  <c r="D18" i="1857"/>
  <c r="R17" i="1857"/>
  <c r="D17" i="1857"/>
  <c r="R16" i="1857"/>
  <c r="R15" i="1857"/>
  <c r="D15" i="1857"/>
  <c r="R14" i="1857"/>
  <c r="D14" i="1857"/>
  <c r="R13" i="1857"/>
  <c r="D13" i="1857"/>
  <c r="R12" i="1857"/>
  <c r="R11" i="1857"/>
  <c r="L11" i="1857"/>
  <c r="D11" i="1857"/>
  <c r="L10" i="1857"/>
  <c r="D10" i="1857"/>
  <c r="L8" i="1857"/>
  <c r="D8" i="1857"/>
  <c r="L7" i="1857"/>
  <c r="D7" i="1857"/>
  <c r="R6" i="1857"/>
  <c r="R5" i="1857"/>
  <c r="R4" i="1857"/>
  <c r="R52" i="1856"/>
  <c r="R51" i="1856"/>
  <c r="D50" i="1856"/>
  <c r="R49" i="1856"/>
  <c r="D49" i="1856"/>
  <c r="R48" i="1856"/>
  <c r="D48" i="1856"/>
  <c r="D46" i="1856"/>
  <c r="D45" i="1856"/>
  <c r="R44" i="1856"/>
  <c r="L28" i="1856" s="1"/>
  <c r="D28" i="1856" s="1"/>
  <c r="D44" i="1856"/>
  <c r="R42" i="1856"/>
  <c r="D42" i="1856"/>
  <c r="R41" i="1856"/>
  <c r="D41" i="1856"/>
  <c r="R40" i="1856"/>
  <c r="D40" i="1856"/>
  <c r="R39" i="1856"/>
  <c r="H39" i="1856"/>
  <c r="D39" i="1856"/>
  <c r="R38" i="1856"/>
  <c r="H38" i="1856"/>
  <c r="D38" i="1856"/>
  <c r="R37" i="1856"/>
  <c r="H37" i="1856"/>
  <c r="D37" i="1856"/>
  <c r="R36" i="1856"/>
  <c r="L10" i="1856" s="1"/>
  <c r="D10" i="1856" s="1"/>
  <c r="H36" i="1856"/>
  <c r="D36" i="1856"/>
  <c r="R35" i="1856"/>
  <c r="H35" i="1856"/>
  <c r="D35" i="1856"/>
  <c r="R34" i="1856"/>
  <c r="H34" i="1856"/>
  <c r="G49" i="1856" s="1"/>
  <c r="D34" i="1856"/>
  <c r="D54" i="1856" s="1"/>
  <c r="H14" i="1856" s="1"/>
  <c r="R33" i="1856"/>
  <c r="R32" i="1856"/>
  <c r="R31" i="1856"/>
  <c r="R30" i="1856"/>
  <c r="R29" i="1856"/>
  <c r="R28" i="1856"/>
  <c r="L16" i="1856" s="1"/>
  <c r="D16" i="1856" s="1"/>
  <c r="R27" i="1856"/>
  <c r="D27" i="1856"/>
  <c r="R26" i="1856"/>
  <c r="L26" i="1856"/>
  <c r="D26" i="1856"/>
  <c r="R25" i="1856"/>
  <c r="L25" i="1856"/>
  <c r="D25" i="1856"/>
  <c r="R24" i="1856"/>
  <c r="L24" i="1856"/>
  <c r="D24" i="1856" s="1"/>
  <c r="R23" i="1856"/>
  <c r="L23" i="1856"/>
  <c r="D23" i="1856"/>
  <c r="R22" i="1856"/>
  <c r="L22" i="1856"/>
  <c r="D22" i="1856" s="1"/>
  <c r="R21" i="1856"/>
  <c r="D21" i="1856"/>
  <c r="R20" i="1856"/>
  <c r="L20" i="1856"/>
  <c r="D20" i="1856" s="1"/>
  <c r="R19" i="1856"/>
  <c r="L19" i="1856"/>
  <c r="D19" i="1856" s="1"/>
  <c r="R18" i="1856"/>
  <c r="D18" i="1856"/>
  <c r="R17" i="1856"/>
  <c r="L17" i="1856"/>
  <c r="D17" i="1856"/>
  <c r="R16" i="1856"/>
  <c r="R15" i="1856"/>
  <c r="D15" i="1856"/>
  <c r="R14" i="1856"/>
  <c r="D14" i="1856"/>
  <c r="R13" i="1856"/>
  <c r="D13" i="1856"/>
  <c r="R12" i="1856"/>
  <c r="L12" i="1856"/>
  <c r="D12" i="1856"/>
  <c r="R11" i="1856"/>
  <c r="L11" i="1856"/>
  <c r="D11" i="1856"/>
  <c r="L9" i="1856"/>
  <c r="D9" i="1856"/>
  <c r="L8" i="1856"/>
  <c r="D8" i="1856" s="1"/>
  <c r="L7" i="1856"/>
  <c r="D7" i="1856"/>
  <c r="R6" i="1856"/>
  <c r="L6" i="1856"/>
  <c r="D6" i="1856" s="1"/>
  <c r="R5" i="1856"/>
  <c r="R4" i="1856"/>
  <c r="R52" i="1855"/>
  <c r="R51" i="1855"/>
  <c r="D50" i="1855"/>
  <c r="R49" i="1855"/>
  <c r="G49" i="1855"/>
  <c r="D49" i="1855"/>
  <c r="R48" i="1855"/>
  <c r="D48" i="1855"/>
  <c r="D46" i="1855"/>
  <c r="D45" i="1855"/>
  <c r="R44" i="1855"/>
  <c r="L28" i="1855" s="1"/>
  <c r="D28" i="1855" s="1"/>
  <c r="D44" i="1855"/>
  <c r="R42" i="1855"/>
  <c r="D42" i="1855"/>
  <c r="R41" i="1855"/>
  <c r="D41" i="1855"/>
  <c r="R40" i="1855"/>
  <c r="L8" i="1855" s="1"/>
  <c r="D8" i="1855" s="1"/>
  <c r="D40" i="1855"/>
  <c r="R39" i="1855"/>
  <c r="H39" i="1855"/>
  <c r="D39" i="1855"/>
  <c r="R38" i="1855"/>
  <c r="H38" i="1855"/>
  <c r="D38" i="1855"/>
  <c r="R37" i="1855"/>
  <c r="H37" i="1855"/>
  <c r="D37" i="1855"/>
  <c r="R36" i="1855"/>
  <c r="H36" i="1855"/>
  <c r="D36" i="1855"/>
  <c r="R35" i="1855"/>
  <c r="H35" i="1855"/>
  <c r="D35" i="1855"/>
  <c r="R34" i="1855"/>
  <c r="L12" i="1855" s="1"/>
  <c r="D12" i="1855" s="1"/>
  <c r="H34" i="1855"/>
  <c r="D34" i="1855"/>
  <c r="D54" i="1855" s="1"/>
  <c r="H14" i="1855" s="1"/>
  <c r="R33" i="1855"/>
  <c r="R32" i="1855"/>
  <c r="R31" i="1855"/>
  <c r="R30" i="1855"/>
  <c r="R29" i="1855"/>
  <c r="R28" i="1855"/>
  <c r="R27" i="1855"/>
  <c r="D27" i="1855"/>
  <c r="R26" i="1855"/>
  <c r="L26" i="1855"/>
  <c r="D26" i="1855" s="1"/>
  <c r="R25" i="1855"/>
  <c r="L25" i="1855"/>
  <c r="D25" i="1855" s="1"/>
  <c r="R24" i="1855"/>
  <c r="L24" i="1855"/>
  <c r="D24" i="1855"/>
  <c r="R23" i="1855"/>
  <c r="D23" i="1855"/>
  <c r="R22" i="1855"/>
  <c r="D22" i="1855"/>
  <c r="R21" i="1855"/>
  <c r="D21" i="1855"/>
  <c r="R20" i="1855"/>
  <c r="L20" i="1855"/>
  <c r="D20" i="1855"/>
  <c r="R19" i="1855"/>
  <c r="D19" i="1855"/>
  <c r="R18" i="1855"/>
  <c r="D18" i="1855"/>
  <c r="R17" i="1855"/>
  <c r="L17" i="1855"/>
  <c r="D17" i="1855"/>
  <c r="R16" i="1855"/>
  <c r="L16" i="1855"/>
  <c r="D16" i="1855" s="1"/>
  <c r="R15" i="1855"/>
  <c r="D15" i="1855"/>
  <c r="R14" i="1855"/>
  <c r="D14" i="1855"/>
  <c r="R13" i="1855"/>
  <c r="D13" i="1855"/>
  <c r="R12" i="1855"/>
  <c r="R11" i="1855"/>
  <c r="L11" i="1855"/>
  <c r="D11" i="1855"/>
  <c r="L10" i="1855"/>
  <c r="D10" i="1855" s="1"/>
  <c r="L9" i="1855"/>
  <c r="D9" i="1855" s="1"/>
  <c r="L7" i="1855"/>
  <c r="D7" i="1855" s="1"/>
  <c r="R6" i="1855"/>
  <c r="L6" i="1855"/>
  <c r="D6" i="1855" s="1"/>
  <c r="D29" i="1855" s="1"/>
  <c r="H13" i="1855" s="1"/>
  <c r="H15" i="1855" s="1"/>
  <c r="H29" i="1855" s="1"/>
  <c r="G51" i="1855" s="1"/>
  <c r="R5" i="1855"/>
  <c r="R4" i="1855"/>
  <c r="R52" i="1854"/>
  <c r="R51" i="1854"/>
  <c r="D50" i="1854"/>
  <c r="R49" i="1854"/>
  <c r="G49" i="1854"/>
  <c r="D49" i="1854"/>
  <c r="R48" i="1854"/>
  <c r="D48" i="1854"/>
  <c r="D46" i="1854"/>
  <c r="D45" i="1854"/>
  <c r="D44" i="1854"/>
  <c r="R42" i="1854"/>
  <c r="L6" i="1854" s="1"/>
  <c r="D6" i="1854" s="1"/>
  <c r="D42" i="1854"/>
  <c r="R41" i="1854"/>
  <c r="L7" i="1854" s="1"/>
  <c r="D7" i="1854" s="1"/>
  <c r="D41" i="1854"/>
  <c r="R40" i="1854"/>
  <c r="D40" i="1854"/>
  <c r="R39" i="1854"/>
  <c r="D39" i="1854"/>
  <c r="R38" i="1854"/>
  <c r="D38" i="1854"/>
  <c r="R37" i="1854"/>
  <c r="D37" i="1854"/>
  <c r="R36" i="1854"/>
  <c r="D36" i="1854"/>
  <c r="R35" i="1854"/>
  <c r="L19" i="1854" s="1"/>
  <c r="D19" i="1854" s="1"/>
  <c r="D35" i="1854"/>
  <c r="R34" i="1854"/>
  <c r="L12" i="1854" s="1"/>
  <c r="D12" i="1854" s="1"/>
  <c r="D34" i="1854"/>
  <c r="D54" i="1854" s="1"/>
  <c r="H14" i="1854" s="1"/>
  <c r="R33" i="1854"/>
  <c r="L23" i="1854" s="1"/>
  <c r="D23" i="1854" s="1"/>
  <c r="R32" i="1854"/>
  <c r="R31" i="1854"/>
  <c r="R30" i="1854"/>
  <c r="R29" i="1854"/>
  <c r="R28" i="1854"/>
  <c r="L16" i="1854" s="1"/>
  <c r="D16" i="1854" s="1"/>
  <c r="D28" i="1854"/>
  <c r="R27" i="1854"/>
  <c r="D27" i="1854"/>
  <c r="R26" i="1854"/>
  <c r="L26" i="1854"/>
  <c r="D26" i="1854" s="1"/>
  <c r="R25" i="1854"/>
  <c r="L25" i="1854"/>
  <c r="D25" i="1854"/>
  <c r="R24" i="1854"/>
  <c r="D24" i="1854"/>
  <c r="R23" i="1854"/>
  <c r="R22" i="1854"/>
  <c r="L22" i="1854"/>
  <c r="D22" i="1854"/>
  <c r="R21" i="1854"/>
  <c r="D21" i="1854"/>
  <c r="R20" i="1854"/>
  <c r="L20" i="1854"/>
  <c r="D20" i="1854" s="1"/>
  <c r="R19" i="1854"/>
  <c r="R18" i="1854"/>
  <c r="D18" i="1854"/>
  <c r="R17" i="1854"/>
  <c r="D17" i="1854"/>
  <c r="R16" i="1854"/>
  <c r="S15" i="1854"/>
  <c r="R15" i="1854"/>
  <c r="D15" i="1854"/>
  <c r="S14" i="1854"/>
  <c r="R14" i="1854"/>
  <c r="D14" i="1854"/>
  <c r="R13" i="1854"/>
  <c r="D13" i="1854"/>
  <c r="R12" i="1854"/>
  <c r="R11" i="1854"/>
  <c r="L11" i="1854"/>
  <c r="D11" i="1854"/>
  <c r="L10" i="1854"/>
  <c r="D10" i="1854" s="1"/>
  <c r="L9" i="1854"/>
  <c r="D9" i="1854"/>
  <c r="L8" i="1854"/>
  <c r="D8" i="1854"/>
  <c r="R6" i="1854"/>
  <c r="R5" i="1854"/>
  <c r="R4" i="1854"/>
  <c r="R52" i="1853"/>
  <c r="R51" i="1853"/>
  <c r="D50" i="1853"/>
  <c r="R49" i="1853"/>
  <c r="D49" i="1853"/>
  <c r="R48" i="1853"/>
  <c r="D48" i="1853"/>
  <c r="D46" i="1853"/>
  <c r="D45" i="1853"/>
  <c r="R44" i="1853"/>
  <c r="L28" i="1853" s="1"/>
  <c r="D28" i="1853" s="1"/>
  <c r="D44" i="1853"/>
  <c r="R42" i="1853"/>
  <c r="L6" i="1853" s="1"/>
  <c r="D6" i="1853" s="1"/>
  <c r="D29" i="1853" s="1"/>
  <c r="H13" i="1853" s="1"/>
  <c r="D42" i="1853"/>
  <c r="R41" i="1853"/>
  <c r="D41" i="1853"/>
  <c r="R40" i="1853"/>
  <c r="D40" i="1853"/>
  <c r="R39" i="1853"/>
  <c r="H39" i="1853"/>
  <c r="D39" i="1853"/>
  <c r="R38" i="1853"/>
  <c r="L9" i="1853" s="1"/>
  <c r="D9" i="1853" s="1"/>
  <c r="H38" i="1853"/>
  <c r="D38" i="1853"/>
  <c r="R37" i="1853"/>
  <c r="H37" i="1853"/>
  <c r="D37" i="1853"/>
  <c r="R36" i="1853"/>
  <c r="L10" i="1853" s="1"/>
  <c r="D10" i="1853" s="1"/>
  <c r="H36" i="1853"/>
  <c r="D36" i="1853"/>
  <c r="R35" i="1853"/>
  <c r="H35" i="1853"/>
  <c r="D35" i="1853"/>
  <c r="R34" i="1853"/>
  <c r="H34" i="1853"/>
  <c r="G49" i="1853" s="1"/>
  <c r="D34" i="1853"/>
  <c r="D54" i="1853" s="1"/>
  <c r="H14" i="1853" s="1"/>
  <c r="R33" i="1853"/>
  <c r="R32" i="1853"/>
  <c r="R31" i="1853"/>
  <c r="R30" i="1853"/>
  <c r="R29" i="1853"/>
  <c r="R28" i="1853"/>
  <c r="L16" i="1853" s="1"/>
  <c r="D16" i="1853" s="1"/>
  <c r="R27" i="1853"/>
  <c r="D27" i="1853"/>
  <c r="R26" i="1853"/>
  <c r="L26" i="1853"/>
  <c r="D26" i="1853"/>
  <c r="R25" i="1853"/>
  <c r="L25" i="1853"/>
  <c r="D25" i="1853"/>
  <c r="R24" i="1853"/>
  <c r="D24" i="1853"/>
  <c r="R23" i="1853"/>
  <c r="L23" i="1853"/>
  <c r="D23" i="1853"/>
  <c r="R22" i="1853"/>
  <c r="L22" i="1853"/>
  <c r="D22" i="1853"/>
  <c r="R21" i="1853"/>
  <c r="D21" i="1853"/>
  <c r="R20" i="1853"/>
  <c r="L20" i="1853"/>
  <c r="D20" i="1853"/>
  <c r="R19" i="1853"/>
  <c r="L19" i="1853"/>
  <c r="D19" i="1853"/>
  <c r="R18" i="1853"/>
  <c r="D18" i="1853"/>
  <c r="R17" i="1853"/>
  <c r="D17" i="1853"/>
  <c r="R16" i="1853"/>
  <c r="R15" i="1853"/>
  <c r="D15" i="1853"/>
  <c r="R14" i="1853"/>
  <c r="D14" i="1853"/>
  <c r="R13" i="1853"/>
  <c r="D13" i="1853"/>
  <c r="R12" i="1853"/>
  <c r="L12" i="1853"/>
  <c r="D12" i="1853" s="1"/>
  <c r="R11" i="1853"/>
  <c r="L11" i="1853"/>
  <c r="D11" i="1853"/>
  <c r="L8" i="1853"/>
  <c r="D8" i="1853"/>
  <c r="L7" i="1853"/>
  <c r="D7" i="1853"/>
  <c r="R6" i="1853"/>
  <c r="R5" i="1853"/>
  <c r="R4" i="1853"/>
  <c r="R52" i="1852"/>
  <c r="R51" i="1852"/>
  <c r="D50" i="1852"/>
  <c r="R49" i="1852"/>
  <c r="D49" i="1852"/>
  <c r="R48" i="1852"/>
  <c r="D48" i="1852"/>
  <c r="D46" i="1852"/>
  <c r="D45" i="1852"/>
  <c r="R44" i="1852"/>
  <c r="L28" i="1852" s="1"/>
  <c r="D28" i="1852" s="1"/>
  <c r="D44" i="1852"/>
  <c r="R42" i="1852"/>
  <c r="D42" i="1852"/>
  <c r="R41" i="1852"/>
  <c r="D41" i="1852"/>
  <c r="R40" i="1852"/>
  <c r="D40" i="1852"/>
  <c r="R39" i="1852"/>
  <c r="H39" i="1852"/>
  <c r="D39" i="1852"/>
  <c r="R38" i="1852"/>
  <c r="L9" i="1852" s="1"/>
  <c r="D9" i="1852" s="1"/>
  <c r="H38" i="1852"/>
  <c r="D38" i="1852"/>
  <c r="R37" i="1852"/>
  <c r="H37" i="1852"/>
  <c r="D37" i="1852"/>
  <c r="R36" i="1852"/>
  <c r="L10" i="1852" s="1"/>
  <c r="D10" i="1852" s="1"/>
  <c r="H36" i="1852"/>
  <c r="D36" i="1852"/>
  <c r="R35" i="1852"/>
  <c r="H35" i="1852"/>
  <c r="D35" i="1852"/>
  <c r="R34" i="1852"/>
  <c r="H34" i="1852"/>
  <c r="G49" i="1852" s="1"/>
  <c r="D34" i="1852"/>
  <c r="D54" i="1852" s="1"/>
  <c r="H14" i="1852" s="1"/>
  <c r="R33" i="1852"/>
  <c r="R32" i="1852"/>
  <c r="R31" i="1852"/>
  <c r="R30" i="1852"/>
  <c r="R29" i="1852"/>
  <c r="R28" i="1852"/>
  <c r="R27" i="1852"/>
  <c r="D27" i="1852"/>
  <c r="R26" i="1852"/>
  <c r="L26" i="1852"/>
  <c r="D26" i="1852"/>
  <c r="R25" i="1852"/>
  <c r="L25" i="1852"/>
  <c r="D25" i="1852"/>
  <c r="R24" i="1852"/>
  <c r="L24" i="1852"/>
  <c r="D24" i="1852" s="1"/>
  <c r="R23" i="1852"/>
  <c r="L23" i="1852"/>
  <c r="D23" i="1852" s="1"/>
  <c r="R22" i="1852"/>
  <c r="L22" i="1852"/>
  <c r="D22" i="1852" s="1"/>
  <c r="R21" i="1852"/>
  <c r="D21" i="1852"/>
  <c r="R20" i="1852"/>
  <c r="L20" i="1852"/>
  <c r="D20" i="1852" s="1"/>
  <c r="R19" i="1852"/>
  <c r="L19" i="1852"/>
  <c r="D19" i="1852"/>
  <c r="R18" i="1852"/>
  <c r="D18" i="1852"/>
  <c r="R17" i="1852"/>
  <c r="L17" i="1852"/>
  <c r="D17" i="1852" s="1"/>
  <c r="R16" i="1852"/>
  <c r="L16" i="1852"/>
  <c r="D16" i="1852" s="1"/>
  <c r="R15" i="1852"/>
  <c r="D15" i="1852"/>
  <c r="R14" i="1852"/>
  <c r="D14" i="1852"/>
  <c r="R13" i="1852"/>
  <c r="D13" i="1852"/>
  <c r="R12" i="1852"/>
  <c r="L12" i="1852"/>
  <c r="D12" i="1852"/>
  <c r="R11" i="1852"/>
  <c r="L11" i="1852"/>
  <c r="D11" i="1852"/>
  <c r="L8" i="1852"/>
  <c r="D8" i="1852" s="1"/>
  <c r="L7" i="1852"/>
  <c r="D7" i="1852"/>
  <c r="R6" i="1852"/>
  <c r="L6" i="1852"/>
  <c r="D6" i="1852" s="1"/>
  <c r="R5" i="1852"/>
  <c r="R4" i="1852"/>
  <c r="R52" i="1851"/>
  <c r="R51" i="1851"/>
  <c r="D50" i="1851"/>
  <c r="R49" i="1851"/>
  <c r="D49" i="1851"/>
  <c r="R48" i="1851"/>
  <c r="D48" i="1851"/>
  <c r="D46" i="1851"/>
  <c r="D45" i="1851"/>
  <c r="R44" i="1851"/>
  <c r="L28" i="1851" s="1"/>
  <c r="D28" i="1851" s="1"/>
  <c r="D44" i="1851"/>
  <c r="R42" i="1851"/>
  <c r="L6" i="1851" s="1"/>
  <c r="D6" i="1851" s="1"/>
  <c r="D42" i="1851"/>
  <c r="R41" i="1851"/>
  <c r="D41" i="1851"/>
  <c r="R40" i="1851"/>
  <c r="D40" i="1851"/>
  <c r="R39" i="1851"/>
  <c r="L20" i="1851" s="1"/>
  <c r="D20" i="1851" s="1"/>
  <c r="H39" i="1851"/>
  <c r="D39" i="1851"/>
  <c r="R38" i="1851"/>
  <c r="H38" i="1851"/>
  <c r="D38" i="1851"/>
  <c r="R37" i="1851"/>
  <c r="H37" i="1851"/>
  <c r="D37" i="1851"/>
  <c r="R36" i="1851"/>
  <c r="L10" i="1851" s="1"/>
  <c r="D10" i="1851" s="1"/>
  <c r="H36" i="1851"/>
  <c r="D36" i="1851"/>
  <c r="R35" i="1851"/>
  <c r="H35" i="1851"/>
  <c r="G49" i="1851" s="1"/>
  <c r="D35" i="1851"/>
  <c r="R34" i="1851"/>
  <c r="H34" i="1851"/>
  <c r="D34" i="1851"/>
  <c r="D54" i="1851" s="1"/>
  <c r="H14" i="1851" s="1"/>
  <c r="R33" i="1851"/>
  <c r="R32" i="1851"/>
  <c r="L11" i="1851" s="1"/>
  <c r="D11" i="1851" s="1"/>
  <c r="R31" i="1851"/>
  <c r="R30" i="1851"/>
  <c r="R29" i="1851"/>
  <c r="R28" i="1851"/>
  <c r="L16" i="1851" s="1"/>
  <c r="D16" i="1851" s="1"/>
  <c r="R27" i="1851"/>
  <c r="D27" i="1851"/>
  <c r="R26" i="1851"/>
  <c r="L26" i="1851"/>
  <c r="D26" i="1851"/>
  <c r="R25" i="1851"/>
  <c r="L25" i="1851"/>
  <c r="D25" i="1851"/>
  <c r="R24" i="1851"/>
  <c r="L24" i="1851"/>
  <c r="D24" i="1851"/>
  <c r="R23" i="1851"/>
  <c r="D23" i="1851"/>
  <c r="R22" i="1851"/>
  <c r="D22" i="1851"/>
  <c r="R21" i="1851"/>
  <c r="D21" i="1851"/>
  <c r="R20" i="1851"/>
  <c r="R19" i="1851"/>
  <c r="D19" i="1851"/>
  <c r="R18" i="1851"/>
  <c r="D18" i="1851"/>
  <c r="R17" i="1851"/>
  <c r="L17" i="1851"/>
  <c r="D17" i="1851"/>
  <c r="R16" i="1851"/>
  <c r="R15" i="1851"/>
  <c r="D15" i="1851"/>
  <c r="R14" i="1851"/>
  <c r="D14" i="1851"/>
  <c r="R13" i="1851"/>
  <c r="D13" i="1851"/>
  <c r="R12" i="1851"/>
  <c r="L12" i="1851"/>
  <c r="D12" i="1851"/>
  <c r="R11" i="1851"/>
  <c r="L9" i="1851"/>
  <c r="D9" i="1851" s="1"/>
  <c r="L8" i="1851"/>
  <c r="D8" i="1851" s="1"/>
  <c r="L7" i="1851"/>
  <c r="D7" i="1851"/>
  <c r="R6" i="1851"/>
  <c r="R5" i="1851"/>
  <c r="R4" i="1851"/>
  <c r="R52" i="1850"/>
  <c r="R51" i="1850"/>
  <c r="D50" i="1850"/>
  <c r="R49" i="1850"/>
  <c r="G49" i="1850"/>
  <c r="D49" i="1850"/>
  <c r="R48" i="1850"/>
  <c r="D48" i="1850"/>
  <c r="D46" i="1850"/>
  <c r="D45" i="1850"/>
  <c r="D44" i="1850"/>
  <c r="R42" i="1850"/>
  <c r="L6" i="1850" s="1"/>
  <c r="D6" i="1850" s="1"/>
  <c r="D42" i="1850"/>
  <c r="R41" i="1850"/>
  <c r="L7" i="1850" s="1"/>
  <c r="D7" i="1850" s="1"/>
  <c r="D41" i="1850"/>
  <c r="R40" i="1850"/>
  <c r="L8" i="1850" s="1"/>
  <c r="D8" i="1850" s="1"/>
  <c r="D40" i="1850"/>
  <c r="R39" i="1850"/>
  <c r="D39" i="1850"/>
  <c r="R38" i="1850"/>
  <c r="D38" i="1850"/>
  <c r="R37" i="1850"/>
  <c r="D37" i="1850"/>
  <c r="R36" i="1850"/>
  <c r="L10" i="1850" s="1"/>
  <c r="D10" i="1850" s="1"/>
  <c r="D36" i="1850"/>
  <c r="R35" i="1850"/>
  <c r="D35" i="1850"/>
  <c r="R34" i="1850"/>
  <c r="L12" i="1850" s="1"/>
  <c r="D12" i="1850" s="1"/>
  <c r="D34" i="1850"/>
  <c r="D54" i="1850" s="1"/>
  <c r="H14" i="1850" s="1"/>
  <c r="R33" i="1850"/>
  <c r="L23" i="1850" s="1"/>
  <c r="D23" i="1850" s="1"/>
  <c r="R32" i="1850"/>
  <c r="R31" i="1850"/>
  <c r="R30" i="1850"/>
  <c r="R29" i="1850"/>
  <c r="R28" i="1850"/>
  <c r="D28" i="1850"/>
  <c r="R27" i="1850"/>
  <c r="D27" i="1850"/>
  <c r="R26" i="1850"/>
  <c r="L26" i="1850"/>
  <c r="D26" i="1850"/>
  <c r="R25" i="1850"/>
  <c r="L25" i="1850"/>
  <c r="D25" i="1850"/>
  <c r="R24" i="1850"/>
  <c r="D24" i="1850"/>
  <c r="R23" i="1850"/>
  <c r="R22" i="1850"/>
  <c r="L22" i="1850"/>
  <c r="D22" i="1850"/>
  <c r="R21" i="1850"/>
  <c r="D21" i="1850"/>
  <c r="R20" i="1850"/>
  <c r="L20" i="1850"/>
  <c r="D20" i="1850"/>
  <c r="R19" i="1850"/>
  <c r="L19" i="1850"/>
  <c r="D19" i="1850"/>
  <c r="R18" i="1850"/>
  <c r="D18" i="1850"/>
  <c r="R17" i="1850"/>
  <c r="D17" i="1850"/>
  <c r="R16" i="1850"/>
  <c r="L16" i="1850"/>
  <c r="D16" i="1850" s="1"/>
  <c r="S15" i="1850"/>
  <c r="R15" i="1850"/>
  <c r="D15" i="1850"/>
  <c r="S14" i="1850"/>
  <c r="R14" i="1850"/>
  <c r="D14" i="1850"/>
  <c r="R13" i="1850"/>
  <c r="D13" i="1850"/>
  <c r="R12" i="1850"/>
  <c r="R11" i="1850"/>
  <c r="L11" i="1850"/>
  <c r="D11" i="1850"/>
  <c r="L9" i="1850"/>
  <c r="D9" i="1850" s="1"/>
  <c r="R6" i="1850"/>
  <c r="R5" i="1850"/>
  <c r="R4" i="1850"/>
  <c r="R52" i="1849"/>
  <c r="L22" i="1849" s="1"/>
  <c r="D22" i="1849" s="1"/>
  <c r="R51" i="1849"/>
  <c r="D50" i="1849"/>
  <c r="R49" i="1849"/>
  <c r="D49" i="1849"/>
  <c r="R48" i="1849"/>
  <c r="D48" i="1849"/>
  <c r="D46" i="1849"/>
  <c r="D45" i="1849"/>
  <c r="R44" i="1849"/>
  <c r="L28" i="1849" s="1"/>
  <c r="D28" i="1849" s="1"/>
  <c r="D44" i="1849"/>
  <c r="R42" i="1849"/>
  <c r="L6" i="1849" s="1"/>
  <c r="D6" i="1849" s="1"/>
  <c r="D42" i="1849"/>
  <c r="R41" i="1849"/>
  <c r="L7" i="1849" s="1"/>
  <c r="D7" i="1849" s="1"/>
  <c r="D41" i="1849"/>
  <c r="D54" i="1849" s="1"/>
  <c r="H14" i="1849" s="1"/>
  <c r="R40" i="1849"/>
  <c r="D40" i="1849"/>
  <c r="R39" i="1849"/>
  <c r="H39" i="1849"/>
  <c r="D39" i="1849"/>
  <c r="R38" i="1849"/>
  <c r="H38" i="1849"/>
  <c r="D38" i="1849"/>
  <c r="R37" i="1849"/>
  <c r="H37" i="1849"/>
  <c r="D37" i="1849"/>
  <c r="R36" i="1849"/>
  <c r="L10" i="1849" s="1"/>
  <c r="D10" i="1849" s="1"/>
  <c r="H36" i="1849"/>
  <c r="D36" i="1849"/>
  <c r="R35" i="1849"/>
  <c r="L19" i="1849" s="1"/>
  <c r="D19" i="1849" s="1"/>
  <c r="H35" i="1849"/>
  <c r="D35" i="1849"/>
  <c r="R34" i="1849"/>
  <c r="H34" i="1849"/>
  <c r="G49" i="1849" s="1"/>
  <c r="D34" i="1849"/>
  <c r="R33" i="1849"/>
  <c r="R32" i="1849"/>
  <c r="R31" i="1849"/>
  <c r="R30" i="1849"/>
  <c r="R29" i="1849"/>
  <c r="R28" i="1849"/>
  <c r="R27" i="1849"/>
  <c r="D27" i="1849"/>
  <c r="R26" i="1849"/>
  <c r="L26" i="1849"/>
  <c r="D26" i="1849"/>
  <c r="R25" i="1849"/>
  <c r="L25" i="1849"/>
  <c r="D25" i="1849"/>
  <c r="R24" i="1849"/>
  <c r="D24" i="1849"/>
  <c r="R23" i="1849"/>
  <c r="L23" i="1849"/>
  <c r="D23" i="1849"/>
  <c r="R22" i="1849"/>
  <c r="R21" i="1849"/>
  <c r="D21" i="1849"/>
  <c r="R20" i="1849"/>
  <c r="L20" i="1849"/>
  <c r="D20" i="1849"/>
  <c r="R19" i="1849"/>
  <c r="R18" i="1849"/>
  <c r="D18" i="1849"/>
  <c r="R17" i="1849"/>
  <c r="D17" i="1849"/>
  <c r="R16" i="1849"/>
  <c r="L16" i="1849"/>
  <c r="D16" i="1849" s="1"/>
  <c r="R15" i="1849"/>
  <c r="D15" i="1849"/>
  <c r="R14" i="1849"/>
  <c r="D14" i="1849"/>
  <c r="R13" i="1849"/>
  <c r="D13" i="1849"/>
  <c r="R12" i="1849"/>
  <c r="L12" i="1849"/>
  <c r="D12" i="1849"/>
  <c r="R11" i="1849"/>
  <c r="L11" i="1849"/>
  <c r="D11" i="1849"/>
  <c r="L9" i="1849"/>
  <c r="D9" i="1849"/>
  <c r="L8" i="1849"/>
  <c r="D8" i="1849"/>
  <c r="R6" i="1849"/>
  <c r="R5" i="1849"/>
  <c r="R4" i="1849"/>
  <c r="R52" i="1848"/>
  <c r="R51" i="1848"/>
  <c r="D50" i="1848"/>
  <c r="R49" i="1848"/>
  <c r="D49" i="1848"/>
  <c r="R48" i="1848"/>
  <c r="D48" i="1848"/>
  <c r="D46" i="1848"/>
  <c r="D45" i="1848"/>
  <c r="R44" i="1848"/>
  <c r="D44" i="1848"/>
  <c r="R42" i="1848"/>
  <c r="L6" i="1848" s="1"/>
  <c r="D6" i="1848" s="1"/>
  <c r="D29" i="1848" s="1"/>
  <c r="H13" i="1848" s="1"/>
  <c r="H15" i="1848" s="1"/>
  <c r="H29" i="1848" s="1"/>
  <c r="D42" i="1848"/>
  <c r="R41" i="1848"/>
  <c r="L7" i="1848" s="1"/>
  <c r="D7" i="1848" s="1"/>
  <c r="D41" i="1848"/>
  <c r="R40" i="1848"/>
  <c r="D40" i="1848"/>
  <c r="R39" i="1848"/>
  <c r="H39" i="1848"/>
  <c r="D39" i="1848"/>
  <c r="R38" i="1848"/>
  <c r="H38" i="1848"/>
  <c r="D38" i="1848"/>
  <c r="R37" i="1848"/>
  <c r="H37" i="1848"/>
  <c r="D37" i="1848"/>
  <c r="R36" i="1848"/>
  <c r="L10" i="1848" s="1"/>
  <c r="D10" i="1848" s="1"/>
  <c r="H36" i="1848"/>
  <c r="D36" i="1848"/>
  <c r="D54" i="1848" s="1"/>
  <c r="H14" i="1848" s="1"/>
  <c r="R35" i="1848"/>
  <c r="L19" i="1848" s="1"/>
  <c r="D19" i="1848" s="1"/>
  <c r="H35" i="1848"/>
  <c r="D35" i="1848"/>
  <c r="R34" i="1848"/>
  <c r="H34" i="1848"/>
  <c r="G49" i="1848" s="1"/>
  <c r="G51" i="1848" s="1"/>
  <c r="D34" i="1848"/>
  <c r="R33" i="1848"/>
  <c r="R32" i="1848"/>
  <c r="R31" i="1848"/>
  <c r="R30" i="1848"/>
  <c r="R29" i="1848"/>
  <c r="R28" i="1848"/>
  <c r="L28" i="1848"/>
  <c r="D28" i="1848"/>
  <c r="R27" i="1848"/>
  <c r="D27" i="1848"/>
  <c r="R26" i="1848"/>
  <c r="L26" i="1848"/>
  <c r="D26" i="1848"/>
  <c r="R25" i="1848"/>
  <c r="L25" i="1848"/>
  <c r="D25" i="1848"/>
  <c r="R24" i="1848"/>
  <c r="L24" i="1848"/>
  <c r="D24" i="1848" s="1"/>
  <c r="R23" i="1848"/>
  <c r="L23" i="1848"/>
  <c r="D23" i="1848"/>
  <c r="R22" i="1848"/>
  <c r="L22" i="1848"/>
  <c r="D22" i="1848" s="1"/>
  <c r="R21" i="1848"/>
  <c r="L17" i="1848" s="1"/>
  <c r="D17" i="1848" s="1"/>
  <c r="D21" i="1848"/>
  <c r="R20" i="1848"/>
  <c r="L20" i="1848"/>
  <c r="D20" i="1848"/>
  <c r="R19" i="1848"/>
  <c r="R18" i="1848"/>
  <c r="D18" i="1848"/>
  <c r="R17" i="1848"/>
  <c r="R16" i="1848"/>
  <c r="L16" i="1848"/>
  <c r="D16" i="1848" s="1"/>
  <c r="R15" i="1848"/>
  <c r="D15" i="1848"/>
  <c r="R14" i="1848"/>
  <c r="D14" i="1848"/>
  <c r="R13" i="1848"/>
  <c r="D13" i="1848"/>
  <c r="R12" i="1848"/>
  <c r="L12" i="1848"/>
  <c r="D12" i="1848"/>
  <c r="R11" i="1848"/>
  <c r="L11" i="1848"/>
  <c r="D11" i="1848"/>
  <c r="L9" i="1848"/>
  <c r="D9" i="1848"/>
  <c r="L8" i="1848"/>
  <c r="D8" i="1848"/>
  <c r="R6" i="1848"/>
  <c r="R5" i="1848"/>
  <c r="R4" i="1848"/>
  <c r="R52" i="1847"/>
  <c r="R51" i="1847"/>
  <c r="D50" i="1847"/>
  <c r="R49" i="1847"/>
  <c r="D49" i="1847"/>
  <c r="R48" i="1847"/>
  <c r="D48" i="1847"/>
  <c r="D46" i="1847"/>
  <c r="D45" i="1847"/>
  <c r="R44" i="1847"/>
  <c r="D44" i="1847"/>
  <c r="R42" i="1847"/>
  <c r="D42" i="1847"/>
  <c r="R41" i="1847"/>
  <c r="L7" i="1847" s="1"/>
  <c r="D7" i="1847" s="1"/>
  <c r="D41" i="1847"/>
  <c r="R40" i="1847"/>
  <c r="L8" i="1847" s="1"/>
  <c r="D8" i="1847" s="1"/>
  <c r="D40" i="1847"/>
  <c r="R39" i="1847"/>
  <c r="H39" i="1847"/>
  <c r="D39" i="1847"/>
  <c r="R38" i="1847"/>
  <c r="H38" i="1847"/>
  <c r="D38" i="1847"/>
  <c r="R37" i="1847"/>
  <c r="H37" i="1847"/>
  <c r="D37" i="1847"/>
  <c r="R36" i="1847"/>
  <c r="H36" i="1847"/>
  <c r="D36" i="1847"/>
  <c r="R35" i="1847"/>
  <c r="H35" i="1847"/>
  <c r="G49" i="1847" s="1"/>
  <c r="D35" i="1847"/>
  <c r="D54" i="1847" s="1"/>
  <c r="H14" i="1847" s="1"/>
  <c r="R34" i="1847"/>
  <c r="H34" i="1847"/>
  <c r="D34" i="1847"/>
  <c r="R33" i="1847"/>
  <c r="R32" i="1847"/>
  <c r="R31" i="1847"/>
  <c r="R30" i="1847"/>
  <c r="R29" i="1847"/>
  <c r="R28" i="1847"/>
  <c r="L16" i="1847" s="1"/>
  <c r="D16" i="1847" s="1"/>
  <c r="L28" i="1847"/>
  <c r="D28" i="1847"/>
  <c r="R27" i="1847"/>
  <c r="D27" i="1847"/>
  <c r="R26" i="1847"/>
  <c r="L26" i="1847"/>
  <c r="D26" i="1847" s="1"/>
  <c r="R25" i="1847"/>
  <c r="L25" i="1847"/>
  <c r="D25" i="1847" s="1"/>
  <c r="R24" i="1847"/>
  <c r="L24" i="1847"/>
  <c r="D24" i="1847"/>
  <c r="R23" i="1847"/>
  <c r="D23" i="1847"/>
  <c r="R22" i="1847"/>
  <c r="D22" i="1847"/>
  <c r="R21" i="1847"/>
  <c r="D21" i="1847"/>
  <c r="R20" i="1847"/>
  <c r="L20" i="1847"/>
  <c r="D20" i="1847" s="1"/>
  <c r="R19" i="1847"/>
  <c r="D19" i="1847"/>
  <c r="R18" i="1847"/>
  <c r="D18" i="1847"/>
  <c r="R17" i="1847"/>
  <c r="L17" i="1847"/>
  <c r="D17" i="1847"/>
  <c r="R16" i="1847"/>
  <c r="R15" i="1847"/>
  <c r="D15" i="1847"/>
  <c r="R14" i="1847"/>
  <c r="D14" i="1847"/>
  <c r="R13" i="1847"/>
  <c r="D13" i="1847"/>
  <c r="R12" i="1847"/>
  <c r="L12" i="1847"/>
  <c r="D12" i="1847"/>
  <c r="R11" i="1847"/>
  <c r="L11" i="1847"/>
  <c r="D11" i="1847"/>
  <c r="L10" i="1847"/>
  <c r="D10" i="1847" s="1"/>
  <c r="L9" i="1847"/>
  <c r="D9" i="1847"/>
  <c r="R6" i="1847"/>
  <c r="L6" i="1847"/>
  <c r="D6" i="1847" s="1"/>
  <c r="R5" i="1847"/>
  <c r="R4" i="1847"/>
  <c r="R52" i="1846"/>
  <c r="R51" i="1846"/>
  <c r="D50" i="1846"/>
  <c r="R49" i="1846"/>
  <c r="G49" i="1846"/>
  <c r="D49" i="1846"/>
  <c r="R48" i="1846"/>
  <c r="D48" i="1846"/>
  <c r="D46" i="1846"/>
  <c r="D45" i="1846"/>
  <c r="D44" i="1846"/>
  <c r="R42" i="1846"/>
  <c r="L6" i="1846" s="1"/>
  <c r="D6" i="1846" s="1"/>
  <c r="D42" i="1846"/>
  <c r="R41" i="1846"/>
  <c r="L7" i="1846" s="1"/>
  <c r="D7" i="1846" s="1"/>
  <c r="D41" i="1846"/>
  <c r="R40" i="1846"/>
  <c r="D40" i="1846"/>
  <c r="R39" i="1846"/>
  <c r="D39" i="1846"/>
  <c r="R38" i="1846"/>
  <c r="D38" i="1846"/>
  <c r="R37" i="1846"/>
  <c r="D37" i="1846"/>
  <c r="R36" i="1846"/>
  <c r="L10" i="1846" s="1"/>
  <c r="D10" i="1846" s="1"/>
  <c r="D36" i="1846"/>
  <c r="R35" i="1846"/>
  <c r="D35" i="1846"/>
  <c r="R34" i="1846"/>
  <c r="L12" i="1846" s="1"/>
  <c r="D12" i="1846" s="1"/>
  <c r="D34" i="1846"/>
  <c r="D54" i="1846" s="1"/>
  <c r="H14" i="1846" s="1"/>
  <c r="R33" i="1846"/>
  <c r="L23" i="1846" s="1"/>
  <c r="D23" i="1846" s="1"/>
  <c r="R32" i="1846"/>
  <c r="R31" i="1846"/>
  <c r="R30" i="1846"/>
  <c r="R29" i="1846"/>
  <c r="R28" i="1846"/>
  <c r="D28" i="1846"/>
  <c r="R27" i="1846"/>
  <c r="D27" i="1846"/>
  <c r="R26" i="1846"/>
  <c r="L26" i="1846"/>
  <c r="D26" i="1846"/>
  <c r="R25" i="1846"/>
  <c r="L25" i="1846"/>
  <c r="D25" i="1846"/>
  <c r="R24" i="1846"/>
  <c r="D24" i="1846"/>
  <c r="R23" i="1846"/>
  <c r="R22" i="1846"/>
  <c r="L22" i="1846"/>
  <c r="D22" i="1846"/>
  <c r="R21" i="1846"/>
  <c r="D21" i="1846"/>
  <c r="R20" i="1846"/>
  <c r="L20" i="1846"/>
  <c r="D20" i="1846"/>
  <c r="R19" i="1846"/>
  <c r="L19" i="1846"/>
  <c r="D19" i="1846"/>
  <c r="R18" i="1846"/>
  <c r="D18" i="1846"/>
  <c r="R17" i="1846"/>
  <c r="D17" i="1846"/>
  <c r="R16" i="1846"/>
  <c r="L16" i="1846"/>
  <c r="D16" i="1846" s="1"/>
  <c r="S15" i="1846"/>
  <c r="R15" i="1846"/>
  <c r="D15" i="1846"/>
  <c r="S14" i="1846"/>
  <c r="R14" i="1846"/>
  <c r="D14" i="1846"/>
  <c r="R13" i="1846"/>
  <c r="D13" i="1846"/>
  <c r="R12" i="1846"/>
  <c r="R11" i="1846"/>
  <c r="L11" i="1846"/>
  <c r="D11" i="1846"/>
  <c r="L9" i="1846"/>
  <c r="D9" i="1846" s="1"/>
  <c r="L8" i="1846"/>
  <c r="D8" i="1846"/>
  <c r="R6" i="1846"/>
  <c r="R5" i="1846"/>
  <c r="R4" i="1846"/>
  <c r="D54" i="1845"/>
  <c r="H14" i="1845" s="1"/>
  <c r="R52" i="1845"/>
  <c r="R51" i="1845"/>
  <c r="D50" i="1845"/>
  <c r="R49" i="1845"/>
  <c r="D49" i="1845"/>
  <c r="R48" i="1845"/>
  <c r="D48" i="1845"/>
  <c r="D46" i="1845"/>
  <c r="D45" i="1845"/>
  <c r="R44" i="1845"/>
  <c r="L28" i="1845" s="1"/>
  <c r="D28" i="1845" s="1"/>
  <c r="D44" i="1845"/>
  <c r="R42" i="1845"/>
  <c r="L6" i="1845" s="1"/>
  <c r="D6" i="1845" s="1"/>
  <c r="D42" i="1845"/>
  <c r="R41" i="1845"/>
  <c r="L7" i="1845" s="1"/>
  <c r="D7" i="1845" s="1"/>
  <c r="D41" i="1845"/>
  <c r="R40" i="1845"/>
  <c r="D40" i="1845"/>
  <c r="R39" i="1845"/>
  <c r="H39" i="1845"/>
  <c r="D39" i="1845"/>
  <c r="R38" i="1845"/>
  <c r="H38" i="1845"/>
  <c r="D38" i="1845"/>
  <c r="R37" i="1845"/>
  <c r="H37" i="1845"/>
  <c r="D37" i="1845"/>
  <c r="R36" i="1845"/>
  <c r="L10" i="1845" s="1"/>
  <c r="D10" i="1845" s="1"/>
  <c r="H36" i="1845"/>
  <c r="D36" i="1845"/>
  <c r="R35" i="1845"/>
  <c r="L19" i="1845" s="1"/>
  <c r="D19" i="1845" s="1"/>
  <c r="H35" i="1845"/>
  <c r="D35" i="1845"/>
  <c r="R34" i="1845"/>
  <c r="H34" i="1845"/>
  <c r="G49" i="1845" s="1"/>
  <c r="D34" i="1845"/>
  <c r="R33" i="1845"/>
  <c r="R32" i="1845"/>
  <c r="R31" i="1845"/>
  <c r="R30" i="1845"/>
  <c r="R29" i="1845"/>
  <c r="R28" i="1845"/>
  <c r="L16" i="1845" s="1"/>
  <c r="D16" i="1845" s="1"/>
  <c r="R27" i="1845"/>
  <c r="D27" i="1845"/>
  <c r="R26" i="1845"/>
  <c r="L26" i="1845"/>
  <c r="D26" i="1845"/>
  <c r="R25" i="1845"/>
  <c r="L25" i="1845"/>
  <c r="D25" i="1845"/>
  <c r="R24" i="1845"/>
  <c r="D24" i="1845"/>
  <c r="R23" i="1845"/>
  <c r="L23" i="1845"/>
  <c r="D23" i="1845"/>
  <c r="R22" i="1845"/>
  <c r="L22" i="1845"/>
  <c r="D22" i="1845"/>
  <c r="R21" i="1845"/>
  <c r="D21" i="1845"/>
  <c r="R20" i="1845"/>
  <c r="L20" i="1845"/>
  <c r="D20" i="1845"/>
  <c r="R19" i="1845"/>
  <c r="R18" i="1845"/>
  <c r="D18" i="1845"/>
  <c r="R17" i="1845"/>
  <c r="D17" i="1845"/>
  <c r="R16" i="1845"/>
  <c r="R15" i="1845"/>
  <c r="D15" i="1845"/>
  <c r="R14" i="1845"/>
  <c r="D14" i="1845"/>
  <c r="R13" i="1845"/>
  <c r="D13" i="1845"/>
  <c r="R12" i="1845"/>
  <c r="L12" i="1845"/>
  <c r="D12" i="1845"/>
  <c r="R11" i="1845"/>
  <c r="L11" i="1845"/>
  <c r="D11" i="1845"/>
  <c r="L9" i="1845"/>
  <c r="D9" i="1845" s="1"/>
  <c r="L8" i="1845"/>
  <c r="D8" i="1845"/>
  <c r="R6" i="1845"/>
  <c r="R5" i="1845"/>
  <c r="R4" i="1845"/>
  <c r="R52" i="1844"/>
  <c r="R51" i="1844"/>
  <c r="D50" i="1844"/>
  <c r="R49" i="1844"/>
  <c r="D49" i="1844"/>
  <c r="R48" i="1844"/>
  <c r="D48" i="1844"/>
  <c r="D46" i="1844"/>
  <c r="D45" i="1844"/>
  <c r="R44" i="1844"/>
  <c r="D44" i="1844"/>
  <c r="R42" i="1844"/>
  <c r="L6" i="1844" s="1"/>
  <c r="D6" i="1844" s="1"/>
  <c r="D42" i="1844"/>
  <c r="R41" i="1844"/>
  <c r="L7" i="1844" s="1"/>
  <c r="D7" i="1844" s="1"/>
  <c r="D41" i="1844"/>
  <c r="R40" i="1844"/>
  <c r="D40" i="1844"/>
  <c r="R39" i="1844"/>
  <c r="H39" i="1844"/>
  <c r="D39" i="1844"/>
  <c r="R38" i="1844"/>
  <c r="L9" i="1844" s="1"/>
  <c r="D9" i="1844" s="1"/>
  <c r="H38" i="1844"/>
  <c r="D38" i="1844"/>
  <c r="R37" i="1844"/>
  <c r="H37" i="1844"/>
  <c r="D37" i="1844"/>
  <c r="R36" i="1844"/>
  <c r="H36" i="1844"/>
  <c r="D36" i="1844"/>
  <c r="D54" i="1844" s="1"/>
  <c r="H14" i="1844" s="1"/>
  <c r="R35" i="1844"/>
  <c r="L19" i="1844" s="1"/>
  <c r="D19" i="1844" s="1"/>
  <c r="H35" i="1844"/>
  <c r="D35" i="1844"/>
  <c r="R34" i="1844"/>
  <c r="H34" i="1844"/>
  <c r="G49" i="1844" s="1"/>
  <c r="D34" i="1844"/>
  <c r="R33" i="1844"/>
  <c r="R32" i="1844"/>
  <c r="R31" i="1844"/>
  <c r="R30" i="1844"/>
  <c r="R29" i="1844"/>
  <c r="R28" i="1844"/>
  <c r="L28" i="1844"/>
  <c r="D28" i="1844"/>
  <c r="R27" i="1844"/>
  <c r="D27" i="1844"/>
  <c r="R26" i="1844"/>
  <c r="L26" i="1844"/>
  <c r="D26" i="1844"/>
  <c r="R25" i="1844"/>
  <c r="L25" i="1844"/>
  <c r="D25" i="1844" s="1"/>
  <c r="R24" i="1844"/>
  <c r="L24" i="1844"/>
  <c r="D24" i="1844" s="1"/>
  <c r="R23" i="1844"/>
  <c r="L23" i="1844"/>
  <c r="D23" i="1844" s="1"/>
  <c r="R22" i="1844"/>
  <c r="L22" i="1844"/>
  <c r="D22" i="1844" s="1"/>
  <c r="R21" i="1844"/>
  <c r="L17" i="1844" s="1"/>
  <c r="D17" i="1844" s="1"/>
  <c r="D21" i="1844"/>
  <c r="R20" i="1844"/>
  <c r="L20" i="1844"/>
  <c r="D20" i="1844" s="1"/>
  <c r="R19" i="1844"/>
  <c r="R18" i="1844"/>
  <c r="D18" i="1844"/>
  <c r="R17" i="1844"/>
  <c r="R16" i="1844"/>
  <c r="L16" i="1844"/>
  <c r="D16" i="1844" s="1"/>
  <c r="R15" i="1844"/>
  <c r="D15" i="1844"/>
  <c r="R14" i="1844"/>
  <c r="D14" i="1844"/>
  <c r="R13" i="1844"/>
  <c r="D13" i="1844"/>
  <c r="R12" i="1844"/>
  <c r="L12" i="1844"/>
  <c r="D12" i="1844"/>
  <c r="R11" i="1844"/>
  <c r="L11" i="1844"/>
  <c r="D11" i="1844"/>
  <c r="L10" i="1844"/>
  <c r="D10" i="1844"/>
  <c r="L8" i="1844"/>
  <c r="D8" i="1844" s="1"/>
  <c r="R6" i="1844"/>
  <c r="R5" i="1844"/>
  <c r="R4" i="1844"/>
  <c r="R52" i="1843"/>
  <c r="R51" i="1843"/>
  <c r="D50" i="1843"/>
  <c r="R49" i="1843"/>
  <c r="D49" i="1843"/>
  <c r="R48" i="1843"/>
  <c r="D48" i="1843"/>
  <c r="D46" i="1843"/>
  <c r="D45" i="1843"/>
  <c r="R44" i="1843"/>
  <c r="D44" i="1843"/>
  <c r="R42" i="1843"/>
  <c r="L6" i="1843" s="1"/>
  <c r="D6" i="1843" s="1"/>
  <c r="D42" i="1843"/>
  <c r="R41" i="1843"/>
  <c r="D41" i="1843"/>
  <c r="R40" i="1843"/>
  <c r="L8" i="1843" s="1"/>
  <c r="D8" i="1843" s="1"/>
  <c r="D40" i="1843"/>
  <c r="R39" i="1843"/>
  <c r="L20" i="1843" s="1"/>
  <c r="D20" i="1843" s="1"/>
  <c r="H39" i="1843"/>
  <c r="D39" i="1843"/>
  <c r="R38" i="1843"/>
  <c r="H38" i="1843"/>
  <c r="D38" i="1843"/>
  <c r="R37" i="1843"/>
  <c r="H37" i="1843"/>
  <c r="D37" i="1843"/>
  <c r="R36" i="1843"/>
  <c r="L10" i="1843" s="1"/>
  <c r="D10" i="1843" s="1"/>
  <c r="H36" i="1843"/>
  <c r="D36" i="1843"/>
  <c r="R35" i="1843"/>
  <c r="H35" i="1843"/>
  <c r="D35" i="1843"/>
  <c r="R34" i="1843"/>
  <c r="L12" i="1843" s="1"/>
  <c r="D12" i="1843" s="1"/>
  <c r="H34" i="1843"/>
  <c r="G49" i="1843" s="1"/>
  <c r="D34" i="1843"/>
  <c r="D54" i="1843" s="1"/>
  <c r="H14" i="1843" s="1"/>
  <c r="R33" i="1843"/>
  <c r="R32" i="1843"/>
  <c r="R31" i="1843"/>
  <c r="R30" i="1843"/>
  <c r="R29" i="1843"/>
  <c r="R28" i="1843"/>
  <c r="L16" i="1843" s="1"/>
  <c r="D16" i="1843" s="1"/>
  <c r="L28" i="1843"/>
  <c r="D28" i="1843"/>
  <c r="R27" i="1843"/>
  <c r="D27" i="1843"/>
  <c r="R26" i="1843"/>
  <c r="L26" i="1843"/>
  <c r="D26" i="1843"/>
  <c r="R25" i="1843"/>
  <c r="L25" i="1843"/>
  <c r="D25" i="1843"/>
  <c r="R24" i="1843"/>
  <c r="L24" i="1843"/>
  <c r="D24" i="1843"/>
  <c r="R23" i="1843"/>
  <c r="D23" i="1843"/>
  <c r="R22" i="1843"/>
  <c r="D22" i="1843"/>
  <c r="R21" i="1843"/>
  <c r="D21" i="1843"/>
  <c r="R20" i="1843"/>
  <c r="R19" i="1843"/>
  <c r="D19" i="1843"/>
  <c r="R18" i="1843"/>
  <c r="D18" i="1843"/>
  <c r="R17" i="1843"/>
  <c r="L17" i="1843"/>
  <c r="D17" i="1843"/>
  <c r="R16" i="1843"/>
  <c r="R15" i="1843"/>
  <c r="D15" i="1843"/>
  <c r="R14" i="1843"/>
  <c r="D14" i="1843"/>
  <c r="R13" i="1843"/>
  <c r="D13" i="1843"/>
  <c r="R12" i="1843"/>
  <c r="R11" i="1843"/>
  <c r="L11" i="1843"/>
  <c r="D11" i="1843"/>
  <c r="L9" i="1843"/>
  <c r="D9" i="1843" s="1"/>
  <c r="L7" i="1843"/>
  <c r="D7" i="1843"/>
  <c r="R6" i="1843"/>
  <c r="R5" i="1843"/>
  <c r="R4" i="1843"/>
  <c r="D54" i="1842"/>
  <c r="H14" i="1842" s="1"/>
  <c r="R52" i="1842"/>
  <c r="R51" i="1842"/>
  <c r="D50" i="1842"/>
  <c r="R49" i="1842"/>
  <c r="G49" i="1842"/>
  <c r="D49" i="1842"/>
  <c r="R48" i="1842"/>
  <c r="D48" i="1842"/>
  <c r="D46" i="1842"/>
  <c r="D45" i="1842"/>
  <c r="D44" i="1842"/>
  <c r="R42" i="1842"/>
  <c r="D42" i="1842"/>
  <c r="R41" i="1842"/>
  <c r="L7" i="1842" s="1"/>
  <c r="D7" i="1842" s="1"/>
  <c r="D41" i="1842"/>
  <c r="R40" i="1842"/>
  <c r="L8" i="1842" s="1"/>
  <c r="D8" i="1842" s="1"/>
  <c r="D40" i="1842"/>
  <c r="R39" i="1842"/>
  <c r="D39" i="1842"/>
  <c r="R38" i="1842"/>
  <c r="D38" i="1842"/>
  <c r="R37" i="1842"/>
  <c r="D37" i="1842"/>
  <c r="R36" i="1842"/>
  <c r="L10" i="1842" s="1"/>
  <c r="D10" i="1842" s="1"/>
  <c r="D36" i="1842"/>
  <c r="R35" i="1842"/>
  <c r="D35" i="1842"/>
  <c r="R34" i="1842"/>
  <c r="L12" i="1842" s="1"/>
  <c r="D12" i="1842" s="1"/>
  <c r="D34" i="1842"/>
  <c r="R33" i="1842"/>
  <c r="L23" i="1842" s="1"/>
  <c r="D23" i="1842" s="1"/>
  <c r="R32" i="1842"/>
  <c r="L11" i="1842" s="1"/>
  <c r="D11" i="1842" s="1"/>
  <c r="R31" i="1842"/>
  <c r="R30" i="1842"/>
  <c r="R29" i="1842"/>
  <c r="R28" i="1842"/>
  <c r="L16" i="1842" s="1"/>
  <c r="D16" i="1842" s="1"/>
  <c r="D28" i="1842"/>
  <c r="R27" i="1842"/>
  <c r="D27" i="1842"/>
  <c r="R26" i="1842"/>
  <c r="L26" i="1842"/>
  <c r="D26" i="1842"/>
  <c r="R25" i="1842"/>
  <c r="L25" i="1842"/>
  <c r="D25" i="1842"/>
  <c r="R24" i="1842"/>
  <c r="D24" i="1842"/>
  <c r="R23" i="1842"/>
  <c r="R22" i="1842"/>
  <c r="L22" i="1842"/>
  <c r="D22" i="1842" s="1"/>
  <c r="R21" i="1842"/>
  <c r="D21" i="1842"/>
  <c r="R20" i="1842"/>
  <c r="L20" i="1842"/>
  <c r="D20" i="1842"/>
  <c r="R19" i="1842"/>
  <c r="L19" i="1842"/>
  <c r="D19" i="1842"/>
  <c r="R18" i="1842"/>
  <c r="D18" i="1842"/>
  <c r="R17" i="1842"/>
  <c r="D17" i="1842"/>
  <c r="R16" i="1842"/>
  <c r="S15" i="1842"/>
  <c r="R15" i="1842"/>
  <c r="D15" i="1842"/>
  <c r="S14" i="1842"/>
  <c r="R14" i="1842"/>
  <c r="D14" i="1842"/>
  <c r="R13" i="1842"/>
  <c r="D13" i="1842"/>
  <c r="R12" i="1842"/>
  <c r="R11" i="1842"/>
  <c r="L9" i="1842"/>
  <c r="D9" i="1842"/>
  <c r="R6" i="1842"/>
  <c r="L6" i="1842"/>
  <c r="D6" i="1842" s="1"/>
  <c r="R5" i="1842"/>
  <c r="R4" i="1842"/>
  <c r="G51" i="1865" l="1"/>
  <c r="D29" i="1864"/>
  <c r="H13" i="1864" s="1"/>
  <c r="H15" i="1864" s="1"/>
  <c r="H29" i="1864" s="1"/>
  <c r="G51" i="1864" s="1"/>
  <c r="D29" i="1863"/>
  <c r="H13" i="1863" s="1"/>
  <c r="H15" i="1863" s="1"/>
  <c r="H29" i="1863" s="1"/>
  <c r="G51" i="1863" s="1"/>
  <c r="G51" i="1862"/>
  <c r="G51" i="1861"/>
  <c r="D29" i="1860"/>
  <c r="H13" i="1860" s="1"/>
  <c r="H15" i="1860" s="1"/>
  <c r="H29" i="1860" s="1"/>
  <c r="G51" i="1860"/>
  <c r="D29" i="1859"/>
  <c r="H13" i="1859" s="1"/>
  <c r="H15" i="1859" s="1"/>
  <c r="H29" i="1859" s="1"/>
  <c r="G51" i="1859"/>
  <c r="D29" i="1858"/>
  <c r="H13" i="1858" s="1"/>
  <c r="H15" i="1858" s="1"/>
  <c r="H29" i="1858" s="1"/>
  <c r="G51" i="1858" s="1"/>
  <c r="D29" i="1857"/>
  <c r="H13" i="1857" s="1"/>
  <c r="H15" i="1857" s="1"/>
  <c r="H29" i="1857" s="1"/>
  <c r="G51" i="1857" s="1"/>
  <c r="D29" i="1856"/>
  <c r="H13" i="1856" s="1"/>
  <c r="H15" i="1856" s="1"/>
  <c r="H29" i="1856" s="1"/>
  <c r="G51" i="1856"/>
  <c r="D29" i="1854"/>
  <c r="H13" i="1854" s="1"/>
  <c r="H15" i="1854" s="1"/>
  <c r="H29" i="1854" s="1"/>
  <c r="G51" i="1854" s="1"/>
  <c r="H15" i="1853"/>
  <c r="H29" i="1853" s="1"/>
  <c r="G51" i="1853"/>
  <c r="D29" i="1852"/>
  <c r="H13" i="1852" s="1"/>
  <c r="H15" i="1852" s="1"/>
  <c r="H29" i="1852" s="1"/>
  <c r="G51" i="1852" s="1"/>
  <c r="D29" i="1851"/>
  <c r="H13" i="1851" s="1"/>
  <c r="H15" i="1851" s="1"/>
  <c r="H29" i="1851" s="1"/>
  <c r="G51" i="1851" s="1"/>
  <c r="D29" i="1850"/>
  <c r="H13" i="1850" s="1"/>
  <c r="H15" i="1850" s="1"/>
  <c r="H29" i="1850" s="1"/>
  <c r="G51" i="1850" s="1"/>
  <c r="D29" i="1849"/>
  <c r="H13" i="1849" s="1"/>
  <c r="H15" i="1849" s="1"/>
  <c r="H29" i="1849" s="1"/>
  <c r="G51" i="1849"/>
  <c r="D29" i="1847"/>
  <c r="H13" i="1847" s="1"/>
  <c r="H15" i="1847" s="1"/>
  <c r="H29" i="1847" s="1"/>
  <c r="G51" i="1847" s="1"/>
  <c r="D29" i="1846"/>
  <c r="H13" i="1846" s="1"/>
  <c r="H15" i="1846" s="1"/>
  <c r="H29" i="1846" s="1"/>
  <c r="G51" i="1846" s="1"/>
  <c r="D29" i="1845"/>
  <c r="H13" i="1845" s="1"/>
  <c r="H15" i="1845" s="1"/>
  <c r="H29" i="1845" s="1"/>
  <c r="G51" i="1845" s="1"/>
  <c r="D29" i="1844"/>
  <c r="H13" i="1844" s="1"/>
  <c r="H15" i="1844" s="1"/>
  <c r="H29" i="1844" s="1"/>
  <c r="G51" i="1844" s="1"/>
  <c r="D29" i="1843"/>
  <c r="H13" i="1843" s="1"/>
  <c r="H15" i="1843" s="1"/>
  <c r="H29" i="1843" s="1"/>
  <c r="G51" i="1843" s="1"/>
  <c r="D29" i="1842"/>
  <c r="H13" i="1842" s="1"/>
  <c r="H15" i="1842" s="1"/>
  <c r="H29" i="1842" s="1"/>
  <c r="G51" i="1842" s="1"/>
  <c r="R52" i="1821"/>
  <c r="R51" i="1821"/>
  <c r="D50" i="1821"/>
  <c r="R49" i="1821"/>
  <c r="D49" i="1821"/>
  <c r="R48" i="1821"/>
  <c r="D48" i="1821"/>
  <c r="D46" i="1821"/>
  <c r="D45" i="1821"/>
  <c r="R44" i="1821"/>
  <c r="L28" i="1821" s="1"/>
  <c r="D28" i="1821" s="1"/>
  <c r="D44" i="1821"/>
  <c r="R42" i="1821"/>
  <c r="D42" i="1821"/>
  <c r="R41" i="1821"/>
  <c r="D41" i="1821"/>
  <c r="R40" i="1821"/>
  <c r="D40" i="1821"/>
  <c r="R39" i="1821"/>
  <c r="H39" i="1821"/>
  <c r="D39" i="1821"/>
  <c r="R38" i="1821"/>
  <c r="L9" i="1821" s="1"/>
  <c r="D9" i="1821" s="1"/>
  <c r="H38" i="1821"/>
  <c r="D38" i="1821"/>
  <c r="R37" i="1821"/>
  <c r="H37" i="1821"/>
  <c r="D37" i="1821"/>
  <c r="R36" i="1821"/>
  <c r="L10" i="1821" s="1"/>
  <c r="D10" i="1821" s="1"/>
  <c r="H36" i="1821"/>
  <c r="D36" i="1821"/>
  <c r="R35" i="1821"/>
  <c r="H35" i="1821"/>
  <c r="D35" i="1821"/>
  <c r="R34" i="1821"/>
  <c r="H34" i="1821"/>
  <c r="G49" i="1821" s="1"/>
  <c r="D34" i="1821"/>
  <c r="D54" i="1821" s="1"/>
  <c r="H14" i="1821" s="1"/>
  <c r="R33" i="1821"/>
  <c r="R32" i="1821"/>
  <c r="R31" i="1821"/>
  <c r="R30" i="1821"/>
  <c r="R29" i="1821"/>
  <c r="R28" i="1821"/>
  <c r="R27" i="1821"/>
  <c r="D27" i="1821"/>
  <c r="R26" i="1821"/>
  <c r="L26" i="1821"/>
  <c r="D26" i="1821"/>
  <c r="R25" i="1821"/>
  <c r="L25" i="1821"/>
  <c r="D25" i="1821"/>
  <c r="R24" i="1821"/>
  <c r="D24" i="1821"/>
  <c r="R23" i="1821"/>
  <c r="L23" i="1821"/>
  <c r="D23" i="1821"/>
  <c r="R22" i="1821"/>
  <c r="L22" i="1821"/>
  <c r="D22" i="1821"/>
  <c r="R21" i="1821"/>
  <c r="D21" i="1821"/>
  <c r="R20" i="1821"/>
  <c r="L20" i="1821"/>
  <c r="D20" i="1821"/>
  <c r="R19" i="1821"/>
  <c r="L19" i="1821"/>
  <c r="D19" i="1821"/>
  <c r="R18" i="1821"/>
  <c r="D18" i="1821"/>
  <c r="R17" i="1821"/>
  <c r="D17" i="1821"/>
  <c r="R16" i="1821"/>
  <c r="L16" i="1821"/>
  <c r="D16" i="1821" s="1"/>
  <c r="R15" i="1821"/>
  <c r="D15" i="1821"/>
  <c r="R14" i="1821"/>
  <c r="D14" i="1821"/>
  <c r="R13" i="1821"/>
  <c r="D13" i="1821"/>
  <c r="R12" i="1821"/>
  <c r="L12" i="1821"/>
  <c r="D12" i="1821" s="1"/>
  <c r="R11" i="1821"/>
  <c r="L11" i="1821"/>
  <c r="D11" i="1821"/>
  <c r="L8" i="1821"/>
  <c r="D8" i="1821"/>
  <c r="L7" i="1821"/>
  <c r="D7" i="1821" s="1"/>
  <c r="R6" i="1821"/>
  <c r="L6" i="1821"/>
  <c r="D6" i="1821"/>
  <c r="R5" i="1821"/>
  <c r="R4" i="1821"/>
  <c r="R52" i="1820"/>
  <c r="R51" i="1820"/>
  <c r="D50" i="1820"/>
  <c r="R49" i="1820"/>
  <c r="D49" i="1820"/>
  <c r="R48" i="1820"/>
  <c r="D48" i="1820"/>
  <c r="D46" i="1820"/>
  <c r="D45" i="1820"/>
  <c r="R44" i="1820"/>
  <c r="L28" i="1820" s="1"/>
  <c r="D28" i="1820" s="1"/>
  <c r="D44" i="1820"/>
  <c r="R42" i="1820"/>
  <c r="D42" i="1820"/>
  <c r="R41" i="1820"/>
  <c r="L7" i="1820" s="1"/>
  <c r="D7" i="1820" s="1"/>
  <c r="D41" i="1820"/>
  <c r="R40" i="1820"/>
  <c r="D40" i="1820"/>
  <c r="R39" i="1820"/>
  <c r="H39" i="1820"/>
  <c r="D39" i="1820"/>
  <c r="R38" i="1820"/>
  <c r="H38" i="1820"/>
  <c r="D38" i="1820"/>
  <c r="R37" i="1820"/>
  <c r="H37" i="1820"/>
  <c r="D37" i="1820"/>
  <c r="R36" i="1820"/>
  <c r="L10" i="1820" s="1"/>
  <c r="D10" i="1820" s="1"/>
  <c r="H36" i="1820"/>
  <c r="D36" i="1820"/>
  <c r="R35" i="1820"/>
  <c r="L19" i="1820" s="1"/>
  <c r="D19" i="1820" s="1"/>
  <c r="H35" i="1820"/>
  <c r="D35" i="1820"/>
  <c r="D54" i="1820" s="1"/>
  <c r="H14" i="1820" s="1"/>
  <c r="R34" i="1820"/>
  <c r="L12" i="1820" s="1"/>
  <c r="D12" i="1820" s="1"/>
  <c r="H34" i="1820"/>
  <c r="G49" i="1820" s="1"/>
  <c r="D34" i="1820"/>
  <c r="R33" i="1820"/>
  <c r="R32" i="1820"/>
  <c r="R31" i="1820"/>
  <c r="R30" i="1820"/>
  <c r="R29" i="1820"/>
  <c r="R28" i="1820"/>
  <c r="L16" i="1820" s="1"/>
  <c r="D16" i="1820" s="1"/>
  <c r="R27" i="1820"/>
  <c r="D27" i="1820"/>
  <c r="R26" i="1820"/>
  <c r="L26" i="1820"/>
  <c r="D26" i="1820" s="1"/>
  <c r="R25" i="1820"/>
  <c r="L25" i="1820"/>
  <c r="D25" i="1820" s="1"/>
  <c r="R24" i="1820"/>
  <c r="L24" i="1820"/>
  <c r="D24" i="1820"/>
  <c r="R23" i="1820"/>
  <c r="L23" i="1820"/>
  <c r="D23" i="1820"/>
  <c r="R22" i="1820"/>
  <c r="L22" i="1820"/>
  <c r="D22" i="1820" s="1"/>
  <c r="R21" i="1820"/>
  <c r="D21" i="1820"/>
  <c r="R20" i="1820"/>
  <c r="L20" i="1820"/>
  <c r="D20" i="1820" s="1"/>
  <c r="R19" i="1820"/>
  <c r="R18" i="1820"/>
  <c r="D18" i="1820"/>
  <c r="R17" i="1820"/>
  <c r="L17" i="1820"/>
  <c r="D17" i="1820"/>
  <c r="R16" i="1820"/>
  <c r="R15" i="1820"/>
  <c r="D15" i="1820"/>
  <c r="R14" i="1820"/>
  <c r="D14" i="1820"/>
  <c r="R13" i="1820"/>
  <c r="D13" i="1820"/>
  <c r="R12" i="1820"/>
  <c r="R11" i="1820"/>
  <c r="L11" i="1820"/>
  <c r="D11" i="1820"/>
  <c r="L9" i="1820"/>
  <c r="D9" i="1820"/>
  <c r="L8" i="1820"/>
  <c r="D8" i="1820" s="1"/>
  <c r="R6" i="1820"/>
  <c r="L6" i="1820"/>
  <c r="D6" i="1820"/>
  <c r="R5" i="1820"/>
  <c r="R4" i="1820"/>
  <c r="R52" i="1819"/>
  <c r="R51" i="1819"/>
  <c r="D50" i="1819"/>
  <c r="R49" i="1819"/>
  <c r="D49" i="1819"/>
  <c r="R48" i="1819"/>
  <c r="D48" i="1819"/>
  <c r="D46" i="1819"/>
  <c r="D45" i="1819"/>
  <c r="R44" i="1819"/>
  <c r="D44" i="1819"/>
  <c r="R42" i="1819"/>
  <c r="D42" i="1819"/>
  <c r="R41" i="1819"/>
  <c r="D41" i="1819"/>
  <c r="R40" i="1819"/>
  <c r="L8" i="1819" s="1"/>
  <c r="D8" i="1819" s="1"/>
  <c r="D40" i="1819"/>
  <c r="R39" i="1819"/>
  <c r="H39" i="1819"/>
  <c r="D39" i="1819"/>
  <c r="R38" i="1819"/>
  <c r="H38" i="1819"/>
  <c r="D38" i="1819"/>
  <c r="R37" i="1819"/>
  <c r="H37" i="1819"/>
  <c r="D37" i="1819"/>
  <c r="R36" i="1819"/>
  <c r="H36" i="1819"/>
  <c r="D36" i="1819"/>
  <c r="R35" i="1819"/>
  <c r="H35" i="1819"/>
  <c r="G49" i="1819" s="1"/>
  <c r="D35" i="1819"/>
  <c r="D54" i="1819" s="1"/>
  <c r="H14" i="1819" s="1"/>
  <c r="R34" i="1819"/>
  <c r="L12" i="1819" s="1"/>
  <c r="D12" i="1819" s="1"/>
  <c r="H34" i="1819"/>
  <c r="D34" i="1819"/>
  <c r="R33" i="1819"/>
  <c r="R32" i="1819"/>
  <c r="R31" i="1819"/>
  <c r="R30" i="1819"/>
  <c r="R29" i="1819"/>
  <c r="R28" i="1819"/>
  <c r="L16" i="1819" s="1"/>
  <c r="D16" i="1819" s="1"/>
  <c r="L28" i="1819"/>
  <c r="D28" i="1819"/>
  <c r="R27" i="1819"/>
  <c r="D27" i="1819"/>
  <c r="R26" i="1819"/>
  <c r="L26" i="1819"/>
  <c r="D26" i="1819" s="1"/>
  <c r="R25" i="1819"/>
  <c r="L25" i="1819"/>
  <c r="D25" i="1819" s="1"/>
  <c r="R24" i="1819"/>
  <c r="L24" i="1819"/>
  <c r="D24" i="1819"/>
  <c r="R23" i="1819"/>
  <c r="D23" i="1819"/>
  <c r="R22" i="1819"/>
  <c r="D22" i="1819"/>
  <c r="R21" i="1819"/>
  <c r="D21" i="1819"/>
  <c r="R20" i="1819"/>
  <c r="L20" i="1819"/>
  <c r="D20" i="1819"/>
  <c r="R19" i="1819"/>
  <c r="D19" i="1819"/>
  <c r="R18" i="1819"/>
  <c r="D18" i="1819"/>
  <c r="R17" i="1819"/>
  <c r="L17" i="1819"/>
  <c r="D17" i="1819"/>
  <c r="R16" i="1819"/>
  <c r="R15" i="1819"/>
  <c r="D15" i="1819"/>
  <c r="R14" i="1819"/>
  <c r="D14" i="1819"/>
  <c r="R13" i="1819"/>
  <c r="D13" i="1819"/>
  <c r="R12" i="1819"/>
  <c r="R11" i="1819"/>
  <c r="L11" i="1819"/>
  <c r="D11" i="1819" s="1"/>
  <c r="L10" i="1819"/>
  <c r="D10" i="1819" s="1"/>
  <c r="L9" i="1819"/>
  <c r="D9" i="1819"/>
  <c r="L7" i="1819"/>
  <c r="D7" i="1819" s="1"/>
  <c r="R6" i="1819"/>
  <c r="L6" i="1819"/>
  <c r="D6" i="1819" s="1"/>
  <c r="R5" i="1819"/>
  <c r="R4" i="1819"/>
  <c r="R52" i="1818"/>
  <c r="R51" i="1818"/>
  <c r="D50" i="1818"/>
  <c r="R49" i="1818"/>
  <c r="G49" i="1818"/>
  <c r="D49" i="1818"/>
  <c r="R48" i="1818"/>
  <c r="D48" i="1818"/>
  <c r="D46" i="1818"/>
  <c r="D45" i="1818"/>
  <c r="D44" i="1818"/>
  <c r="R42" i="1818"/>
  <c r="L6" i="1818" s="1"/>
  <c r="D6" i="1818" s="1"/>
  <c r="D42" i="1818"/>
  <c r="R41" i="1818"/>
  <c r="L7" i="1818" s="1"/>
  <c r="D7" i="1818" s="1"/>
  <c r="D41" i="1818"/>
  <c r="R40" i="1818"/>
  <c r="D40" i="1818"/>
  <c r="R39" i="1818"/>
  <c r="D39" i="1818"/>
  <c r="R38" i="1818"/>
  <c r="D38" i="1818"/>
  <c r="R37" i="1818"/>
  <c r="D37" i="1818"/>
  <c r="R36" i="1818"/>
  <c r="L10" i="1818" s="1"/>
  <c r="D10" i="1818" s="1"/>
  <c r="D36" i="1818"/>
  <c r="R35" i="1818"/>
  <c r="D35" i="1818"/>
  <c r="R34" i="1818"/>
  <c r="L12" i="1818" s="1"/>
  <c r="D12" i="1818" s="1"/>
  <c r="D34" i="1818"/>
  <c r="D54" i="1818" s="1"/>
  <c r="H14" i="1818" s="1"/>
  <c r="R33" i="1818"/>
  <c r="L23" i="1818" s="1"/>
  <c r="D23" i="1818" s="1"/>
  <c r="R32" i="1818"/>
  <c r="R31" i="1818"/>
  <c r="R30" i="1818"/>
  <c r="R29" i="1818"/>
  <c r="R28" i="1818"/>
  <c r="L16" i="1818" s="1"/>
  <c r="D16" i="1818" s="1"/>
  <c r="D28" i="1818"/>
  <c r="R27" i="1818"/>
  <c r="D27" i="1818"/>
  <c r="R26" i="1818"/>
  <c r="L26" i="1818"/>
  <c r="D26" i="1818"/>
  <c r="R25" i="1818"/>
  <c r="L25" i="1818"/>
  <c r="D25" i="1818"/>
  <c r="R24" i="1818"/>
  <c r="D24" i="1818"/>
  <c r="R23" i="1818"/>
  <c r="R22" i="1818"/>
  <c r="L22" i="1818"/>
  <c r="D22" i="1818" s="1"/>
  <c r="R21" i="1818"/>
  <c r="D21" i="1818"/>
  <c r="R20" i="1818"/>
  <c r="L20" i="1818"/>
  <c r="D20" i="1818"/>
  <c r="R19" i="1818"/>
  <c r="L19" i="1818"/>
  <c r="D19" i="1818"/>
  <c r="R18" i="1818"/>
  <c r="D18" i="1818"/>
  <c r="R17" i="1818"/>
  <c r="D17" i="1818"/>
  <c r="R16" i="1818"/>
  <c r="S15" i="1818"/>
  <c r="R15" i="1818"/>
  <c r="D15" i="1818"/>
  <c r="S14" i="1818"/>
  <c r="R14" i="1818"/>
  <c r="D14" i="1818"/>
  <c r="R13" i="1818"/>
  <c r="D13" i="1818"/>
  <c r="R12" i="1818"/>
  <c r="R11" i="1818"/>
  <c r="L11" i="1818"/>
  <c r="D11" i="1818" s="1"/>
  <c r="L9" i="1818"/>
  <c r="D9" i="1818"/>
  <c r="L8" i="1818"/>
  <c r="D8" i="1818"/>
  <c r="R6" i="1818"/>
  <c r="R5" i="1818"/>
  <c r="R4" i="1818"/>
  <c r="D29" i="1821" l="1"/>
  <c r="H13" i="1821" s="1"/>
  <c r="H15" i="1821" s="1"/>
  <c r="H29" i="1821" s="1"/>
  <c r="G51" i="1821" s="1"/>
  <c r="D29" i="1820"/>
  <c r="H13" i="1820" s="1"/>
  <c r="H15" i="1820" s="1"/>
  <c r="H29" i="1820" s="1"/>
  <c r="G51" i="1820" s="1"/>
  <c r="D29" i="1819"/>
  <c r="H13" i="1819" s="1"/>
  <c r="H15" i="1819" s="1"/>
  <c r="H29" i="1819" s="1"/>
  <c r="G51" i="1819" s="1"/>
  <c r="D29" i="1818"/>
  <c r="H13" i="1818" s="1"/>
  <c r="H15" i="1818" s="1"/>
  <c r="H29" i="1818" s="1"/>
  <c r="G51" i="1818" s="1"/>
</calcChain>
</file>

<file path=xl/sharedStrings.xml><?xml version="1.0" encoding="utf-8"?>
<sst xmlns="http://schemas.openxmlformats.org/spreadsheetml/2006/main" count="3752" uniqueCount="145">
  <si>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</si>
  <si>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</si>
  <si>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</si>
  <si>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</si>
  <si>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</si>
  <si>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</si>
  <si>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</si>
  <si>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</si>
  <si>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</si>
  <si>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</si>
  <si>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</si>
  <si>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</si>
  <si>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</si>
  <si>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</si>
  <si>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</si>
  <si>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</si>
  <si>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</si>
  <si>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</si>
  <si>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</si>
  <si>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</si>
  <si>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</si>
  <si>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</si>
  <si>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</si>
  <si>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</si>
  <si>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</si>
  <si>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</si>
  <si>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</si>
  <si>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</si>
  <si>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</si>
  <si>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</si>
  <si>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</si>
  <si>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</si>
  <si>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</si>
  <si>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</si>
  <si>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</si>
  <si>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</si>
  <si>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</si>
  <si>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</si>
  <si>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</si>
  <si>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</si>
  <si>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</si>
  <si>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</si>
  <si>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</si>
  <si>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</si>
  <si>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</si>
  <si>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</si>
  <si>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</si>
  <si>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</si>
  <si>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</si>
  <si>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</si>
  <si>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</si>
  <si>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</si>
  <si>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</si>
  <si>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</si>
  <si>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</si>
  <si>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</si>
  <si>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</si>
  <si>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</si>
  <si>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</si>
  <si>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</si>
  <si>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</si>
  <si>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</si>
  <si>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</si>
  <si>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</si>
  <si>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</si>
  <si>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</si>
  <si>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</si>
  <si>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</si>
  <si>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</si>
  <si>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</si>
  <si>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</si>
  <si>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</si>
  <si>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</si>
  <si>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</si>
  <si>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</si>
  <si>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</si>
  <si>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</si>
  <si>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</si>
  <si>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</si>
  <si>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</si>
  <si>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</si>
  <si>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</si>
  <si>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</si>
  <si>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</si>
  <si>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</si>
  <si>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</si>
  <si>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</si>
  <si>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</si>
  <si>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</si>
  <si>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</si>
  <si>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</si>
  <si>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</si>
  <si>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</si>
  <si>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</si>
  <si>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</si>
  <si>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</si>
  <si>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</si>
  <si>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</si>
  <si>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</si>
  <si>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</si>
  <si>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</si>
  <si>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</si>
  <si>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</si>
  <si>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</si>
  <si>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</si>
  <si>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</si>
  <si>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</si>
  <si>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</si>
  <si>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</si>
  <si>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</si>
  <si>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</si>
  <si>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</si>
  <si>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PAMC</t>
  </si>
  <si>
    <t>ENCLONAR, JEROME</t>
  </si>
  <si>
    <t>SALIG, JOVANI</t>
  </si>
  <si>
    <t>SDC</t>
  </si>
  <si>
    <t>FBAC</t>
  </si>
  <si>
    <t>OTHERS/PROMO</t>
  </si>
  <si>
    <t>RHS BOTT.</t>
  </si>
  <si>
    <t>PPC/RHC</t>
  </si>
  <si>
    <t>PL BOTT.</t>
  </si>
  <si>
    <t>RHSL BOTT.</t>
  </si>
  <si>
    <t>SMLC/PPC/RHC</t>
  </si>
  <si>
    <t>CC/CIC</t>
  </si>
  <si>
    <t>PAMC/CBC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</si>
  <si>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</si>
  <si>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</si>
  <si>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</si>
  <si>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</si>
  <si>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>FBAC/FBLC</t>
  </si>
  <si>
    <t>GOMORA, JURLAN</t>
  </si>
  <si>
    <t>CC/CIC/C10C</t>
  </si>
  <si>
    <t>CBB</t>
  </si>
  <si>
    <t>CLC/SDC</t>
  </si>
  <si>
    <t>SMZB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</si>
  <si>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</si>
  <si>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SAN MIG FREE 330ml</t>
  </si>
  <si>
    <t>SAN MIG HARD SELTZER CAN 330ml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</si>
  <si>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</si>
  <si>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RACAZA, ALEX</t>
  </si>
  <si>
    <t xml:space="preserve">                           RONNEL DANDAYO</t>
  </si>
  <si>
    <t>GICA, GRACE</t>
  </si>
  <si>
    <t xml:space="preserve">                            GRACE B. GICA</t>
  </si>
  <si>
    <t xml:space="preserve">                            ESTEMARK PORMENTO</t>
  </si>
  <si>
    <t>SALIG, JULIVEN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</si>
</sst>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7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16" xfId="0" applyFont="1" applyFill="1" applyBorder="1"/>
    <xf numFmtId="49" fontId="23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4" fontId="0" fillId="3" borderId="16" xfId="0" applyNumberFormat="1" applyFill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675EB-04EB-4CB3-8CC5-A8E74845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91C7C-41C3-42C7-92F8-033B1988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FEA1-9A98-4E5C-8843-BEB7AD340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B81C2-7D02-4049-BB74-BD9D5E1F0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F6C73-20B9-4193-AA14-2AE4C5C7B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24A97-DDE3-42D1-8BF5-F4FA8126E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85DA1-7D53-471E-A6BA-2ED3CC75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2FC46-AD4D-4648-ADB9-2916DB4E6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323EA-19D5-440B-A1B5-A7C612024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EEDEF-5EB7-4088-B127-F6A2585F7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42448-6AE6-4074-8451-602791138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5E2DB-377E-4DD2-B5D3-64EFC055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DD293-B550-4AA4-A4CE-B8FFEFE9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952A3-A03A-4144-8B3D-03014013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9CE05-D2CA-4430-8EF2-C8DFE3A60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1DBC5-2CFF-4A44-B4D7-8273DA732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A2A13-17F5-4C98-B126-A70CE9547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1D5BA-F84F-4A78-9A55-CA8B85380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EC14A-8C4C-46B7-AC7C-4414D3551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45A89-6329-4D2F-83A1-3C152512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79CFB-4B88-49D8-9737-8B41C3150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49AFA-BE10-48FB-8694-085158398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913F7C-829F-46F1-B268-D3BFB87A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4E4E1-F86B-4538-9BF6-1AC6517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E8787-CAEF-4F12-B1D7-DE8A4159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9AAAA-579C-421C-B600-27F90F49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4B69C-B580-4F76-BFED-30735996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C1C04-19A7-47D8-84A6-98E011D84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D2B3-49A0-4239-88D5-D34331C56E7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96" t="s">
        <v>1</v>
      </c>
      <c r="O1" s="96"/>
      <c r="P1" s="86" t="s">
        <v>2</v>
      </c>
      <c r="Q1" s="8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97" t="s">
        <v>7</v>
      </c>
      <c r="B4" s="98"/>
      <c r="C4" s="98"/>
      <c r="D4" s="99"/>
      <c r="F4" s="100" t="s">
        <v>8</v>
      </c>
      <c r="G4" s="102"/>
      <c r="H4" s="104" t="s">
        <v>9</v>
      </c>
      <c r="I4" s="106"/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11"/>
      <c r="B6" s="16"/>
      <c r="C6" s="10"/>
      <c r="D6" s="13">
        <f t="shared" ref="D6:D28" si="1">C6*L6</f>
        <v>0</v>
      </c>
      <c r="F6" s="113" t="s">
        <v>16</v>
      </c>
      <c r="G6" s="115"/>
      <c r="H6" s="116"/>
      <c r="I6" s="116"/>
      <c r="J6" s="11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11"/>
      <c r="B7" s="16"/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11"/>
      <c r="B8" s="16"/>
      <c r="C8" s="10"/>
      <c r="D8" s="13">
        <f t="shared" si="1"/>
        <v>0</v>
      </c>
      <c r="F8" s="121" t="s">
        <v>21</v>
      </c>
      <c r="G8" s="123"/>
      <c r="H8" s="124"/>
      <c r="I8" s="124"/>
      <c r="J8" s="12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11"/>
      <c r="B9" s="16"/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11"/>
      <c r="C10" s="10"/>
      <c r="D10" s="13">
        <f t="shared" si="1"/>
        <v>0</v>
      </c>
      <c r="F10" s="113" t="s">
        <v>26</v>
      </c>
      <c r="G10" s="129"/>
      <c r="H10" s="130"/>
      <c r="I10" s="130"/>
      <c r="J10" s="131"/>
      <c r="K10" s="8"/>
      <c r="L10" s="6">
        <f>R36</f>
        <v>972</v>
      </c>
      <c r="P10" s="4"/>
      <c r="Q10" s="4"/>
      <c r="R10" s="5"/>
    </row>
    <row r="11" spans="1:19" ht="15.75" x14ac:dyDescent="0.25">
      <c r="A11" s="111"/>
      <c r="B11" s="17"/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11"/>
      <c r="B12" s="17"/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11"/>
      <c r="B13" s="17"/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11"/>
      <c r="B14" s="14"/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11"/>
      <c r="B15" s="14"/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11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/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/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11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/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/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/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11"/>
      <c r="B27" s="14"/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/>
      <c r="C28" s="10"/>
      <c r="D28" s="48">
        <f t="shared" si="1"/>
        <v>0</v>
      </c>
      <c r="F28" s="87"/>
      <c r="G28" s="61"/>
      <c r="H28" s="184"/>
      <c r="I28" s="185"/>
      <c r="J28" s="18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/>
      <c r="I34" s="191"/>
      <c r="J34" s="192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/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/>
      <c r="I36" s="191"/>
      <c r="J36" s="192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/>
      <c r="I37" s="191"/>
      <c r="J37" s="192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/>
      <c r="I38" s="191"/>
      <c r="J38" s="192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/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0" t="s">
        <v>83</v>
      </c>
      <c r="H43" s="196" t="s">
        <v>13</v>
      </c>
      <c r="I43" s="197"/>
      <c r="J43" s="198"/>
      <c r="K43" s="21"/>
      <c r="P43" s="4"/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P44" s="4"/>
      <c r="Q44" s="4"/>
      <c r="R44" s="5"/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P50" s="4"/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4E27-AEDD-4FB2-B67D-6A76106A609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1</v>
      </c>
      <c r="H4" s="104" t="s">
        <v>9</v>
      </c>
      <c r="I4" s="106">
        <v>46083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84"/>
      <c r="D6" s="13">
        <f t="shared" ref="D6:D28" si="1">C6*L6</f>
        <v>0</v>
      </c>
      <c r="F6" s="113" t="s">
        <v>16</v>
      </c>
      <c r="G6" s="115" t="s">
        <v>111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84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84"/>
      <c r="D8" s="13">
        <f t="shared" si="1"/>
        <v>0</v>
      </c>
      <c r="F8" s="121" t="s">
        <v>21</v>
      </c>
      <c r="G8" s="123" t="s">
        <v>144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84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84"/>
      <c r="D10" s="13">
        <f t="shared" si="1"/>
        <v>0</v>
      </c>
      <c r="F10" s="113" t="s">
        <v>26</v>
      </c>
      <c r="G10" s="129" t="s">
        <v>139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84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84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84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84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84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133</v>
      </c>
      <c r="C17" s="84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22"/>
      <c r="I19" s="122"/>
      <c r="J19" s="122"/>
      <c r="L19" s="6">
        <v>1102</v>
      </c>
      <c r="Q19" s="4"/>
      <c r="R19" s="5">
        <f t="shared" si="0"/>
        <v>0</v>
      </c>
    </row>
    <row r="20" spans="1:18" ht="15.75" x14ac:dyDescent="0.25">
      <c r="A20" s="111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124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101</v>
      </c>
      <c r="C23" s="84"/>
      <c r="D23" s="48">
        <f t="shared" si="1"/>
        <v>0</v>
      </c>
      <c r="F23" s="77"/>
      <c r="G23" s="79"/>
      <c r="H23" s="225"/>
      <c r="I23" s="226"/>
      <c r="J23" s="226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118</v>
      </c>
      <c r="C24" s="84"/>
      <c r="D24" s="48">
        <f t="shared" si="1"/>
        <v>0</v>
      </c>
      <c r="F24" s="77"/>
      <c r="G24" s="79"/>
      <c r="H24" s="225"/>
      <c r="I24" s="226"/>
      <c r="J24" s="226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132</v>
      </c>
      <c r="C26" s="84"/>
      <c r="D26" s="48">
        <f t="shared" si="1"/>
        <v>0</v>
      </c>
      <c r="F26" s="75"/>
      <c r="G26" s="65"/>
      <c r="H26" s="174"/>
      <c r="I26" s="174"/>
      <c r="J26" s="174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110</v>
      </c>
      <c r="C27" s="84"/>
      <c r="D27" s="44">
        <f t="shared" si="1"/>
        <v>0</v>
      </c>
      <c r="F27" s="71"/>
      <c r="G27" s="90"/>
      <c r="H27" s="227"/>
      <c r="I27" s="228"/>
      <c r="J27" s="228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84"/>
      <c r="D28" s="48">
        <f t="shared" si="1"/>
        <v>0</v>
      </c>
      <c r="F28" s="87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H15-H16-H17-H18-H19-H20-H22-H23-H24+H26+H27+H28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0">
        <f t="shared" ref="H34:H39" si="2"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si="2"/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si="2"/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0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85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74"/>
      <c r="I46" s="174"/>
      <c r="J46" s="174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128</v>
      </c>
      <c r="G51" s="229">
        <f>G49-H29</f>
        <v>0</v>
      </c>
      <c r="H51" s="230"/>
      <c r="I51" s="230"/>
      <c r="J51" s="23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32"/>
      <c r="H52" s="233"/>
      <c r="I52" s="233"/>
      <c r="J52" s="23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2EEE-E618-4585-8393-F4AAE3CCDD0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2</v>
      </c>
      <c r="H4" s="104" t="s">
        <v>9</v>
      </c>
      <c r="I4" s="106">
        <v>46083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126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113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114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93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5"/>
      <c r="I19" s="235"/>
      <c r="J19" s="23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22"/>
      <c r="I20" s="122"/>
      <c r="J20" s="12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25"/>
      <c r="G23" s="37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120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10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14"/>
      <c r="G27" s="14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87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ref="H35:H39" si="2"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0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62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89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A2A3-074A-4D0C-B58C-7B3CBC5FB56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3</v>
      </c>
      <c r="H4" s="104" t="s">
        <v>9</v>
      </c>
      <c r="I4" s="106">
        <v>46083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141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130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127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112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36"/>
      <c r="I19" s="236"/>
      <c r="J19" s="23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101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87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ref="H36:H39" si="2"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0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138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4B8E-B384-4651-8C61-42BE14A6AC6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97" t="s">
        <v>7</v>
      </c>
      <c r="B4" s="98"/>
      <c r="C4" s="98"/>
      <c r="D4" s="99"/>
      <c r="F4" s="100" t="s">
        <v>8</v>
      </c>
      <c r="G4" s="102"/>
      <c r="H4" s="104" t="s">
        <v>9</v>
      </c>
      <c r="I4" s="106"/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11"/>
      <c r="B6" s="16"/>
      <c r="C6" s="10"/>
      <c r="D6" s="13">
        <f t="shared" ref="D6:D28" si="1">C6*L6</f>
        <v>0</v>
      </c>
      <c r="F6" s="113" t="s">
        <v>16</v>
      </c>
      <c r="G6" s="115"/>
      <c r="H6" s="116"/>
      <c r="I6" s="116"/>
      <c r="J6" s="11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11"/>
      <c r="B7" s="16"/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11"/>
      <c r="B8" s="16"/>
      <c r="C8" s="10"/>
      <c r="D8" s="13">
        <f t="shared" si="1"/>
        <v>0</v>
      </c>
      <c r="F8" s="121" t="s">
        <v>21</v>
      </c>
      <c r="G8" s="123"/>
      <c r="H8" s="124"/>
      <c r="I8" s="124"/>
      <c r="J8" s="12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11"/>
      <c r="B9" s="16"/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11"/>
      <c r="C10" s="10"/>
      <c r="D10" s="13">
        <f t="shared" si="1"/>
        <v>0</v>
      </c>
      <c r="F10" s="113" t="s">
        <v>26</v>
      </c>
      <c r="G10" s="129"/>
      <c r="H10" s="130"/>
      <c r="I10" s="130"/>
      <c r="J10" s="131"/>
      <c r="K10" s="8"/>
      <c r="L10" s="6">
        <f>R36</f>
        <v>972</v>
      </c>
      <c r="P10" s="4"/>
      <c r="Q10" s="4"/>
      <c r="R10" s="5"/>
    </row>
    <row r="11" spans="1:19" ht="15.75" x14ac:dyDescent="0.25">
      <c r="A11" s="111"/>
      <c r="B11" s="17"/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11"/>
      <c r="B12" s="17"/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11"/>
      <c r="B13" s="17"/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11"/>
      <c r="B14" s="14"/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11"/>
      <c r="B15" s="14"/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11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/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/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11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/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/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/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11"/>
      <c r="B27" s="14"/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/>
      <c r="C28" s="10"/>
      <c r="D28" s="48">
        <f t="shared" si="1"/>
        <v>0</v>
      </c>
      <c r="F28" s="94"/>
      <c r="G28" s="61"/>
      <c r="H28" s="184"/>
      <c r="I28" s="185"/>
      <c r="J28" s="18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/>
      <c r="I34" s="191"/>
      <c r="J34" s="192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/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/>
      <c r="I36" s="191"/>
      <c r="J36" s="192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/>
      <c r="I37" s="191"/>
      <c r="J37" s="192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/>
      <c r="I38" s="191"/>
      <c r="J38" s="192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/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P43" s="4"/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P44" s="4"/>
      <c r="Q44" s="4"/>
      <c r="R44" s="5"/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P50" s="4"/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1778-1822-423D-B47A-69C74143B1A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1</v>
      </c>
      <c r="H4" s="104" t="s">
        <v>9</v>
      </c>
      <c r="I4" s="106">
        <v>46084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84"/>
      <c r="D6" s="13">
        <f t="shared" ref="D6:D28" si="1">C6*L6</f>
        <v>0</v>
      </c>
      <c r="F6" s="113" t="s">
        <v>16</v>
      </c>
      <c r="G6" s="115" t="s">
        <v>111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84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84"/>
      <c r="D8" s="13">
        <f t="shared" si="1"/>
        <v>0</v>
      </c>
      <c r="F8" s="121" t="s">
        <v>21</v>
      </c>
      <c r="G8" s="123" t="s">
        <v>144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84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84"/>
      <c r="D10" s="13">
        <f t="shared" si="1"/>
        <v>0</v>
      </c>
      <c r="F10" s="113" t="s">
        <v>26</v>
      </c>
      <c r="G10" s="129" t="s">
        <v>139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84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84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84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84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84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133</v>
      </c>
      <c r="C17" s="84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22"/>
      <c r="I19" s="122"/>
      <c r="J19" s="122"/>
      <c r="L19" s="6">
        <v>1102</v>
      </c>
      <c r="Q19" s="4"/>
      <c r="R19" s="5">
        <f t="shared" si="0"/>
        <v>0</v>
      </c>
    </row>
    <row r="20" spans="1:18" ht="15.75" x14ac:dyDescent="0.25">
      <c r="A20" s="111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124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101</v>
      </c>
      <c r="C23" s="84"/>
      <c r="D23" s="48">
        <f t="shared" si="1"/>
        <v>0</v>
      </c>
      <c r="F23" s="77"/>
      <c r="G23" s="79"/>
      <c r="H23" s="225"/>
      <c r="I23" s="226"/>
      <c r="J23" s="226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118</v>
      </c>
      <c r="C24" s="84"/>
      <c r="D24" s="48">
        <f t="shared" si="1"/>
        <v>0</v>
      </c>
      <c r="F24" s="77"/>
      <c r="G24" s="79"/>
      <c r="H24" s="225"/>
      <c r="I24" s="226"/>
      <c r="J24" s="226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132</v>
      </c>
      <c r="C26" s="84"/>
      <c r="D26" s="48">
        <f t="shared" si="1"/>
        <v>0</v>
      </c>
      <c r="F26" s="75"/>
      <c r="G26" s="65"/>
      <c r="H26" s="174"/>
      <c r="I26" s="174"/>
      <c r="J26" s="174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110</v>
      </c>
      <c r="C27" s="84"/>
      <c r="D27" s="44">
        <f t="shared" si="1"/>
        <v>0</v>
      </c>
      <c r="F27" s="71"/>
      <c r="G27" s="91"/>
      <c r="H27" s="227"/>
      <c r="I27" s="228"/>
      <c r="J27" s="228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84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H15-H16-H17-H18-H19-H20-H22-H23-H24+H26+H27+H28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0">
        <f t="shared" ref="H34:H39" si="2"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si="2"/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si="2"/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85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74"/>
      <c r="I46" s="174"/>
      <c r="J46" s="174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128</v>
      </c>
      <c r="G51" s="229">
        <f>G49-H29</f>
        <v>0</v>
      </c>
      <c r="H51" s="230"/>
      <c r="I51" s="230"/>
      <c r="J51" s="23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32"/>
      <c r="H52" s="233"/>
      <c r="I52" s="233"/>
      <c r="J52" s="23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8E36-22DC-4194-9416-CB91F78DB7D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2</v>
      </c>
      <c r="H4" s="104" t="s">
        <v>9</v>
      </c>
      <c r="I4" s="106">
        <v>46084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126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113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114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93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5"/>
      <c r="I19" s="235"/>
      <c r="J19" s="23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22"/>
      <c r="I20" s="122"/>
      <c r="J20" s="12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25"/>
      <c r="G23" s="37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120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10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14"/>
      <c r="G27" s="14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ref="H35:H39" si="2"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62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9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98FC-8A93-4282-8BF7-DB31A8636CB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3</v>
      </c>
      <c r="H4" s="104" t="s">
        <v>9</v>
      </c>
      <c r="I4" s="106">
        <v>46084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141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130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127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112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36"/>
      <c r="I19" s="236"/>
      <c r="J19" s="23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101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ref="H36:H39" si="2"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138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2641-0112-46AB-A2F6-D2DA4D02B7E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97" t="s">
        <v>7</v>
      </c>
      <c r="B4" s="98"/>
      <c r="C4" s="98"/>
      <c r="D4" s="99"/>
      <c r="F4" s="100" t="s">
        <v>8</v>
      </c>
      <c r="G4" s="102"/>
      <c r="H4" s="104" t="s">
        <v>9</v>
      </c>
      <c r="I4" s="106"/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11"/>
      <c r="B6" s="16"/>
      <c r="C6" s="10"/>
      <c r="D6" s="13">
        <f t="shared" ref="D6:D28" si="1">C6*L6</f>
        <v>0</v>
      </c>
      <c r="F6" s="113" t="s">
        <v>16</v>
      </c>
      <c r="G6" s="115"/>
      <c r="H6" s="116"/>
      <c r="I6" s="116"/>
      <c r="J6" s="11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11"/>
      <c r="B7" s="16"/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11"/>
      <c r="B8" s="16"/>
      <c r="C8" s="10"/>
      <c r="D8" s="13">
        <f t="shared" si="1"/>
        <v>0</v>
      </c>
      <c r="F8" s="121" t="s">
        <v>21</v>
      </c>
      <c r="G8" s="123"/>
      <c r="H8" s="124"/>
      <c r="I8" s="124"/>
      <c r="J8" s="12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11"/>
      <c r="B9" s="16"/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11"/>
      <c r="C10" s="10"/>
      <c r="D10" s="13">
        <f t="shared" si="1"/>
        <v>0</v>
      </c>
      <c r="F10" s="113" t="s">
        <v>26</v>
      </c>
      <c r="G10" s="129"/>
      <c r="H10" s="130"/>
      <c r="I10" s="130"/>
      <c r="J10" s="131"/>
      <c r="K10" s="8"/>
      <c r="L10" s="6">
        <f>R36</f>
        <v>972</v>
      </c>
      <c r="P10" s="4"/>
      <c r="Q10" s="4"/>
      <c r="R10" s="5"/>
    </row>
    <row r="11" spans="1:19" ht="15.75" x14ac:dyDescent="0.25">
      <c r="A11" s="111"/>
      <c r="B11" s="17"/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11"/>
      <c r="B12" s="17"/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11"/>
      <c r="B13" s="17"/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11"/>
      <c r="B14" s="14"/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11"/>
      <c r="B15" s="14"/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11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/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/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11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/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/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/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11"/>
      <c r="B27" s="14"/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/>
      <c r="C28" s="10"/>
      <c r="D28" s="48">
        <f t="shared" si="1"/>
        <v>0</v>
      </c>
      <c r="F28" s="94"/>
      <c r="G28" s="61"/>
      <c r="H28" s="184"/>
      <c r="I28" s="185"/>
      <c r="J28" s="18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/>
      <c r="I34" s="191"/>
      <c r="J34" s="192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/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/>
      <c r="I36" s="191"/>
      <c r="J36" s="192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/>
      <c r="I37" s="191"/>
      <c r="J37" s="192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/>
      <c r="I38" s="191"/>
      <c r="J38" s="192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/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P43" s="4"/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P44" s="4"/>
      <c r="Q44" s="4"/>
      <c r="R44" s="5"/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P50" s="4"/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1568-7FAD-436D-B181-6D7F577681D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1</v>
      </c>
      <c r="H4" s="104" t="s">
        <v>9</v>
      </c>
      <c r="I4" s="106">
        <v>46085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84"/>
      <c r="D6" s="13">
        <f t="shared" ref="D6:D28" si="1">C6*L6</f>
        <v>0</v>
      </c>
      <c r="F6" s="113" t="s">
        <v>16</v>
      </c>
      <c r="G6" s="115" t="s">
        <v>111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84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84"/>
      <c r="D8" s="13">
        <f t="shared" si="1"/>
        <v>0</v>
      </c>
      <c r="F8" s="121" t="s">
        <v>21</v>
      </c>
      <c r="G8" s="123" t="s">
        <v>144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84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84"/>
      <c r="D10" s="13">
        <f t="shared" si="1"/>
        <v>0</v>
      </c>
      <c r="F10" s="113" t="s">
        <v>26</v>
      </c>
      <c r="G10" s="129" t="s">
        <v>139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84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84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84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84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84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133</v>
      </c>
      <c r="C17" s="84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22"/>
      <c r="I19" s="122"/>
      <c r="J19" s="122"/>
      <c r="L19" s="6">
        <v>1102</v>
      </c>
      <c r="Q19" s="4"/>
      <c r="R19" s="5">
        <f t="shared" si="0"/>
        <v>0</v>
      </c>
    </row>
    <row r="20" spans="1:18" ht="15.75" x14ac:dyDescent="0.25">
      <c r="A20" s="111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124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101</v>
      </c>
      <c r="C23" s="84"/>
      <c r="D23" s="48">
        <f t="shared" si="1"/>
        <v>0</v>
      </c>
      <c r="F23" s="77"/>
      <c r="G23" s="79"/>
      <c r="H23" s="225"/>
      <c r="I23" s="226"/>
      <c r="J23" s="226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118</v>
      </c>
      <c r="C24" s="84"/>
      <c r="D24" s="48">
        <f t="shared" si="1"/>
        <v>0</v>
      </c>
      <c r="F24" s="77"/>
      <c r="G24" s="79"/>
      <c r="H24" s="225"/>
      <c r="I24" s="226"/>
      <c r="J24" s="226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132</v>
      </c>
      <c r="C26" s="84"/>
      <c r="D26" s="48">
        <f t="shared" si="1"/>
        <v>0</v>
      </c>
      <c r="F26" s="75"/>
      <c r="G26" s="65"/>
      <c r="H26" s="174"/>
      <c r="I26" s="174"/>
      <c r="J26" s="174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110</v>
      </c>
      <c r="C27" s="84"/>
      <c r="D27" s="44">
        <f t="shared" si="1"/>
        <v>0</v>
      </c>
      <c r="F27" s="71"/>
      <c r="G27" s="91"/>
      <c r="H27" s="227"/>
      <c r="I27" s="228"/>
      <c r="J27" s="228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84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H15-H16-H17-H18-H19-H20-H22-H23-H24+H26+H27+H28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0">
        <f t="shared" ref="H34:H39" si="2"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si="2"/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si="2"/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85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74"/>
      <c r="I46" s="174"/>
      <c r="J46" s="174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128</v>
      </c>
      <c r="G51" s="229">
        <f>G49-H29</f>
        <v>0</v>
      </c>
      <c r="H51" s="230"/>
      <c r="I51" s="230"/>
      <c r="J51" s="23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32"/>
      <c r="H52" s="233"/>
      <c r="I52" s="233"/>
      <c r="J52" s="23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C2E2-B957-4DF6-BC9F-21540716AD3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2</v>
      </c>
      <c r="H4" s="104" t="s">
        <v>9</v>
      </c>
      <c r="I4" s="106">
        <v>46085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126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113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114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93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5"/>
      <c r="I19" s="235"/>
      <c r="J19" s="23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22"/>
      <c r="I20" s="122"/>
      <c r="J20" s="12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25"/>
      <c r="G23" s="37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120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10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14"/>
      <c r="G27" s="14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ref="H35:H39" si="2"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62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9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8F58-0D98-4069-B016-F3395E73D25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3</v>
      </c>
      <c r="H4" s="104" t="s">
        <v>9</v>
      </c>
      <c r="I4" s="106">
        <v>46085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141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130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127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112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36"/>
      <c r="I19" s="236"/>
      <c r="J19" s="23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101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ref="H36:H39" si="2"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138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9811-2FD6-469A-9A99-39989D72077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97" t="s">
        <v>7</v>
      </c>
      <c r="B4" s="98"/>
      <c r="C4" s="98"/>
      <c r="D4" s="99"/>
      <c r="F4" s="100" t="s">
        <v>8</v>
      </c>
      <c r="G4" s="102"/>
      <c r="H4" s="104" t="s">
        <v>9</v>
      </c>
      <c r="I4" s="106"/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11"/>
      <c r="B6" s="16"/>
      <c r="C6" s="10"/>
      <c r="D6" s="13">
        <f t="shared" ref="D6:D28" si="1">C6*L6</f>
        <v>0</v>
      </c>
      <c r="F6" s="113" t="s">
        <v>16</v>
      </c>
      <c r="G6" s="115"/>
      <c r="H6" s="116"/>
      <c r="I6" s="116"/>
      <c r="J6" s="11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11"/>
      <c r="B7" s="16"/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11"/>
      <c r="B8" s="16"/>
      <c r="C8" s="10"/>
      <c r="D8" s="13">
        <f t="shared" si="1"/>
        <v>0</v>
      </c>
      <c r="F8" s="121" t="s">
        <v>21</v>
      </c>
      <c r="G8" s="123"/>
      <c r="H8" s="124"/>
      <c r="I8" s="124"/>
      <c r="J8" s="12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11"/>
      <c r="B9" s="16"/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11"/>
      <c r="C10" s="10"/>
      <c r="D10" s="13">
        <f t="shared" si="1"/>
        <v>0</v>
      </c>
      <c r="F10" s="113" t="s">
        <v>26</v>
      </c>
      <c r="G10" s="129"/>
      <c r="H10" s="130"/>
      <c r="I10" s="130"/>
      <c r="J10" s="131"/>
      <c r="K10" s="8"/>
      <c r="L10" s="6">
        <f>R36</f>
        <v>972</v>
      </c>
      <c r="P10" s="4"/>
      <c r="Q10" s="4"/>
      <c r="R10" s="5"/>
    </row>
    <row r="11" spans="1:19" ht="15.75" x14ac:dyDescent="0.25">
      <c r="A11" s="111"/>
      <c r="B11" s="17"/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11"/>
      <c r="B12" s="17"/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11"/>
      <c r="B13" s="17"/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11"/>
      <c r="B14" s="14"/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11"/>
      <c r="B15" s="14"/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11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/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/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11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/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/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/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11"/>
      <c r="B27" s="14"/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/>
      <c r="C28" s="10"/>
      <c r="D28" s="48">
        <f t="shared" si="1"/>
        <v>0</v>
      </c>
      <c r="F28" s="94"/>
      <c r="G28" s="61"/>
      <c r="H28" s="184"/>
      <c r="I28" s="185"/>
      <c r="J28" s="18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/>
      <c r="I34" s="191"/>
      <c r="J34" s="192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/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/>
      <c r="I36" s="191"/>
      <c r="J36" s="192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/>
      <c r="I37" s="191"/>
      <c r="J37" s="192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/>
      <c r="I38" s="191"/>
      <c r="J38" s="192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/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P43" s="4"/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P44" s="4"/>
      <c r="Q44" s="4"/>
      <c r="R44" s="5"/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P50" s="4"/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7A32-E119-4F2E-A4C2-447BC983724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1</v>
      </c>
      <c r="H4" s="104" t="s">
        <v>9</v>
      </c>
      <c r="I4" s="106">
        <v>46086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84"/>
      <c r="D6" s="13">
        <f t="shared" ref="D6:D28" si="1">C6*L6</f>
        <v>0</v>
      </c>
      <c r="F6" s="113" t="s">
        <v>16</v>
      </c>
      <c r="G6" s="115" t="s">
        <v>111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84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84"/>
      <c r="D8" s="13">
        <f t="shared" si="1"/>
        <v>0</v>
      </c>
      <c r="F8" s="121" t="s">
        <v>21</v>
      </c>
      <c r="G8" s="123" t="s">
        <v>144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84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84"/>
      <c r="D10" s="13">
        <f t="shared" si="1"/>
        <v>0</v>
      </c>
      <c r="F10" s="113" t="s">
        <v>26</v>
      </c>
      <c r="G10" s="129" t="s">
        <v>139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84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84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84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84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84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133</v>
      </c>
      <c r="C17" s="84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22"/>
      <c r="I19" s="122"/>
      <c r="J19" s="122"/>
      <c r="L19" s="6">
        <v>1102</v>
      </c>
      <c r="Q19" s="4"/>
      <c r="R19" s="5">
        <f t="shared" si="0"/>
        <v>0</v>
      </c>
    </row>
    <row r="20" spans="1:18" ht="15.75" x14ac:dyDescent="0.25">
      <c r="A20" s="111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124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101</v>
      </c>
      <c r="C23" s="84"/>
      <c r="D23" s="48">
        <f t="shared" si="1"/>
        <v>0</v>
      </c>
      <c r="F23" s="77"/>
      <c r="G23" s="79"/>
      <c r="H23" s="225"/>
      <c r="I23" s="226"/>
      <c r="J23" s="226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118</v>
      </c>
      <c r="C24" s="84"/>
      <c r="D24" s="48">
        <f t="shared" si="1"/>
        <v>0</v>
      </c>
      <c r="F24" s="77"/>
      <c r="G24" s="79"/>
      <c r="H24" s="225"/>
      <c r="I24" s="226"/>
      <c r="J24" s="226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132</v>
      </c>
      <c r="C26" s="84"/>
      <c r="D26" s="48">
        <f t="shared" si="1"/>
        <v>0</v>
      </c>
      <c r="F26" s="75"/>
      <c r="G26" s="65"/>
      <c r="H26" s="174"/>
      <c r="I26" s="174"/>
      <c r="J26" s="174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110</v>
      </c>
      <c r="C27" s="84"/>
      <c r="D27" s="44">
        <f t="shared" si="1"/>
        <v>0</v>
      </c>
      <c r="F27" s="71"/>
      <c r="G27" s="91"/>
      <c r="H27" s="227"/>
      <c r="I27" s="228"/>
      <c r="J27" s="228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84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H15-H16-H17-H18-H19-H20-H22-H23-H24+H26+H27+H28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0">
        <f t="shared" ref="H34:H39" si="2"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si="2"/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si="2"/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85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74"/>
      <c r="I46" s="174"/>
      <c r="J46" s="174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128</v>
      </c>
      <c r="G51" s="229">
        <f>G49-H29</f>
        <v>0</v>
      </c>
      <c r="H51" s="230"/>
      <c r="I51" s="230"/>
      <c r="J51" s="23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32"/>
      <c r="H52" s="233"/>
      <c r="I52" s="233"/>
      <c r="J52" s="23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4954-D18D-4CB8-8326-DF53B23C721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2</v>
      </c>
      <c r="H4" s="104" t="s">
        <v>9</v>
      </c>
      <c r="I4" s="106">
        <v>46086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126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113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114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93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5"/>
      <c r="I19" s="235"/>
      <c r="J19" s="23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22"/>
      <c r="I20" s="122"/>
      <c r="J20" s="12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25"/>
      <c r="G23" s="37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120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10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14"/>
      <c r="G27" s="14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ref="H35:H39" si="2"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62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9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2FA4-E5B7-42C5-9788-A6F4A0C8B1F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3</v>
      </c>
      <c r="H4" s="104" t="s">
        <v>9</v>
      </c>
      <c r="I4" s="106">
        <v>46086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141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130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127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112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36"/>
      <c r="I19" s="236"/>
      <c r="J19" s="23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101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ref="H36:H39" si="2"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138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8666-145B-4D0E-865A-E203F4D81C6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97" t="s">
        <v>7</v>
      </c>
      <c r="B4" s="98"/>
      <c r="C4" s="98"/>
      <c r="D4" s="99"/>
      <c r="F4" s="100" t="s">
        <v>8</v>
      </c>
      <c r="G4" s="102"/>
      <c r="H4" s="104" t="s">
        <v>9</v>
      </c>
      <c r="I4" s="106"/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11"/>
      <c r="B6" s="16"/>
      <c r="C6" s="10"/>
      <c r="D6" s="13">
        <f t="shared" ref="D6:D28" si="1">C6*L6</f>
        <v>0</v>
      </c>
      <c r="F6" s="113" t="s">
        <v>16</v>
      </c>
      <c r="G6" s="115"/>
      <c r="H6" s="116"/>
      <c r="I6" s="116"/>
      <c r="J6" s="11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11"/>
      <c r="B7" s="16"/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11"/>
      <c r="B8" s="16"/>
      <c r="C8" s="10"/>
      <c r="D8" s="13">
        <f t="shared" si="1"/>
        <v>0</v>
      </c>
      <c r="F8" s="121" t="s">
        <v>21</v>
      </c>
      <c r="G8" s="123"/>
      <c r="H8" s="124"/>
      <c r="I8" s="124"/>
      <c r="J8" s="12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11"/>
      <c r="B9" s="16"/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11"/>
      <c r="C10" s="10"/>
      <c r="D10" s="13">
        <f t="shared" si="1"/>
        <v>0</v>
      </c>
      <c r="F10" s="113" t="s">
        <v>26</v>
      </c>
      <c r="G10" s="129"/>
      <c r="H10" s="130"/>
      <c r="I10" s="130"/>
      <c r="J10" s="131"/>
      <c r="K10" s="8"/>
      <c r="L10" s="6">
        <f>R36</f>
        <v>972</v>
      </c>
      <c r="P10" s="4"/>
      <c r="Q10" s="4"/>
      <c r="R10" s="5"/>
    </row>
    <row r="11" spans="1:19" ht="15.75" x14ac:dyDescent="0.25">
      <c r="A11" s="111"/>
      <c r="B11" s="17"/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11"/>
      <c r="B12" s="17"/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11"/>
      <c r="B13" s="17"/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11"/>
      <c r="B14" s="14"/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11"/>
      <c r="B15" s="14"/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11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/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/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11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/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/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/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11"/>
      <c r="B27" s="14"/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/>
      <c r="C28" s="10"/>
      <c r="D28" s="48">
        <f t="shared" si="1"/>
        <v>0</v>
      </c>
      <c r="F28" s="94"/>
      <c r="G28" s="61"/>
      <c r="H28" s="184"/>
      <c r="I28" s="185"/>
      <c r="J28" s="18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/>
      <c r="I34" s="191"/>
      <c r="J34" s="192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/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/>
      <c r="I36" s="191"/>
      <c r="J36" s="192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/>
      <c r="I37" s="191"/>
      <c r="J37" s="192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/>
      <c r="I38" s="191"/>
      <c r="J38" s="192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/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P43" s="4"/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P44" s="4"/>
      <c r="Q44" s="4"/>
      <c r="R44" s="5"/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P50" s="4"/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DF68-D9DD-4D50-959A-8862A15B35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1</v>
      </c>
      <c r="H4" s="104" t="s">
        <v>9</v>
      </c>
      <c r="I4" s="106">
        <v>46087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84"/>
      <c r="D6" s="13">
        <f t="shared" ref="D6:D28" si="1">C6*L6</f>
        <v>0</v>
      </c>
      <c r="F6" s="113" t="s">
        <v>16</v>
      </c>
      <c r="G6" s="115" t="s">
        <v>111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84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84"/>
      <c r="D8" s="13">
        <f t="shared" si="1"/>
        <v>0</v>
      </c>
      <c r="F8" s="121" t="s">
        <v>21</v>
      </c>
      <c r="G8" s="123" t="s">
        <v>144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84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84"/>
      <c r="D10" s="13">
        <f t="shared" si="1"/>
        <v>0</v>
      </c>
      <c r="F10" s="113" t="s">
        <v>26</v>
      </c>
      <c r="G10" s="129" t="s">
        <v>139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84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84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84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84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84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133</v>
      </c>
      <c r="C17" s="84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22"/>
      <c r="I19" s="122"/>
      <c r="J19" s="122"/>
      <c r="L19" s="6">
        <v>1102</v>
      </c>
      <c r="Q19" s="4"/>
      <c r="R19" s="5">
        <f t="shared" si="0"/>
        <v>0</v>
      </c>
    </row>
    <row r="20" spans="1:18" ht="15.75" x14ac:dyDescent="0.25">
      <c r="A20" s="111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124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101</v>
      </c>
      <c r="C23" s="84"/>
      <c r="D23" s="48">
        <f t="shared" si="1"/>
        <v>0</v>
      </c>
      <c r="F23" s="77"/>
      <c r="G23" s="79"/>
      <c r="H23" s="225"/>
      <c r="I23" s="226"/>
      <c r="J23" s="226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118</v>
      </c>
      <c r="C24" s="84"/>
      <c r="D24" s="48">
        <f t="shared" si="1"/>
        <v>0</v>
      </c>
      <c r="F24" s="77"/>
      <c r="G24" s="79"/>
      <c r="H24" s="225"/>
      <c r="I24" s="226"/>
      <c r="J24" s="226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132</v>
      </c>
      <c r="C26" s="84"/>
      <c r="D26" s="48">
        <f t="shared" si="1"/>
        <v>0</v>
      </c>
      <c r="F26" s="75"/>
      <c r="G26" s="65"/>
      <c r="H26" s="174"/>
      <c r="I26" s="174"/>
      <c r="J26" s="174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110</v>
      </c>
      <c r="C27" s="84"/>
      <c r="D27" s="44">
        <f t="shared" si="1"/>
        <v>0</v>
      </c>
      <c r="F27" s="71"/>
      <c r="G27" s="91"/>
      <c r="H27" s="227"/>
      <c r="I27" s="228"/>
      <c r="J27" s="228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84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H15-H16-H17-H18-H19-H20-H22-H23-H24+H26+H27+H28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0">
        <f t="shared" ref="H34:H39" si="2"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si="2"/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si="2"/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85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74"/>
      <c r="I46" s="174"/>
      <c r="J46" s="174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128</v>
      </c>
      <c r="G51" s="229">
        <f>G49-H29</f>
        <v>0</v>
      </c>
      <c r="H51" s="230"/>
      <c r="I51" s="230"/>
      <c r="J51" s="23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32"/>
      <c r="H52" s="233"/>
      <c r="I52" s="233"/>
      <c r="J52" s="23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1397-3E9E-4383-91FA-825D621525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2</v>
      </c>
      <c r="H4" s="104" t="s">
        <v>9</v>
      </c>
      <c r="I4" s="106">
        <v>46087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126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113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114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93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5"/>
      <c r="I19" s="235"/>
      <c r="J19" s="23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22"/>
      <c r="I20" s="122"/>
      <c r="J20" s="12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25"/>
      <c r="G23" s="37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120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10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14"/>
      <c r="G27" s="14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ref="H35:H39" si="2"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62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9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0AB0-88AB-4465-8B44-602BC78E3FF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3</v>
      </c>
      <c r="H4" s="104" t="s">
        <v>9</v>
      </c>
      <c r="I4" s="106">
        <v>46087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141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130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127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112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36"/>
      <c r="I19" s="236"/>
      <c r="J19" s="23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101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ref="H36:H39" si="2"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138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7FD6-2FEC-4912-8FFE-CE9541AD5AA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97" t="s">
        <v>7</v>
      </c>
      <c r="B4" s="98"/>
      <c r="C4" s="98"/>
      <c r="D4" s="99"/>
      <c r="F4" s="100" t="s">
        <v>8</v>
      </c>
      <c r="G4" s="102"/>
      <c r="H4" s="104" t="s">
        <v>9</v>
      </c>
      <c r="I4" s="106"/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11"/>
      <c r="B6" s="16"/>
      <c r="C6" s="10"/>
      <c r="D6" s="13">
        <f t="shared" ref="D6:D28" si="1">C6*L6</f>
        <v>0</v>
      </c>
      <c r="F6" s="113" t="s">
        <v>16</v>
      </c>
      <c r="G6" s="115"/>
      <c r="H6" s="116"/>
      <c r="I6" s="116"/>
      <c r="J6" s="11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11"/>
      <c r="B7" s="16"/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11"/>
      <c r="B8" s="16"/>
      <c r="C8" s="10"/>
      <c r="D8" s="13">
        <f t="shared" si="1"/>
        <v>0</v>
      </c>
      <c r="F8" s="121" t="s">
        <v>21</v>
      </c>
      <c r="G8" s="123"/>
      <c r="H8" s="124"/>
      <c r="I8" s="124"/>
      <c r="J8" s="12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11"/>
      <c r="B9" s="16"/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11"/>
      <c r="C10" s="10"/>
      <c r="D10" s="13">
        <f t="shared" si="1"/>
        <v>0</v>
      </c>
      <c r="F10" s="113" t="s">
        <v>26</v>
      </c>
      <c r="G10" s="129"/>
      <c r="H10" s="130"/>
      <c r="I10" s="130"/>
      <c r="J10" s="131"/>
      <c r="K10" s="8"/>
      <c r="L10" s="6">
        <f>R36</f>
        <v>972</v>
      </c>
      <c r="P10" s="4"/>
      <c r="Q10" s="4"/>
      <c r="R10" s="5"/>
    </row>
    <row r="11" spans="1:19" ht="15.75" x14ac:dyDescent="0.25">
      <c r="A11" s="111"/>
      <c r="B11" s="17"/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11"/>
      <c r="B12" s="17"/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11"/>
      <c r="B13" s="17"/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11"/>
      <c r="B14" s="14"/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11"/>
      <c r="B15" s="14"/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11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/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/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11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/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/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/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11"/>
      <c r="B27" s="14"/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/>
      <c r="C28" s="10"/>
      <c r="D28" s="48">
        <f t="shared" si="1"/>
        <v>0</v>
      </c>
      <c r="F28" s="94"/>
      <c r="G28" s="61"/>
      <c r="H28" s="184"/>
      <c r="I28" s="185"/>
      <c r="J28" s="18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/>
      <c r="I34" s="191"/>
      <c r="J34" s="192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/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/>
      <c r="I36" s="191"/>
      <c r="J36" s="192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/>
      <c r="I37" s="191"/>
      <c r="J37" s="192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/>
      <c r="I38" s="191"/>
      <c r="J38" s="192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/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P43" s="4"/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P44" s="4"/>
      <c r="Q44" s="4"/>
      <c r="R44" s="5"/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P50" s="4"/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E38C-FA70-4BD0-8B23-05EA09AACEB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1</v>
      </c>
      <c r="H4" s="104" t="s">
        <v>9</v>
      </c>
      <c r="I4" s="106">
        <v>46088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84"/>
      <c r="D6" s="13">
        <f t="shared" ref="D6:D28" si="1">C6*L6</f>
        <v>0</v>
      </c>
      <c r="F6" s="113" t="s">
        <v>16</v>
      </c>
      <c r="G6" s="115" t="s">
        <v>111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84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84"/>
      <c r="D8" s="13">
        <f t="shared" si="1"/>
        <v>0</v>
      </c>
      <c r="F8" s="121" t="s">
        <v>21</v>
      </c>
      <c r="G8" s="123" t="s">
        <v>144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84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84"/>
      <c r="D10" s="13">
        <f t="shared" si="1"/>
        <v>0</v>
      </c>
      <c r="F10" s="113" t="s">
        <v>26</v>
      </c>
      <c r="G10" s="129" t="s">
        <v>139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84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84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84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84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84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133</v>
      </c>
      <c r="C17" s="84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22"/>
      <c r="I19" s="122"/>
      <c r="J19" s="122"/>
      <c r="L19" s="6">
        <v>1102</v>
      </c>
      <c r="Q19" s="4"/>
      <c r="R19" s="5">
        <f t="shared" si="0"/>
        <v>0</v>
      </c>
    </row>
    <row r="20" spans="1:18" ht="15.75" x14ac:dyDescent="0.25">
      <c r="A20" s="111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124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101</v>
      </c>
      <c r="C23" s="84"/>
      <c r="D23" s="48">
        <f t="shared" si="1"/>
        <v>0</v>
      </c>
      <c r="F23" s="77"/>
      <c r="G23" s="79"/>
      <c r="H23" s="225"/>
      <c r="I23" s="226"/>
      <c r="J23" s="226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118</v>
      </c>
      <c r="C24" s="84"/>
      <c r="D24" s="48">
        <f t="shared" si="1"/>
        <v>0</v>
      </c>
      <c r="F24" s="77"/>
      <c r="G24" s="79"/>
      <c r="H24" s="225"/>
      <c r="I24" s="226"/>
      <c r="J24" s="226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132</v>
      </c>
      <c r="C26" s="84"/>
      <c r="D26" s="48">
        <f t="shared" si="1"/>
        <v>0</v>
      </c>
      <c r="F26" s="75"/>
      <c r="G26" s="65"/>
      <c r="H26" s="174"/>
      <c r="I26" s="174"/>
      <c r="J26" s="174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110</v>
      </c>
      <c r="C27" s="84"/>
      <c r="D27" s="44">
        <f t="shared" si="1"/>
        <v>0</v>
      </c>
      <c r="F27" s="71"/>
      <c r="G27" s="91"/>
      <c r="H27" s="227"/>
      <c r="I27" s="228"/>
      <c r="J27" s="228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84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H15-H16-H17-H18-H19-H20-H22-H23-H24+H26+H27+H28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0">
        <f t="shared" ref="H34:H39" si="2"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si="2"/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si="2"/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85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74"/>
      <c r="I46" s="174"/>
      <c r="J46" s="174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128</v>
      </c>
      <c r="G51" s="229">
        <f>G49-H29</f>
        <v>0</v>
      </c>
      <c r="H51" s="230"/>
      <c r="I51" s="230"/>
      <c r="J51" s="23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32"/>
      <c r="H52" s="233"/>
      <c r="I52" s="233"/>
      <c r="J52" s="23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70E3-8619-4DBD-BBA3-C2B18550923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2</v>
      </c>
      <c r="H4" s="104" t="s">
        <v>9</v>
      </c>
      <c r="I4" s="106">
        <v>46088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126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113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114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93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5"/>
      <c r="I19" s="235"/>
      <c r="J19" s="23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22"/>
      <c r="I20" s="122"/>
      <c r="J20" s="12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25"/>
      <c r="G23" s="37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120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10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14"/>
      <c r="G27" s="14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ref="H35:H39" si="2"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62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9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EE61-1CE5-4146-A5CD-DF51DD3E68D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3</v>
      </c>
      <c r="H4" s="104" t="s">
        <v>9</v>
      </c>
      <c r="I4" s="106">
        <v>46088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141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130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127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112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36"/>
      <c r="I19" s="236"/>
      <c r="J19" s="23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101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ref="H36:H39" si="2"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138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CD13-1AB8-4C33-9E13-6AB4F2FF47E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97" t="s">
        <v>7</v>
      </c>
      <c r="B4" s="98"/>
      <c r="C4" s="98"/>
      <c r="D4" s="99"/>
      <c r="F4" s="100" t="s">
        <v>8</v>
      </c>
      <c r="G4" s="102"/>
      <c r="H4" s="104" t="s">
        <v>9</v>
      </c>
      <c r="I4" s="106"/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11"/>
      <c r="B6" s="16"/>
      <c r="C6" s="10"/>
      <c r="D6" s="13">
        <f t="shared" ref="D6:D28" si="1">C6*L6</f>
        <v>0</v>
      </c>
      <c r="F6" s="113" t="s">
        <v>16</v>
      </c>
      <c r="G6" s="115"/>
      <c r="H6" s="116"/>
      <c r="I6" s="116"/>
      <c r="J6" s="11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11"/>
      <c r="B7" s="16"/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11"/>
      <c r="B8" s="16"/>
      <c r="C8" s="10"/>
      <c r="D8" s="13">
        <f t="shared" si="1"/>
        <v>0</v>
      </c>
      <c r="F8" s="121" t="s">
        <v>21</v>
      </c>
      <c r="G8" s="123"/>
      <c r="H8" s="124"/>
      <c r="I8" s="124"/>
      <c r="J8" s="12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11"/>
      <c r="B9" s="16"/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11"/>
      <c r="C10" s="10"/>
      <c r="D10" s="13">
        <f t="shared" si="1"/>
        <v>0</v>
      </c>
      <c r="F10" s="113" t="s">
        <v>26</v>
      </c>
      <c r="G10" s="129"/>
      <c r="H10" s="130"/>
      <c r="I10" s="130"/>
      <c r="J10" s="131"/>
      <c r="K10" s="8"/>
      <c r="L10" s="6">
        <f>R36</f>
        <v>972</v>
      </c>
      <c r="P10" s="4"/>
      <c r="Q10" s="4"/>
      <c r="R10" s="5"/>
    </row>
    <row r="11" spans="1:19" ht="15.75" x14ac:dyDescent="0.25">
      <c r="A11" s="111"/>
      <c r="B11" s="17"/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11"/>
      <c r="B12" s="17"/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11"/>
      <c r="B13" s="17"/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11"/>
      <c r="B14" s="14"/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11"/>
      <c r="B15" s="14"/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11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/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/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11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/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/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/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11"/>
      <c r="B27" s="14"/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/>
      <c r="C28" s="10"/>
      <c r="D28" s="48">
        <f t="shared" si="1"/>
        <v>0</v>
      </c>
      <c r="F28" s="94"/>
      <c r="G28" s="61"/>
      <c r="H28" s="184"/>
      <c r="I28" s="185"/>
      <c r="J28" s="18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/>
      <c r="I34" s="191"/>
      <c r="J34" s="192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/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/>
      <c r="I36" s="191"/>
      <c r="J36" s="192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/>
      <c r="I37" s="191"/>
      <c r="J37" s="192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/>
      <c r="I38" s="191"/>
      <c r="J38" s="192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/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P43" s="4"/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P44" s="4"/>
      <c r="Q44" s="4"/>
      <c r="R44" s="5"/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P50" s="4"/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F066-6797-4C80-8E6B-60D2D9A8D67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1</v>
      </c>
      <c r="H4" s="104" t="s">
        <v>9</v>
      </c>
      <c r="I4" s="106">
        <v>46090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84"/>
      <c r="D6" s="13">
        <f t="shared" ref="D6:D28" si="1">C6*L6</f>
        <v>0</v>
      </c>
      <c r="F6" s="113" t="s">
        <v>16</v>
      </c>
      <c r="G6" s="115" t="s">
        <v>111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84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84"/>
      <c r="D8" s="13">
        <f t="shared" si="1"/>
        <v>0</v>
      </c>
      <c r="F8" s="121" t="s">
        <v>21</v>
      </c>
      <c r="G8" s="123" t="s">
        <v>144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84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84"/>
      <c r="D10" s="13">
        <f t="shared" si="1"/>
        <v>0</v>
      </c>
      <c r="F10" s="113" t="s">
        <v>26</v>
      </c>
      <c r="G10" s="129" t="s">
        <v>139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84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84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84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84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84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133</v>
      </c>
      <c r="C17" s="84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22"/>
      <c r="I19" s="122"/>
      <c r="J19" s="122"/>
      <c r="L19" s="6">
        <v>1102</v>
      </c>
      <c r="Q19" s="4"/>
      <c r="R19" s="5">
        <f t="shared" si="0"/>
        <v>0</v>
      </c>
    </row>
    <row r="20" spans="1:18" ht="15.75" x14ac:dyDescent="0.25">
      <c r="A20" s="111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124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101</v>
      </c>
      <c r="C23" s="84"/>
      <c r="D23" s="48">
        <f t="shared" si="1"/>
        <v>0</v>
      </c>
      <c r="F23" s="77"/>
      <c r="G23" s="79"/>
      <c r="H23" s="225"/>
      <c r="I23" s="226"/>
      <c r="J23" s="226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118</v>
      </c>
      <c r="C24" s="84"/>
      <c r="D24" s="48">
        <f t="shared" si="1"/>
        <v>0</v>
      </c>
      <c r="F24" s="77"/>
      <c r="G24" s="79"/>
      <c r="H24" s="225"/>
      <c r="I24" s="226"/>
      <c r="J24" s="226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132</v>
      </c>
      <c r="C26" s="84"/>
      <c r="D26" s="48">
        <f t="shared" si="1"/>
        <v>0</v>
      </c>
      <c r="F26" s="75"/>
      <c r="G26" s="65"/>
      <c r="H26" s="174"/>
      <c r="I26" s="174"/>
      <c r="J26" s="174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110</v>
      </c>
      <c r="C27" s="84"/>
      <c r="D27" s="44">
        <f t="shared" si="1"/>
        <v>0</v>
      </c>
      <c r="F27" s="71"/>
      <c r="G27" s="91"/>
      <c r="H27" s="227"/>
      <c r="I27" s="228"/>
      <c r="J27" s="228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84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H15-H16-H17-H18-H19-H20-H22-H23-H24+H26+H27+H28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0">
        <f t="shared" ref="H34:H39" si="2"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si="2"/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si="2"/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85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74"/>
      <c r="I46" s="174"/>
      <c r="J46" s="174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128</v>
      </c>
      <c r="G51" s="229">
        <f>G49-H29</f>
        <v>0</v>
      </c>
      <c r="H51" s="230"/>
      <c r="I51" s="230"/>
      <c r="J51" s="23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32"/>
      <c r="H52" s="233"/>
      <c r="I52" s="233"/>
      <c r="J52" s="23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2C43-1530-4100-98EA-12BB4D2C993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2</v>
      </c>
      <c r="H4" s="104" t="s">
        <v>9</v>
      </c>
      <c r="I4" s="106">
        <v>46090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126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113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114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93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5"/>
      <c r="I19" s="235"/>
      <c r="J19" s="23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22"/>
      <c r="I20" s="122"/>
      <c r="J20" s="12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25"/>
      <c r="G23" s="37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120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10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14"/>
      <c r="G27" s="14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 t="shared" ref="H35:H39" si="2"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62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62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9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135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A814-B354-4E29-B82B-5E2DBA32FA3F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96" t="s">
        <v>1</v>
      </c>
      <c r="O1" s="96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97" t="s">
        <v>7</v>
      </c>
      <c r="B4" s="98"/>
      <c r="C4" s="98"/>
      <c r="D4" s="99"/>
      <c r="F4" s="100" t="s">
        <v>8</v>
      </c>
      <c r="G4" s="102">
        <v>3</v>
      </c>
      <c r="H4" s="104" t="s">
        <v>9</v>
      </c>
      <c r="I4" s="106">
        <v>46090</v>
      </c>
      <c r="J4" s="1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0" t="s">
        <v>7</v>
      </c>
      <c r="B5" s="15" t="s">
        <v>11</v>
      </c>
      <c r="C5" s="9" t="s">
        <v>12</v>
      </c>
      <c r="D5" s="25" t="s">
        <v>13</v>
      </c>
      <c r="F5" s="101"/>
      <c r="G5" s="103"/>
      <c r="H5" s="105"/>
      <c r="I5" s="108"/>
      <c r="J5" s="1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11"/>
      <c r="B6" s="16" t="s">
        <v>15</v>
      </c>
      <c r="C6" s="10"/>
      <c r="D6" s="13">
        <f t="shared" ref="D6:D28" si="1">C6*L6</f>
        <v>0</v>
      </c>
      <c r="F6" s="113" t="s">
        <v>16</v>
      </c>
      <c r="G6" s="115" t="s">
        <v>141</v>
      </c>
      <c r="H6" s="116"/>
      <c r="I6" s="116"/>
      <c r="J6" s="11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11"/>
      <c r="B7" s="16" t="s">
        <v>18</v>
      </c>
      <c r="C7" s="10"/>
      <c r="D7" s="13">
        <f t="shared" si="1"/>
        <v>0</v>
      </c>
      <c r="F7" s="114"/>
      <c r="G7" s="118"/>
      <c r="H7" s="119"/>
      <c r="I7" s="119"/>
      <c r="J7" s="12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11"/>
      <c r="B8" s="16" t="s">
        <v>20</v>
      </c>
      <c r="C8" s="10"/>
      <c r="D8" s="13">
        <f t="shared" si="1"/>
        <v>0</v>
      </c>
      <c r="F8" s="121" t="s">
        <v>21</v>
      </c>
      <c r="G8" s="123" t="s">
        <v>130</v>
      </c>
      <c r="H8" s="124"/>
      <c r="I8" s="124"/>
      <c r="J8" s="12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11"/>
      <c r="B9" s="16" t="s">
        <v>23</v>
      </c>
      <c r="C9" s="10"/>
      <c r="D9" s="13">
        <f t="shared" si="1"/>
        <v>0</v>
      </c>
      <c r="F9" s="114"/>
      <c r="G9" s="126"/>
      <c r="H9" s="127"/>
      <c r="I9" s="127"/>
      <c r="J9" s="12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11"/>
      <c r="B10" t="s">
        <v>25</v>
      </c>
      <c r="C10" s="10"/>
      <c r="D10" s="13">
        <f t="shared" si="1"/>
        <v>0</v>
      </c>
      <c r="F10" s="113" t="s">
        <v>26</v>
      </c>
      <c r="G10" s="129" t="s">
        <v>127</v>
      </c>
      <c r="H10" s="130"/>
      <c r="I10" s="130"/>
      <c r="J10" s="131"/>
      <c r="K10" s="8"/>
      <c r="L10" s="6">
        <f>R36</f>
        <v>1032</v>
      </c>
      <c r="P10" s="4"/>
      <c r="Q10" s="4"/>
      <c r="R10" s="5"/>
    </row>
    <row r="11" spans="1:18" ht="15.75" x14ac:dyDescent="0.25">
      <c r="A11" s="111"/>
      <c r="B11" s="17" t="s">
        <v>28</v>
      </c>
      <c r="C11" s="10"/>
      <c r="D11" s="13">
        <f t="shared" si="1"/>
        <v>0</v>
      </c>
      <c r="F11" s="114"/>
      <c r="G11" s="126"/>
      <c r="H11" s="127"/>
      <c r="I11" s="127"/>
      <c r="J11" s="12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11"/>
      <c r="B12" s="17" t="s">
        <v>30</v>
      </c>
      <c r="C12" s="10"/>
      <c r="D12" s="48">
        <f t="shared" si="1"/>
        <v>0</v>
      </c>
      <c r="F12" s="132" t="s">
        <v>33</v>
      </c>
      <c r="G12" s="133"/>
      <c r="H12" s="133"/>
      <c r="I12" s="133"/>
      <c r="J12" s="13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11"/>
      <c r="B13" s="17" t="s">
        <v>32</v>
      </c>
      <c r="C13" s="10"/>
      <c r="D13" s="48">
        <f t="shared" si="1"/>
        <v>0</v>
      </c>
      <c r="F13" s="135" t="s">
        <v>36</v>
      </c>
      <c r="G13" s="136"/>
      <c r="H13" s="137">
        <f>D29</f>
        <v>0</v>
      </c>
      <c r="I13" s="138"/>
      <c r="J13" s="1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11"/>
      <c r="B14" s="14" t="s">
        <v>35</v>
      </c>
      <c r="C14" s="10"/>
      <c r="D14" s="31">
        <f t="shared" si="1"/>
        <v>0</v>
      </c>
      <c r="F14" s="140" t="s">
        <v>39</v>
      </c>
      <c r="G14" s="141"/>
      <c r="H14" s="142">
        <f>D54</f>
        <v>0</v>
      </c>
      <c r="I14" s="143"/>
      <c r="J14" s="1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11"/>
      <c r="B15" s="14" t="s">
        <v>38</v>
      </c>
      <c r="C15" s="10"/>
      <c r="D15" s="31">
        <f t="shared" si="1"/>
        <v>0</v>
      </c>
      <c r="F15" s="145" t="s">
        <v>40</v>
      </c>
      <c r="G15" s="136"/>
      <c r="H15" s="146">
        <f>H13-H14</f>
        <v>0</v>
      </c>
      <c r="I15" s="147"/>
      <c r="J15" s="14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11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49"/>
      <c r="I16" s="149"/>
      <c r="J16" s="149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11"/>
      <c r="B17" t="s">
        <v>112</v>
      </c>
      <c r="C17" s="10"/>
      <c r="D17" s="48">
        <f t="shared" si="1"/>
        <v>0</v>
      </c>
      <c r="F17" s="56"/>
      <c r="G17" s="66" t="s">
        <v>45</v>
      </c>
      <c r="H17" s="122"/>
      <c r="I17" s="122"/>
      <c r="J17" s="12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11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22"/>
      <c r="I18" s="122"/>
      <c r="J18" s="12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11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36"/>
      <c r="I19" s="236"/>
      <c r="J19" s="23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11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49"/>
      <c r="I20" s="149"/>
      <c r="J20" s="149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11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11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11"/>
      <c r="B23" s="14" t="s">
        <v>107</v>
      </c>
      <c r="C23" s="10"/>
      <c r="D23" s="48">
        <f t="shared" si="1"/>
        <v>0</v>
      </c>
      <c r="F23" s="78"/>
      <c r="G23" s="79"/>
      <c r="H23" s="173"/>
      <c r="I23" s="174"/>
      <c r="J23" s="174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11"/>
      <c r="B24" s="14" t="s">
        <v>101</v>
      </c>
      <c r="C24" s="10"/>
      <c r="D24" s="48">
        <f t="shared" si="1"/>
        <v>0</v>
      </c>
      <c r="F24" s="38"/>
      <c r="G24" s="37"/>
      <c r="H24" s="173"/>
      <c r="I24" s="174"/>
      <c r="J24" s="174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11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75" t="s">
        <v>13</v>
      </c>
      <c r="I25" s="176"/>
      <c r="J25" s="17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11"/>
      <c r="B26" s="14" t="s">
        <v>105</v>
      </c>
      <c r="C26" s="10"/>
      <c r="D26" s="48">
        <f t="shared" si="1"/>
        <v>0</v>
      </c>
      <c r="F26" s="64"/>
      <c r="G26" s="59"/>
      <c r="H26" s="178"/>
      <c r="I26" s="179"/>
      <c r="J26" s="18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11"/>
      <c r="B27" s="14" t="s">
        <v>109</v>
      </c>
      <c r="C27" s="10"/>
      <c r="D27" s="44">
        <f t="shared" si="1"/>
        <v>0</v>
      </c>
      <c r="F27" s="25"/>
      <c r="G27" s="80"/>
      <c r="H27" s="181"/>
      <c r="I27" s="182"/>
      <c r="J27" s="18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12"/>
      <c r="B28" s="46" t="s">
        <v>97</v>
      </c>
      <c r="C28" s="10"/>
      <c r="D28" s="48">
        <f t="shared" si="1"/>
        <v>0</v>
      </c>
      <c r="F28" s="94"/>
      <c r="G28" s="61"/>
      <c r="H28" s="184"/>
      <c r="I28" s="185"/>
      <c r="J28" s="18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0" t="s">
        <v>36</v>
      </c>
      <c r="B29" s="151"/>
      <c r="C29" s="152"/>
      <c r="D29" s="156">
        <f>SUM(D6:D28)</f>
        <v>0</v>
      </c>
      <c r="F29" s="158" t="s">
        <v>55</v>
      </c>
      <c r="G29" s="159"/>
      <c r="H29" s="162">
        <f>H15-H16-H17-H18-H19-H20-H22-H23-H24+H26+H27</f>
        <v>0</v>
      </c>
      <c r="I29" s="163"/>
      <c r="J29" s="16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53"/>
      <c r="B30" s="154"/>
      <c r="C30" s="155"/>
      <c r="D30" s="157"/>
      <c r="F30" s="160"/>
      <c r="G30" s="161"/>
      <c r="H30" s="165"/>
      <c r="I30" s="166"/>
      <c r="J30" s="167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97" t="s">
        <v>58</v>
      </c>
      <c r="B32" s="98"/>
      <c r="C32" s="98"/>
      <c r="D32" s="99"/>
      <c r="F32" s="187" t="s">
        <v>59</v>
      </c>
      <c r="G32" s="188"/>
      <c r="H32" s="188"/>
      <c r="I32" s="188"/>
      <c r="J32" s="189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87" t="s">
        <v>13</v>
      </c>
      <c r="I33" s="188"/>
      <c r="J33" s="189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0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0">
        <f>F34*G34</f>
        <v>0</v>
      </c>
      <c r="I34" s="191"/>
      <c r="J34" s="192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11"/>
      <c r="B35" s="27" t="s">
        <v>68</v>
      </c>
      <c r="C35" s="52"/>
      <c r="D35" s="30">
        <f>C35*84</f>
        <v>0</v>
      </c>
      <c r="F35" s="58">
        <v>500</v>
      </c>
      <c r="G35" s="41"/>
      <c r="H35" s="190">
        <f>F35*G35</f>
        <v>0</v>
      </c>
      <c r="I35" s="191"/>
      <c r="J35" s="192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12"/>
      <c r="B36" s="26" t="s">
        <v>70</v>
      </c>
      <c r="C36" s="10"/>
      <c r="D36" s="12">
        <f>C36*1.5</f>
        <v>0</v>
      </c>
      <c r="F36" s="12">
        <v>200</v>
      </c>
      <c r="G36" s="37"/>
      <c r="H36" s="190">
        <f t="shared" ref="H36:H39" si="2">F36*G36</f>
        <v>0</v>
      </c>
      <c r="I36" s="191"/>
      <c r="J36" s="192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10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0">
        <f t="shared" si="2"/>
        <v>0</v>
      </c>
      <c r="I37" s="191"/>
      <c r="J37" s="192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11"/>
      <c r="B38" s="29" t="s">
        <v>68</v>
      </c>
      <c r="C38" s="54"/>
      <c r="D38" s="12">
        <f>C38*84</f>
        <v>0</v>
      </c>
      <c r="F38" s="30">
        <v>50</v>
      </c>
      <c r="G38" s="39"/>
      <c r="H38" s="190">
        <f t="shared" si="2"/>
        <v>0</v>
      </c>
      <c r="I38" s="191"/>
      <c r="J38" s="192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12"/>
      <c r="B39" s="29" t="s">
        <v>70</v>
      </c>
      <c r="C39" s="52"/>
      <c r="D39" s="31">
        <f>C39*4.5</f>
        <v>0</v>
      </c>
      <c r="F39" s="12">
        <v>20</v>
      </c>
      <c r="G39" s="37"/>
      <c r="H39" s="190">
        <f t="shared" si="2"/>
        <v>0</v>
      </c>
      <c r="I39" s="191"/>
      <c r="J39" s="192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0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0"/>
      <c r="I40" s="191"/>
      <c r="J40" s="192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11"/>
      <c r="B41" s="27" t="s">
        <v>68</v>
      </c>
      <c r="C41" s="10"/>
      <c r="D41" s="12">
        <f>C41*84</f>
        <v>0</v>
      </c>
      <c r="F41" s="12">
        <v>5</v>
      </c>
      <c r="G41" s="42"/>
      <c r="H41" s="190"/>
      <c r="I41" s="191"/>
      <c r="J41" s="192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12"/>
      <c r="B42" s="27" t="s">
        <v>70</v>
      </c>
      <c r="C42" s="11"/>
      <c r="D42" s="12">
        <f>C42*2.25</f>
        <v>0</v>
      </c>
      <c r="F42" s="39" t="s">
        <v>79</v>
      </c>
      <c r="G42" s="190"/>
      <c r="H42" s="191"/>
      <c r="I42" s="191"/>
      <c r="J42" s="192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93" t="s">
        <v>81</v>
      </c>
      <c r="C43" s="11"/>
      <c r="D43" s="12"/>
      <c r="F43" s="59" t="s">
        <v>82</v>
      </c>
      <c r="G43" s="91" t="s">
        <v>83</v>
      </c>
      <c r="H43" s="196" t="s">
        <v>13</v>
      </c>
      <c r="I43" s="197"/>
      <c r="J43" s="19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94"/>
      <c r="B44" s="27" t="s">
        <v>66</v>
      </c>
      <c r="C44" s="10"/>
      <c r="D44" s="12">
        <f>C44*120</f>
        <v>0</v>
      </c>
      <c r="F44" s="37"/>
      <c r="G44" s="76"/>
      <c r="H44" s="174"/>
      <c r="I44" s="174"/>
      <c r="J44" s="174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94"/>
      <c r="B45" s="27" t="s">
        <v>68</v>
      </c>
      <c r="C45" s="33"/>
      <c r="D45" s="12">
        <f>C45*84</f>
        <v>0</v>
      </c>
      <c r="F45" s="37"/>
      <c r="G45" s="76"/>
      <c r="H45" s="174"/>
      <c r="I45" s="174"/>
      <c r="J45" s="174"/>
      <c r="K45" s="21"/>
      <c r="P45" s="4"/>
      <c r="Q45" s="4"/>
      <c r="R45" s="5"/>
    </row>
    <row r="46" spans="1:18" ht="15.75" x14ac:dyDescent="0.25">
      <c r="A46" s="194"/>
      <c r="B46" s="49" t="s">
        <v>70</v>
      </c>
      <c r="C46" s="81"/>
      <c r="D46" s="12">
        <f>C46*1.5</f>
        <v>0</v>
      </c>
      <c r="F46" s="37"/>
      <c r="G46" s="62"/>
      <c r="H46" s="199"/>
      <c r="I46" s="199"/>
      <c r="J46" s="199"/>
      <c r="K46" s="21"/>
      <c r="P46" s="4"/>
      <c r="Q46" s="4"/>
      <c r="R46" s="5"/>
    </row>
    <row r="47" spans="1:18" ht="15.75" x14ac:dyDescent="0.25">
      <c r="A47" s="195"/>
      <c r="B47" s="27"/>
      <c r="C47" s="11"/>
      <c r="D47" s="12"/>
      <c r="F47" s="59"/>
      <c r="G47" s="59"/>
      <c r="H47" s="200"/>
      <c r="I47" s="201"/>
      <c r="J47" s="202"/>
      <c r="K47" s="21"/>
      <c r="P47" s="4"/>
      <c r="Q47" s="4"/>
      <c r="R47" s="5"/>
    </row>
    <row r="48" spans="1:18" ht="15" customHeight="1" x14ac:dyDescent="0.25">
      <c r="A48" s="193" t="s">
        <v>32</v>
      </c>
      <c r="B48" s="27" t="s">
        <v>66</v>
      </c>
      <c r="C48" s="10"/>
      <c r="D48" s="12">
        <f>C48*78</f>
        <v>0</v>
      </c>
      <c r="F48" s="59"/>
      <c r="G48" s="59"/>
      <c r="H48" s="200"/>
      <c r="I48" s="201"/>
      <c r="J48" s="20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94"/>
      <c r="B49" s="29" t="s">
        <v>68</v>
      </c>
      <c r="C49" s="33"/>
      <c r="D49" s="12">
        <f>C49*42</f>
        <v>0</v>
      </c>
      <c r="F49" s="215" t="s">
        <v>86</v>
      </c>
      <c r="G49" s="162">
        <f>H34+H35+H36+H37+H38+H39+H40+H41+G42+H44+H45+H46</f>
        <v>0</v>
      </c>
      <c r="H49" s="163"/>
      <c r="I49" s="163"/>
      <c r="J49" s="16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94"/>
      <c r="B50" s="32" t="s">
        <v>70</v>
      </c>
      <c r="C50" s="11"/>
      <c r="D50" s="12">
        <f>C50*1.5</f>
        <v>0</v>
      </c>
      <c r="F50" s="216"/>
      <c r="G50" s="165"/>
      <c r="H50" s="166"/>
      <c r="I50" s="166"/>
      <c r="J50" s="167"/>
      <c r="O50" t="s">
        <v>137</v>
      </c>
      <c r="P50" s="4">
        <v>1204</v>
      </c>
      <c r="Q50" s="4"/>
      <c r="R50" s="5"/>
    </row>
    <row r="51" spans="1:18" ht="15" customHeight="1" x14ac:dyDescent="0.25">
      <c r="A51" s="194"/>
      <c r="B51" s="27"/>
      <c r="C51" s="10"/>
      <c r="D51" s="31"/>
      <c r="F51" s="217" t="s">
        <v>138</v>
      </c>
      <c r="G51" s="219">
        <f>G49-H29</f>
        <v>0</v>
      </c>
      <c r="H51" s="220"/>
      <c r="I51" s="220"/>
      <c r="J51" s="221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94"/>
      <c r="B52" s="29"/>
      <c r="C52" s="33"/>
      <c r="D52" s="45"/>
      <c r="F52" s="218"/>
      <c r="G52" s="222"/>
      <c r="H52" s="223"/>
      <c r="I52" s="223"/>
      <c r="J52" s="22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95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58" t="s">
        <v>90</v>
      </c>
      <c r="B54" s="203"/>
      <c r="C54" s="204"/>
      <c r="D54" s="207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0"/>
      <c r="B55" s="205"/>
      <c r="C55" s="206"/>
      <c r="D55" s="20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09" t="s">
        <v>91</v>
      </c>
      <c r="B58" s="210"/>
      <c r="C58" s="210"/>
      <c r="D58" s="211"/>
      <c r="F58" s="209" t="s">
        <v>92</v>
      </c>
      <c r="G58" s="210"/>
      <c r="H58" s="210"/>
      <c r="I58" s="210"/>
      <c r="J58" s="211"/>
    </row>
    <row r="59" spans="1:18" x14ac:dyDescent="0.25">
      <c r="A59" s="212"/>
      <c r="B59" s="213"/>
      <c r="C59" s="213"/>
      <c r="D59" s="214"/>
      <c r="F59" s="212"/>
      <c r="G59" s="213"/>
      <c r="H59" s="213"/>
      <c r="I59" s="213"/>
      <c r="J59" s="21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(March 2026)</vt:lpstr>
      <vt:lpstr>(2)</vt:lpstr>
      <vt:lpstr>03,02 R1</vt:lpstr>
      <vt:lpstr>03,02 R2</vt:lpstr>
      <vt:lpstr>03,02 R3</vt:lpstr>
      <vt:lpstr>(3)</vt:lpstr>
      <vt:lpstr>03,03 R1</vt:lpstr>
      <vt:lpstr>03,03 R2</vt:lpstr>
      <vt:lpstr>03,03 R3</vt:lpstr>
      <vt:lpstr>(4)</vt:lpstr>
      <vt:lpstr>04,03 R1</vt:lpstr>
      <vt:lpstr>04,03 R2</vt:lpstr>
      <vt:lpstr>04,03 R3</vt:lpstr>
      <vt:lpstr>(5)</vt:lpstr>
      <vt:lpstr>05,03 R1</vt:lpstr>
      <vt:lpstr>05,03 R2</vt:lpstr>
      <vt:lpstr>05,03 R3</vt:lpstr>
      <vt:lpstr>(6)</vt:lpstr>
      <vt:lpstr>06,03 R1</vt:lpstr>
      <vt:lpstr>06,03 R2</vt:lpstr>
      <vt:lpstr>06,03 R3</vt:lpstr>
      <vt:lpstr>(7)</vt:lpstr>
      <vt:lpstr>07,03 R1</vt:lpstr>
      <vt:lpstr>07,03 R2</vt:lpstr>
      <vt:lpstr>07,03 R3</vt:lpstr>
      <vt:lpstr>(9)</vt:lpstr>
      <vt:lpstr>09,03 R1</vt:lpstr>
      <vt:lpstr>09,03 R2</vt:lpstr>
      <vt:lpstr>09,03 R3</vt:lpstr>
      <vt:lpstr>'(2)'!Print_Area</vt:lpstr>
      <vt:lpstr>'(3)'!Print_Area</vt:lpstr>
      <vt:lpstr>'(4)'!Print_Area</vt:lpstr>
      <vt:lpstr>'(5)'!Print_Area</vt:lpstr>
      <vt:lpstr>'(6)'!Print_Area</vt:lpstr>
      <vt:lpstr>'(7)'!Print_Area</vt:lpstr>
      <vt:lpstr>'(9)'!Print_Area</vt:lpstr>
      <vt:lpstr>'03,02 R1'!Print_Area</vt:lpstr>
      <vt:lpstr>'03,02 R2'!Print_Area</vt:lpstr>
      <vt:lpstr>'03,02 R3'!Print_Area</vt:lpstr>
      <vt:lpstr>'03,03 R1'!Print_Area</vt:lpstr>
      <vt:lpstr>'03,03 R2'!Print_Area</vt:lpstr>
      <vt:lpstr>'03,03 R3'!Print_Area</vt:lpstr>
      <vt:lpstr>'04,03 R1'!Print_Area</vt:lpstr>
      <vt:lpstr>'04,03 R2'!Print_Area</vt:lpstr>
      <vt:lpstr>'04,03 R3'!Print_Area</vt:lpstr>
      <vt:lpstr>'05,03 R1'!Print_Area</vt:lpstr>
      <vt:lpstr>'05,03 R2'!Print_Area</vt:lpstr>
      <vt:lpstr>'05,03 R3'!Print_Area</vt:lpstr>
      <vt:lpstr>'06,03 R1'!Print_Area</vt:lpstr>
      <vt:lpstr>'06,03 R2'!Print_Area</vt:lpstr>
      <vt:lpstr>'06,03 R3'!Print_Area</vt:lpstr>
      <vt:lpstr>'07,03 R1'!Print_Area</vt:lpstr>
      <vt:lpstr>'07,03 R2'!Print_Area</vt:lpstr>
      <vt:lpstr>'07,03 R3'!Print_Area</vt:lpstr>
      <vt:lpstr>'09,03 R1'!Print_Area</vt:lpstr>
      <vt:lpstr>'09,03 R2'!Print_Area</vt:lpstr>
      <vt:lpstr>'09,03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2026-02-23T01:25:52Z</cp:lastPrinted>
  <dcterms:created xsi:type="dcterms:W3CDTF">2024-09-01T23:36:50Z</dcterms:created>
  <dcterms:modified xsi:type="dcterms:W3CDTF">2026-02-23T07:10:32Z</dcterms:modified>
</cp:coreProperties>
</file>