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EB2AB7A2-9340-4543-B7B0-7E63FEB6CECC}" xr6:coauthVersionLast="45" xr6:coauthVersionMax="45" xr10:uidLastSave="{00000000-0000-0000-0000-000000000000}"/>
  <bookViews>
    <workbookView xWindow="-120" yWindow="-120" windowWidth="29040" windowHeight="15840" activeTab="11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  <sheet name="03,05" sheetId="94" r:id="rId6"/>
    <sheet name="03,06" sheetId="95" r:id="rId7"/>
    <sheet name="03,07" sheetId="96" r:id="rId8"/>
    <sheet name="03,09" sheetId="97" r:id="rId9"/>
    <sheet name="03,10" sheetId="98" r:id="rId10"/>
    <sheet name="03,11" sheetId="99" r:id="rId11"/>
    <sheet name="03,12" sheetId="100" r:id="rId12"/>
    <sheet name="03,13" sheetId="101" r:id="rId13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5">'03,05'!$A$1:$Y$61</definedName>
    <definedName name="_xlnm.Print_Area" localSheetId="6">'03,06'!$A$1:$Y$61</definedName>
    <definedName name="_xlnm.Print_Area" localSheetId="7">'03,07'!$A$1:$Y$61</definedName>
    <definedName name="_xlnm.Print_Area" localSheetId="8">'03,09'!$A$1:$Y$61</definedName>
    <definedName name="_xlnm.Print_Area" localSheetId="9">'03,10'!$A$1:$Y$61</definedName>
    <definedName name="_xlnm.Print_Area" localSheetId="10">'03,11'!$A$1:$Y$61</definedName>
    <definedName name="_xlnm.Print_Area" localSheetId="11">'03,12'!$A$1:$Y$61</definedName>
    <definedName name="_xlnm.Print_Area" localSheetId="12">'03,13'!$A$1:$Y$61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01" l="1"/>
  <c r="P60" i="101"/>
  <c r="O60" i="101"/>
  <c r="N60" i="101"/>
  <c r="M60" i="101"/>
  <c r="L60" i="101"/>
  <c r="H60" i="101"/>
  <c r="G60" i="101"/>
  <c r="E60" i="101"/>
  <c r="D60" i="101"/>
  <c r="C60" i="101"/>
  <c r="S59" i="101"/>
  <c r="R59" i="101"/>
  <c r="J59" i="101"/>
  <c r="I59" i="101"/>
  <c r="S58" i="101"/>
  <c r="R58" i="101"/>
  <c r="J58" i="101"/>
  <c r="I58" i="101"/>
  <c r="S57" i="101"/>
  <c r="R57" i="101"/>
  <c r="J57" i="101"/>
  <c r="I57" i="101"/>
  <c r="S56" i="101"/>
  <c r="R56" i="101"/>
  <c r="J56" i="101"/>
  <c r="I56" i="101"/>
  <c r="S55" i="101"/>
  <c r="R55" i="101"/>
  <c r="J55" i="101"/>
  <c r="I55" i="101"/>
  <c r="U54" i="101"/>
  <c r="V54" i="101" s="1"/>
  <c r="S54" i="101"/>
  <c r="R54" i="101"/>
  <c r="J54" i="101"/>
  <c r="W54" i="101" s="1"/>
  <c r="I54" i="101"/>
  <c r="U53" i="101"/>
  <c r="V53" i="101" s="1"/>
  <c r="S53" i="101"/>
  <c r="R53" i="101"/>
  <c r="J53" i="101"/>
  <c r="W53" i="101" s="1"/>
  <c r="I53" i="101"/>
  <c r="U52" i="101"/>
  <c r="V52" i="101" s="1"/>
  <c r="S52" i="101"/>
  <c r="R52" i="101"/>
  <c r="J52" i="101"/>
  <c r="W52" i="101" s="1"/>
  <c r="I52" i="101"/>
  <c r="U51" i="101"/>
  <c r="V51" i="101" s="1"/>
  <c r="S51" i="101"/>
  <c r="R51" i="101"/>
  <c r="J51" i="101"/>
  <c r="W51" i="101" s="1"/>
  <c r="I51" i="101"/>
  <c r="U50" i="101"/>
  <c r="V50" i="101" s="1"/>
  <c r="S50" i="101"/>
  <c r="R50" i="101"/>
  <c r="J50" i="101"/>
  <c r="W50" i="101" s="1"/>
  <c r="I50" i="101"/>
  <c r="U49" i="101"/>
  <c r="V49" i="101" s="1"/>
  <c r="S49" i="101"/>
  <c r="R49" i="101"/>
  <c r="J49" i="101"/>
  <c r="W49" i="101" s="1"/>
  <c r="I49" i="101"/>
  <c r="U48" i="101"/>
  <c r="V48" i="101" s="1"/>
  <c r="S48" i="101"/>
  <c r="R48" i="101"/>
  <c r="J48" i="101"/>
  <c r="W48" i="101" s="1"/>
  <c r="I48" i="101"/>
  <c r="U47" i="101"/>
  <c r="V47" i="101" s="1"/>
  <c r="S47" i="101"/>
  <c r="R47" i="101"/>
  <c r="J47" i="101"/>
  <c r="W47" i="101" s="1"/>
  <c r="I47" i="101"/>
  <c r="U46" i="101"/>
  <c r="V46" i="101" s="1"/>
  <c r="S46" i="101"/>
  <c r="R46" i="101"/>
  <c r="J46" i="101"/>
  <c r="W46" i="101" s="1"/>
  <c r="I46" i="101"/>
  <c r="S45" i="101"/>
  <c r="R45" i="101"/>
  <c r="R60" i="101" s="1"/>
  <c r="J45" i="101"/>
  <c r="I45" i="101"/>
  <c r="U44" i="101"/>
  <c r="V44" i="101" s="1"/>
  <c r="S44" i="101"/>
  <c r="R44" i="101"/>
  <c r="J44" i="101"/>
  <c r="I44" i="101"/>
  <c r="W44" i="101" s="1"/>
  <c r="S43" i="101"/>
  <c r="R43" i="101"/>
  <c r="J43" i="101"/>
  <c r="I43" i="101"/>
  <c r="W42" i="101"/>
  <c r="V42" i="101"/>
  <c r="U42" i="101"/>
  <c r="S42" i="101"/>
  <c r="R42" i="101"/>
  <c r="J42" i="101"/>
  <c r="I42" i="101"/>
  <c r="W41" i="101"/>
  <c r="U41" i="101"/>
  <c r="V41" i="101" s="1"/>
  <c r="S41" i="101"/>
  <c r="R41" i="101"/>
  <c r="J41" i="101"/>
  <c r="I41" i="101"/>
  <c r="W40" i="101"/>
  <c r="V40" i="101"/>
  <c r="U40" i="101"/>
  <c r="S40" i="101"/>
  <c r="R40" i="101"/>
  <c r="J40" i="101"/>
  <c r="I40" i="101"/>
  <c r="W39" i="101"/>
  <c r="U39" i="101"/>
  <c r="V39" i="101" s="1"/>
  <c r="S39" i="101"/>
  <c r="R39" i="101"/>
  <c r="J39" i="101"/>
  <c r="I39" i="101"/>
  <c r="W38" i="101"/>
  <c r="V38" i="101"/>
  <c r="U38" i="101"/>
  <c r="S38" i="101"/>
  <c r="R38" i="101"/>
  <c r="J38" i="101"/>
  <c r="I38" i="101"/>
  <c r="W37" i="101"/>
  <c r="U37" i="101"/>
  <c r="V37" i="101" s="1"/>
  <c r="S37" i="101"/>
  <c r="R37" i="101"/>
  <c r="J37" i="101"/>
  <c r="I37" i="101"/>
  <c r="W36" i="101"/>
  <c r="V36" i="101"/>
  <c r="U36" i="101"/>
  <c r="S36" i="101"/>
  <c r="R36" i="101"/>
  <c r="J36" i="101"/>
  <c r="I36" i="101"/>
  <c r="W35" i="101"/>
  <c r="U35" i="101"/>
  <c r="V35" i="101" s="1"/>
  <c r="S35" i="101"/>
  <c r="R35" i="101"/>
  <c r="J35" i="101"/>
  <c r="I35" i="101"/>
  <c r="W34" i="101"/>
  <c r="V34" i="101"/>
  <c r="U34" i="101"/>
  <c r="S34" i="101"/>
  <c r="R34" i="101"/>
  <c r="J34" i="101"/>
  <c r="I34" i="101"/>
  <c r="W33" i="101"/>
  <c r="U33" i="101"/>
  <c r="V33" i="101" s="1"/>
  <c r="S33" i="101"/>
  <c r="R33" i="101"/>
  <c r="J33" i="101"/>
  <c r="I33" i="101"/>
  <c r="W32" i="101"/>
  <c r="V32" i="101"/>
  <c r="U32" i="101"/>
  <c r="S32" i="101"/>
  <c r="R32" i="101"/>
  <c r="J32" i="101"/>
  <c r="I32" i="101"/>
  <c r="W31" i="101"/>
  <c r="U31" i="101"/>
  <c r="V31" i="101" s="1"/>
  <c r="S31" i="101"/>
  <c r="R31" i="101"/>
  <c r="J31" i="101"/>
  <c r="I31" i="101"/>
  <c r="W30" i="101"/>
  <c r="V30" i="101"/>
  <c r="U30" i="101"/>
  <c r="S30" i="101"/>
  <c r="R30" i="101"/>
  <c r="J30" i="101"/>
  <c r="I30" i="101"/>
  <c r="W29" i="101"/>
  <c r="U29" i="101"/>
  <c r="V29" i="101" s="1"/>
  <c r="S29" i="101"/>
  <c r="R29" i="101"/>
  <c r="J29" i="101"/>
  <c r="I29" i="101"/>
  <c r="W28" i="101"/>
  <c r="V28" i="101"/>
  <c r="U28" i="101"/>
  <c r="S28" i="101"/>
  <c r="R28" i="101"/>
  <c r="J28" i="101"/>
  <c r="I28" i="101"/>
  <c r="W27" i="101"/>
  <c r="U27" i="101"/>
  <c r="V27" i="101" s="1"/>
  <c r="S27" i="101"/>
  <c r="S60" i="101" s="1"/>
  <c r="R27" i="101"/>
  <c r="J27" i="101"/>
  <c r="I27" i="101"/>
  <c r="BE26" i="101"/>
  <c r="W26" i="101"/>
  <c r="U26" i="101"/>
  <c r="V26" i="101" s="1"/>
  <c r="S26" i="101"/>
  <c r="R26" i="101"/>
  <c r="J26" i="101"/>
  <c r="I26" i="101"/>
  <c r="W25" i="101"/>
  <c r="V25" i="101"/>
  <c r="U25" i="101"/>
  <c r="S25" i="101"/>
  <c r="R25" i="101"/>
  <c r="J25" i="101"/>
  <c r="I25" i="101"/>
  <c r="W24" i="101"/>
  <c r="U24" i="101"/>
  <c r="V24" i="101" s="1"/>
  <c r="S24" i="101"/>
  <c r="R24" i="101"/>
  <c r="J24" i="101"/>
  <c r="I24" i="101"/>
  <c r="W23" i="101"/>
  <c r="V23" i="101"/>
  <c r="U23" i="101"/>
  <c r="S23" i="101"/>
  <c r="R23" i="101"/>
  <c r="J23" i="101"/>
  <c r="I23" i="101"/>
  <c r="W22" i="101"/>
  <c r="U22" i="101"/>
  <c r="V22" i="101" s="1"/>
  <c r="S22" i="101"/>
  <c r="R22" i="101"/>
  <c r="J22" i="101"/>
  <c r="I22" i="101"/>
  <c r="W21" i="101"/>
  <c r="V21" i="101"/>
  <c r="U21" i="101"/>
  <c r="S21" i="101"/>
  <c r="R21" i="101"/>
  <c r="J21" i="101"/>
  <c r="I21" i="101"/>
  <c r="W20" i="101"/>
  <c r="U20" i="101"/>
  <c r="V20" i="101" s="1"/>
  <c r="S20" i="101"/>
  <c r="R20" i="101"/>
  <c r="J20" i="101"/>
  <c r="I20" i="101"/>
  <c r="W19" i="101"/>
  <c r="V19" i="101"/>
  <c r="U19" i="101"/>
  <c r="S19" i="101"/>
  <c r="R19" i="101"/>
  <c r="J19" i="101"/>
  <c r="I19" i="101"/>
  <c r="W18" i="101"/>
  <c r="U18" i="101"/>
  <c r="V18" i="101" s="1"/>
  <c r="S18" i="101"/>
  <c r="R18" i="101"/>
  <c r="J18" i="101"/>
  <c r="I18" i="101"/>
  <c r="W17" i="101"/>
  <c r="V17" i="101"/>
  <c r="U17" i="101"/>
  <c r="S17" i="101"/>
  <c r="R17" i="101"/>
  <c r="J17" i="101"/>
  <c r="I17" i="101"/>
  <c r="W16" i="101"/>
  <c r="U16" i="101"/>
  <c r="V16" i="101" s="1"/>
  <c r="S16" i="101"/>
  <c r="R16" i="101"/>
  <c r="J16" i="101"/>
  <c r="I16" i="101"/>
  <c r="W15" i="101"/>
  <c r="V15" i="101"/>
  <c r="U15" i="101"/>
  <c r="S15" i="101"/>
  <c r="R15" i="101"/>
  <c r="J15" i="101"/>
  <c r="I15" i="101"/>
  <c r="W14" i="101"/>
  <c r="U14" i="101"/>
  <c r="V14" i="101" s="1"/>
  <c r="S14" i="101"/>
  <c r="R14" i="101"/>
  <c r="J14" i="101"/>
  <c r="I14" i="101"/>
  <c r="W13" i="101"/>
  <c r="V13" i="101"/>
  <c r="U13" i="101"/>
  <c r="S13" i="101"/>
  <c r="R13" i="101"/>
  <c r="J13" i="101"/>
  <c r="I13" i="101"/>
  <c r="W12" i="101"/>
  <c r="U12" i="101"/>
  <c r="V12" i="101" s="1"/>
  <c r="S12" i="101"/>
  <c r="R12" i="101"/>
  <c r="J12" i="101"/>
  <c r="I12" i="101"/>
  <c r="W11" i="101"/>
  <c r="V11" i="101"/>
  <c r="U11" i="101"/>
  <c r="S11" i="101"/>
  <c r="R11" i="101"/>
  <c r="J11" i="101"/>
  <c r="I11" i="101"/>
  <c r="W10" i="101"/>
  <c r="U10" i="101"/>
  <c r="V10" i="101" s="1"/>
  <c r="S10" i="101"/>
  <c r="R10" i="101"/>
  <c r="J10" i="101"/>
  <c r="I10" i="101"/>
  <c r="W9" i="101"/>
  <c r="V9" i="101"/>
  <c r="U9" i="101"/>
  <c r="S9" i="101"/>
  <c r="R9" i="101"/>
  <c r="J9" i="101"/>
  <c r="I9" i="101"/>
  <c r="A9" i="101"/>
  <c r="A10" i="101" s="1"/>
  <c r="A11" i="101" s="1"/>
  <c r="A12" i="101" s="1"/>
  <c r="A13" i="101" s="1"/>
  <c r="A14" i="101" s="1"/>
  <c r="A15" i="101" s="1"/>
  <c r="A16" i="101" s="1"/>
  <c r="A17" i="101" s="1"/>
  <c r="A18" i="101" s="1"/>
  <c r="A19" i="101" s="1"/>
  <c r="A20" i="101" s="1"/>
  <c r="A21" i="101" s="1"/>
  <c r="A22" i="101" s="1"/>
  <c r="A23" i="101" s="1"/>
  <c r="A24" i="101" s="1"/>
  <c r="A25" i="101" s="1"/>
  <c r="A26" i="101" s="1"/>
  <c r="A27" i="101" s="1"/>
  <c r="A28" i="101" s="1"/>
  <c r="A29" i="101" s="1"/>
  <c r="A30" i="101" s="1"/>
  <c r="A31" i="101" s="1"/>
  <c r="A32" i="101" s="1"/>
  <c r="A33" i="101" s="1"/>
  <c r="A34" i="101" s="1"/>
  <c r="A35" i="101" s="1"/>
  <c r="A36" i="101" s="1"/>
  <c r="A37" i="101" s="1"/>
  <c r="A38" i="101" s="1"/>
  <c r="A39" i="101" s="1"/>
  <c r="A40" i="101" s="1"/>
  <c r="A41" i="101" s="1"/>
  <c r="A42" i="101" s="1"/>
  <c r="A43" i="101" s="1"/>
  <c r="A44" i="101" s="1"/>
  <c r="A45" i="101" s="1"/>
  <c r="A46" i="101" s="1"/>
  <c r="A47" i="101" s="1"/>
  <c r="A48" i="101" s="1"/>
  <c r="A49" i="101" s="1"/>
  <c r="A50" i="101" s="1"/>
  <c r="A51" i="101" s="1"/>
  <c r="A52" i="101" s="1"/>
  <c r="A53" i="101" s="1"/>
  <c r="A54" i="101" s="1"/>
  <c r="A55" i="101" s="1"/>
  <c r="A56" i="101" s="1"/>
  <c r="A57" i="101" s="1"/>
  <c r="A58" i="101" s="1"/>
  <c r="A59" i="101" s="1"/>
  <c r="W8" i="101"/>
  <c r="U8" i="101"/>
  <c r="U60" i="101" s="1"/>
  <c r="S8" i="101"/>
  <c r="R8" i="101"/>
  <c r="J8" i="101"/>
  <c r="J60" i="101" s="1"/>
  <c r="I8" i="101"/>
  <c r="I60" i="101" s="1"/>
  <c r="Q60" i="100"/>
  <c r="P60" i="100"/>
  <c r="O60" i="100"/>
  <c r="N60" i="100"/>
  <c r="M60" i="100"/>
  <c r="L60" i="100"/>
  <c r="H60" i="100"/>
  <c r="G60" i="100"/>
  <c r="E60" i="100"/>
  <c r="D60" i="100"/>
  <c r="C60" i="100"/>
  <c r="S59" i="100"/>
  <c r="R59" i="100"/>
  <c r="J59" i="100"/>
  <c r="I59" i="100"/>
  <c r="S58" i="100"/>
  <c r="R58" i="100"/>
  <c r="J58" i="100"/>
  <c r="I58" i="100"/>
  <c r="S57" i="100"/>
  <c r="R57" i="100"/>
  <c r="J57" i="100"/>
  <c r="I57" i="100"/>
  <c r="S56" i="100"/>
  <c r="R56" i="100"/>
  <c r="J56" i="100"/>
  <c r="I56" i="100"/>
  <c r="S55" i="100"/>
  <c r="R55" i="100"/>
  <c r="J55" i="100"/>
  <c r="I55" i="100"/>
  <c r="W54" i="100"/>
  <c r="U54" i="100"/>
  <c r="V54" i="100" s="1"/>
  <c r="S54" i="100"/>
  <c r="R54" i="100"/>
  <c r="J54" i="100"/>
  <c r="I54" i="100"/>
  <c r="U53" i="100"/>
  <c r="V53" i="100" s="1"/>
  <c r="S53" i="100"/>
  <c r="R53" i="100"/>
  <c r="J53" i="100"/>
  <c r="I53" i="100"/>
  <c r="W53" i="100" s="1"/>
  <c r="W52" i="100"/>
  <c r="U52" i="100"/>
  <c r="V52" i="100" s="1"/>
  <c r="S52" i="100"/>
  <c r="R52" i="100"/>
  <c r="J52" i="100"/>
  <c r="I52" i="100"/>
  <c r="U51" i="100"/>
  <c r="V51" i="100" s="1"/>
  <c r="S51" i="100"/>
  <c r="R51" i="100"/>
  <c r="J51" i="100"/>
  <c r="I51" i="100"/>
  <c r="W51" i="100" s="1"/>
  <c r="W50" i="100"/>
  <c r="U50" i="100"/>
  <c r="V50" i="100" s="1"/>
  <c r="S50" i="100"/>
  <c r="R50" i="100"/>
  <c r="J50" i="100"/>
  <c r="I50" i="100"/>
  <c r="U49" i="100"/>
  <c r="V49" i="100" s="1"/>
  <c r="S49" i="100"/>
  <c r="R49" i="100"/>
  <c r="J49" i="100"/>
  <c r="I49" i="100"/>
  <c r="W49" i="100" s="1"/>
  <c r="W48" i="100"/>
  <c r="U48" i="100"/>
  <c r="V48" i="100" s="1"/>
  <c r="S48" i="100"/>
  <c r="R48" i="100"/>
  <c r="J48" i="100"/>
  <c r="I48" i="100"/>
  <c r="W47" i="100"/>
  <c r="U47" i="100"/>
  <c r="V47" i="100" s="1"/>
  <c r="S47" i="100"/>
  <c r="R47" i="100"/>
  <c r="J47" i="100"/>
  <c r="I47" i="100"/>
  <c r="W46" i="100"/>
  <c r="U46" i="100"/>
  <c r="V46" i="100" s="1"/>
  <c r="S46" i="100"/>
  <c r="R46" i="100"/>
  <c r="J46" i="100"/>
  <c r="I46" i="100"/>
  <c r="S45" i="100"/>
  <c r="R45" i="100"/>
  <c r="J45" i="100"/>
  <c r="I45" i="100"/>
  <c r="U44" i="100"/>
  <c r="V44" i="100" s="1"/>
  <c r="S44" i="100"/>
  <c r="R44" i="100"/>
  <c r="J44" i="100"/>
  <c r="I44" i="100"/>
  <c r="W44" i="100" s="1"/>
  <c r="S43" i="100"/>
  <c r="R43" i="100"/>
  <c r="J43" i="100"/>
  <c r="I43" i="100"/>
  <c r="V42" i="100"/>
  <c r="U42" i="100"/>
  <c r="S42" i="100"/>
  <c r="R42" i="100"/>
  <c r="J42" i="100"/>
  <c r="I42" i="100"/>
  <c r="W42" i="100" s="1"/>
  <c r="W41" i="100"/>
  <c r="U41" i="100"/>
  <c r="V41" i="100" s="1"/>
  <c r="S41" i="100"/>
  <c r="R41" i="100"/>
  <c r="J41" i="100"/>
  <c r="I41" i="100"/>
  <c r="V40" i="100"/>
  <c r="U40" i="100"/>
  <c r="S40" i="100"/>
  <c r="R40" i="100"/>
  <c r="J40" i="100"/>
  <c r="I40" i="100"/>
  <c r="W40" i="100" s="1"/>
  <c r="W39" i="100"/>
  <c r="U39" i="100"/>
  <c r="V39" i="100" s="1"/>
  <c r="S39" i="100"/>
  <c r="R39" i="100"/>
  <c r="J39" i="100"/>
  <c r="I39" i="100"/>
  <c r="U38" i="100"/>
  <c r="V38" i="100" s="1"/>
  <c r="S38" i="100"/>
  <c r="R38" i="100"/>
  <c r="J38" i="100"/>
  <c r="I38" i="100"/>
  <c r="W38" i="100" s="1"/>
  <c r="W37" i="100"/>
  <c r="U37" i="100"/>
  <c r="V37" i="100" s="1"/>
  <c r="S37" i="100"/>
  <c r="R37" i="100"/>
  <c r="J37" i="100"/>
  <c r="I37" i="100"/>
  <c r="U36" i="100"/>
  <c r="V36" i="100" s="1"/>
  <c r="S36" i="100"/>
  <c r="R36" i="100"/>
  <c r="J36" i="100"/>
  <c r="I36" i="100"/>
  <c r="W36" i="100" s="1"/>
  <c r="W35" i="100"/>
  <c r="U35" i="100"/>
  <c r="V35" i="100" s="1"/>
  <c r="S35" i="100"/>
  <c r="R35" i="100"/>
  <c r="J35" i="100"/>
  <c r="I35" i="100"/>
  <c r="U34" i="100"/>
  <c r="V34" i="100" s="1"/>
  <c r="S34" i="100"/>
  <c r="R34" i="100"/>
  <c r="J34" i="100"/>
  <c r="I34" i="100"/>
  <c r="W34" i="100" s="1"/>
  <c r="W33" i="100"/>
  <c r="U33" i="100"/>
  <c r="V33" i="100" s="1"/>
  <c r="S33" i="100"/>
  <c r="R33" i="100"/>
  <c r="J33" i="100"/>
  <c r="I33" i="100"/>
  <c r="U32" i="100"/>
  <c r="V32" i="100" s="1"/>
  <c r="S32" i="100"/>
  <c r="R32" i="100"/>
  <c r="J32" i="100"/>
  <c r="I32" i="100"/>
  <c r="W32" i="100" s="1"/>
  <c r="W31" i="100"/>
  <c r="U31" i="100"/>
  <c r="V31" i="100" s="1"/>
  <c r="S31" i="100"/>
  <c r="R31" i="100"/>
  <c r="J31" i="100"/>
  <c r="I31" i="100"/>
  <c r="U30" i="100"/>
  <c r="V30" i="100" s="1"/>
  <c r="S30" i="100"/>
  <c r="R30" i="100"/>
  <c r="J30" i="100"/>
  <c r="I30" i="100"/>
  <c r="W30" i="100" s="1"/>
  <c r="W29" i="100"/>
  <c r="U29" i="100"/>
  <c r="V29" i="100" s="1"/>
  <c r="S29" i="100"/>
  <c r="R29" i="100"/>
  <c r="J29" i="100"/>
  <c r="I29" i="100"/>
  <c r="U28" i="100"/>
  <c r="V28" i="100" s="1"/>
  <c r="S28" i="100"/>
  <c r="R28" i="100"/>
  <c r="J28" i="100"/>
  <c r="I28" i="100"/>
  <c r="W28" i="100" s="1"/>
  <c r="W27" i="100"/>
  <c r="U27" i="100"/>
  <c r="V27" i="100" s="1"/>
  <c r="S27" i="100"/>
  <c r="R27" i="100"/>
  <c r="J27" i="100"/>
  <c r="I27" i="100"/>
  <c r="BE26" i="100"/>
  <c r="V26" i="100"/>
  <c r="U26" i="100"/>
  <c r="S26" i="100"/>
  <c r="R26" i="100"/>
  <c r="J26" i="100"/>
  <c r="I26" i="100"/>
  <c r="W26" i="100" s="1"/>
  <c r="V25" i="100"/>
  <c r="U25" i="100"/>
  <c r="S25" i="100"/>
  <c r="R25" i="100"/>
  <c r="J25" i="100"/>
  <c r="W25" i="100" s="1"/>
  <c r="I25" i="100"/>
  <c r="V24" i="100"/>
  <c r="U24" i="100"/>
  <c r="S24" i="100"/>
  <c r="R24" i="100"/>
  <c r="J24" i="100"/>
  <c r="I24" i="100"/>
  <c r="W24" i="100" s="1"/>
  <c r="V23" i="100"/>
  <c r="U23" i="100"/>
  <c r="S23" i="100"/>
  <c r="R23" i="100"/>
  <c r="J23" i="100"/>
  <c r="W23" i="100" s="1"/>
  <c r="I23" i="100"/>
  <c r="V22" i="100"/>
  <c r="U22" i="100"/>
  <c r="S22" i="100"/>
  <c r="R22" i="100"/>
  <c r="J22" i="100"/>
  <c r="I22" i="100"/>
  <c r="W22" i="100" s="1"/>
  <c r="V21" i="100"/>
  <c r="U21" i="100"/>
  <c r="S21" i="100"/>
  <c r="R21" i="100"/>
  <c r="J21" i="100"/>
  <c r="W21" i="100" s="1"/>
  <c r="I21" i="100"/>
  <c r="V20" i="100"/>
  <c r="U20" i="100"/>
  <c r="S20" i="100"/>
  <c r="R20" i="100"/>
  <c r="J20" i="100"/>
  <c r="I20" i="100"/>
  <c r="W20" i="100" s="1"/>
  <c r="V19" i="100"/>
  <c r="U19" i="100"/>
  <c r="S19" i="100"/>
  <c r="R19" i="100"/>
  <c r="J19" i="100"/>
  <c r="W19" i="100" s="1"/>
  <c r="I19" i="100"/>
  <c r="V18" i="100"/>
  <c r="U18" i="100"/>
  <c r="S18" i="100"/>
  <c r="R18" i="100"/>
  <c r="J18" i="100"/>
  <c r="I18" i="100"/>
  <c r="W18" i="100" s="1"/>
  <c r="V17" i="100"/>
  <c r="U17" i="100"/>
  <c r="S17" i="100"/>
  <c r="R17" i="100"/>
  <c r="J17" i="100"/>
  <c r="W17" i="100" s="1"/>
  <c r="I17" i="100"/>
  <c r="V16" i="100"/>
  <c r="U16" i="100"/>
  <c r="S16" i="100"/>
  <c r="R16" i="100"/>
  <c r="J16" i="100"/>
  <c r="I16" i="100"/>
  <c r="W16" i="100" s="1"/>
  <c r="V15" i="100"/>
  <c r="U15" i="100"/>
  <c r="S15" i="100"/>
  <c r="R15" i="100"/>
  <c r="J15" i="100"/>
  <c r="W15" i="100" s="1"/>
  <c r="I15" i="100"/>
  <c r="U14" i="100"/>
  <c r="V14" i="100" s="1"/>
  <c r="S14" i="100"/>
  <c r="R14" i="100"/>
  <c r="J14" i="100"/>
  <c r="I14" i="100"/>
  <c r="W14" i="100" s="1"/>
  <c r="V13" i="100"/>
  <c r="U13" i="100"/>
  <c r="S13" i="100"/>
  <c r="R13" i="100"/>
  <c r="J13" i="100"/>
  <c r="W13" i="100" s="1"/>
  <c r="I13" i="100"/>
  <c r="V12" i="100"/>
  <c r="U12" i="100"/>
  <c r="S12" i="100"/>
  <c r="R12" i="100"/>
  <c r="J12" i="100"/>
  <c r="I12" i="100"/>
  <c r="W12" i="100" s="1"/>
  <c r="V11" i="100"/>
  <c r="U11" i="100"/>
  <c r="S11" i="100"/>
  <c r="R11" i="100"/>
  <c r="J11" i="100"/>
  <c r="W11" i="100" s="1"/>
  <c r="I11" i="100"/>
  <c r="U10" i="100"/>
  <c r="V10" i="100" s="1"/>
  <c r="S10" i="100"/>
  <c r="R10" i="100"/>
  <c r="J10" i="100"/>
  <c r="I10" i="100"/>
  <c r="W10" i="100" s="1"/>
  <c r="A10" i="100"/>
  <c r="A11" i="100" s="1"/>
  <c r="A12" i="100" s="1"/>
  <c r="A13" i="100" s="1"/>
  <c r="A14" i="100" s="1"/>
  <c r="A15" i="100" s="1"/>
  <c r="A16" i="100" s="1"/>
  <c r="A17" i="100" s="1"/>
  <c r="A18" i="100" s="1"/>
  <c r="A19" i="100" s="1"/>
  <c r="A20" i="100" s="1"/>
  <c r="A21" i="100" s="1"/>
  <c r="A22" i="100" s="1"/>
  <c r="A23" i="100" s="1"/>
  <c r="A24" i="100" s="1"/>
  <c r="A25" i="100" s="1"/>
  <c r="A26" i="100" s="1"/>
  <c r="A27" i="100" s="1"/>
  <c r="A28" i="100" s="1"/>
  <c r="A29" i="100" s="1"/>
  <c r="A30" i="100" s="1"/>
  <c r="A31" i="100" s="1"/>
  <c r="A32" i="100" s="1"/>
  <c r="A33" i="100" s="1"/>
  <c r="A34" i="100" s="1"/>
  <c r="A35" i="100" s="1"/>
  <c r="A36" i="100" s="1"/>
  <c r="A37" i="100" s="1"/>
  <c r="A38" i="100" s="1"/>
  <c r="A39" i="100" s="1"/>
  <c r="A40" i="100" s="1"/>
  <c r="A41" i="100" s="1"/>
  <c r="A42" i="100" s="1"/>
  <c r="A43" i="100" s="1"/>
  <c r="A44" i="100" s="1"/>
  <c r="A45" i="100" s="1"/>
  <c r="A46" i="100" s="1"/>
  <c r="A47" i="100" s="1"/>
  <c r="A48" i="100" s="1"/>
  <c r="A49" i="100" s="1"/>
  <c r="A50" i="100" s="1"/>
  <c r="A51" i="100" s="1"/>
  <c r="A52" i="100" s="1"/>
  <c r="A53" i="100" s="1"/>
  <c r="A54" i="100" s="1"/>
  <c r="A55" i="100" s="1"/>
  <c r="A56" i="100" s="1"/>
  <c r="A57" i="100" s="1"/>
  <c r="A58" i="100" s="1"/>
  <c r="A59" i="100" s="1"/>
  <c r="V9" i="100"/>
  <c r="U9" i="100"/>
  <c r="S9" i="100"/>
  <c r="R9" i="100"/>
  <c r="J9" i="100"/>
  <c r="W9" i="100" s="1"/>
  <c r="I9" i="100"/>
  <c r="A9" i="100"/>
  <c r="U8" i="100"/>
  <c r="U60" i="100" s="1"/>
  <c r="S8" i="100"/>
  <c r="S60" i="100" s="1"/>
  <c r="R8" i="100"/>
  <c r="R60" i="100" s="1"/>
  <c r="J8" i="100"/>
  <c r="J60" i="100" s="1"/>
  <c r="I8" i="100"/>
  <c r="W8" i="100" s="1"/>
  <c r="Q60" i="99"/>
  <c r="P60" i="99"/>
  <c r="O60" i="99"/>
  <c r="N60" i="99"/>
  <c r="M60" i="99"/>
  <c r="L60" i="99"/>
  <c r="H60" i="99"/>
  <c r="G60" i="99"/>
  <c r="E60" i="99"/>
  <c r="D60" i="99"/>
  <c r="C60" i="99"/>
  <c r="S59" i="99"/>
  <c r="R59" i="99"/>
  <c r="J59" i="99"/>
  <c r="I59" i="99"/>
  <c r="S58" i="99"/>
  <c r="R58" i="99"/>
  <c r="J58" i="99"/>
  <c r="I58" i="99"/>
  <c r="S57" i="99"/>
  <c r="R57" i="99"/>
  <c r="J57" i="99"/>
  <c r="I57" i="99"/>
  <c r="S56" i="99"/>
  <c r="R56" i="99"/>
  <c r="J56" i="99"/>
  <c r="I56" i="99"/>
  <c r="S55" i="99"/>
  <c r="R55" i="99"/>
  <c r="J55" i="99"/>
  <c r="I55" i="99"/>
  <c r="U54" i="99"/>
  <c r="V54" i="99" s="1"/>
  <c r="S54" i="99"/>
  <c r="R54" i="99"/>
  <c r="J54" i="99"/>
  <c r="I54" i="99"/>
  <c r="W54" i="99" s="1"/>
  <c r="W53" i="99"/>
  <c r="U53" i="99"/>
  <c r="V53" i="99" s="1"/>
  <c r="S53" i="99"/>
  <c r="R53" i="99"/>
  <c r="J53" i="99"/>
  <c r="I53" i="99"/>
  <c r="U52" i="99"/>
  <c r="V52" i="99" s="1"/>
  <c r="S52" i="99"/>
  <c r="R52" i="99"/>
  <c r="J52" i="99"/>
  <c r="I52" i="99"/>
  <c r="W52" i="99" s="1"/>
  <c r="W51" i="99"/>
  <c r="U51" i="99"/>
  <c r="V51" i="99" s="1"/>
  <c r="S51" i="99"/>
  <c r="R51" i="99"/>
  <c r="J51" i="99"/>
  <c r="I51" i="99"/>
  <c r="U50" i="99"/>
  <c r="V50" i="99" s="1"/>
  <c r="S50" i="99"/>
  <c r="R50" i="99"/>
  <c r="J50" i="99"/>
  <c r="I50" i="99"/>
  <c r="W50" i="99" s="1"/>
  <c r="U49" i="99"/>
  <c r="V49" i="99" s="1"/>
  <c r="S49" i="99"/>
  <c r="R49" i="99"/>
  <c r="J49" i="99"/>
  <c r="I49" i="99"/>
  <c r="W49" i="99" s="1"/>
  <c r="U48" i="99"/>
  <c r="V48" i="99" s="1"/>
  <c r="S48" i="99"/>
  <c r="R48" i="99"/>
  <c r="J48" i="99"/>
  <c r="I48" i="99"/>
  <c r="W48" i="99" s="1"/>
  <c r="W47" i="99"/>
  <c r="U47" i="99"/>
  <c r="V47" i="99" s="1"/>
  <c r="S47" i="99"/>
  <c r="R47" i="99"/>
  <c r="J47" i="99"/>
  <c r="I47" i="99"/>
  <c r="U46" i="99"/>
  <c r="V46" i="99" s="1"/>
  <c r="S46" i="99"/>
  <c r="R46" i="99"/>
  <c r="J46" i="99"/>
  <c r="I46" i="99"/>
  <c r="W46" i="99" s="1"/>
  <c r="S45" i="99"/>
  <c r="R45" i="99"/>
  <c r="J45" i="99"/>
  <c r="I45" i="99"/>
  <c r="U44" i="99"/>
  <c r="V44" i="99" s="1"/>
  <c r="S44" i="99"/>
  <c r="R44" i="99"/>
  <c r="J44" i="99"/>
  <c r="I44" i="99"/>
  <c r="W44" i="99" s="1"/>
  <c r="S43" i="99"/>
  <c r="R43" i="99"/>
  <c r="J43" i="99"/>
  <c r="I43" i="99"/>
  <c r="U42" i="99"/>
  <c r="V42" i="99" s="1"/>
  <c r="S42" i="99"/>
  <c r="R42" i="99"/>
  <c r="J42" i="99"/>
  <c r="I42" i="99"/>
  <c r="U41" i="99"/>
  <c r="V41" i="99" s="1"/>
  <c r="S41" i="99"/>
  <c r="R41" i="99"/>
  <c r="J41" i="99"/>
  <c r="I41" i="99"/>
  <c r="W41" i="99" s="1"/>
  <c r="U40" i="99"/>
  <c r="V40" i="99" s="1"/>
  <c r="S40" i="99"/>
  <c r="R40" i="99"/>
  <c r="J40" i="99"/>
  <c r="W40" i="99" s="1"/>
  <c r="I40" i="99"/>
  <c r="U39" i="99"/>
  <c r="V39" i="99" s="1"/>
  <c r="S39" i="99"/>
  <c r="R39" i="99"/>
  <c r="J39" i="99"/>
  <c r="I39" i="99"/>
  <c r="W39" i="99" s="1"/>
  <c r="U38" i="99"/>
  <c r="V38" i="99" s="1"/>
  <c r="S38" i="99"/>
  <c r="R38" i="99"/>
  <c r="J38" i="99"/>
  <c r="I38" i="99"/>
  <c r="U37" i="99"/>
  <c r="V37" i="99" s="1"/>
  <c r="S37" i="99"/>
  <c r="R37" i="99"/>
  <c r="J37" i="99"/>
  <c r="I37" i="99"/>
  <c r="W37" i="99" s="1"/>
  <c r="U36" i="99"/>
  <c r="V36" i="99" s="1"/>
  <c r="S36" i="99"/>
  <c r="R36" i="99"/>
  <c r="J36" i="99"/>
  <c r="W36" i="99" s="1"/>
  <c r="I36" i="99"/>
  <c r="U35" i="99"/>
  <c r="V35" i="99" s="1"/>
  <c r="S35" i="99"/>
  <c r="R35" i="99"/>
  <c r="J35" i="99"/>
  <c r="I35" i="99"/>
  <c r="W35" i="99" s="1"/>
  <c r="U34" i="99"/>
  <c r="V34" i="99" s="1"/>
  <c r="S34" i="99"/>
  <c r="R34" i="99"/>
  <c r="J34" i="99"/>
  <c r="W34" i="99" s="1"/>
  <c r="I34" i="99"/>
  <c r="U33" i="99"/>
  <c r="V33" i="99" s="1"/>
  <c r="S33" i="99"/>
  <c r="R33" i="99"/>
  <c r="J33" i="99"/>
  <c r="I33" i="99"/>
  <c r="W33" i="99" s="1"/>
  <c r="U32" i="99"/>
  <c r="V32" i="99" s="1"/>
  <c r="S32" i="99"/>
  <c r="R32" i="99"/>
  <c r="J32" i="99"/>
  <c r="W32" i="99" s="1"/>
  <c r="I32" i="99"/>
  <c r="U31" i="99"/>
  <c r="V31" i="99" s="1"/>
  <c r="S31" i="99"/>
  <c r="R31" i="99"/>
  <c r="J31" i="99"/>
  <c r="I31" i="99"/>
  <c r="W31" i="99" s="1"/>
  <c r="U30" i="99"/>
  <c r="V30" i="99" s="1"/>
  <c r="S30" i="99"/>
  <c r="R30" i="99"/>
  <c r="J30" i="99"/>
  <c r="I30" i="99"/>
  <c r="U29" i="99"/>
  <c r="V29" i="99" s="1"/>
  <c r="S29" i="99"/>
  <c r="R29" i="99"/>
  <c r="J29" i="99"/>
  <c r="I29" i="99"/>
  <c r="W29" i="99" s="1"/>
  <c r="U28" i="99"/>
  <c r="V28" i="99" s="1"/>
  <c r="S28" i="99"/>
  <c r="R28" i="99"/>
  <c r="J28" i="99"/>
  <c r="W28" i="99" s="1"/>
  <c r="I28" i="99"/>
  <c r="U27" i="99"/>
  <c r="S27" i="99"/>
  <c r="R27" i="99"/>
  <c r="J27" i="99"/>
  <c r="I27" i="99"/>
  <c r="W27" i="99" s="1"/>
  <c r="BE26" i="99"/>
  <c r="V26" i="99"/>
  <c r="U26" i="99"/>
  <c r="S26" i="99"/>
  <c r="R26" i="99"/>
  <c r="J26" i="99"/>
  <c r="I26" i="99"/>
  <c r="V25" i="99"/>
  <c r="U25" i="99"/>
  <c r="S25" i="99"/>
  <c r="R25" i="99"/>
  <c r="J25" i="99"/>
  <c r="I25" i="99"/>
  <c r="W25" i="99" s="1"/>
  <c r="V24" i="99"/>
  <c r="U24" i="99"/>
  <c r="S24" i="99"/>
  <c r="R24" i="99"/>
  <c r="J24" i="99"/>
  <c r="I24" i="99"/>
  <c r="V23" i="99"/>
  <c r="U23" i="99"/>
  <c r="S23" i="99"/>
  <c r="R23" i="99"/>
  <c r="J23" i="99"/>
  <c r="I23" i="99"/>
  <c r="W23" i="99" s="1"/>
  <c r="V22" i="99"/>
  <c r="U22" i="99"/>
  <c r="S22" i="99"/>
  <c r="R22" i="99"/>
  <c r="J22" i="99"/>
  <c r="I22" i="99"/>
  <c r="W22" i="99" s="1"/>
  <c r="V21" i="99"/>
  <c r="U21" i="99"/>
  <c r="S21" i="99"/>
  <c r="R21" i="99"/>
  <c r="J21" i="99"/>
  <c r="I21" i="99"/>
  <c r="W21" i="99" s="1"/>
  <c r="V20" i="99"/>
  <c r="U20" i="99"/>
  <c r="S20" i="99"/>
  <c r="R20" i="99"/>
  <c r="J20" i="99"/>
  <c r="I20" i="99"/>
  <c r="W20" i="99" s="1"/>
  <c r="V19" i="99"/>
  <c r="U19" i="99"/>
  <c r="S19" i="99"/>
  <c r="R19" i="99"/>
  <c r="J19" i="99"/>
  <c r="I19" i="99"/>
  <c r="W19" i="99" s="1"/>
  <c r="V18" i="99"/>
  <c r="U18" i="99"/>
  <c r="S18" i="99"/>
  <c r="R18" i="99"/>
  <c r="J18" i="99"/>
  <c r="I18" i="99"/>
  <c r="W18" i="99" s="1"/>
  <c r="V17" i="99"/>
  <c r="U17" i="99"/>
  <c r="S17" i="99"/>
  <c r="R17" i="99"/>
  <c r="J17" i="99"/>
  <c r="I17" i="99"/>
  <c r="W17" i="99" s="1"/>
  <c r="W16" i="99"/>
  <c r="V16" i="99"/>
  <c r="U16" i="99"/>
  <c r="S16" i="99"/>
  <c r="R16" i="99"/>
  <c r="J16" i="99"/>
  <c r="I16" i="99"/>
  <c r="V15" i="99"/>
  <c r="U15" i="99"/>
  <c r="S15" i="99"/>
  <c r="R15" i="99"/>
  <c r="J15" i="99"/>
  <c r="I15" i="99"/>
  <c r="W15" i="99" s="1"/>
  <c r="V14" i="99"/>
  <c r="U14" i="99"/>
  <c r="S14" i="99"/>
  <c r="R14" i="99"/>
  <c r="J14" i="99"/>
  <c r="I14" i="99"/>
  <c r="W14" i="99" s="1"/>
  <c r="U13" i="99"/>
  <c r="V13" i="99" s="1"/>
  <c r="S13" i="99"/>
  <c r="R13" i="99"/>
  <c r="J13" i="99"/>
  <c r="I13" i="99"/>
  <c r="V12" i="99"/>
  <c r="U12" i="99"/>
  <c r="S12" i="99"/>
  <c r="R12" i="99"/>
  <c r="J12" i="99"/>
  <c r="I12" i="99"/>
  <c r="W12" i="99" s="1"/>
  <c r="U11" i="99"/>
  <c r="V11" i="99" s="1"/>
  <c r="S11" i="99"/>
  <c r="R11" i="99"/>
  <c r="J11" i="99"/>
  <c r="I11" i="99"/>
  <c r="W11" i="99" s="1"/>
  <c r="U10" i="99"/>
  <c r="V10" i="99" s="1"/>
  <c r="S10" i="99"/>
  <c r="R10" i="99"/>
  <c r="J10" i="99"/>
  <c r="I10" i="99"/>
  <c r="W10" i="99" s="1"/>
  <c r="A10" i="99"/>
  <c r="A11" i="99" s="1"/>
  <c r="A12" i="99" s="1"/>
  <c r="A13" i="99" s="1"/>
  <c r="A14" i="99" s="1"/>
  <c r="A15" i="99" s="1"/>
  <c r="A16" i="99" s="1"/>
  <c r="A17" i="99" s="1"/>
  <c r="A18" i="99" s="1"/>
  <c r="A19" i="99" s="1"/>
  <c r="A20" i="99" s="1"/>
  <c r="A21" i="99" s="1"/>
  <c r="A22" i="99" s="1"/>
  <c r="A23" i="99" s="1"/>
  <c r="A24" i="99" s="1"/>
  <c r="A25" i="99" s="1"/>
  <c r="A26" i="99" s="1"/>
  <c r="A27" i="99" s="1"/>
  <c r="A28" i="99" s="1"/>
  <c r="A29" i="99" s="1"/>
  <c r="A30" i="99" s="1"/>
  <c r="A31" i="99" s="1"/>
  <c r="A32" i="99" s="1"/>
  <c r="A33" i="99" s="1"/>
  <c r="A34" i="99" s="1"/>
  <c r="A35" i="99" s="1"/>
  <c r="A36" i="99" s="1"/>
  <c r="A37" i="99" s="1"/>
  <c r="A38" i="99" s="1"/>
  <c r="A39" i="99" s="1"/>
  <c r="A40" i="99" s="1"/>
  <c r="A41" i="99" s="1"/>
  <c r="A42" i="99" s="1"/>
  <c r="A43" i="99" s="1"/>
  <c r="A44" i="99" s="1"/>
  <c r="A45" i="99" s="1"/>
  <c r="A46" i="99" s="1"/>
  <c r="A47" i="99" s="1"/>
  <c r="A48" i="99" s="1"/>
  <c r="A49" i="99" s="1"/>
  <c r="A50" i="99" s="1"/>
  <c r="A51" i="99" s="1"/>
  <c r="A52" i="99" s="1"/>
  <c r="A53" i="99" s="1"/>
  <c r="A54" i="99" s="1"/>
  <c r="A55" i="99" s="1"/>
  <c r="A56" i="99" s="1"/>
  <c r="A57" i="99" s="1"/>
  <c r="A58" i="99" s="1"/>
  <c r="A59" i="99" s="1"/>
  <c r="V9" i="99"/>
  <c r="U9" i="99"/>
  <c r="S9" i="99"/>
  <c r="S60" i="99" s="1"/>
  <c r="R9" i="99"/>
  <c r="J9" i="99"/>
  <c r="I9" i="99"/>
  <c r="W9" i="99" s="1"/>
  <c r="A9" i="99"/>
  <c r="U8" i="99"/>
  <c r="V8" i="99" s="1"/>
  <c r="S8" i="99"/>
  <c r="R8" i="99"/>
  <c r="J8" i="99"/>
  <c r="I8" i="99"/>
  <c r="W42" i="99" l="1"/>
  <c r="W38" i="99"/>
  <c r="W30" i="99"/>
  <c r="W26" i="99"/>
  <c r="W24" i="99"/>
  <c r="W13" i="99"/>
  <c r="J60" i="99"/>
  <c r="R60" i="99"/>
  <c r="I60" i="99"/>
  <c r="U60" i="99"/>
  <c r="W8" i="99"/>
  <c r="W60" i="101"/>
  <c r="V8" i="101"/>
  <c r="V60" i="101" s="1"/>
  <c r="W60" i="100"/>
  <c r="I60" i="100"/>
  <c r="V8" i="100"/>
  <c r="V60" i="100" s="1"/>
  <c r="V60" i="99"/>
  <c r="V27" i="99"/>
  <c r="Q60" i="98"/>
  <c r="P60" i="98"/>
  <c r="O60" i="98"/>
  <c r="N60" i="98"/>
  <c r="M60" i="98"/>
  <c r="L60" i="98"/>
  <c r="H60" i="98"/>
  <c r="G60" i="98"/>
  <c r="E60" i="98"/>
  <c r="D60" i="98"/>
  <c r="C60" i="98"/>
  <c r="S59" i="98"/>
  <c r="R59" i="98"/>
  <c r="J59" i="98"/>
  <c r="I59" i="98"/>
  <c r="S58" i="98"/>
  <c r="R58" i="98"/>
  <c r="J58" i="98"/>
  <c r="I58" i="98"/>
  <c r="S57" i="98"/>
  <c r="R57" i="98"/>
  <c r="J57" i="98"/>
  <c r="I57" i="98"/>
  <c r="S56" i="98"/>
  <c r="R56" i="98"/>
  <c r="J56" i="98"/>
  <c r="I56" i="98"/>
  <c r="S55" i="98"/>
  <c r="R55" i="98"/>
  <c r="J55" i="98"/>
  <c r="I55" i="98"/>
  <c r="U54" i="98"/>
  <c r="V54" i="98" s="1"/>
  <c r="S54" i="98"/>
  <c r="R54" i="98"/>
  <c r="J54" i="98"/>
  <c r="I54" i="98"/>
  <c r="W54" i="98" s="1"/>
  <c r="U53" i="98"/>
  <c r="V53" i="98" s="1"/>
  <c r="S53" i="98"/>
  <c r="R53" i="98"/>
  <c r="J53" i="98"/>
  <c r="I53" i="98"/>
  <c r="W53" i="98" s="1"/>
  <c r="W52" i="98"/>
  <c r="U52" i="98"/>
  <c r="V52" i="98" s="1"/>
  <c r="S52" i="98"/>
  <c r="R52" i="98"/>
  <c r="J52" i="98"/>
  <c r="I52" i="98"/>
  <c r="U51" i="98"/>
  <c r="V51" i="98" s="1"/>
  <c r="S51" i="98"/>
  <c r="R51" i="98"/>
  <c r="J51" i="98"/>
  <c r="I51" i="98"/>
  <c r="W51" i="98" s="1"/>
  <c r="W50" i="98"/>
  <c r="U50" i="98"/>
  <c r="V50" i="98" s="1"/>
  <c r="S50" i="98"/>
  <c r="R50" i="98"/>
  <c r="J50" i="98"/>
  <c r="I50" i="98"/>
  <c r="U49" i="98"/>
  <c r="V49" i="98" s="1"/>
  <c r="S49" i="98"/>
  <c r="R49" i="98"/>
  <c r="J49" i="98"/>
  <c r="I49" i="98"/>
  <c r="W49" i="98" s="1"/>
  <c r="U48" i="98"/>
  <c r="V48" i="98" s="1"/>
  <c r="S48" i="98"/>
  <c r="R48" i="98"/>
  <c r="J48" i="98"/>
  <c r="I48" i="98"/>
  <c r="U47" i="98"/>
  <c r="V47" i="98" s="1"/>
  <c r="S47" i="98"/>
  <c r="R47" i="98"/>
  <c r="J47" i="98"/>
  <c r="I47" i="98"/>
  <c r="W47" i="98" s="1"/>
  <c r="W46" i="98"/>
  <c r="U46" i="98"/>
  <c r="V46" i="98" s="1"/>
  <c r="S46" i="98"/>
  <c r="R46" i="98"/>
  <c r="J46" i="98"/>
  <c r="I46" i="98"/>
  <c r="S45" i="98"/>
  <c r="R45" i="98"/>
  <c r="J45" i="98"/>
  <c r="I45" i="98"/>
  <c r="U44" i="98"/>
  <c r="V44" i="98" s="1"/>
  <c r="S44" i="98"/>
  <c r="R44" i="98"/>
  <c r="J44" i="98"/>
  <c r="I44" i="98"/>
  <c r="S43" i="98"/>
  <c r="R43" i="98"/>
  <c r="J43" i="98"/>
  <c r="I43" i="98"/>
  <c r="U42" i="98"/>
  <c r="V42" i="98" s="1"/>
  <c r="S42" i="98"/>
  <c r="R42" i="98"/>
  <c r="J42" i="98"/>
  <c r="I42" i="98"/>
  <c r="W42" i="98" s="1"/>
  <c r="W41" i="98"/>
  <c r="U41" i="98"/>
  <c r="V41" i="98" s="1"/>
  <c r="S41" i="98"/>
  <c r="R41" i="98"/>
  <c r="J41" i="98"/>
  <c r="I41" i="98"/>
  <c r="U40" i="98"/>
  <c r="V40" i="98" s="1"/>
  <c r="S40" i="98"/>
  <c r="R40" i="98"/>
  <c r="J40" i="98"/>
  <c r="I40" i="98"/>
  <c r="W40" i="98" s="1"/>
  <c r="U39" i="98"/>
  <c r="V39" i="98" s="1"/>
  <c r="S39" i="98"/>
  <c r="R39" i="98"/>
  <c r="J39" i="98"/>
  <c r="I39" i="98"/>
  <c r="W39" i="98" s="1"/>
  <c r="U38" i="98"/>
  <c r="V38" i="98" s="1"/>
  <c r="S38" i="98"/>
  <c r="R38" i="98"/>
  <c r="J38" i="98"/>
  <c r="I38" i="98"/>
  <c r="W37" i="98"/>
  <c r="U37" i="98"/>
  <c r="V37" i="98" s="1"/>
  <c r="S37" i="98"/>
  <c r="R37" i="98"/>
  <c r="J37" i="98"/>
  <c r="I37" i="98"/>
  <c r="U36" i="98"/>
  <c r="V36" i="98" s="1"/>
  <c r="S36" i="98"/>
  <c r="R36" i="98"/>
  <c r="J36" i="98"/>
  <c r="I36" i="98"/>
  <c r="W36" i="98" s="1"/>
  <c r="U35" i="98"/>
  <c r="V35" i="98" s="1"/>
  <c r="S35" i="98"/>
  <c r="R35" i="98"/>
  <c r="J35" i="98"/>
  <c r="I35" i="98"/>
  <c r="U34" i="98"/>
  <c r="V34" i="98" s="1"/>
  <c r="S34" i="98"/>
  <c r="R34" i="98"/>
  <c r="J34" i="98"/>
  <c r="I34" i="98"/>
  <c r="W34" i="98" s="1"/>
  <c r="W33" i="98"/>
  <c r="U33" i="98"/>
  <c r="V33" i="98" s="1"/>
  <c r="S33" i="98"/>
  <c r="R33" i="98"/>
  <c r="J33" i="98"/>
  <c r="I33" i="98"/>
  <c r="U32" i="98"/>
  <c r="V32" i="98" s="1"/>
  <c r="S32" i="98"/>
  <c r="R32" i="98"/>
  <c r="J32" i="98"/>
  <c r="I32" i="98"/>
  <c r="W32" i="98" s="1"/>
  <c r="W31" i="98"/>
  <c r="U31" i="98"/>
  <c r="V31" i="98" s="1"/>
  <c r="S31" i="98"/>
  <c r="R31" i="98"/>
  <c r="J31" i="98"/>
  <c r="I31" i="98"/>
  <c r="U30" i="98"/>
  <c r="V30" i="98" s="1"/>
  <c r="S30" i="98"/>
  <c r="R30" i="98"/>
  <c r="J30" i="98"/>
  <c r="I30" i="98"/>
  <c r="W30" i="98" s="1"/>
  <c r="U29" i="98"/>
  <c r="V29" i="98" s="1"/>
  <c r="S29" i="98"/>
  <c r="R29" i="98"/>
  <c r="J29" i="98"/>
  <c r="I29" i="98"/>
  <c r="W29" i="98" s="1"/>
  <c r="U28" i="98"/>
  <c r="V28" i="98" s="1"/>
  <c r="S28" i="98"/>
  <c r="R28" i="98"/>
  <c r="J28" i="98"/>
  <c r="I28" i="98"/>
  <c r="W28" i="98" s="1"/>
  <c r="W27" i="98"/>
  <c r="U27" i="98"/>
  <c r="V27" i="98" s="1"/>
  <c r="S27" i="98"/>
  <c r="R27" i="98"/>
  <c r="J27" i="98"/>
  <c r="I27" i="98"/>
  <c r="BE26" i="98"/>
  <c r="V26" i="98"/>
  <c r="U26" i="98"/>
  <c r="S26" i="98"/>
  <c r="R26" i="98"/>
  <c r="J26" i="98"/>
  <c r="I26" i="98"/>
  <c r="W26" i="98" s="1"/>
  <c r="V25" i="98"/>
  <c r="U25" i="98"/>
  <c r="S25" i="98"/>
  <c r="R25" i="98"/>
  <c r="J25" i="98"/>
  <c r="I25" i="98"/>
  <c r="W25" i="98" s="1"/>
  <c r="V24" i="98"/>
  <c r="U24" i="98"/>
  <c r="S24" i="98"/>
  <c r="R24" i="98"/>
  <c r="J24" i="98"/>
  <c r="I24" i="98"/>
  <c r="V23" i="98"/>
  <c r="U23" i="98"/>
  <c r="S23" i="98"/>
  <c r="R23" i="98"/>
  <c r="J23" i="98"/>
  <c r="I23" i="98"/>
  <c r="W23" i="98" s="1"/>
  <c r="V22" i="98"/>
  <c r="U22" i="98"/>
  <c r="S22" i="98"/>
  <c r="R22" i="98"/>
  <c r="J22" i="98"/>
  <c r="I22" i="98"/>
  <c r="W22" i="98" s="1"/>
  <c r="W21" i="98"/>
  <c r="V21" i="98"/>
  <c r="U21" i="98"/>
  <c r="S21" i="98"/>
  <c r="R21" i="98"/>
  <c r="J21" i="98"/>
  <c r="I21" i="98"/>
  <c r="V20" i="98"/>
  <c r="U20" i="98"/>
  <c r="S20" i="98"/>
  <c r="R20" i="98"/>
  <c r="J20" i="98"/>
  <c r="I20" i="98"/>
  <c r="W20" i="98" s="1"/>
  <c r="W19" i="98"/>
  <c r="V19" i="98"/>
  <c r="U19" i="98"/>
  <c r="S19" i="98"/>
  <c r="R19" i="98"/>
  <c r="J19" i="98"/>
  <c r="I19" i="98"/>
  <c r="V18" i="98"/>
  <c r="U18" i="98"/>
  <c r="S18" i="98"/>
  <c r="R18" i="98"/>
  <c r="J18" i="98"/>
  <c r="I18" i="98"/>
  <c r="W18" i="98" s="1"/>
  <c r="W17" i="98"/>
  <c r="V17" i="98"/>
  <c r="U17" i="98"/>
  <c r="S17" i="98"/>
  <c r="R17" i="98"/>
  <c r="J17" i="98"/>
  <c r="I17" i="98"/>
  <c r="V16" i="98"/>
  <c r="U16" i="98"/>
  <c r="S16" i="98"/>
  <c r="R16" i="98"/>
  <c r="J16" i="98"/>
  <c r="I16" i="98"/>
  <c r="W16" i="98" s="1"/>
  <c r="W15" i="98"/>
  <c r="V15" i="98"/>
  <c r="U15" i="98"/>
  <c r="S15" i="98"/>
  <c r="R15" i="98"/>
  <c r="J15" i="98"/>
  <c r="I15" i="98"/>
  <c r="V14" i="98"/>
  <c r="U14" i="98"/>
  <c r="S14" i="98"/>
  <c r="R14" i="98"/>
  <c r="J14" i="98"/>
  <c r="I14" i="98"/>
  <c r="W14" i="98" s="1"/>
  <c r="U13" i="98"/>
  <c r="V13" i="98" s="1"/>
  <c r="S13" i="98"/>
  <c r="R13" i="98"/>
  <c r="J13" i="98"/>
  <c r="I13" i="98"/>
  <c r="V12" i="98"/>
  <c r="U12" i="98"/>
  <c r="S12" i="98"/>
  <c r="R12" i="98"/>
  <c r="J12" i="98"/>
  <c r="I12" i="98"/>
  <c r="W12" i="98" s="1"/>
  <c r="W11" i="98"/>
  <c r="U11" i="98"/>
  <c r="V11" i="98" s="1"/>
  <c r="S11" i="98"/>
  <c r="R11" i="98"/>
  <c r="J11" i="98"/>
  <c r="I11" i="98"/>
  <c r="U10" i="98"/>
  <c r="V10" i="98" s="1"/>
  <c r="S10" i="98"/>
  <c r="R10" i="98"/>
  <c r="J10" i="98"/>
  <c r="I10" i="98"/>
  <c r="W10" i="98" s="1"/>
  <c r="A10" i="98"/>
  <c r="A11" i="98" s="1"/>
  <c r="A12" i="98" s="1"/>
  <c r="A13" i="98" s="1"/>
  <c r="A14" i="98" s="1"/>
  <c r="A15" i="98" s="1"/>
  <c r="A16" i="98" s="1"/>
  <c r="A17" i="98" s="1"/>
  <c r="A18" i="98" s="1"/>
  <c r="A19" i="98" s="1"/>
  <c r="A20" i="98" s="1"/>
  <c r="A21" i="98" s="1"/>
  <c r="A22" i="98" s="1"/>
  <c r="A23" i="98" s="1"/>
  <c r="A24" i="98" s="1"/>
  <c r="A25" i="98" s="1"/>
  <c r="A26" i="98" s="1"/>
  <c r="A27" i="98" s="1"/>
  <c r="A28" i="98" s="1"/>
  <c r="A29" i="98" s="1"/>
  <c r="A30" i="98" s="1"/>
  <c r="A31" i="98" s="1"/>
  <c r="A32" i="98" s="1"/>
  <c r="A33" i="98" s="1"/>
  <c r="A34" i="98" s="1"/>
  <c r="A35" i="98" s="1"/>
  <c r="A36" i="98" s="1"/>
  <c r="A37" i="98" s="1"/>
  <c r="A38" i="98" s="1"/>
  <c r="A39" i="98" s="1"/>
  <c r="A40" i="98" s="1"/>
  <c r="A41" i="98" s="1"/>
  <c r="A42" i="98" s="1"/>
  <c r="A43" i="98" s="1"/>
  <c r="A44" i="98" s="1"/>
  <c r="A45" i="98" s="1"/>
  <c r="A46" i="98" s="1"/>
  <c r="A47" i="98" s="1"/>
  <c r="A48" i="98" s="1"/>
  <c r="A49" i="98" s="1"/>
  <c r="A50" i="98" s="1"/>
  <c r="A51" i="98" s="1"/>
  <c r="A52" i="98" s="1"/>
  <c r="A53" i="98" s="1"/>
  <c r="A54" i="98" s="1"/>
  <c r="A55" i="98" s="1"/>
  <c r="A56" i="98" s="1"/>
  <c r="A57" i="98" s="1"/>
  <c r="A58" i="98" s="1"/>
  <c r="A59" i="98" s="1"/>
  <c r="W9" i="98"/>
  <c r="U9" i="98"/>
  <c r="V9" i="98" s="1"/>
  <c r="S9" i="98"/>
  <c r="R9" i="98"/>
  <c r="J9" i="98"/>
  <c r="I9" i="98"/>
  <c r="A9" i="98"/>
  <c r="U8" i="98"/>
  <c r="S8" i="98"/>
  <c r="R8" i="98"/>
  <c r="J8" i="98"/>
  <c r="I8" i="98"/>
  <c r="W60" i="99" l="1"/>
  <c r="W48" i="98"/>
  <c r="W44" i="98"/>
  <c r="W38" i="98"/>
  <c r="W35" i="98"/>
  <c r="W24" i="98"/>
  <c r="S60" i="98"/>
  <c r="W13" i="98"/>
  <c r="J60" i="98"/>
  <c r="R60" i="98"/>
  <c r="U60" i="98"/>
  <c r="V8" i="98"/>
  <c r="W8" i="98"/>
  <c r="V60" i="98"/>
  <c r="I60" i="98"/>
  <c r="C48" i="95"/>
  <c r="Q60" i="97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V54" i="97"/>
  <c r="U54" i="97"/>
  <c r="S54" i="97"/>
  <c r="R54" i="97"/>
  <c r="J54" i="97"/>
  <c r="I54" i="97"/>
  <c r="W54" i="97" s="1"/>
  <c r="U53" i="97"/>
  <c r="V53" i="97" s="1"/>
  <c r="S53" i="97"/>
  <c r="R53" i="97"/>
  <c r="J53" i="97"/>
  <c r="I53" i="97"/>
  <c r="W53" i="97" s="1"/>
  <c r="W52" i="97"/>
  <c r="V52" i="97"/>
  <c r="U52" i="97"/>
  <c r="S52" i="97"/>
  <c r="R52" i="97"/>
  <c r="J52" i="97"/>
  <c r="I52" i="97"/>
  <c r="U51" i="97"/>
  <c r="V51" i="97" s="1"/>
  <c r="S51" i="97"/>
  <c r="R51" i="97"/>
  <c r="J51" i="97"/>
  <c r="I51" i="97"/>
  <c r="W51" i="97" s="1"/>
  <c r="W50" i="97"/>
  <c r="V50" i="97"/>
  <c r="U50" i="97"/>
  <c r="S50" i="97"/>
  <c r="R50" i="97"/>
  <c r="J50" i="97"/>
  <c r="I50" i="97"/>
  <c r="U49" i="97"/>
  <c r="V49" i="97" s="1"/>
  <c r="S49" i="97"/>
  <c r="R49" i="97"/>
  <c r="J49" i="97"/>
  <c r="I49" i="97"/>
  <c r="W49" i="97" s="1"/>
  <c r="W48" i="97"/>
  <c r="V48" i="97"/>
  <c r="U48" i="97"/>
  <c r="S48" i="97"/>
  <c r="R48" i="97"/>
  <c r="J48" i="97"/>
  <c r="I48" i="97"/>
  <c r="U47" i="97"/>
  <c r="V47" i="97" s="1"/>
  <c r="S47" i="97"/>
  <c r="R47" i="97"/>
  <c r="J47" i="97"/>
  <c r="I47" i="97"/>
  <c r="W47" i="97" s="1"/>
  <c r="W46" i="97"/>
  <c r="V46" i="97"/>
  <c r="U46" i="97"/>
  <c r="S46" i="97"/>
  <c r="R46" i="97"/>
  <c r="J46" i="97"/>
  <c r="I46" i="97"/>
  <c r="S45" i="97"/>
  <c r="R45" i="97"/>
  <c r="J45" i="97"/>
  <c r="I45" i="97"/>
  <c r="U44" i="97"/>
  <c r="V44" i="97" s="1"/>
  <c r="S44" i="97"/>
  <c r="R44" i="97"/>
  <c r="J44" i="97"/>
  <c r="I44" i="97"/>
  <c r="S43" i="97"/>
  <c r="R43" i="97"/>
  <c r="J43" i="97"/>
  <c r="I43" i="97"/>
  <c r="U42" i="97"/>
  <c r="V42" i="97" s="1"/>
  <c r="S42" i="97"/>
  <c r="R42" i="97"/>
  <c r="J42" i="97"/>
  <c r="I42" i="97"/>
  <c r="W42" i="97" s="1"/>
  <c r="W41" i="97"/>
  <c r="U41" i="97"/>
  <c r="V41" i="97" s="1"/>
  <c r="S41" i="97"/>
  <c r="R41" i="97"/>
  <c r="J41" i="97"/>
  <c r="I41" i="97"/>
  <c r="U40" i="97"/>
  <c r="V40" i="97" s="1"/>
  <c r="S40" i="97"/>
  <c r="R40" i="97"/>
  <c r="J40" i="97"/>
  <c r="I40" i="97"/>
  <c r="W40" i="97" s="1"/>
  <c r="U39" i="97"/>
  <c r="V39" i="97" s="1"/>
  <c r="S39" i="97"/>
  <c r="R39" i="97"/>
  <c r="J39" i="97"/>
  <c r="I39" i="97"/>
  <c r="W39" i="97" s="1"/>
  <c r="U38" i="97"/>
  <c r="V38" i="97" s="1"/>
  <c r="S38" i="97"/>
  <c r="R38" i="97"/>
  <c r="J38" i="97"/>
  <c r="I38" i="97"/>
  <c r="W38" i="97" s="1"/>
  <c r="W37" i="97"/>
  <c r="U37" i="97"/>
  <c r="V37" i="97" s="1"/>
  <c r="S37" i="97"/>
  <c r="R37" i="97"/>
  <c r="J37" i="97"/>
  <c r="I37" i="97"/>
  <c r="U36" i="97"/>
  <c r="V36" i="97" s="1"/>
  <c r="S36" i="97"/>
  <c r="R36" i="97"/>
  <c r="J36" i="97"/>
  <c r="I36" i="97"/>
  <c r="W36" i="97" s="1"/>
  <c r="U35" i="97"/>
  <c r="V35" i="97" s="1"/>
  <c r="S35" i="97"/>
  <c r="R35" i="97"/>
  <c r="J35" i="97"/>
  <c r="I35" i="97"/>
  <c r="U34" i="97"/>
  <c r="V34" i="97" s="1"/>
  <c r="S34" i="97"/>
  <c r="R34" i="97"/>
  <c r="J34" i="97"/>
  <c r="I34" i="97"/>
  <c r="W34" i="97" s="1"/>
  <c r="W33" i="97"/>
  <c r="U33" i="97"/>
  <c r="V33" i="97" s="1"/>
  <c r="S33" i="97"/>
  <c r="R33" i="97"/>
  <c r="J33" i="97"/>
  <c r="I33" i="97"/>
  <c r="U32" i="97"/>
  <c r="V32" i="97" s="1"/>
  <c r="S32" i="97"/>
  <c r="R32" i="97"/>
  <c r="J32" i="97"/>
  <c r="I32" i="97"/>
  <c r="W32" i="97" s="1"/>
  <c r="U31" i="97"/>
  <c r="V31" i="97" s="1"/>
  <c r="S31" i="97"/>
  <c r="R31" i="97"/>
  <c r="J31" i="97"/>
  <c r="I31" i="97"/>
  <c r="W31" i="97" s="1"/>
  <c r="U30" i="97"/>
  <c r="V30" i="97" s="1"/>
  <c r="S30" i="97"/>
  <c r="R30" i="97"/>
  <c r="J30" i="97"/>
  <c r="I30" i="97"/>
  <c r="W30" i="97" s="1"/>
  <c r="U29" i="97"/>
  <c r="V29" i="97" s="1"/>
  <c r="S29" i="97"/>
  <c r="R29" i="97"/>
  <c r="J29" i="97"/>
  <c r="I29" i="97"/>
  <c r="W29" i="97" s="1"/>
  <c r="U28" i="97"/>
  <c r="V28" i="97" s="1"/>
  <c r="S28" i="97"/>
  <c r="R28" i="97"/>
  <c r="J28" i="97"/>
  <c r="I28" i="97"/>
  <c r="W28" i="97" s="1"/>
  <c r="U27" i="97"/>
  <c r="V27" i="97" s="1"/>
  <c r="S27" i="97"/>
  <c r="R27" i="97"/>
  <c r="J27" i="97"/>
  <c r="I27" i="97"/>
  <c r="W27" i="97" s="1"/>
  <c r="BE26" i="97"/>
  <c r="U26" i="97"/>
  <c r="V26" i="97" s="1"/>
  <c r="S26" i="97"/>
  <c r="R26" i="97"/>
  <c r="J26" i="97"/>
  <c r="I26" i="97"/>
  <c r="W26" i="97" s="1"/>
  <c r="V25" i="97"/>
  <c r="U25" i="97"/>
  <c r="S25" i="97"/>
  <c r="R25" i="97"/>
  <c r="J25" i="97"/>
  <c r="I25" i="97"/>
  <c r="W25" i="97" s="1"/>
  <c r="U24" i="97"/>
  <c r="V24" i="97" s="1"/>
  <c r="S24" i="97"/>
  <c r="R24" i="97"/>
  <c r="J24" i="97"/>
  <c r="I24" i="97"/>
  <c r="W24" i="97" s="1"/>
  <c r="V23" i="97"/>
  <c r="U23" i="97"/>
  <c r="S23" i="97"/>
  <c r="R23" i="97"/>
  <c r="J23" i="97"/>
  <c r="I23" i="97"/>
  <c r="W23" i="97" s="1"/>
  <c r="U22" i="97"/>
  <c r="V22" i="97" s="1"/>
  <c r="S22" i="97"/>
  <c r="R22" i="97"/>
  <c r="J22" i="97"/>
  <c r="I22" i="97"/>
  <c r="W22" i="97" s="1"/>
  <c r="W21" i="97"/>
  <c r="V21" i="97"/>
  <c r="U21" i="97"/>
  <c r="S21" i="97"/>
  <c r="R21" i="97"/>
  <c r="J21" i="97"/>
  <c r="I21" i="97"/>
  <c r="U20" i="97"/>
  <c r="V20" i="97" s="1"/>
  <c r="S20" i="97"/>
  <c r="R20" i="97"/>
  <c r="J20" i="97"/>
  <c r="I20" i="97"/>
  <c r="W20" i="97" s="1"/>
  <c r="W19" i="97"/>
  <c r="V19" i="97"/>
  <c r="U19" i="97"/>
  <c r="S19" i="97"/>
  <c r="R19" i="97"/>
  <c r="J19" i="97"/>
  <c r="I19" i="97"/>
  <c r="U18" i="97"/>
  <c r="V18" i="97" s="1"/>
  <c r="S18" i="97"/>
  <c r="R18" i="97"/>
  <c r="J18" i="97"/>
  <c r="I18" i="97"/>
  <c r="W18" i="97" s="1"/>
  <c r="W17" i="97"/>
  <c r="V17" i="97"/>
  <c r="U17" i="97"/>
  <c r="S17" i="97"/>
  <c r="R17" i="97"/>
  <c r="J17" i="97"/>
  <c r="I17" i="97"/>
  <c r="U16" i="97"/>
  <c r="V16" i="97" s="1"/>
  <c r="S16" i="97"/>
  <c r="R16" i="97"/>
  <c r="J16" i="97"/>
  <c r="I16" i="97"/>
  <c r="W16" i="97" s="1"/>
  <c r="W15" i="97"/>
  <c r="V15" i="97"/>
  <c r="U15" i="97"/>
  <c r="S15" i="97"/>
  <c r="R15" i="97"/>
  <c r="J15" i="97"/>
  <c r="I15" i="97"/>
  <c r="U14" i="97"/>
  <c r="V14" i="97" s="1"/>
  <c r="S14" i="97"/>
  <c r="R14" i="97"/>
  <c r="J14" i="97"/>
  <c r="I14" i="97"/>
  <c r="W14" i="97" s="1"/>
  <c r="U13" i="97"/>
  <c r="V13" i="97" s="1"/>
  <c r="S13" i="97"/>
  <c r="R13" i="97"/>
  <c r="J13" i="97"/>
  <c r="I13" i="97"/>
  <c r="W13" i="97" s="1"/>
  <c r="U12" i="97"/>
  <c r="V12" i="97" s="1"/>
  <c r="S12" i="97"/>
  <c r="R12" i="97"/>
  <c r="J12" i="97"/>
  <c r="I12" i="97"/>
  <c r="W12" i="97" s="1"/>
  <c r="W11" i="97"/>
  <c r="V11" i="97"/>
  <c r="U11" i="97"/>
  <c r="S11" i="97"/>
  <c r="R11" i="97"/>
  <c r="J11" i="97"/>
  <c r="I11" i="97"/>
  <c r="U10" i="97"/>
  <c r="V10" i="97" s="1"/>
  <c r="S10" i="97"/>
  <c r="R10" i="97"/>
  <c r="J10" i="97"/>
  <c r="I10" i="97"/>
  <c r="W10" i="97" s="1"/>
  <c r="A10" i="97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V9" i="97"/>
  <c r="U9" i="97"/>
  <c r="S9" i="97"/>
  <c r="R9" i="97"/>
  <c r="J9" i="97"/>
  <c r="I9" i="97"/>
  <c r="W9" i="97" s="1"/>
  <c r="A9" i="97"/>
  <c r="U8" i="97"/>
  <c r="S8" i="97"/>
  <c r="R8" i="97"/>
  <c r="J8" i="97"/>
  <c r="I8" i="97"/>
  <c r="W8" i="97" s="1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I54" i="96"/>
  <c r="V53" i="96"/>
  <c r="U53" i="96"/>
  <c r="S53" i="96"/>
  <c r="R53" i="96"/>
  <c r="J53" i="96"/>
  <c r="W53" i="96" s="1"/>
  <c r="I53" i="96"/>
  <c r="U52" i="96"/>
  <c r="V52" i="96" s="1"/>
  <c r="S52" i="96"/>
  <c r="R52" i="96"/>
  <c r="J52" i="96"/>
  <c r="W52" i="96" s="1"/>
  <c r="I52" i="96"/>
  <c r="V51" i="96"/>
  <c r="U51" i="96"/>
  <c r="S51" i="96"/>
  <c r="R51" i="96"/>
  <c r="J51" i="96"/>
  <c r="W51" i="96" s="1"/>
  <c r="I51" i="96"/>
  <c r="U50" i="96"/>
  <c r="V50" i="96" s="1"/>
  <c r="S50" i="96"/>
  <c r="R50" i="96"/>
  <c r="J50" i="96"/>
  <c r="W50" i="96" s="1"/>
  <c r="I50" i="96"/>
  <c r="V49" i="96"/>
  <c r="U49" i="96"/>
  <c r="S49" i="96"/>
  <c r="R49" i="96"/>
  <c r="J49" i="96"/>
  <c r="I49" i="96"/>
  <c r="U48" i="96"/>
  <c r="V48" i="96" s="1"/>
  <c r="S48" i="96"/>
  <c r="R48" i="96"/>
  <c r="J48" i="96"/>
  <c r="I48" i="96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W46" i="96" s="1"/>
  <c r="I46" i="96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U42" i="96"/>
  <c r="V42" i="96" s="1"/>
  <c r="S42" i="96"/>
  <c r="R42" i="96"/>
  <c r="J42" i="96"/>
  <c r="I42" i="96"/>
  <c r="W42" i="96" s="1"/>
  <c r="U41" i="96"/>
  <c r="V41" i="96" s="1"/>
  <c r="S41" i="96"/>
  <c r="R41" i="96"/>
  <c r="J41" i="96"/>
  <c r="I41" i="96"/>
  <c r="W41" i="96" s="1"/>
  <c r="V40" i="96"/>
  <c r="U40" i="96"/>
  <c r="S40" i="96"/>
  <c r="R40" i="96"/>
  <c r="J40" i="96"/>
  <c r="I40" i="96"/>
  <c r="W40" i="96" s="1"/>
  <c r="U39" i="96"/>
  <c r="V39" i="96" s="1"/>
  <c r="S39" i="96"/>
  <c r="R39" i="96"/>
  <c r="J39" i="96"/>
  <c r="I39" i="96"/>
  <c r="W39" i="96" s="1"/>
  <c r="U38" i="96"/>
  <c r="V38" i="96" s="1"/>
  <c r="S38" i="96"/>
  <c r="R38" i="96"/>
  <c r="J38" i="96"/>
  <c r="I38" i="96"/>
  <c r="U37" i="96"/>
  <c r="V37" i="96" s="1"/>
  <c r="S37" i="96"/>
  <c r="R37" i="96"/>
  <c r="J37" i="96"/>
  <c r="I37" i="96"/>
  <c r="W37" i="96" s="1"/>
  <c r="V36" i="96"/>
  <c r="U36" i="96"/>
  <c r="S36" i="96"/>
  <c r="R36" i="96"/>
  <c r="J36" i="96"/>
  <c r="I36" i="96"/>
  <c r="W36" i="96" s="1"/>
  <c r="U35" i="96"/>
  <c r="V35" i="96" s="1"/>
  <c r="S35" i="96"/>
  <c r="R35" i="96"/>
  <c r="J35" i="96"/>
  <c r="I35" i="96"/>
  <c r="W35" i="96" s="1"/>
  <c r="V34" i="96"/>
  <c r="U34" i="96"/>
  <c r="S34" i="96"/>
  <c r="R34" i="96"/>
  <c r="J34" i="96"/>
  <c r="I34" i="96"/>
  <c r="W34" i="96" s="1"/>
  <c r="U33" i="96"/>
  <c r="V33" i="96" s="1"/>
  <c r="S33" i="96"/>
  <c r="R33" i="96"/>
  <c r="J33" i="96"/>
  <c r="I33" i="96"/>
  <c r="W33" i="96" s="1"/>
  <c r="V32" i="96"/>
  <c r="U32" i="96"/>
  <c r="S32" i="96"/>
  <c r="R32" i="96"/>
  <c r="J32" i="96"/>
  <c r="I32" i="96"/>
  <c r="W32" i="96" s="1"/>
  <c r="U31" i="96"/>
  <c r="V31" i="96" s="1"/>
  <c r="S31" i="96"/>
  <c r="R31" i="96"/>
  <c r="J31" i="96"/>
  <c r="I31" i="96"/>
  <c r="W31" i="96" s="1"/>
  <c r="V30" i="96"/>
  <c r="U30" i="96"/>
  <c r="S30" i="96"/>
  <c r="R30" i="96"/>
  <c r="J30" i="96"/>
  <c r="I30" i="96"/>
  <c r="W30" i="96" s="1"/>
  <c r="U29" i="96"/>
  <c r="V29" i="96" s="1"/>
  <c r="S29" i="96"/>
  <c r="R29" i="96"/>
  <c r="J29" i="96"/>
  <c r="I29" i="96"/>
  <c r="W29" i="96" s="1"/>
  <c r="V28" i="96"/>
  <c r="U28" i="96"/>
  <c r="S28" i="96"/>
  <c r="R28" i="96"/>
  <c r="J28" i="96"/>
  <c r="I28" i="96"/>
  <c r="W28" i="96" s="1"/>
  <c r="U27" i="96"/>
  <c r="V27" i="96" s="1"/>
  <c r="S27" i="96"/>
  <c r="S60" i="96" s="1"/>
  <c r="R27" i="96"/>
  <c r="J27" i="96"/>
  <c r="I27" i="96"/>
  <c r="W27" i="96" s="1"/>
  <c r="BE26" i="96"/>
  <c r="U26" i="96"/>
  <c r="V26" i="96" s="1"/>
  <c r="S26" i="96"/>
  <c r="R26" i="96"/>
  <c r="J26" i="96"/>
  <c r="I26" i="96"/>
  <c r="W26" i="96" s="1"/>
  <c r="U25" i="96"/>
  <c r="V25" i="96" s="1"/>
  <c r="S25" i="96"/>
  <c r="R25" i="96"/>
  <c r="J25" i="96"/>
  <c r="I25" i="96"/>
  <c r="W25" i="96" s="1"/>
  <c r="U24" i="96"/>
  <c r="V24" i="96" s="1"/>
  <c r="S24" i="96"/>
  <c r="R24" i="96"/>
  <c r="J24" i="96"/>
  <c r="I24" i="96"/>
  <c r="W24" i="96" s="1"/>
  <c r="U23" i="96"/>
  <c r="V23" i="96" s="1"/>
  <c r="S23" i="96"/>
  <c r="R23" i="96"/>
  <c r="J23" i="96"/>
  <c r="I23" i="96"/>
  <c r="W23" i="96" s="1"/>
  <c r="U22" i="96"/>
  <c r="V22" i="96" s="1"/>
  <c r="S22" i="96"/>
  <c r="R22" i="96"/>
  <c r="J22" i="96"/>
  <c r="I22" i="96"/>
  <c r="W22" i="96" s="1"/>
  <c r="U21" i="96"/>
  <c r="V21" i="96" s="1"/>
  <c r="S21" i="96"/>
  <c r="R21" i="96"/>
  <c r="J21" i="96"/>
  <c r="I21" i="96"/>
  <c r="W21" i="96" s="1"/>
  <c r="U20" i="96"/>
  <c r="V20" i="96" s="1"/>
  <c r="S20" i="96"/>
  <c r="R20" i="96"/>
  <c r="J20" i="96"/>
  <c r="I20" i="96"/>
  <c r="W20" i="96" s="1"/>
  <c r="W19" i="96"/>
  <c r="U19" i="96"/>
  <c r="V19" i="96" s="1"/>
  <c r="S19" i="96"/>
  <c r="R19" i="96"/>
  <c r="J19" i="96"/>
  <c r="I19" i="96"/>
  <c r="U18" i="96"/>
  <c r="V18" i="96" s="1"/>
  <c r="S18" i="96"/>
  <c r="R18" i="96"/>
  <c r="J18" i="96"/>
  <c r="I18" i="96"/>
  <c r="W18" i="96" s="1"/>
  <c r="W17" i="96"/>
  <c r="U17" i="96"/>
  <c r="V17" i="96" s="1"/>
  <c r="S17" i="96"/>
  <c r="R17" i="96"/>
  <c r="J17" i="96"/>
  <c r="I17" i="96"/>
  <c r="U16" i="96"/>
  <c r="V16" i="96" s="1"/>
  <c r="S16" i="96"/>
  <c r="R16" i="96"/>
  <c r="J16" i="96"/>
  <c r="I16" i="96"/>
  <c r="W16" i="96" s="1"/>
  <c r="W15" i="96"/>
  <c r="U15" i="96"/>
  <c r="V15" i="96" s="1"/>
  <c r="S15" i="96"/>
  <c r="R15" i="96"/>
  <c r="J15" i="96"/>
  <c r="I15" i="96"/>
  <c r="U14" i="96"/>
  <c r="V14" i="96" s="1"/>
  <c r="S14" i="96"/>
  <c r="R14" i="96"/>
  <c r="J14" i="96"/>
  <c r="I14" i="96"/>
  <c r="W14" i="96" s="1"/>
  <c r="U13" i="96"/>
  <c r="V13" i="96" s="1"/>
  <c r="S13" i="96"/>
  <c r="R13" i="96"/>
  <c r="J13" i="96"/>
  <c r="I13" i="96"/>
  <c r="W13" i="96" s="1"/>
  <c r="U12" i="96"/>
  <c r="V12" i="96" s="1"/>
  <c r="S12" i="96"/>
  <c r="R12" i="96"/>
  <c r="J12" i="96"/>
  <c r="I12" i="96"/>
  <c r="W12" i="96" s="1"/>
  <c r="U11" i="96"/>
  <c r="V11" i="96" s="1"/>
  <c r="S11" i="96"/>
  <c r="R11" i="96"/>
  <c r="J11" i="96"/>
  <c r="I11" i="96"/>
  <c r="W11" i="96" s="1"/>
  <c r="U10" i="96"/>
  <c r="V10" i="96" s="1"/>
  <c r="S10" i="96"/>
  <c r="R10" i="96"/>
  <c r="J10" i="96"/>
  <c r="I10" i="96"/>
  <c r="W10" i="96" s="1"/>
  <c r="A10" i="96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U9" i="96"/>
  <c r="V9" i="96" s="1"/>
  <c r="S9" i="96"/>
  <c r="R9" i="96"/>
  <c r="J9" i="96"/>
  <c r="I9" i="96"/>
  <c r="W9" i="96" s="1"/>
  <c r="A9" i="96"/>
  <c r="U8" i="96"/>
  <c r="S8" i="96"/>
  <c r="R8" i="96"/>
  <c r="J8" i="96"/>
  <c r="I8" i="96"/>
  <c r="W60" i="98" l="1"/>
  <c r="W44" i="97"/>
  <c r="W60" i="97" s="1"/>
  <c r="W35" i="97"/>
  <c r="U60" i="97"/>
  <c r="R60" i="97"/>
  <c r="S60" i="97"/>
  <c r="J60" i="97"/>
  <c r="W54" i="96"/>
  <c r="W49" i="96"/>
  <c r="W48" i="96"/>
  <c r="W38" i="96"/>
  <c r="W60" i="96" s="1"/>
  <c r="J60" i="96"/>
  <c r="R60" i="96"/>
  <c r="U60" i="96"/>
  <c r="W8" i="96"/>
  <c r="I60" i="97"/>
  <c r="V8" i="97"/>
  <c r="V60" i="97" s="1"/>
  <c r="I60" i="96"/>
  <c r="V8" i="96"/>
  <c r="V60" i="96" s="1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U44" i="95"/>
  <c r="V44" i="95" s="1"/>
  <c r="S44" i="95"/>
  <c r="R44" i="95"/>
  <c r="J44" i="95"/>
  <c r="I44" i="95"/>
  <c r="S43" i="95"/>
  <c r="R43" i="95"/>
  <c r="J43" i="95"/>
  <c r="I43" i="95"/>
  <c r="U42" i="95"/>
  <c r="V42" i="95" s="1"/>
  <c r="S42" i="95"/>
  <c r="R42" i="95"/>
  <c r="J42" i="95"/>
  <c r="I42" i="95"/>
  <c r="W42" i="95" s="1"/>
  <c r="U41" i="95"/>
  <c r="V41" i="95" s="1"/>
  <c r="S41" i="95"/>
  <c r="R41" i="95"/>
  <c r="J41" i="95"/>
  <c r="I41" i="95"/>
  <c r="U40" i="95"/>
  <c r="V40" i="95" s="1"/>
  <c r="S40" i="95"/>
  <c r="R40" i="95"/>
  <c r="J40" i="95"/>
  <c r="I40" i="95"/>
  <c r="W40" i="95" s="1"/>
  <c r="U39" i="95"/>
  <c r="V39" i="95" s="1"/>
  <c r="S39" i="95"/>
  <c r="R39" i="95"/>
  <c r="J39" i="95"/>
  <c r="I39" i="95"/>
  <c r="U38" i="95"/>
  <c r="V38" i="95" s="1"/>
  <c r="S38" i="95"/>
  <c r="R38" i="95"/>
  <c r="J38" i="95"/>
  <c r="I38" i="95"/>
  <c r="U37" i="95"/>
  <c r="V37" i="95" s="1"/>
  <c r="S37" i="95"/>
  <c r="R37" i="95"/>
  <c r="J37" i="95"/>
  <c r="W37" i="95" s="1"/>
  <c r="I37" i="95"/>
  <c r="U36" i="95"/>
  <c r="V36" i="95" s="1"/>
  <c r="S36" i="95"/>
  <c r="R36" i="95"/>
  <c r="J36" i="95"/>
  <c r="I36" i="95"/>
  <c r="W36" i="95" s="1"/>
  <c r="U35" i="95"/>
  <c r="V35" i="95" s="1"/>
  <c r="S35" i="95"/>
  <c r="R35" i="95"/>
  <c r="J35" i="95"/>
  <c r="I35" i="95"/>
  <c r="U34" i="95"/>
  <c r="V34" i="95" s="1"/>
  <c r="S34" i="95"/>
  <c r="R34" i="95"/>
  <c r="J34" i="95"/>
  <c r="I34" i="95"/>
  <c r="W34" i="95" s="1"/>
  <c r="U33" i="95"/>
  <c r="V33" i="95" s="1"/>
  <c r="S33" i="95"/>
  <c r="R33" i="95"/>
  <c r="J33" i="95"/>
  <c r="W33" i="95" s="1"/>
  <c r="I33" i="95"/>
  <c r="U32" i="95"/>
  <c r="V32" i="95" s="1"/>
  <c r="S32" i="95"/>
  <c r="R32" i="95"/>
  <c r="J32" i="95"/>
  <c r="I32" i="95"/>
  <c r="W32" i="95" s="1"/>
  <c r="U31" i="95"/>
  <c r="V31" i="95" s="1"/>
  <c r="S31" i="95"/>
  <c r="R31" i="95"/>
  <c r="J31" i="95"/>
  <c r="I31" i="95"/>
  <c r="U30" i="95"/>
  <c r="V30" i="95" s="1"/>
  <c r="S30" i="95"/>
  <c r="R30" i="95"/>
  <c r="J30" i="95"/>
  <c r="I30" i="95"/>
  <c r="W30" i="95" s="1"/>
  <c r="U29" i="95"/>
  <c r="V29" i="95" s="1"/>
  <c r="S29" i="95"/>
  <c r="R29" i="95"/>
  <c r="J29" i="95"/>
  <c r="I29" i="95"/>
  <c r="U28" i="95"/>
  <c r="V28" i="95" s="1"/>
  <c r="S28" i="95"/>
  <c r="R28" i="95"/>
  <c r="J28" i="95"/>
  <c r="I28" i="95"/>
  <c r="W28" i="95" s="1"/>
  <c r="U27" i="95"/>
  <c r="S27" i="95"/>
  <c r="R27" i="95"/>
  <c r="J27" i="95"/>
  <c r="I27" i="95"/>
  <c r="BE26" i="95"/>
  <c r="V26" i="95"/>
  <c r="U26" i="95"/>
  <c r="S26" i="95"/>
  <c r="R26" i="95"/>
  <c r="J26" i="95"/>
  <c r="I26" i="95"/>
  <c r="V25" i="95"/>
  <c r="U25" i="95"/>
  <c r="S25" i="95"/>
  <c r="R25" i="95"/>
  <c r="J25" i="95"/>
  <c r="I25" i="95"/>
  <c r="W25" i="95" s="1"/>
  <c r="V24" i="95"/>
  <c r="U24" i="95"/>
  <c r="S24" i="95"/>
  <c r="R24" i="95"/>
  <c r="J24" i="95"/>
  <c r="I24" i="95"/>
  <c r="W24" i="95" s="1"/>
  <c r="V23" i="95"/>
  <c r="U23" i="95"/>
  <c r="S23" i="95"/>
  <c r="R23" i="95"/>
  <c r="J23" i="95"/>
  <c r="I23" i="95"/>
  <c r="W23" i="95" s="1"/>
  <c r="V22" i="95"/>
  <c r="U22" i="95"/>
  <c r="S22" i="95"/>
  <c r="R22" i="95"/>
  <c r="J22" i="95"/>
  <c r="I22" i="95"/>
  <c r="W22" i="95" s="1"/>
  <c r="W21" i="95"/>
  <c r="V21" i="95"/>
  <c r="U21" i="95"/>
  <c r="S21" i="95"/>
  <c r="R21" i="95"/>
  <c r="J21" i="95"/>
  <c r="I21" i="95"/>
  <c r="V20" i="95"/>
  <c r="U20" i="95"/>
  <c r="S20" i="95"/>
  <c r="R20" i="95"/>
  <c r="J20" i="95"/>
  <c r="I20" i="95"/>
  <c r="W20" i="95" s="1"/>
  <c r="W19" i="95"/>
  <c r="V19" i="95"/>
  <c r="U19" i="95"/>
  <c r="S19" i="95"/>
  <c r="R19" i="95"/>
  <c r="J19" i="95"/>
  <c r="I19" i="95"/>
  <c r="V18" i="95"/>
  <c r="U18" i="95"/>
  <c r="S18" i="95"/>
  <c r="R18" i="95"/>
  <c r="J18" i="95"/>
  <c r="I18" i="95"/>
  <c r="W18" i="95" s="1"/>
  <c r="W17" i="95"/>
  <c r="V17" i="95"/>
  <c r="U17" i="95"/>
  <c r="S17" i="95"/>
  <c r="R17" i="95"/>
  <c r="J17" i="95"/>
  <c r="I17" i="95"/>
  <c r="V16" i="95"/>
  <c r="U16" i="95"/>
  <c r="S16" i="95"/>
  <c r="R16" i="95"/>
  <c r="J16" i="95"/>
  <c r="I16" i="95"/>
  <c r="W16" i="95" s="1"/>
  <c r="W15" i="95"/>
  <c r="V15" i="95"/>
  <c r="U15" i="95"/>
  <c r="S15" i="95"/>
  <c r="R15" i="95"/>
  <c r="J15" i="95"/>
  <c r="I15" i="95"/>
  <c r="V14" i="95"/>
  <c r="U14" i="95"/>
  <c r="S14" i="95"/>
  <c r="R14" i="95"/>
  <c r="J14" i="95"/>
  <c r="I14" i="95"/>
  <c r="W14" i="95" s="1"/>
  <c r="U13" i="95"/>
  <c r="V13" i="95" s="1"/>
  <c r="S13" i="95"/>
  <c r="R13" i="95"/>
  <c r="J13" i="95"/>
  <c r="I13" i="95"/>
  <c r="V12" i="95"/>
  <c r="U12" i="95"/>
  <c r="S12" i="95"/>
  <c r="R12" i="95"/>
  <c r="J12" i="95"/>
  <c r="I12" i="95"/>
  <c r="W12" i="95" s="1"/>
  <c r="V11" i="95"/>
  <c r="U11" i="95"/>
  <c r="S11" i="95"/>
  <c r="R11" i="95"/>
  <c r="J11" i="95"/>
  <c r="I11" i="95"/>
  <c r="W11" i="95" s="1"/>
  <c r="V10" i="95"/>
  <c r="U10" i="95"/>
  <c r="S10" i="95"/>
  <c r="R10" i="95"/>
  <c r="J10" i="95"/>
  <c r="I10" i="95"/>
  <c r="W10" i="95" s="1"/>
  <c r="A10" i="95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V9" i="95"/>
  <c r="U9" i="95"/>
  <c r="S9" i="95"/>
  <c r="R9" i="95"/>
  <c r="J9" i="95"/>
  <c r="I9" i="95"/>
  <c r="W9" i="95" s="1"/>
  <c r="A9" i="95"/>
  <c r="V8" i="95"/>
  <c r="U8" i="95"/>
  <c r="S8" i="95"/>
  <c r="S60" i="95" s="1"/>
  <c r="R8" i="95"/>
  <c r="J8" i="95"/>
  <c r="I8" i="95"/>
  <c r="W48" i="95" l="1"/>
  <c r="U60" i="95"/>
  <c r="W44" i="95"/>
  <c r="W41" i="95"/>
  <c r="W39" i="95"/>
  <c r="R60" i="95"/>
  <c r="W38" i="95"/>
  <c r="W35" i="95"/>
  <c r="W31" i="95"/>
  <c r="W29" i="95"/>
  <c r="W27" i="95"/>
  <c r="W26" i="95"/>
  <c r="J60" i="95"/>
  <c r="W13" i="95"/>
  <c r="W8" i="95"/>
  <c r="V60" i="95"/>
  <c r="I60" i="95"/>
  <c r="V27" i="95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U54" i="94"/>
  <c r="V54" i="94" s="1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U52" i="94"/>
  <c r="V52" i="94" s="1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U50" i="94"/>
  <c r="V50" i="94" s="1"/>
  <c r="S50" i="94"/>
  <c r="R50" i="94"/>
  <c r="J50" i="94"/>
  <c r="I50" i="94"/>
  <c r="W50" i="94" s="1"/>
  <c r="U49" i="94"/>
  <c r="V49" i="94" s="1"/>
  <c r="S49" i="94"/>
  <c r="R49" i="94"/>
  <c r="J49" i="94"/>
  <c r="I49" i="94"/>
  <c r="W49" i="94" s="1"/>
  <c r="U48" i="94"/>
  <c r="V48" i="94" s="1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U46" i="94"/>
  <c r="V46" i="94" s="1"/>
  <c r="S46" i="94"/>
  <c r="R46" i="94"/>
  <c r="J46" i="94"/>
  <c r="I46" i="94"/>
  <c r="W46" i="94" s="1"/>
  <c r="S45" i="94"/>
  <c r="R45" i="94"/>
  <c r="J45" i="94"/>
  <c r="I45" i="94"/>
  <c r="U44" i="94"/>
  <c r="V44" i="94" s="1"/>
  <c r="S44" i="94"/>
  <c r="R44" i="94"/>
  <c r="J44" i="94"/>
  <c r="I44" i="94"/>
  <c r="S43" i="94"/>
  <c r="R43" i="94"/>
  <c r="J43" i="94"/>
  <c r="I43" i="94"/>
  <c r="W42" i="94"/>
  <c r="U42" i="94"/>
  <c r="V42" i="94" s="1"/>
  <c r="S42" i="94"/>
  <c r="R42" i="94"/>
  <c r="J42" i="94"/>
  <c r="I42" i="94"/>
  <c r="U41" i="94"/>
  <c r="V41" i="94" s="1"/>
  <c r="S41" i="94"/>
  <c r="R41" i="94"/>
  <c r="J41" i="94"/>
  <c r="I41" i="94"/>
  <c r="W41" i="94" s="1"/>
  <c r="W40" i="94"/>
  <c r="V40" i="94"/>
  <c r="U40" i="94"/>
  <c r="S40" i="94"/>
  <c r="R40" i="94"/>
  <c r="J40" i="94"/>
  <c r="I40" i="94"/>
  <c r="W39" i="94"/>
  <c r="U39" i="94"/>
  <c r="V39" i="94" s="1"/>
  <c r="S39" i="94"/>
  <c r="R39" i="94"/>
  <c r="J39" i="94"/>
  <c r="I39" i="94"/>
  <c r="U38" i="94"/>
  <c r="V38" i="94" s="1"/>
  <c r="S38" i="94"/>
  <c r="R38" i="94"/>
  <c r="J38" i="94"/>
  <c r="I38" i="94"/>
  <c r="W37" i="94"/>
  <c r="U37" i="94"/>
  <c r="V37" i="94" s="1"/>
  <c r="S37" i="94"/>
  <c r="R37" i="94"/>
  <c r="J37" i="94"/>
  <c r="I37" i="94"/>
  <c r="W36" i="94"/>
  <c r="V36" i="94"/>
  <c r="U36" i="94"/>
  <c r="S36" i="94"/>
  <c r="R36" i="94"/>
  <c r="J36" i="94"/>
  <c r="I36" i="94"/>
  <c r="U35" i="94"/>
  <c r="V35" i="94" s="1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W33" i="94"/>
  <c r="U33" i="94"/>
  <c r="V33" i="94" s="1"/>
  <c r="S33" i="94"/>
  <c r="R33" i="94"/>
  <c r="J33" i="94"/>
  <c r="I33" i="94"/>
  <c r="V32" i="94"/>
  <c r="U32" i="94"/>
  <c r="S32" i="94"/>
  <c r="R32" i="94"/>
  <c r="J32" i="94"/>
  <c r="I32" i="94"/>
  <c r="W32" i="94" s="1"/>
  <c r="U31" i="94"/>
  <c r="V31" i="94" s="1"/>
  <c r="S31" i="94"/>
  <c r="R31" i="94"/>
  <c r="J31" i="94"/>
  <c r="I31" i="94"/>
  <c r="W31" i="94" s="1"/>
  <c r="W30" i="94"/>
  <c r="V30" i="94"/>
  <c r="U30" i="94"/>
  <c r="S30" i="94"/>
  <c r="R30" i="94"/>
  <c r="J30" i="94"/>
  <c r="I30" i="94"/>
  <c r="U29" i="94"/>
  <c r="V29" i="94" s="1"/>
  <c r="S29" i="94"/>
  <c r="R29" i="94"/>
  <c r="J29" i="94"/>
  <c r="I29" i="94"/>
  <c r="W29" i="94" s="1"/>
  <c r="W28" i="94"/>
  <c r="V28" i="94"/>
  <c r="U28" i="94"/>
  <c r="S28" i="94"/>
  <c r="R28" i="94"/>
  <c r="J28" i="94"/>
  <c r="I28" i="94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V25" i="94"/>
  <c r="U25" i="94"/>
  <c r="S25" i="94"/>
  <c r="R25" i="94"/>
  <c r="J25" i="94"/>
  <c r="I25" i="94"/>
  <c r="W25" i="94" s="1"/>
  <c r="V24" i="94"/>
  <c r="U24" i="94"/>
  <c r="S24" i="94"/>
  <c r="R24" i="94"/>
  <c r="J24" i="94"/>
  <c r="I24" i="94"/>
  <c r="W24" i="94" s="1"/>
  <c r="V23" i="94"/>
  <c r="U23" i="94"/>
  <c r="S23" i="94"/>
  <c r="R23" i="94"/>
  <c r="J23" i="94"/>
  <c r="I23" i="94"/>
  <c r="W23" i="94" s="1"/>
  <c r="V22" i="94"/>
  <c r="U22" i="94"/>
  <c r="S22" i="94"/>
  <c r="R22" i="94"/>
  <c r="J22" i="94"/>
  <c r="I22" i="94"/>
  <c r="W22" i="94" s="1"/>
  <c r="V21" i="94"/>
  <c r="U21" i="94"/>
  <c r="S21" i="94"/>
  <c r="R21" i="94"/>
  <c r="J21" i="94"/>
  <c r="I21" i="94"/>
  <c r="W21" i="94" s="1"/>
  <c r="W20" i="94"/>
  <c r="V20" i="94"/>
  <c r="U20" i="94"/>
  <c r="S20" i="94"/>
  <c r="R20" i="94"/>
  <c r="J20" i="94"/>
  <c r="I20" i="94"/>
  <c r="V19" i="94"/>
  <c r="U19" i="94"/>
  <c r="S19" i="94"/>
  <c r="R19" i="94"/>
  <c r="J19" i="94"/>
  <c r="I19" i="94"/>
  <c r="W19" i="94" s="1"/>
  <c r="W18" i="94"/>
  <c r="V18" i="94"/>
  <c r="U18" i="94"/>
  <c r="S18" i="94"/>
  <c r="R18" i="94"/>
  <c r="J18" i="94"/>
  <c r="I18" i="94"/>
  <c r="V17" i="94"/>
  <c r="U17" i="94"/>
  <c r="S17" i="94"/>
  <c r="R17" i="94"/>
  <c r="J17" i="94"/>
  <c r="I17" i="94"/>
  <c r="W17" i="94" s="1"/>
  <c r="W16" i="94"/>
  <c r="V16" i="94"/>
  <c r="U16" i="94"/>
  <c r="S16" i="94"/>
  <c r="R16" i="94"/>
  <c r="J16" i="94"/>
  <c r="I16" i="94"/>
  <c r="V15" i="94"/>
  <c r="U15" i="94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W10" i="94"/>
  <c r="U10" i="94"/>
  <c r="V10" i="94" s="1"/>
  <c r="S10" i="94"/>
  <c r="R10" i="94"/>
  <c r="J10" i="94"/>
  <c r="I10" i="94"/>
  <c r="V9" i="94"/>
  <c r="U9" i="94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S60" i="94" s="1"/>
  <c r="R8" i="94"/>
  <c r="J8" i="94"/>
  <c r="I8" i="94"/>
  <c r="W60" i="95" l="1"/>
  <c r="W44" i="94"/>
  <c r="W38" i="94"/>
  <c r="J60" i="94"/>
  <c r="W26" i="94"/>
  <c r="R60" i="94"/>
  <c r="U60" i="94"/>
  <c r="I60" i="94"/>
  <c r="V8" i="94"/>
  <c r="W8" i="94"/>
  <c r="V60" i="94"/>
  <c r="Q60" i="93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U42" i="93"/>
  <c r="V42" i="93" s="1"/>
  <c r="S42" i="93"/>
  <c r="R42" i="93"/>
  <c r="J42" i="93"/>
  <c r="I42" i="93"/>
  <c r="W42" i="93" s="1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W13" i="93" s="1"/>
  <c r="U12" i="93"/>
  <c r="V12" i="93" s="1"/>
  <c r="S12" i="93"/>
  <c r="R12" i="93"/>
  <c r="J12" i="93"/>
  <c r="I12" i="93"/>
  <c r="U11" i="93"/>
  <c r="V11" i="93" s="1"/>
  <c r="S11" i="93"/>
  <c r="R11" i="93"/>
  <c r="J11" i="93"/>
  <c r="I11" i="93"/>
  <c r="W11" i="93" s="1"/>
  <c r="U10" i="93"/>
  <c r="V10" i="93" s="1"/>
  <c r="S10" i="93"/>
  <c r="R10" i="93"/>
  <c r="J10" i="93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W8" i="93" s="1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U27" i="92"/>
  <c r="V27" i="92" s="1"/>
  <c r="S27" i="92"/>
  <c r="R27" i="92"/>
  <c r="J27" i="92"/>
  <c r="I27" i="92"/>
  <c r="W27" i="92" s="1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U54" i="91"/>
  <c r="V54" i="91" s="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U27" i="91"/>
  <c r="V27" i="91" s="1"/>
  <c r="S27" i="91"/>
  <c r="R27" i="91"/>
  <c r="J27" i="91"/>
  <c r="I27" i="91"/>
  <c r="W27" i="91" s="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U20" i="91"/>
  <c r="V20" i="91" s="1"/>
  <c r="S20" i="91"/>
  <c r="R20" i="91"/>
  <c r="J20" i="91"/>
  <c r="I20" i="91"/>
  <c r="W20" i="91" s="1"/>
  <c r="U19" i="91"/>
  <c r="V19" i="91" s="1"/>
  <c r="S19" i="91"/>
  <c r="R19" i="91"/>
  <c r="J19" i="91"/>
  <c r="I19" i="91"/>
  <c r="W19" i="91" s="1"/>
  <c r="V18" i="91"/>
  <c r="U18" i="91"/>
  <c r="S18" i="91"/>
  <c r="R18" i="91"/>
  <c r="J18" i="91"/>
  <c r="I18" i="91"/>
  <c r="W18" i="91" s="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U12" i="91"/>
  <c r="V12" i="91" s="1"/>
  <c r="S12" i="91"/>
  <c r="R12" i="91"/>
  <c r="J12" i="91"/>
  <c r="I12" i="91"/>
  <c r="W12" i="91" s="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60" i="94" l="1"/>
  <c r="W44" i="93"/>
  <c r="W35" i="93"/>
  <c r="W26" i="93"/>
  <c r="W24" i="93"/>
  <c r="W22" i="93"/>
  <c r="W20" i="93"/>
  <c r="W18" i="93"/>
  <c r="W14" i="93"/>
  <c r="S60" i="93"/>
  <c r="W12" i="93"/>
  <c r="R60" i="93"/>
  <c r="U60" i="93"/>
  <c r="W10" i="93"/>
  <c r="I60" i="93"/>
  <c r="W47" i="92"/>
  <c r="W35" i="92"/>
  <c r="W8" i="92"/>
  <c r="W54" i="92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W60" i="93" l="1"/>
  <c r="W60" i="9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1370760-45DE-4990-B7D9-B05FAC41B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3A9AF1-D2D1-488B-B2AA-68DBFE71FB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95E873B-B4FE-406E-8636-AC1C79D801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7B92613-E2CE-4532-AFA4-6FD99B843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9F0AF7B-2601-4B51-AE82-914C50742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AB533F9-3325-4863-9A2B-0F5B6FD6FF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286417F-C385-440F-A262-9AB5207CB9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2502BB1-4DEB-4776-890B-153599080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F5568FC-08E9-4837-9C64-2FDB0E9F2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1329A7A-5050-4421-942D-F5FEAF9A57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EB2B452-E134-4101-B9AA-EEF74B8A8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CCBA941-3F55-489C-B3C4-1FCAB656E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A7E7E3D-DE30-42E5-B00C-DE280631C9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C7499D7-1B48-423A-A9D8-818F529489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2B494F3-E934-4A9A-A447-22DB39C8B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0C058B-8350-4471-A978-92F601916B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6D918D7-52AF-4E0C-A0C0-4012872DB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5196823-A26C-4DB3-B0EC-6F083149C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A537B39-7426-40BC-AB01-961FFD7B7A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B5B564E-A454-4368-85DF-24B6A10268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EC8D02-40A4-48C9-9A39-4FB511AE4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B722A75-C2E9-4B04-96FB-A4A5FD41FF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7DF64EB-0D92-46F5-A429-0FA522B43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51D88DA-2D36-4523-B8B1-DD76CE5E6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<sst xmlns="http://schemas.openxmlformats.org/spreadsheetml/2006/main" count="1375" uniqueCount="82">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</sst>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3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167" fontId="2" fillId="5" borderId="5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/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115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25">
        <v>46058</v>
      </c>
      <c r="Q1" s="226"/>
      <c r="R1" s="226"/>
      <c r="S1" s="226"/>
      <c r="T1" s="226"/>
      <c r="U1" s="226"/>
      <c r="V1" s="227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2"/>
    </row>
    <row r="5" spans="1:58" s="3" customFormat="1" ht="38.25" thickBot="1" x14ac:dyDescent="0.3">
      <c r="A5" s="49"/>
      <c r="B5" s="228"/>
      <c r="C5" s="229"/>
      <c r="D5" s="230"/>
      <c r="E5" s="48" t="s">
        <v>8</v>
      </c>
      <c r="F5" s="97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46083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191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68</v>
      </c>
      <c r="D8" s="120">
        <v>21</v>
      </c>
      <c r="E8" s="121"/>
      <c r="F8" s="121"/>
      <c r="G8" s="79">
        <v>1</v>
      </c>
      <c r="H8" s="76"/>
      <c r="I8" s="76">
        <f>C8-G8</f>
        <v>67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103</v>
      </c>
      <c r="D9" s="123"/>
      <c r="E9" s="124"/>
      <c r="F9" s="124"/>
      <c r="G9" s="81">
        <v>1</v>
      </c>
      <c r="H9" s="82"/>
      <c r="I9" s="81">
        <f t="shared" ref="I9:J59" si="4">C9-G9</f>
        <v>102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82</v>
      </c>
      <c r="D10" s="120"/>
      <c r="E10" s="121"/>
      <c r="F10" s="121"/>
      <c r="G10" s="79">
        <v>2</v>
      </c>
      <c r="H10" s="76"/>
      <c r="I10" s="76">
        <f t="shared" si="4"/>
        <v>80</v>
      </c>
      <c r="J10" s="104">
        <f t="shared" si="0"/>
        <v>0</v>
      </c>
      <c r="K10" s="41"/>
      <c r="L10" s="121"/>
      <c r="M10" s="121"/>
      <c r="N10" s="121">
        <v>2</v>
      </c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1920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41</v>
      </c>
      <c r="D11" s="120"/>
      <c r="E11" s="121"/>
      <c r="F11" s="121"/>
      <c r="G11" s="79">
        <v>1</v>
      </c>
      <c r="H11" s="76"/>
      <c r="I11" s="76">
        <f t="shared" si="4"/>
        <v>40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4050</v>
      </c>
      <c r="D13" s="123">
        <v>11</v>
      </c>
      <c r="E13" s="124"/>
      <c r="F13" s="124"/>
      <c r="G13" s="81">
        <v>27</v>
      </c>
      <c r="H13" s="82">
        <v>16</v>
      </c>
      <c r="I13" s="85">
        <f t="shared" si="4"/>
        <v>4023</v>
      </c>
      <c r="J13" s="103">
        <f>D13-H13</f>
        <v>-5</v>
      </c>
      <c r="K13" s="55"/>
      <c r="L13" s="130">
        <v>6</v>
      </c>
      <c r="M13" s="130">
        <v>5</v>
      </c>
      <c r="N13" s="130">
        <v>9</v>
      </c>
      <c r="O13" s="130">
        <v>3</v>
      </c>
      <c r="P13" s="130">
        <v>12</v>
      </c>
      <c r="Q13" s="131">
        <v>3</v>
      </c>
      <c r="R13" s="106">
        <f>L13+N13+P13</f>
        <v>27</v>
      </c>
      <c r="S13" s="134">
        <f>M13+O13+Q13</f>
        <v>11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96547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107</v>
      </c>
      <c r="D29" s="120"/>
      <c r="E29" s="121"/>
      <c r="F29" s="121"/>
      <c r="G29" s="79">
        <v>4</v>
      </c>
      <c r="H29" s="76"/>
      <c r="I29" s="76">
        <f t="shared" si="4"/>
        <v>103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>
        <v>2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17</v>
      </c>
      <c r="D32" s="120"/>
      <c r="E32" s="121"/>
      <c r="F32" s="121"/>
      <c r="G32" s="79">
        <v>1</v>
      </c>
      <c r="H32" s="76"/>
      <c r="I32" s="76">
        <f t="shared" si="4"/>
        <v>16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384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159</v>
      </c>
      <c r="D35" s="120">
        <v>5</v>
      </c>
      <c r="E35" s="121"/>
      <c r="F35" s="121"/>
      <c r="G35" s="79">
        <v>13</v>
      </c>
      <c r="H35" s="76">
        <v>12</v>
      </c>
      <c r="I35" s="76">
        <f t="shared" si="4"/>
        <v>146</v>
      </c>
      <c r="J35" s="80">
        <f t="shared" si="4"/>
        <v>-7</v>
      </c>
      <c r="K35" s="41"/>
      <c r="L35" s="121">
        <v>2</v>
      </c>
      <c r="M35" s="121"/>
      <c r="N35" s="121">
        <v>10</v>
      </c>
      <c r="O35" s="121">
        <v>12</v>
      </c>
      <c r="P35" s="121">
        <v>1</v>
      </c>
      <c r="Q35" s="129"/>
      <c r="R35" s="92">
        <f t="shared" si="7"/>
        <v>13</v>
      </c>
      <c r="S35" s="133">
        <f t="shared" si="7"/>
        <v>12</v>
      </c>
      <c r="T35" s="41"/>
      <c r="U35" s="116">
        <f t="shared" si="5"/>
        <v>312</v>
      </c>
      <c r="V35" s="139">
        <f t="shared" si="6"/>
        <v>13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4751</v>
      </c>
      <c r="D38" s="123">
        <v>2</v>
      </c>
      <c r="E38" s="124"/>
      <c r="F38" s="124"/>
      <c r="G38" s="81">
        <v>115</v>
      </c>
      <c r="H38" s="82"/>
      <c r="I38" s="148">
        <f t="shared" si="4"/>
        <v>4636</v>
      </c>
      <c r="J38" s="149">
        <f t="shared" si="4"/>
        <v>2</v>
      </c>
      <c r="K38" s="53"/>
      <c r="L38" s="130">
        <v>18</v>
      </c>
      <c r="M38" s="130"/>
      <c r="N38" s="130">
        <v>40</v>
      </c>
      <c r="O38" s="130"/>
      <c r="P38" s="130">
        <v>57</v>
      </c>
      <c r="Q38" s="131"/>
      <c r="R38" s="106">
        <f t="shared" si="7"/>
        <v>115</v>
      </c>
      <c r="S38" s="134">
        <f t="shared" si="7"/>
        <v>0</v>
      </c>
      <c r="T38" s="53"/>
      <c r="U38" s="140">
        <f>L38*6+N38*6+P38*6</f>
        <v>690</v>
      </c>
      <c r="V38" s="144">
        <f>U38/6</f>
        <v>115</v>
      </c>
      <c r="W38" s="142">
        <f>I38*6+J38</f>
        <v>27818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560</v>
      </c>
      <c r="D41" s="156">
        <v>12</v>
      </c>
      <c r="E41" s="157"/>
      <c r="F41" s="157"/>
      <c r="G41" s="158">
        <v>1</v>
      </c>
      <c r="H41" s="159">
        <v>12</v>
      </c>
      <c r="I41" s="160">
        <f t="shared" si="4"/>
        <v>559</v>
      </c>
      <c r="J41" s="161">
        <f t="shared" si="4"/>
        <v>0</v>
      </c>
      <c r="K41" s="162"/>
      <c r="L41" s="163">
        <v>1</v>
      </c>
      <c r="M41" s="163"/>
      <c r="N41" s="163"/>
      <c r="O41" s="163">
        <v>12</v>
      </c>
      <c r="P41" s="163"/>
      <c r="Q41" s="164"/>
      <c r="R41" s="165">
        <f t="shared" si="7"/>
        <v>1</v>
      </c>
      <c r="S41" s="166">
        <f t="shared" si="7"/>
        <v>12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13416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1507</v>
      </c>
      <c r="D42" s="173"/>
      <c r="E42" s="174"/>
      <c r="F42" s="174"/>
      <c r="G42" s="175">
        <v>22</v>
      </c>
      <c r="H42" s="176"/>
      <c r="I42" s="175">
        <f t="shared" si="4"/>
        <v>1485</v>
      </c>
      <c r="J42" s="177">
        <f t="shared" si="4"/>
        <v>0</v>
      </c>
      <c r="K42" s="178"/>
      <c r="L42" s="174">
        <v>12</v>
      </c>
      <c r="M42" s="174"/>
      <c r="N42" s="174">
        <v>1</v>
      </c>
      <c r="O42" s="174"/>
      <c r="P42" s="174">
        <v>9</v>
      </c>
      <c r="Q42" s="179"/>
      <c r="R42" s="180">
        <f t="shared" si="7"/>
        <v>22</v>
      </c>
      <c r="S42" s="181">
        <f t="shared" si="7"/>
        <v>0</v>
      </c>
      <c r="T42" s="178"/>
      <c r="U42" s="182">
        <f>L42*12+N42*12+P42*12</f>
        <v>264</v>
      </c>
      <c r="V42" s="183">
        <f>U42/12</f>
        <v>22</v>
      </c>
      <c r="W42" s="184">
        <f>I42*12+J42</f>
        <v>17820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34716</v>
      </c>
      <c r="D44" s="123">
        <v>4</v>
      </c>
      <c r="E44" s="124"/>
      <c r="F44" s="124"/>
      <c r="G44" s="81">
        <v>925</v>
      </c>
      <c r="H44" s="82"/>
      <c r="I44" s="76">
        <f>C44+E44-G44</f>
        <v>33791</v>
      </c>
      <c r="J44" s="186">
        <f t="shared" si="4"/>
        <v>4</v>
      </c>
      <c r="K44" s="53"/>
      <c r="L44" s="130">
        <v>308</v>
      </c>
      <c r="M44" s="130"/>
      <c r="N44" s="130">
        <v>351</v>
      </c>
      <c r="O44" s="130"/>
      <c r="P44" s="130">
        <v>266</v>
      </c>
      <c r="Q44" s="131"/>
      <c r="R44" s="187">
        <f t="shared" si="7"/>
        <v>925</v>
      </c>
      <c r="S44" s="188">
        <f t="shared" si="7"/>
        <v>0</v>
      </c>
      <c r="T44" s="53"/>
      <c r="U44" s="140">
        <f>L44*6+N44*6+P44*6</f>
        <v>5550</v>
      </c>
      <c r="V44" s="139">
        <f>U44/6</f>
        <v>925</v>
      </c>
      <c r="W44" s="142">
        <f>I44*6+J44</f>
        <v>202750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/>
      <c r="H48" s="148"/>
      <c r="I48" s="148">
        <f t="shared" si="4"/>
        <v>2355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14134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7</v>
      </c>
      <c r="D54" s="120"/>
      <c r="E54" s="121"/>
      <c r="F54" s="121"/>
      <c r="G54" s="79">
        <v>1</v>
      </c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>
        <v>1</v>
      </c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48888</v>
      </c>
      <c r="D60" s="57">
        <f>SUM(D8:D59)</f>
        <v>70</v>
      </c>
      <c r="E60" s="44">
        <f>SUM(E8:E59)</f>
        <v>0</v>
      </c>
      <c r="F60" s="44"/>
      <c r="G60" s="28">
        <f>SUM(G8:G59)</f>
        <v>1114</v>
      </c>
      <c r="H60" s="59">
        <f>SUM(H8:H59)</f>
        <v>40</v>
      </c>
      <c r="I60" s="59">
        <f>SUM(I8:I59)</f>
        <v>47774</v>
      </c>
      <c r="J60" s="45">
        <f>SUM(J8:J59)</f>
        <v>30</v>
      </c>
      <c r="K60" s="46"/>
      <c r="L60" s="77">
        <f t="shared" ref="L60:S60" si="20">SUM(L8:L59)</f>
        <v>352</v>
      </c>
      <c r="M60" s="77">
        <f t="shared" si="20"/>
        <v>5</v>
      </c>
      <c r="N60" s="77">
        <f t="shared" si="20"/>
        <v>414</v>
      </c>
      <c r="O60" s="77">
        <f t="shared" si="20"/>
        <v>27</v>
      </c>
      <c r="P60" s="77">
        <f t="shared" si="20"/>
        <v>348</v>
      </c>
      <c r="Q60" s="78">
        <f t="shared" si="20"/>
        <v>3</v>
      </c>
      <c r="R60" s="91">
        <f t="shared" si="20"/>
        <v>1114</v>
      </c>
      <c r="S60" s="90">
        <f t="shared" si="20"/>
        <v>35</v>
      </c>
      <c r="T60" s="46"/>
      <c r="U60" s="43">
        <f>SUM(U8:U59)</f>
        <v>7752</v>
      </c>
      <c r="V60" s="111">
        <f>SUM(V8:V59)</f>
        <v>1114</v>
      </c>
      <c r="W60" s="204">
        <f>SUM(W8:W59)</f>
        <v>394098</v>
      </c>
      <c r="X60" s="45"/>
    </row>
    <row r="61" spans="1:24" x14ac:dyDescent="0.25">
      <c r="V61" s="112"/>
    </row>
    <row r="62" spans="1:24" ht="19.5" thickBot="1" x14ac:dyDescent="0.3">
      <c r="V62" s="203"/>
    </row>
    <row r="63" spans="1:24" ht="18.75" customHeight="1" x14ac:dyDescent="0.25">
      <c r="G63" s="220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21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22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23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24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46084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191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67</v>
      </c>
      <c r="D8" s="120">
        <v>21</v>
      </c>
      <c r="E8" s="121"/>
      <c r="F8" s="121"/>
      <c r="G8" s="79">
        <v>1</v>
      </c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80</v>
      </c>
      <c r="D10" s="120"/>
      <c r="E10" s="121"/>
      <c r="F10" s="121"/>
      <c r="G10" s="79">
        <v>4</v>
      </c>
      <c r="H10" s="76"/>
      <c r="I10" s="76">
        <f t="shared" si="4"/>
        <v>76</v>
      </c>
      <c r="J10" s="104">
        <f t="shared" si="0"/>
        <v>0</v>
      </c>
      <c r="K10" s="41"/>
      <c r="L10" s="121">
        <v>1</v>
      </c>
      <c r="M10" s="121"/>
      <c r="N10" s="121">
        <v>2</v>
      </c>
      <c r="O10" s="121"/>
      <c r="P10" s="121">
        <v>1</v>
      </c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1824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40</v>
      </c>
      <c r="D11" s="120"/>
      <c r="E11" s="121"/>
      <c r="F11" s="121"/>
      <c r="G11" s="79">
        <v>1</v>
      </c>
      <c r="H11" s="76"/>
      <c r="I11" s="76">
        <f t="shared" si="4"/>
        <v>39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4022</v>
      </c>
      <c r="D13" s="123">
        <v>19</v>
      </c>
      <c r="E13" s="124"/>
      <c r="F13" s="124"/>
      <c r="G13" s="81">
        <v>22</v>
      </c>
      <c r="H13" s="82">
        <v>23</v>
      </c>
      <c r="I13" s="85">
        <f t="shared" si="4"/>
        <v>4000</v>
      </c>
      <c r="J13" s="103">
        <f>D13-H13</f>
        <v>-4</v>
      </c>
      <c r="K13" s="55"/>
      <c r="L13" s="130"/>
      <c r="M13" s="130">
        <v>9</v>
      </c>
      <c r="N13" s="130">
        <v>7</v>
      </c>
      <c r="O13" s="130">
        <v>14</v>
      </c>
      <c r="P13" s="130">
        <v>15</v>
      </c>
      <c r="Q13" s="131"/>
      <c r="R13" s="106">
        <f>L13+N13+P13</f>
        <v>22</v>
      </c>
      <c r="S13" s="134">
        <f>M13+O13+Q13</f>
        <v>23</v>
      </c>
      <c r="T13" s="55"/>
      <c r="U13" s="140">
        <f>L13*24+N13*24+P13*24</f>
        <v>528</v>
      </c>
      <c r="V13" s="144">
        <f t="shared" si="6"/>
        <v>22</v>
      </c>
      <c r="W13" s="142">
        <f>I13*24+J13</f>
        <v>95996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103</v>
      </c>
      <c r="D29" s="120"/>
      <c r="E29" s="121"/>
      <c r="F29" s="121"/>
      <c r="G29" s="79">
        <v>3</v>
      </c>
      <c r="H29" s="76"/>
      <c r="I29" s="76">
        <f t="shared" si="4"/>
        <v>100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16</v>
      </c>
      <c r="D32" s="120"/>
      <c r="E32" s="121"/>
      <c r="F32" s="121"/>
      <c r="G32" s="79">
        <v>1</v>
      </c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/>
      <c r="H35" s="76"/>
      <c r="I35" s="76">
        <f t="shared" si="4"/>
        <v>145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4636</v>
      </c>
      <c r="D38" s="123">
        <v>2</v>
      </c>
      <c r="E38" s="124"/>
      <c r="F38" s="124"/>
      <c r="G38" s="81">
        <v>138</v>
      </c>
      <c r="H38" s="82"/>
      <c r="I38" s="148">
        <f t="shared" si="4"/>
        <v>4498</v>
      </c>
      <c r="J38" s="149">
        <f t="shared" si="4"/>
        <v>2</v>
      </c>
      <c r="K38" s="53"/>
      <c r="L38" s="130">
        <v>31</v>
      </c>
      <c r="M38" s="130"/>
      <c r="N38" s="130">
        <v>71</v>
      </c>
      <c r="O38" s="130"/>
      <c r="P38" s="130">
        <v>36</v>
      </c>
      <c r="Q38" s="131"/>
      <c r="R38" s="106">
        <f t="shared" si="7"/>
        <v>138</v>
      </c>
      <c r="S38" s="134">
        <f t="shared" si="7"/>
        <v>0</v>
      </c>
      <c r="T38" s="53"/>
      <c r="U38" s="140">
        <f>L38*6+N38*6+P38*6</f>
        <v>828</v>
      </c>
      <c r="V38" s="144">
        <f>U38/6</f>
        <v>138</v>
      </c>
      <c r="W38" s="142">
        <f>I38*6+J38</f>
        <v>26990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559</v>
      </c>
      <c r="D41" s="156"/>
      <c r="E41" s="157"/>
      <c r="F41" s="157"/>
      <c r="G41" s="158">
        <v>1</v>
      </c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1485</v>
      </c>
      <c r="D42" s="173"/>
      <c r="E42" s="174"/>
      <c r="F42" s="174"/>
      <c r="G42" s="175">
        <v>29</v>
      </c>
      <c r="H42" s="176"/>
      <c r="I42" s="175">
        <f t="shared" si="4"/>
        <v>1456</v>
      </c>
      <c r="J42" s="177">
        <f t="shared" si="4"/>
        <v>0</v>
      </c>
      <c r="K42" s="178"/>
      <c r="L42" s="174">
        <v>7</v>
      </c>
      <c r="M42" s="174"/>
      <c r="N42" s="174">
        <v>2</v>
      </c>
      <c r="O42" s="174"/>
      <c r="P42" s="174">
        <v>20</v>
      </c>
      <c r="Q42" s="179"/>
      <c r="R42" s="180">
        <f t="shared" si="7"/>
        <v>29</v>
      </c>
      <c r="S42" s="181">
        <f t="shared" si="7"/>
        <v>0</v>
      </c>
      <c r="T42" s="178"/>
      <c r="U42" s="182">
        <f>L42*12+N42*12+P42*12</f>
        <v>348</v>
      </c>
      <c r="V42" s="183">
        <f>U42/12</f>
        <v>29</v>
      </c>
      <c r="W42" s="184">
        <f>I42*12+J42</f>
        <v>17472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33791</v>
      </c>
      <c r="D44" s="123">
        <v>4</v>
      </c>
      <c r="E44" s="124"/>
      <c r="F44" s="124"/>
      <c r="G44" s="81">
        <v>897</v>
      </c>
      <c r="H44" s="82"/>
      <c r="I44" s="76">
        <f>C44+E44-G44</f>
        <v>32894</v>
      </c>
      <c r="J44" s="186">
        <f t="shared" si="4"/>
        <v>4</v>
      </c>
      <c r="K44" s="53"/>
      <c r="L44" s="130">
        <v>382</v>
      </c>
      <c r="M44" s="130"/>
      <c r="N44" s="130">
        <v>224</v>
      </c>
      <c r="O44" s="130"/>
      <c r="P44" s="130">
        <v>291</v>
      </c>
      <c r="Q44" s="131"/>
      <c r="R44" s="187">
        <f t="shared" si="7"/>
        <v>897</v>
      </c>
      <c r="S44" s="188">
        <f t="shared" si="7"/>
        <v>0</v>
      </c>
      <c r="T44" s="53"/>
      <c r="U44" s="140">
        <f>L44*6+N44*6+P44*6</f>
        <v>5382</v>
      </c>
      <c r="V44" s="139">
        <f>U44/6</f>
        <v>897</v>
      </c>
      <c r="W44" s="142">
        <f>I44*6+J44</f>
        <v>197368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>
        <v>3</v>
      </c>
      <c r="H48" s="148"/>
      <c r="I48" s="148">
        <f t="shared" si="4"/>
        <v>2352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14116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47772</v>
      </c>
      <c r="D60" s="57">
        <f>SUM(D8:D59)</f>
        <v>78</v>
      </c>
      <c r="E60" s="44">
        <f>SUM(E8:E59)</f>
        <v>0</v>
      </c>
      <c r="F60" s="44"/>
      <c r="G60" s="28">
        <f>SUM(G8:G59)</f>
        <v>1100</v>
      </c>
      <c r="H60" s="59">
        <f>SUM(H8:H59)</f>
        <v>23</v>
      </c>
      <c r="I60" s="59">
        <f>SUM(I8:I59)</f>
        <v>46672</v>
      </c>
      <c r="J60" s="45">
        <f>SUM(J8:J59)</f>
        <v>55</v>
      </c>
      <c r="K60" s="46"/>
      <c r="L60" s="77">
        <f t="shared" ref="L60:S60" si="20">SUM(L8:L59)</f>
        <v>425</v>
      </c>
      <c r="M60" s="77">
        <f t="shared" si="20"/>
        <v>9</v>
      </c>
      <c r="N60" s="77">
        <f t="shared" si="20"/>
        <v>307</v>
      </c>
      <c r="O60" s="77">
        <f t="shared" si="20"/>
        <v>14</v>
      </c>
      <c r="P60" s="77">
        <f t="shared" si="20"/>
        <v>368</v>
      </c>
      <c r="Q60" s="78">
        <f t="shared" si="20"/>
        <v>0</v>
      </c>
      <c r="R60" s="91">
        <f t="shared" si="20"/>
        <v>1100</v>
      </c>
      <c r="S60" s="90">
        <f t="shared" si="20"/>
        <v>23</v>
      </c>
      <c r="T60" s="46"/>
      <c r="U60" s="43">
        <f>SUM(U8:U59)</f>
        <v>7368</v>
      </c>
      <c r="V60" s="111">
        <f>SUM(V8:V59)</f>
        <v>1100</v>
      </c>
      <c r="W60" s="204">
        <f>SUM(W8:W59)</f>
        <v>386707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46085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191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76</v>
      </c>
      <c r="D10" s="120"/>
      <c r="E10" s="121"/>
      <c r="F10" s="121"/>
      <c r="G10" s="79">
        <v>8</v>
      </c>
      <c r="H10" s="76"/>
      <c r="I10" s="76">
        <f t="shared" si="4"/>
        <v>68</v>
      </c>
      <c r="J10" s="104">
        <f t="shared" si="0"/>
        <v>0</v>
      </c>
      <c r="K10" s="41"/>
      <c r="L10" s="121"/>
      <c r="M10" s="121"/>
      <c r="N10" s="121"/>
      <c r="O10" s="121"/>
      <c r="P10" s="121">
        <v>8</v>
      </c>
      <c r="Q10" s="129"/>
      <c r="R10" s="108">
        <f t="shared" si="1"/>
        <v>8</v>
      </c>
      <c r="S10" s="135">
        <f t="shared" si="1"/>
        <v>0</v>
      </c>
      <c r="T10" s="41"/>
      <c r="U10" s="116">
        <f>L10*24+N10*24+P10*24</f>
        <v>192</v>
      </c>
      <c r="V10" s="143">
        <f>U10/24</f>
        <v>8</v>
      </c>
      <c r="W10" s="138">
        <f t="shared" si="2"/>
        <v>1632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39</v>
      </c>
      <c r="D11" s="120"/>
      <c r="E11" s="121"/>
      <c r="F11" s="121"/>
      <c r="G11" s="79">
        <v>3</v>
      </c>
      <c r="H11" s="76"/>
      <c r="I11" s="76">
        <f t="shared" si="4"/>
        <v>36</v>
      </c>
      <c r="J11" s="80">
        <f t="shared" si="0"/>
        <v>0</v>
      </c>
      <c r="K11" s="41"/>
      <c r="L11" s="121"/>
      <c r="M11" s="121"/>
      <c r="N11" s="121">
        <v>2</v>
      </c>
      <c r="O11" s="121"/>
      <c r="P11" s="121">
        <v>1</v>
      </c>
      <c r="Q11" s="129"/>
      <c r="R11" s="92">
        <f t="shared" si="1"/>
        <v>3</v>
      </c>
      <c r="S11" s="133">
        <f t="shared" si="1"/>
        <v>0</v>
      </c>
      <c r="T11" s="41"/>
      <c r="U11" s="116">
        <f>L11*24+N11*24+P11*24</f>
        <v>72</v>
      </c>
      <c r="V11" s="139">
        <f>U11/24</f>
        <v>3</v>
      </c>
      <c r="W11" s="138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3999</v>
      </c>
      <c r="D13" s="123">
        <v>20</v>
      </c>
      <c r="E13" s="124"/>
      <c r="F13" s="124"/>
      <c r="G13" s="81">
        <v>40</v>
      </c>
      <c r="H13" s="82">
        <v>26</v>
      </c>
      <c r="I13" s="85">
        <f t="shared" si="4"/>
        <v>3959</v>
      </c>
      <c r="J13" s="103">
        <f>D13-H13</f>
        <v>-6</v>
      </c>
      <c r="K13" s="55"/>
      <c r="L13" s="130">
        <v>18</v>
      </c>
      <c r="M13" s="130">
        <v>14</v>
      </c>
      <c r="N13" s="130">
        <v>14</v>
      </c>
      <c r="O13" s="130">
        <v>5</v>
      </c>
      <c r="P13" s="130">
        <v>8</v>
      </c>
      <c r="Q13" s="131">
        <v>7</v>
      </c>
      <c r="R13" s="106">
        <f>L13+N13+P13</f>
        <v>40</v>
      </c>
      <c r="S13" s="134">
        <f>M13+O13+Q13</f>
        <v>26</v>
      </c>
      <c r="T13" s="55"/>
      <c r="U13" s="140">
        <f>L13*24+N13*24+P13*24</f>
        <v>960</v>
      </c>
      <c r="V13" s="144">
        <f t="shared" si="6"/>
        <v>40</v>
      </c>
      <c r="W13" s="142">
        <f>I13*24+J13</f>
        <v>95010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>
        <v>2</v>
      </c>
      <c r="H26" s="76"/>
      <c r="I26" s="76">
        <f t="shared" si="4"/>
        <v>123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2963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100</v>
      </c>
      <c r="D29" s="120"/>
      <c r="E29" s="121"/>
      <c r="F29" s="121"/>
      <c r="G29" s="79">
        <v>3</v>
      </c>
      <c r="H29" s="76"/>
      <c r="I29" s="76">
        <f t="shared" si="4"/>
        <v>97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2328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/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>
        <v>10</v>
      </c>
      <c r="H35" s="76"/>
      <c r="I35" s="76">
        <f t="shared" si="4"/>
        <v>135</v>
      </c>
      <c r="J35" s="80">
        <f t="shared" si="4"/>
        <v>17</v>
      </c>
      <c r="K35" s="41"/>
      <c r="L35" s="121">
        <v>10</v>
      </c>
      <c r="M35" s="121"/>
      <c r="N35" s="121"/>
      <c r="O35" s="121"/>
      <c r="P35" s="121"/>
      <c r="Q35" s="129"/>
      <c r="R35" s="92">
        <f t="shared" si="7"/>
        <v>10</v>
      </c>
      <c r="S35" s="133">
        <f t="shared" si="7"/>
        <v>0</v>
      </c>
      <c r="T35" s="41"/>
      <c r="U35" s="116">
        <f t="shared" si="5"/>
        <v>240</v>
      </c>
      <c r="V35" s="139">
        <f t="shared" si="6"/>
        <v>10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4498</v>
      </c>
      <c r="D38" s="123">
        <v>2</v>
      </c>
      <c r="E38" s="124"/>
      <c r="F38" s="124"/>
      <c r="G38" s="81">
        <v>146</v>
      </c>
      <c r="H38" s="82"/>
      <c r="I38" s="148">
        <f t="shared" si="4"/>
        <v>4352</v>
      </c>
      <c r="J38" s="149">
        <f t="shared" si="4"/>
        <v>2</v>
      </c>
      <c r="K38" s="53"/>
      <c r="L38" s="130">
        <v>117</v>
      </c>
      <c r="M38" s="130"/>
      <c r="N38" s="130"/>
      <c r="O38" s="130"/>
      <c r="P38" s="130">
        <v>29</v>
      </c>
      <c r="Q38" s="131"/>
      <c r="R38" s="106">
        <f t="shared" si="7"/>
        <v>146</v>
      </c>
      <c r="S38" s="134">
        <f t="shared" si="7"/>
        <v>0</v>
      </c>
      <c r="T38" s="53"/>
      <c r="U38" s="140">
        <f>L38*6+N38*6+P38*6</f>
        <v>876</v>
      </c>
      <c r="V38" s="144">
        <f>U38/6</f>
        <v>146</v>
      </c>
      <c r="W38" s="142">
        <f>I38*6+J38</f>
        <v>26114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>
        <v>1</v>
      </c>
      <c r="H39" s="76"/>
      <c r="I39" s="79">
        <f t="shared" si="4"/>
        <v>18</v>
      </c>
      <c r="J39" s="80">
        <f t="shared" si="4"/>
        <v>0</v>
      </c>
      <c r="K39" s="41"/>
      <c r="L39" s="121"/>
      <c r="M39" s="121"/>
      <c r="N39" s="121"/>
      <c r="O39" s="121"/>
      <c r="P39" s="121">
        <v>1</v>
      </c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432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1456</v>
      </c>
      <c r="D42" s="173"/>
      <c r="E42" s="174"/>
      <c r="F42" s="174"/>
      <c r="G42" s="175">
        <v>6</v>
      </c>
      <c r="H42" s="176"/>
      <c r="I42" s="175">
        <f t="shared" si="4"/>
        <v>1450</v>
      </c>
      <c r="J42" s="177">
        <f t="shared" si="4"/>
        <v>0</v>
      </c>
      <c r="K42" s="178"/>
      <c r="L42" s="174">
        <v>6</v>
      </c>
      <c r="M42" s="174"/>
      <c r="N42" s="174"/>
      <c r="O42" s="174"/>
      <c r="P42" s="174"/>
      <c r="Q42" s="179"/>
      <c r="R42" s="180">
        <f t="shared" si="7"/>
        <v>6</v>
      </c>
      <c r="S42" s="181">
        <f t="shared" si="7"/>
        <v>0</v>
      </c>
      <c r="T42" s="178"/>
      <c r="U42" s="182">
        <f>L42*12+N42*12+P42*12</f>
        <v>72</v>
      </c>
      <c r="V42" s="183">
        <f>U42/12</f>
        <v>6</v>
      </c>
      <c r="W42" s="184">
        <f>I42*12+J42</f>
        <v>17400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32894</v>
      </c>
      <c r="D44" s="123">
        <v>4</v>
      </c>
      <c r="E44" s="124"/>
      <c r="F44" s="124"/>
      <c r="G44" s="81">
        <v>955</v>
      </c>
      <c r="H44" s="82"/>
      <c r="I44" s="76">
        <f>C44+E44-G44</f>
        <v>31939</v>
      </c>
      <c r="J44" s="186">
        <f t="shared" si="4"/>
        <v>4</v>
      </c>
      <c r="K44" s="53"/>
      <c r="L44" s="130">
        <v>359</v>
      </c>
      <c r="M44" s="130"/>
      <c r="N44" s="130">
        <v>326</v>
      </c>
      <c r="O44" s="130"/>
      <c r="P44" s="130">
        <v>270</v>
      </c>
      <c r="Q44" s="131"/>
      <c r="R44" s="187">
        <f t="shared" si="7"/>
        <v>955</v>
      </c>
      <c r="S44" s="188">
        <f t="shared" si="7"/>
        <v>0</v>
      </c>
      <c r="T44" s="53"/>
      <c r="U44" s="140">
        <f>L44*6+N44*6+P44*6</f>
        <v>5730</v>
      </c>
      <c r="V44" s="139">
        <f>U44/6</f>
        <v>955</v>
      </c>
      <c r="W44" s="142">
        <f>I44*6+J44</f>
        <v>191638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2352</v>
      </c>
      <c r="D48" s="151">
        <v>4</v>
      </c>
      <c r="E48" s="130"/>
      <c r="F48" s="130"/>
      <c r="G48" s="152">
        <v>3</v>
      </c>
      <c r="H48" s="148"/>
      <c r="I48" s="148">
        <f t="shared" si="4"/>
        <v>2349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46671</v>
      </c>
      <c r="D60" s="57">
        <f>SUM(D8:D59)</f>
        <v>79</v>
      </c>
      <c r="E60" s="44">
        <f>SUM(E8:E59)</f>
        <v>0</v>
      </c>
      <c r="F60" s="44"/>
      <c r="G60" s="28">
        <f>SUM(G8:G59)</f>
        <v>1177</v>
      </c>
      <c r="H60" s="59">
        <f>SUM(H8:H59)</f>
        <v>26</v>
      </c>
      <c r="I60" s="59">
        <f>SUM(I8:I59)</f>
        <v>45494</v>
      </c>
      <c r="J60" s="45">
        <f>SUM(J8:J59)</f>
        <v>53</v>
      </c>
      <c r="K60" s="46"/>
      <c r="L60" s="77">
        <f t="shared" ref="L60:S60" si="20">SUM(L8:L59)</f>
        <v>515</v>
      </c>
      <c r="M60" s="77">
        <f t="shared" si="20"/>
        <v>14</v>
      </c>
      <c r="N60" s="77">
        <f t="shared" si="20"/>
        <v>342</v>
      </c>
      <c r="O60" s="77">
        <f t="shared" si="20"/>
        <v>5</v>
      </c>
      <c r="P60" s="77">
        <f t="shared" si="20"/>
        <v>317</v>
      </c>
      <c r="Q60" s="78">
        <f t="shared" si="20"/>
        <v>7</v>
      </c>
      <c r="R60" s="91">
        <f t="shared" si="20"/>
        <v>1174</v>
      </c>
      <c r="S60" s="90">
        <f t="shared" si="20"/>
        <v>26</v>
      </c>
      <c r="T60" s="46"/>
      <c r="U60" s="43">
        <f>SUM(U8:U59)</f>
        <v>8232</v>
      </c>
      <c r="V60" s="111">
        <f>SUM(V8:V59)</f>
        <v>1174</v>
      </c>
      <c r="W60" s="204">
        <f>SUM(W8:W59)</f>
        <v>378377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F64C-9CBB-404D-8082-999D1B2E0E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46086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07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68</v>
      </c>
      <c r="D10" s="120"/>
      <c r="E10" s="121"/>
      <c r="F10" s="121"/>
      <c r="G10" s="79">
        <v>17</v>
      </c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>
        <v>17</v>
      </c>
      <c r="O10" s="121"/>
      <c r="P10" s="121"/>
      <c r="Q10" s="129"/>
      <c r="R10" s="108">
        <f t="shared" si="1"/>
        <v>17</v>
      </c>
      <c r="S10" s="135">
        <f t="shared" si="1"/>
        <v>0</v>
      </c>
      <c r="T10" s="41"/>
      <c r="U10" s="116">
        <f>L10*24+N10*24+P10*24</f>
        <v>408</v>
      </c>
      <c r="V10" s="143">
        <f>U10/24</f>
        <v>17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36</v>
      </c>
      <c r="D11" s="120"/>
      <c r="E11" s="121"/>
      <c r="F11" s="121"/>
      <c r="G11" s="79">
        <v>13</v>
      </c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>
        <v>13</v>
      </c>
      <c r="O11" s="121"/>
      <c r="P11" s="121"/>
      <c r="Q11" s="129"/>
      <c r="R11" s="92">
        <f t="shared" si="1"/>
        <v>13</v>
      </c>
      <c r="S11" s="133">
        <f t="shared" si="1"/>
        <v>0</v>
      </c>
      <c r="T11" s="41"/>
      <c r="U11" s="116">
        <f>L11*24+N11*24+P11*24</f>
        <v>312</v>
      </c>
      <c r="V11" s="139">
        <f>U11/24</f>
        <v>13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3958</v>
      </c>
      <c r="D13" s="123">
        <v>18</v>
      </c>
      <c r="E13" s="124"/>
      <c r="F13" s="124"/>
      <c r="G13" s="81">
        <v>17</v>
      </c>
      <c r="H13" s="82"/>
      <c r="I13" s="85">
        <f t="shared" si="4"/>
        <v>3941</v>
      </c>
      <c r="J13" s="103">
        <f>D13-H13</f>
        <v>18</v>
      </c>
      <c r="K13" s="55"/>
      <c r="L13" s="130">
        <v>10</v>
      </c>
      <c r="M13" s="130"/>
      <c r="N13" s="130">
        <v>7</v>
      </c>
      <c r="O13" s="130"/>
      <c r="P13" s="130"/>
      <c r="Q13" s="131"/>
      <c r="R13" s="106">
        <f>L13+N13+P13</f>
        <v>17</v>
      </c>
      <c r="S13" s="134">
        <f>M13+O13+Q13</f>
        <v>0</v>
      </c>
      <c r="T13" s="55"/>
      <c r="U13" s="140">
        <f>L13*24+N13*24+P13*24</f>
        <v>408</v>
      </c>
      <c r="V13" s="144">
        <f t="shared" si="6"/>
        <v>17</v>
      </c>
      <c r="W13" s="142">
        <f>I13*24+J13</f>
        <v>94602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>
        <v>2</v>
      </c>
      <c r="H24" s="76"/>
      <c r="I24" s="76">
        <f t="shared" si="4"/>
        <v>45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/>
      <c r="Q24" s="129"/>
      <c r="R24" s="92">
        <f t="shared" si="7"/>
        <v>2</v>
      </c>
      <c r="S24" s="133">
        <f t="shared" si="7"/>
        <v>0</v>
      </c>
      <c r="T24" s="42"/>
      <c r="U24" s="116">
        <f t="shared" si="5"/>
        <v>48</v>
      </c>
      <c r="V24" s="139">
        <f t="shared" si="6"/>
        <v>2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123</v>
      </c>
      <c r="D26" s="120">
        <v>11</v>
      </c>
      <c r="E26" s="121"/>
      <c r="F26" s="121"/>
      <c r="G26" s="79">
        <v>1</v>
      </c>
      <c r="H26" s="76"/>
      <c r="I26" s="76">
        <f t="shared" si="4"/>
        <v>122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>
        <v>4</v>
      </c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>
        <v>4</v>
      </c>
      <c r="O27" s="121"/>
      <c r="P27" s="121"/>
      <c r="Q27" s="129"/>
      <c r="R27" s="92">
        <f t="shared" si="7"/>
        <v>4</v>
      </c>
      <c r="S27" s="133">
        <f t="shared" si="7"/>
        <v>0</v>
      </c>
      <c r="T27" s="42"/>
      <c r="U27" s="116">
        <f t="shared" si="5"/>
        <v>96</v>
      </c>
      <c r="V27" s="139">
        <f t="shared" si="6"/>
        <v>4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97</v>
      </c>
      <c r="D29" s="120"/>
      <c r="E29" s="121"/>
      <c r="F29" s="121"/>
      <c r="G29" s="79">
        <v>2</v>
      </c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>
        <v>2</v>
      </c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>
        <v>11</v>
      </c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>
        <v>11</v>
      </c>
      <c r="O32" s="121"/>
      <c r="P32" s="121"/>
      <c r="Q32" s="129"/>
      <c r="R32" s="92">
        <f t="shared" si="7"/>
        <v>11</v>
      </c>
      <c r="S32" s="133">
        <f t="shared" si="7"/>
        <v>0</v>
      </c>
      <c r="T32" s="41"/>
      <c r="U32" s="116">
        <f t="shared" si="5"/>
        <v>264</v>
      </c>
      <c r="V32" s="139">
        <f t="shared" si="6"/>
        <v>11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>
        <v>3</v>
      </c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>
        <v>3</v>
      </c>
      <c r="O34" s="121"/>
      <c r="P34" s="121"/>
      <c r="Q34" s="129"/>
      <c r="R34" s="92">
        <f t="shared" si="7"/>
        <v>3</v>
      </c>
      <c r="S34" s="133">
        <f t="shared" si="7"/>
        <v>0</v>
      </c>
      <c r="T34" s="41"/>
      <c r="U34" s="116">
        <f t="shared" si="5"/>
        <v>72</v>
      </c>
      <c r="V34" s="139">
        <f t="shared" si="6"/>
        <v>3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4352</v>
      </c>
      <c r="D38" s="123">
        <v>2</v>
      </c>
      <c r="E38" s="124"/>
      <c r="F38" s="124"/>
      <c r="G38" s="81">
        <v>34</v>
      </c>
      <c r="H38" s="82"/>
      <c r="I38" s="148">
        <f t="shared" si="4"/>
        <v>4318</v>
      </c>
      <c r="J38" s="149">
        <f t="shared" si="4"/>
        <v>2</v>
      </c>
      <c r="K38" s="53"/>
      <c r="L38" s="130">
        <v>10</v>
      </c>
      <c r="M38" s="130"/>
      <c r="N38" s="130">
        <v>24</v>
      </c>
      <c r="O38" s="130"/>
      <c r="P38" s="130"/>
      <c r="Q38" s="131"/>
      <c r="R38" s="106">
        <f t="shared" si="7"/>
        <v>34</v>
      </c>
      <c r="S38" s="134">
        <f t="shared" si="7"/>
        <v>0</v>
      </c>
      <c r="T38" s="53"/>
      <c r="U38" s="140">
        <f>L38*6+N38*6+P38*6</f>
        <v>204</v>
      </c>
      <c r="V38" s="144">
        <f>U38/6</f>
        <v>34</v>
      </c>
      <c r="W38" s="142">
        <f>I38*6+J38</f>
        <v>25910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18</v>
      </c>
      <c r="D39" s="120"/>
      <c r="E39" s="121"/>
      <c r="F39" s="121"/>
      <c r="G39" s="79">
        <v>6</v>
      </c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>
        <v>6</v>
      </c>
      <c r="O39" s="121"/>
      <c r="P39" s="121"/>
      <c r="Q39" s="129"/>
      <c r="R39" s="105">
        <f t="shared" si="7"/>
        <v>6</v>
      </c>
      <c r="S39" s="135">
        <f t="shared" si="7"/>
        <v>0</v>
      </c>
      <c r="T39" s="41"/>
      <c r="U39" s="116">
        <f t="shared" ref="U39:U41" si="9">L39*24+N39*24+P39*24</f>
        <v>144</v>
      </c>
      <c r="V39" s="118">
        <f t="shared" si="6"/>
        <v>6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1450</v>
      </c>
      <c r="D42" s="173"/>
      <c r="E42" s="174"/>
      <c r="F42" s="174"/>
      <c r="G42" s="175">
        <v>1</v>
      </c>
      <c r="H42" s="176"/>
      <c r="I42" s="175">
        <f t="shared" si="4"/>
        <v>1449</v>
      </c>
      <c r="J42" s="177">
        <f t="shared" si="4"/>
        <v>0</v>
      </c>
      <c r="K42" s="178"/>
      <c r="L42" s="174"/>
      <c r="M42" s="174"/>
      <c r="N42" s="174">
        <v>1</v>
      </c>
      <c r="O42" s="174"/>
      <c r="P42" s="174"/>
      <c r="Q42" s="179"/>
      <c r="R42" s="180">
        <f t="shared" si="7"/>
        <v>1</v>
      </c>
      <c r="S42" s="181">
        <f t="shared" si="7"/>
        <v>0</v>
      </c>
      <c r="T42" s="178"/>
      <c r="U42" s="182">
        <f>L42*12+N42*12+P42*12</f>
        <v>12</v>
      </c>
      <c r="V42" s="183">
        <f>U42/12</f>
        <v>1</v>
      </c>
      <c r="W42" s="184">
        <f>I42*12+J42</f>
        <v>17388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31939</v>
      </c>
      <c r="D44" s="123">
        <v>4</v>
      </c>
      <c r="E44" s="124"/>
      <c r="F44" s="124"/>
      <c r="G44" s="81">
        <v>623</v>
      </c>
      <c r="H44" s="82"/>
      <c r="I44" s="76">
        <f>C44+E44-G44</f>
        <v>31316</v>
      </c>
      <c r="J44" s="186">
        <f t="shared" si="4"/>
        <v>4</v>
      </c>
      <c r="K44" s="53"/>
      <c r="L44" s="130">
        <v>377</v>
      </c>
      <c r="M44" s="130"/>
      <c r="N44" s="130">
        <v>246</v>
      </c>
      <c r="O44" s="130"/>
      <c r="P44" s="130"/>
      <c r="Q44" s="131"/>
      <c r="R44" s="187">
        <f t="shared" si="7"/>
        <v>623</v>
      </c>
      <c r="S44" s="188">
        <f t="shared" si="7"/>
        <v>0</v>
      </c>
      <c r="T44" s="53"/>
      <c r="U44" s="140">
        <f>L44*6+N44*6+P44*6</f>
        <v>3738</v>
      </c>
      <c r="V44" s="139">
        <f>U44/6</f>
        <v>623</v>
      </c>
      <c r="W44" s="142">
        <f>I44*6+J44</f>
        <v>187900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>
        <v>4</v>
      </c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>
        <v>4</v>
      </c>
      <c r="O47" s="121"/>
      <c r="P47" s="121"/>
      <c r="Q47" s="129"/>
      <c r="R47" s="92">
        <f t="shared" si="7"/>
        <v>4</v>
      </c>
      <c r="S47" s="133">
        <f t="shared" si="7"/>
        <v>0</v>
      </c>
      <c r="T47" s="41"/>
      <c r="U47" s="116">
        <f t="shared" si="11"/>
        <v>96</v>
      </c>
      <c r="V47" s="139">
        <f t="shared" si="12"/>
        <v>4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>
        <v>1</v>
      </c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>
        <v>1</v>
      </c>
      <c r="O54" s="121"/>
      <c r="P54" s="121"/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45493</v>
      </c>
      <c r="D60" s="57">
        <f>SUM(D8:D59)</f>
        <v>77</v>
      </c>
      <c r="E60" s="44">
        <f>SUM(E8:E59)</f>
        <v>0</v>
      </c>
      <c r="F60" s="44"/>
      <c r="G60" s="28">
        <f>SUM(G8:G59)</f>
        <v>739</v>
      </c>
      <c r="H60" s="59">
        <f>SUM(H8:H59)</f>
        <v>0</v>
      </c>
      <c r="I60" s="59">
        <f>SUM(I8:I59)</f>
        <v>44754</v>
      </c>
      <c r="J60" s="45">
        <f>SUM(J8:J59)</f>
        <v>77</v>
      </c>
      <c r="K60" s="46"/>
      <c r="L60" s="77">
        <f t="shared" ref="L60:S60" si="20">SUM(L8:L59)</f>
        <v>400</v>
      </c>
      <c r="M60" s="77">
        <f t="shared" si="20"/>
        <v>0</v>
      </c>
      <c r="N60" s="77">
        <f t="shared" si="20"/>
        <v>339</v>
      </c>
      <c r="O60" s="77">
        <f t="shared" si="20"/>
        <v>0</v>
      </c>
      <c r="P60" s="77">
        <f t="shared" si="20"/>
        <v>1</v>
      </c>
      <c r="Q60" s="78">
        <f t="shared" si="20"/>
        <v>0</v>
      </c>
      <c r="R60" s="91">
        <f t="shared" si="20"/>
        <v>740</v>
      </c>
      <c r="S60" s="90">
        <f t="shared" si="20"/>
        <v>0</v>
      </c>
      <c r="T60" s="46"/>
      <c r="U60" s="43">
        <f>SUM(U8:U59)</f>
        <v>5922</v>
      </c>
      <c r="V60" s="111">
        <f>SUM(V8:V59)</f>
        <v>740</v>
      </c>
      <c r="W60" s="204">
        <f>SUM(W8:W59)</f>
        <v>372479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5" t="s">
        <v>3</v>
      </c>
      <c r="D69" s="20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56B4F-BBDA-4848-8850-351661DB2A3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46087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10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/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/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3941</v>
      </c>
      <c r="D13" s="123">
        <v>18</v>
      </c>
      <c r="E13" s="124"/>
      <c r="F13" s="124"/>
      <c r="G13" s="81">
        <v>13</v>
      </c>
      <c r="H13" s="82">
        <v>13</v>
      </c>
      <c r="I13" s="85">
        <f t="shared" si="4"/>
        <v>3928</v>
      </c>
      <c r="J13" s="103">
        <f>D13-H13</f>
        <v>5</v>
      </c>
      <c r="K13" s="55"/>
      <c r="L13" s="130"/>
      <c r="M13" s="130"/>
      <c r="N13" s="130"/>
      <c r="O13" s="130"/>
      <c r="P13" s="130">
        <v>13</v>
      </c>
      <c r="Q13" s="131">
        <v>13</v>
      </c>
      <c r="R13" s="106">
        <f>L13+N13+P13</f>
        <v>13</v>
      </c>
      <c r="S13" s="134">
        <f>M13+O13+Q13</f>
        <v>13</v>
      </c>
      <c r="T13" s="55"/>
      <c r="U13" s="140">
        <f>L13*24+N13*24+P13*24</f>
        <v>312</v>
      </c>
      <c r="V13" s="144">
        <f t="shared" si="6"/>
        <v>13</v>
      </c>
      <c r="W13" s="142">
        <f>I13*24+J13</f>
        <v>94277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/>
      <c r="H24" s="76"/>
      <c r="I24" s="76">
        <f t="shared" si="4"/>
        <v>45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/>
      <c r="H26" s="76"/>
      <c r="I26" s="76">
        <f t="shared" si="4"/>
        <v>122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/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/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4318</v>
      </c>
      <c r="D38" s="123">
        <v>2</v>
      </c>
      <c r="E38" s="124"/>
      <c r="F38" s="124"/>
      <c r="G38" s="81">
        <v>111</v>
      </c>
      <c r="H38" s="82"/>
      <c r="I38" s="148">
        <f t="shared" si="4"/>
        <v>4207</v>
      </c>
      <c r="J38" s="149">
        <f t="shared" si="4"/>
        <v>2</v>
      </c>
      <c r="K38" s="53"/>
      <c r="L38" s="130"/>
      <c r="M38" s="130"/>
      <c r="N38" s="130"/>
      <c r="O38" s="130"/>
      <c r="P38" s="130">
        <v>111</v>
      </c>
      <c r="Q38" s="131"/>
      <c r="R38" s="106">
        <f t="shared" si="7"/>
        <v>111</v>
      </c>
      <c r="S38" s="134">
        <f t="shared" si="7"/>
        <v>0</v>
      </c>
      <c r="T38" s="53"/>
      <c r="U38" s="140">
        <f>L38*6+N38*6+P38*6</f>
        <v>666</v>
      </c>
      <c r="V38" s="144">
        <f>U38/6</f>
        <v>111</v>
      </c>
      <c r="W38" s="142">
        <f>I38*6+J38</f>
        <v>25244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1449</v>
      </c>
      <c r="D42" s="173"/>
      <c r="E42" s="174"/>
      <c r="F42" s="174"/>
      <c r="G42" s="175">
        <v>10</v>
      </c>
      <c r="H42" s="176"/>
      <c r="I42" s="175">
        <f t="shared" si="4"/>
        <v>1439</v>
      </c>
      <c r="J42" s="177">
        <f t="shared" si="4"/>
        <v>0</v>
      </c>
      <c r="K42" s="178"/>
      <c r="L42" s="174"/>
      <c r="M42" s="174"/>
      <c r="N42" s="174"/>
      <c r="O42" s="174"/>
      <c r="P42" s="174">
        <v>10</v>
      </c>
      <c r="Q42" s="179"/>
      <c r="R42" s="180">
        <f t="shared" si="7"/>
        <v>10</v>
      </c>
      <c r="S42" s="181">
        <f t="shared" si="7"/>
        <v>0</v>
      </c>
      <c r="T42" s="178"/>
      <c r="U42" s="182">
        <f>L42*12+N42*12+P42*12</f>
        <v>120</v>
      </c>
      <c r="V42" s="183">
        <f>U42/12</f>
        <v>10</v>
      </c>
      <c r="W42" s="184">
        <f>I42*12+J42</f>
        <v>17268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31316</v>
      </c>
      <c r="D44" s="123">
        <v>4</v>
      </c>
      <c r="E44" s="124"/>
      <c r="F44" s="124"/>
      <c r="G44" s="81">
        <v>355</v>
      </c>
      <c r="H44" s="82"/>
      <c r="I44" s="76">
        <f>C44+E44-G44</f>
        <v>30961</v>
      </c>
      <c r="J44" s="186">
        <f t="shared" si="4"/>
        <v>4</v>
      </c>
      <c r="K44" s="53"/>
      <c r="L44" s="130"/>
      <c r="M44" s="130"/>
      <c r="N44" s="130"/>
      <c r="O44" s="130"/>
      <c r="P44" s="130">
        <v>355</v>
      </c>
      <c r="Q44" s="131"/>
      <c r="R44" s="187">
        <f t="shared" si="7"/>
        <v>355</v>
      </c>
      <c r="S44" s="188">
        <f t="shared" si="7"/>
        <v>0</v>
      </c>
      <c r="T44" s="53"/>
      <c r="U44" s="140">
        <f>L44*6+N44*6+P44*6</f>
        <v>2130</v>
      </c>
      <c r="V44" s="139">
        <f>U44/6</f>
        <v>355</v>
      </c>
      <c r="W44" s="142">
        <f>I44*6+J44</f>
        <v>185770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f>2349</f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44754</v>
      </c>
      <c r="D60" s="57">
        <f>SUM(D8:D59)</f>
        <v>77</v>
      </c>
      <c r="E60" s="44">
        <f>SUM(E8:E59)</f>
        <v>0</v>
      </c>
      <c r="F60" s="44"/>
      <c r="G60" s="28">
        <f>SUM(G8:G59)</f>
        <v>489</v>
      </c>
      <c r="H60" s="59">
        <f>SUM(H8:H59)</f>
        <v>13</v>
      </c>
      <c r="I60" s="59">
        <f>SUM(I8:I59)</f>
        <v>44265</v>
      </c>
      <c r="J60" s="45">
        <f>SUM(J8:J59)</f>
        <v>64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489</v>
      </c>
      <c r="Q60" s="78">
        <f t="shared" si="20"/>
        <v>13</v>
      </c>
      <c r="R60" s="91">
        <f t="shared" si="20"/>
        <v>489</v>
      </c>
      <c r="S60" s="90">
        <f t="shared" si="20"/>
        <v>13</v>
      </c>
      <c r="T60" s="46"/>
      <c r="U60" s="43">
        <f>SUM(U8:U59)</f>
        <v>3228</v>
      </c>
      <c r="V60" s="111">
        <f>SUM(V8:V59)</f>
        <v>489</v>
      </c>
      <c r="W60" s="204">
        <f>SUM(W8:W59)</f>
        <v>369238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8" t="s">
        <v>3</v>
      </c>
      <c r="D69" s="209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D743-CA9C-4AAC-8035-6E5856B3D30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46088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13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>
        <v>18</v>
      </c>
      <c r="H10" s="76"/>
      <c r="I10" s="76">
        <f t="shared" si="4"/>
        <v>33</v>
      </c>
      <c r="J10" s="104">
        <f t="shared" si="0"/>
        <v>0</v>
      </c>
      <c r="K10" s="41"/>
      <c r="L10" s="121">
        <v>2</v>
      </c>
      <c r="M10" s="121"/>
      <c r="N10" s="121">
        <v>1</v>
      </c>
      <c r="O10" s="121"/>
      <c r="P10" s="121">
        <v>15</v>
      </c>
      <c r="Q10" s="129"/>
      <c r="R10" s="108">
        <f t="shared" si="1"/>
        <v>18</v>
      </c>
      <c r="S10" s="135">
        <f t="shared" si="1"/>
        <v>0</v>
      </c>
      <c r="T10" s="41"/>
      <c r="U10" s="116">
        <f>L10*24+N10*24+P10*24</f>
        <v>432</v>
      </c>
      <c r="V10" s="143">
        <f>U10/24</f>
        <v>18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>
        <v>16</v>
      </c>
      <c r="H11" s="76"/>
      <c r="I11" s="76">
        <f t="shared" si="4"/>
        <v>7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15</v>
      </c>
      <c r="Q11" s="129"/>
      <c r="R11" s="92">
        <f t="shared" si="1"/>
        <v>16</v>
      </c>
      <c r="S11" s="133">
        <f t="shared" si="1"/>
        <v>0</v>
      </c>
      <c r="T11" s="41"/>
      <c r="U11" s="116">
        <f>L11*24+N11*24+P11*24</f>
        <v>384</v>
      </c>
      <c r="V11" s="139">
        <f>U11/24</f>
        <v>16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3928</v>
      </c>
      <c r="D13" s="123">
        <v>5</v>
      </c>
      <c r="E13" s="124"/>
      <c r="F13" s="124"/>
      <c r="G13" s="81">
        <v>30</v>
      </c>
      <c r="H13" s="82"/>
      <c r="I13" s="85">
        <f t="shared" si="4"/>
        <v>3898</v>
      </c>
      <c r="J13" s="103">
        <f>D13-H13</f>
        <v>5</v>
      </c>
      <c r="K13" s="55"/>
      <c r="L13" s="130">
        <v>1</v>
      </c>
      <c r="M13" s="130"/>
      <c r="N13" s="130">
        <v>10</v>
      </c>
      <c r="O13" s="130"/>
      <c r="P13" s="130">
        <v>19</v>
      </c>
      <c r="Q13" s="131"/>
      <c r="R13" s="106">
        <f>L13+N13+P13</f>
        <v>30</v>
      </c>
      <c r="S13" s="134">
        <f>M13+O13+Q13</f>
        <v>0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93557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>
        <v>3</v>
      </c>
      <c r="H24" s="76"/>
      <c r="I24" s="76">
        <f t="shared" si="4"/>
        <v>42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1008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>
        <v>2</v>
      </c>
      <c r="H26" s="76"/>
      <c r="I26" s="76">
        <f t="shared" si="4"/>
        <v>120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>
        <v>5</v>
      </c>
      <c r="H29" s="76"/>
      <c r="I29" s="76">
        <f t="shared" si="4"/>
        <v>90</v>
      </c>
      <c r="J29" s="80">
        <f t="shared" si="4"/>
        <v>0</v>
      </c>
      <c r="K29" s="42"/>
      <c r="L29" s="121">
        <v>1</v>
      </c>
      <c r="M29" s="121"/>
      <c r="N29" s="121">
        <v>2</v>
      </c>
      <c r="O29" s="121"/>
      <c r="P29" s="121">
        <v>2</v>
      </c>
      <c r="Q29" s="129"/>
      <c r="R29" s="92">
        <f t="shared" si="7"/>
        <v>5</v>
      </c>
      <c r="S29" s="133">
        <f t="shared" si="7"/>
        <v>0</v>
      </c>
      <c r="T29" s="42"/>
      <c r="U29" s="116">
        <f t="shared" si="5"/>
        <v>120</v>
      </c>
      <c r="V29" s="139">
        <f t="shared" si="6"/>
        <v>5</v>
      </c>
      <c r="W29" s="138">
        <f t="shared" si="8"/>
        <v>2160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>
        <v>2</v>
      </c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>
        <v>2</v>
      </c>
      <c r="Q32" s="129"/>
      <c r="R32" s="92">
        <f t="shared" si="7"/>
        <v>2</v>
      </c>
      <c r="S32" s="133">
        <f t="shared" si="7"/>
        <v>0</v>
      </c>
      <c r="T32" s="41"/>
      <c r="U32" s="116">
        <f t="shared" si="5"/>
        <v>48</v>
      </c>
      <c r="V32" s="139">
        <f t="shared" si="6"/>
        <v>2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4207</v>
      </c>
      <c r="D38" s="123">
        <v>2</v>
      </c>
      <c r="E38" s="124"/>
      <c r="F38" s="124"/>
      <c r="G38" s="81">
        <v>144</v>
      </c>
      <c r="H38" s="82"/>
      <c r="I38" s="148">
        <f t="shared" si="4"/>
        <v>4063</v>
      </c>
      <c r="J38" s="149">
        <f t="shared" si="4"/>
        <v>2</v>
      </c>
      <c r="K38" s="53"/>
      <c r="L38" s="130">
        <v>17</v>
      </c>
      <c r="M38" s="130"/>
      <c r="N38" s="130">
        <v>68</v>
      </c>
      <c r="O38" s="130"/>
      <c r="P38" s="130">
        <v>59</v>
      </c>
      <c r="Q38" s="131"/>
      <c r="R38" s="106">
        <f t="shared" si="7"/>
        <v>144</v>
      </c>
      <c r="S38" s="134">
        <f t="shared" si="7"/>
        <v>0</v>
      </c>
      <c r="T38" s="53"/>
      <c r="U38" s="140">
        <f>L38*6+N38*6+P38*6</f>
        <v>864</v>
      </c>
      <c r="V38" s="144">
        <f>U38/6</f>
        <v>144</v>
      </c>
      <c r="W38" s="142">
        <f>I38*6+J38</f>
        <v>24380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>
        <v>50</v>
      </c>
      <c r="H41" s="159"/>
      <c r="I41" s="160">
        <f t="shared" si="4"/>
        <v>508</v>
      </c>
      <c r="J41" s="161">
        <f t="shared" si="4"/>
        <v>0</v>
      </c>
      <c r="K41" s="162"/>
      <c r="L41" s="163">
        <v>50</v>
      </c>
      <c r="M41" s="163"/>
      <c r="N41" s="163"/>
      <c r="O41" s="163"/>
      <c r="P41" s="163"/>
      <c r="Q41" s="164"/>
      <c r="R41" s="165">
        <f t="shared" si="7"/>
        <v>50</v>
      </c>
      <c r="S41" s="166">
        <f t="shared" si="7"/>
        <v>0</v>
      </c>
      <c r="T41" s="162"/>
      <c r="U41" s="167">
        <f t="shared" si="9"/>
        <v>1200</v>
      </c>
      <c r="V41" s="168">
        <f t="shared" si="6"/>
        <v>50</v>
      </c>
      <c r="W41" s="168">
        <f t="shared" si="10"/>
        <v>12192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1439</v>
      </c>
      <c r="D42" s="173"/>
      <c r="E42" s="174"/>
      <c r="F42" s="174"/>
      <c r="G42" s="175">
        <v>16</v>
      </c>
      <c r="H42" s="176"/>
      <c r="I42" s="175">
        <f t="shared" si="4"/>
        <v>1423</v>
      </c>
      <c r="J42" s="177">
        <f t="shared" si="4"/>
        <v>0</v>
      </c>
      <c r="K42" s="178"/>
      <c r="L42" s="174"/>
      <c r="M42" s="174"/>
      <c r="N42" s="174">
        <v>4</v>
      </c>
      <c r="O42" s="174"/>
      <c r="P42" s="174">
        <v>12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17076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30961</v>
      </c>
      <c r="D44" s="123">
        <v>4</v>
      </c>
      <c r="E44" s="124"/>
      <c r="F44" s="124"/>
      <c r="G44" s="81">
        <v>1136</v>
      </c>
      <c r="H44" s="82"/>
      <c r="I44" s="76">
        <f>C44+E44-G44</f>
        <v>29825</v>
      </c>
      <c r="J44" s="186">
        <f t="shared" si="4"/>
        <v>4</v>
      </c>
      <c r="K44" s="53"/>
      <c r="L44" s="130">
        <v>319</v>
      </c>
      <c r="M44" s="130"/>
      <c r="N44" s="130">
        <v>385</v>
      </c>
      <c r="O44" s="130"/>
      <c r="P44" s="130">
        <v>432</v>
      </c>
      <c r="Q44" s="131"/>
      <c r="R44" s="187">
        <f t="shared" si="7"/>
        <v>1136</v>
      </c>
      <c r="S44" s="188">
        <f t="shared" si="7"/>
        <v>0</v>
      </c>
      <c r="T44" s="53"/>
      <c r="U44" s="140">
        <f>L44*6+N44*6+P44*6</f>
        <v>6816</v>
      </c>
      <c r="V44" s="139">
        <f>U44/6</f>
        <v>1136</v>
      </c>
      <c r="W44" s="142">
        <f>I44*6+J44</f>
        <v>178954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>
        <v>1</v>
      </c>
      <c r="H48" s="148"/>
      <c r="I48" s="148">
        <f t="shared" si="4"/>
        <v>2348</v>
      </c>
      <c r="J48" s="149">
        <f t="shared" si="4"/>
        <v>4</v>
      </c>
      <c r="K48" s="53"/>
      <c r="L48" s="130">
        <v>1</v>
      </c>
      <c r="M48" s="130"/>
      <c r="N48" s="130"/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44265</v>
      </c>
      <c r="D60" s="57">
        <f>SUM(D8:D59)</f>
        <v>64</v>
      </c>
      <c r="E60" s="44">
        <f>SUM(E8:E59)</f>
        <v>0</v>
      </c>
      <c r="F60" s="44"/>
      <c r="G60" s="28">
        <f>SUM(G8:G59)</f>
        <v>1423</v>
      </c>
      <c r="H60" s="59">
        <f>SUM(H8:H59)</f>
        <v>0</v>
      </c>
      <c r="I60" s="59">
        <f>SUM(I8:I59)</f>
        <v>42842</v>
      </c>
      <c r="J60" s="45">
        <f>SUM(J8:J59)</f>
        <v>64</v>
      </c>
      <c r="K60" s="46"/>
      <c r="L60" s="77">
        <f t="shared" ref="L60:S60" si="20">SUM(L8:L59)</f>
        <v>396</v>
      </c>
      <c r="M60" s="77">
        <f t="shared" si="20"/>
        <v>0</v>
      </c>
      <c r="N60" s="77">
        <f t="shared" si="20"/>
        <v>470</v>
      </c>
      <c r="O60" s="77">
        <f t="shared" si="20"/>
        <v>0</v>
      </c>
      <c r="P60" s="77">
        <f t="shared" si="20"/>
        <v>557</v>
      </c>
      <c r="Q60" s="78">
        <f t="shared" si="20"/>
        <v>0</v>
      </c>
      <c r="R60" s="91">
        <f t="shared" si="20"/>
        <v>1423</v>
      </c>
      <c r="S60" s="90">
        <f t="shared" si="20"/>
        <v>0</v>
      </c>
      <c r="T60" s="46"/>
      <c r="U60" s="43">
        <f>SUM(U8:U59)</f>
        <v>10902</v>
      </c>
      <c r="V60" s="111">
        <f>SUM(V8:V59)</f>
        <v>1423</v>
      </c>
      <c r="W60" s="204">
        <f>SUM(W8:W59)</f>
        <v>358336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4B190-FADE-4B77-A489-9A6036655427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46090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13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>
        <v>1</v>
      </c>
      <c r="H8" s="76"/>
      <c r="I8" s="76">
        <f>C8-G8</f>
        <v>65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1581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/>
      <c r="H10" s="76"/>
      <c r="I10" s="76">
        <f t="shared" si="4"/>
        <v>33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/>
      <c r="H11" s="76"/>
      <c r="I11" s="76">
        <f t="shared" si="4"/>
        <v>7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3898</v>
      </c>
      <c r="D13" s="123">
        <v>5</v>
      </c>
      <c r="E13" s="124"/>
      <c r="F13" s="124"/>
      <c r="G13" s="81">
        <v>55</v>
      </c>
      <c r="H13" s="82">
        <v>13</v>
      </c>
      <c r="I13" s="85">
        <f t="shared" si="4"/>
        <v>3843</v>
      </c>
      <c r="J13" s="103">
        <f>D13-H13</f>
        <v>-8</v>
      </c>
      <c r="K13" s="55"/>
      <c r="L13" s="130">
        <v>20</v>
      </c>
      <c r="M13" s="130">
        <v>5</v>
      </c>
      <c r="N13" s="130">
        <v>20</v>
      </c>
      <c r="O13" s="130">
        <v>8</v>
      </c>
      <c r="P13" s="130">
        <v>15</v>
      </c>
      <c r="Q13" s="131"/>
      <c r="R13" s="106">
        <f>L13+N13+P13</f>
        <v>55</v>
      </c>
      <c r="S13" s="134">
        <f>M13+O13+Q13</f>
        <v>13</v>
      </c>
      <c r="T13" s="55"/>
      <c r="U13" s="140">
        <f>L13*24+N13*24+P13*24</f>
        <v>1320</v>
      </c>
      <c r="V13" s="144">
        <f t="shared" si="6"/>
        <v>55</v>
      </c>
      <c r="W13" s="142">
        <f>I13*24+J13</f>
        <v>92224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42</v>
      </c>
      <c r="D24" s="120"/>
      <c r="E24" s="121"/>
      <c r="F24" s="121"/>
      <c r="G24" s="79">
        <v>3</v>
      </c>
      <c r="H24" s="76"/>
      <c r="I24" s="76">
        <f t="shared" si="4"/>
        <v>39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936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90</v>
      </c>
      <c r="D29" s="120"/>
      <c r="E29" s="121"/>
      <c r="F29" s="121"/>
      <c r="G29" s="79">
        <v>3</v>
      </c>
      <c r="H29" s="76"/>
      <c r="I29" s="76">
        <f t="shared" si="4"/>
        <v>87</v>
      </c>
      <c r="J29" s="80">
        <f t="shared" si="4"/>
        <v>0</v>
      </c>
      <c r="K29" s="42"/>
      <c r="L29" s="121">
        <v>1</v>
      </c>
      <c r="M29" s="121"/>
      <c r="N29" s="121"/>
      <c r="O29" s="121"/>
      <c r="P29" s="121">
        <v>2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2088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/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>
        <v>1</v>
      </c>
      <c r="H35" s="76">
        <v>12</v>
      </c>
      <c r="I35" s="76">
        <f t="shared" si="4"/>
        <v>134</v>
      </c>
      <c r="J35" s="80">
        <f t="shared" si="4"/>
        <v>5</v>
      </c>
      <c r="K35" s="41"/>
      <c r="L35" s="121">
        <v>1</v>
      </c>
      <c r="M35" s="121">
        <v>12</v>
      </c>
      <c r="N35" s="121"/>
      <c r="O35" s="121"/>
      <c r="P35" s="121"/>
      <c r="Q35" s="129"/>
      <c r="R35" s="92">
        <f t="shared" si="7"/>
        <v>1</v>
      </c>
      <c r="S35" s="133">
        <f t="shared" si="7"/>
        <v>12</v>
      </c>
      <c r="T35" s="41"/>
      <c r="U35" s="116">
        <f t="shared" si="5"/>
        <v>24</v>
      </c>
      <c r="V35" s="139">
        <f t="shared" si="6"/>
        <v>1</v>
      </c>
      <c r="W35" s="138">
        <f t="shared" si="8"/>
        <v>3221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4063</v>
      </c>
      <c r="D38" s="123">
        <v>2</v>
      </c>
      <c r="E38" s="124"/>
      <c r="F38" s="124"/>
      <c r="G38" s="81">
        <v>248</v>
      </c>
      <c r="H38" s="82"/>
      <c r="I38" s="148">
        <f t="shared" si="4"/>
        <v>3815</v>
      </c>
      <c r="J38" s="149">
        <f t="shared" si="4"/>
        <v>2</v>
      </c>
      <c r="K38" s="53"/>
      <c r="L38" s="130">
        <v>67</v>
      </c>
      <c r="M38" s="130"/>
      <c r="N38" s="130">
        <v>118</v>
      </c>
      <c r="O38" s="130"/>
      <c r="P38" s="130">
        <v>63</v>
      </c>
      <c r="Q38" s="131"/>
      <c r="R38" s="106">
        <f t="shared" si="7"/>
        <v>248</v>
      </c>
      <c r="S38" s="134">
        <f t="shared" si="7"/>
        <v>0</v>
      </c>
      <c r="T38" s="53"/>
      <c r="U38" s="140">
        <f>L38*6+N38*6+P38*6</f>
        <v>1488</v>
      </c>
      <c r="V38" s="144">
        <f>U38/6</f>
        <v>248</v>
      </c>
      <c r="W38" s="142">
        <f>I38*6+J38</f>
        <v>22892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508</v>
      </c>
      <c r="D41" s="156"/>
      <c r="E41" s="157"/>
      <c r="F41" s="157"/>
      <c r="G41" s="158">
        <v>1</v>
      </c>
      <c r="H41" s="159"/>
      <c r="I41" s="160">
        <f t="shared" si="4"/>
        <v>507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12168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1422</v>
      </c>
      <c r="D42" s="173">
        <v>9</v>
      </c>
      <c r="E42" s="174"/>
      <c r="F42" s="174"/>
      <c r="G42" s="175">
        <v>67</v>
      </c>
      <c r="H42" s="176"/>
      <c r="I42" s="175">
        <f t="shared" si="4"/>
        <v>1355</v>
      </c>
      <c r="J42" s="177">
        <f t="shared" si="4"/>
        <v>9</v>
      </c>
      <c r="K42" s="178"/>
      <c r="L42" s="174">
        <v>55</v>
      </c>
      <c r="M42" s="174"/>
      <c r="N42" s="174">
        <v>1</v>
      </c>
      <c r="O42" s="174"/>
      <c r="P42" s="174">
        <v>11</v>
      </c>
      <c r="Q42" s="179"/>
      <c r="R42" s="180">
        <f t="shared" si="7"/>
        <v>67</v>
      </c>
      <c r="S42" s="181">
        <f t="shared" si="7"/>
        <v>0</v>
      </c>
      <c r="T42" s="178"/>
      <c r="U42" s="182">
        <f>L42*12+N42*12+P42*12</f>
        <v>804</v>
      </c>
      <c r="V42" s="183">
        <f>U42/12</f>
        <v>67</v>
      </c>
      <c r="W42" s="184">
        <f>I42*12+J42</f>
        <v>16269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29825</v>
      </c>
      <c r="D44" s="123">
        <v>3</v>
      </c>
      <c r="E44" s="124"/>
      <c r="F44" s="124"/>
      <c r="G44" s="81">
        <v>1465</v>
      </c>
      <c r="H44" s="82"/>
      <c r="I44" s="76">
        <f>C44+E44-G44</f>
        <v>28360</v>
      </c>
      <c r="J44" s="186">
        <f t="shared" si="4"/>
        <v>3</v>
      </c>
      <c r="K44" s="53"/>
      <c r="L44" s="130">
        <v>558</v>
      </c>
      <c r="M44" s="130"/>
      <c r="N44" s="130">
        <v>538</v>
      </c>
      <c r="O44" s="130"/>
      <c r="P44" s="130">
        <v>369</v>
      </c>
      <c r="Q44" s="131"/>
      <c r="R44" s="187">
        <f t="shared" si="7"/>
        <v>1465</v>
      </c>
      <c r="S44" s="188">
        <f t="shared" si="7"/>
        <v>0</v>
      </c>
      <c r="T44" s="53"/>
      <c r="U44" s="140">
        <f>L44*6+N44*6+P44*6</f>
        <v>8790</v>
      </c>
      <c r="V44" s="139">
        <f>U44/6</f>
        <v>1465</v>
      </c>
      <c r="W44" s="142">
        <f>I44*6+J44</f>
        <v>170163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42841</v>
      </c>
      <c r="D60" s="57">
        <f>SUM(D8:D59)</f>
        <v>72</v>
      </c>
      <c r="E60" s="44">
        <f>SUM(E8:E59)</f>
        <v>0</v>
      </c>
      <c r="F60" s="44"/>
      <c r="G60" s="28">
        <f>SUM(G8:G59)</f>
        <v>1844</v>
      </c>
      <c r="H60" s="59">
        <f>SUM(H8:H59)</f>
        <v>25</v>
      </c>
      <c r="I60" s="59">
        <f>SUM(I8:I59)</f>
        <v>40997</v>
      </c>
      <c r="J60" s="45">
        <f>SUM(J8:J59)</f>
        <v>47</v>
      </c>
      <c r="K60" s="46"/>
      <c r="L60" s="77">
        <f t="shared" ref="L60:S60" si="20">SUM(L8:L59)</f>
        <v>705</v>
      </c>
      <c r="M60" s="77">
        <f t="shared" si="20"/>
        <v>17</v>
      </c>
      <c r="N60" s="77">
        <f t="shared" si="20"/>
        <v>677</v>
      </c>
      <c r="O60" s="77">
        <f t="shared" si="20"/>
        <v>8</v>
      </c>
      <c r="P60" s="77">
        <f t="shared" si="20"/>
        <v>462</v>
      </c>
      <c r="Q60" s="78">
        <f t="shared" si="20"/>
        <v>0</v>
      </c>
      <c r="R60" s="91">
        <f t="shared" si="20"/>
        <v>1844</v>
      </c>
      <c r="S60" s="90">
        <f t="shared" si="20"/>
        <v>25</v>
      </c>
      <c r="T60" s="46"/>
      <c r="U60" s="43">
        <f>SUM(U8:U59)</f>
        <v>12618</v>
      </c>
      <c r="V60" s="111">
        <f>SUM(V8:V59)</f>
        <v>1844</v>
      </c>
      <c r="W60" s="204">
        <f>SUM(W8:W59)</f>
        <v>345689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9D48-D6D6-479F-B839-87AFD04FE0ED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46091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16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65</v>
      </c>
      <c r="D8" s="120">
        <v>21</v>
      </c>
      <c r="E8" s="121"/>
      <c r="F8" s="121"/>
      <c r="G8" s="79">
        <v>1</v>
      </c>
      <c r="H8" s="76"/>
      <c r="I8" s="76">
        <f>C8-G8</f>
        <v>64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1557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>
        <v>2</v>
      </c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>
        <v>2</v>
      </c>
      <c r="Q9" s="131"/>
      <c r="R9" s="107">
        <f t="shared" si="1"/>
        <v>2</v>
      </c>
      <c r="S9" s="134">
        <f t="shared" si="1"/>
        <v>0</v>
      </c>
      <c r="T9" s="53"/>
      <c r="U9" s="140">
        <f>L9*24+N9*24+P9*24</f>
        <v>48</v>
      </c>
      <c r="V9" s="141">
        <f>U9/24</f>
        <v>2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>
        <v>1</v>
      </c>
      <c r="H10" s="76"/>
      <c r="I10" s="76">
        <f t="shared" si="4"/>
        <v>32</v>
      </c>
      <c r="J10" s="104">
        <f t="shared" si="0"/>
        <v>0</v>
      </c>
      <c r="K10" s="41"/>
      <c r="L10" s="121">
        <v>1</v>
      </c>
      <c r="M10" s="121"/>
      <c r="N10" s="121"/>
      <c r="O10" s="121"/>
      <c r="P10" s="121"/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>
        <v>1</v>
      </c>
      <c r="H11" s="76"/>
      <c r="I11" s="76">
        <f t="shared" si="4"/>
        <v>6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144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3842</v>
      </c>
      <c r="D13" s="123">
        <v>16</v>
      </c>
      <c r="E13" s="124"/>
      <c r="F13" s="124"/>
      <c r="G13" s="81">
        <v>30</v>
      </c>
      <c r="H13" s="82">
        <v>32</v>
      </c>
      <c r="I13" s="85">
        <f t="shared" si="4"/>
        <v>3812</v>
      </c>
      <c r="J13" s="103">
        <f>D13-H13</f>
        <v>-16</v>
      </c>
      <c r="K13" s="55"/>
      <c r="L13" s="130">
        <v>5</v>
      </c>
      <c r="M13" s="130">
        <v>6</v>
      </c>
      <c r="N13" s="130">
        <v>11</v>
      </c>
      <c r="O13" s="130">
        <v>6</v>
      </c>
      <c r="P13" s="130">
        <v>14</v>
      </c>
      <c r="Q13" s="131">
        <v>20</v>
      </c>
      <c r="R13" s="106">
        <f>L13+N13+P13</f>
        <v>30</v>
      </c>
      <c r="S13" s="134">
        <f>M13+O13+Q13</f>
        <v>32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91472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39</v>
      </c>
      <c r="D24" s="120"/>
      <c r="E24" s="121"/>
      <c r="F24" s="121"/>
      <c r="G24" s="79"/>
      <c r="H24" s="76">
        <v>5</v>
      </c>
      <c r="I24" s="76">
        <f t="shared" si="4"/>
        <v>39</v>
      </c>
      <c r="J24" s="80">
        <f t="shared" si="4"/>
        <v>-5</v>
      </c>
      <c r="K24" s="42"/>
      <c r="L24" s="121"/>
      <c r="M24" s="121"/>
      <c r="N24" s="121"/>
      <c r="O24" s="121">
        <v>5</v>
      </c>
      <c r="P24" s="121"/>
      <c r="Q24" s="129"/>
      <c r="R24" s="92">
        <f t="shared" si="7"/>
        <v>0</v>
      </c>
      <c r="S24" s="133">
        <f t="shared" si="7"/>
        <v>5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87</v>
      </c>
      <c r="D29" s="120"/>
      <c r="E29" s="121"/>
      <c r="F29" s="121"/>
      <c r="G29" s="79">
        <v>2</v>
      </c>
      <c r="H29" s="76"/>
      <c r="I29" s="76">
        <f t="shared" si="4"/>
        <v>85</v>
      </c>
      <c r="J29" s="80">
        <f t="shared" si="4"/>
        <v>0</v>
      </c>
      <c r="K29" s="42"/>
      <c r="L29" s="121"/>
      <c r="M29" s="121"/>
      <c r="N29" s="121"/>
      <c r="O29" s="121"/>
      <c r="P29" s="121">
        <v>2</v>
      </c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2040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>
        <v>1</v>
      </c>
      <c r="H32" s="76"/>
      <c r="I32" s="76">
        <f t="shared" si="4"/>
        <v>1</v>
      </c>
      <c r="J32" s="80">
        <f t="shared" si="4"/>
        <v>0</v>
      </c>
      <c r="K32" s="41"/>
      <c r="L32" s="121">
        <v>1</v>
      </c>
      <c r="M32" s="121"/>
      <c r="N32" s="121"/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134</v>
      </c>
      <c r="D35" s="120">
        <v>5</v>
      </c>
      <c r="E35" s="121"/>
      <c r="F35" s="121"/>
      <c r="G35" s="79">
        <v>2</v>
      </c>
      <c r="H35" s="76"/>
      <c r="I35" s="76">
        <f t="shared" si="4"/>
        <v>132</v>
      </c>
      <c r="J35" s="80">
        <f t="shared" si="4"/>
        <v>5</v>
      </c>
      <c r="K35" s="41"/>
      <c r="L35" s="121"/>
      <c r="M35" s="121"/>
      <c r="N35" s="121"/>
      <c r="O35" s="121"/>
      <c r="P35" s="121">
        <v>2</v>
      </c>
      <c r="Q35" s="129"/>
      <c r="R35" s="92">
        <f t="shared" si="7"/>
        <v>2</v>
      </c>
      <c r="S35" s="133">
        <f t="shared" si="7"/>
        <v>0</v>
      </c>
      <c r="T35" s="41"/>
      <c r="U35" s="116">
        <f t="shared" si="5"/>
        <v>48</v>
      </c>
      <c r="V35" s="139">
        <f t="shared" si="6"/>
        <v>2</v>
      </c>
      <c r="W35" s="138">
        <f t="shared" si="8"/>
        <v>3173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3815</v>
      </c>
      <c r="D38" s="123">
        <v>2</v>
      </c>
      <c r="E38" s="124"/>
      <c r="F38" s="124"/>
      <c r="G38" s="81">
        <v>70</v>
      </c>
      <c r="H38" s="82"/>
      <c r="I38" s="148">
        <f t="shared" si="4"/>
        <v>3745</v>
      </c>
      <c r="J38" s="149">
        <f t="shared" si="4"/>
        <v>2</v>
      </c>
      <c r="K38" s="53"/>
      <c r="L38" s="130">
        <v>20</v>
      </c>
      <c r="M38" s="130"/>
      <c r="N38" s="130">
        <v>29</v>
      </c>
      <c r="O38" s="130"/>
      <c r="P38" s="130">
        <v>21</v>
      </c>
      <c r="Q38" s="131"/>
      <c r="R38" s="106">
        <f t="shared" si="7"/>
        <v>70</v>
      </c>
      <c r="S38" s="134">
        <f t="shared" si="7"/>
        <v>0</v>
      </c>
      <c r="T38" s="53"/>
      <c r="U38" s="140">
        <f>L38*6+N38*6+P38*6</f>
        <v>420</v>
      </c>
      <c r="V38" s="144">
        <f>U38/6</f>
        <v>70</v>
      </c>
      <c r="W38" s="142">
        <f>I38*6+J38</f>
        <v>22472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507</v>
      </c>
      <c r="D41" s="156"/>
      <c r="E41" s="157"/>
      <c r="F41" s="157"/>
      <c r="G41" s="158">
        <v>1</v>
      </c>
      <c r="H41" s="159"/>
      <c r="I41" s="160">
        <f t="shared" si="4"/>
        <v>506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12144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1355</v>
      </c>
      <c r="D42" s="173">
        <v>9</v>
      </c>
      <c r="E42" s="174"/>
      <c r="F42" s="174"/>
      <c r="G42" s="175">
        <v>14</v>
      </c>
      <c r="H42" s="176"/>
      <c r="I42" s="175">
        <f t="shared" si="4"/>
        <v>1341</v>
      </c>
      <c r="J42" s="177">
        <f t="shared" si="4"/>
        <v>9</v>
      </c>
      <c r="K42" s="178"/>
      <c r="L42" s="174">
        <v>3</v>
      </c>
      <c r="M42" s="174"/>
      <c r="N42" s="174">
        <v>6</v>
      </c>
      <c r="O42" s="174"/>
      <c r="P42" s="174">
        <v>5</v>
      </c>
      <c r="Q42" s="179"/>
      <c r="R42" s="180">
        <f t="shared" si="7"/>
        <v>14</v>
      </c>
      <c r="S42" s="181">
        <f t="shared" si="7"/>
        <v>0</v>
      </c>
      <c r="T42" s="178"/>
      <c r="U42" s="182">
        <f>L42*12+N42*12+P42*12</f>
        <v>168</v>
      </c>
      <c r="V42" s="183">
        <f>U42/12</f>
        <v>14</v>
      </c>
      <c r="W42" s="184">
        <f>I42*12+J42</f>
        <v>16101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28360</v>
      </c>
      <c r="D44" s="123">
        <v>3</v>
      </c>
      <c r="E44" s="124"/>
      <c r="F44" s="124"/>
      <c r="G44" s="81">
        <v>964</v>
      </c>
      <c r="H44" s="82"/>
      <c r="I44" s="76">
        <f>C44+E44-G44</f>
        <v>27396</v>
      </c>
      <c r="J44" s="186">
        <f t="shared" si="4"/>
        <v>3</v>
      </c>
      <c r="K44" s="53"/>
      <c r="L44" s="130">
        <v>324</v>
      </c>
      <c r="M44" s="130"/>
      <c r="N44" s="130">
        <v>311</v>
      </c>
      <c r="O44" s="130"/>
      <c r="P44" s="130">
        <v>329</v>
      </c>
      <c r="Q44" s="131"/>
      <c r="R44" s="187">
        <f t="shared" si="7"/>
        <v>964</v>
      </c>
      <c r="S44" s="188">
        <f t="shared" si="7"/>
        <v>0</v>
      </c>
      <c r="T44" s="53"/>
      <c r="U44" s="140">
        <f>L44*6+N44*6+P44*6</f>
        <v>5784</v>
      </c>
      <c r="V44" s="139">
        <f>U44/6</f>
        <v>964</v>
      </c>
      <c r="W44" s="142">
        <f>I44*6+J44</f>
        <v>164379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40996</v>
      </c>
      <c r="D60" s="57">
        <f>SUM(D8:D59)</f>
        <v>71</v>
      </c>
      <c r="E60" s="44">
        <f>SUM(E8:E59)</f>
        <v>0</v>
      </c>
      <c r="F60" s="44"/>
      <c r="G60" s="28">
        <f>SUM(G8:G59)</f>
        <v>1089</v>
      </c>
      <c r="H60" s="59">
        <f>SUM(H8:H59)</f>
        <v>37</v>
      </c>
      <c r="I60" s="59">
        <f>SUM(I8:I59)</f>
        <v>39907</v>
      </c>
      <c r="J60" s="45">
        <f>SUM(J8:J59)</f>
        <v>34</v>
      </c>
      <c r="K60" s="46"/>
      <c r="L60" s="77">
        <f t="shared" ref="L60:S60" si="20">SUM(L8:L59)</f>
        <v>355</v>
      </c>
      <c r="M60" s="77">
        <f t="shared" si="20"/>
        <v>6</v>
      </c>
      <c r="N60" s="77">
        <f t="shared" si="20"/>
        <v>357</v>
      </c>
      <c r="O60" s="77">
        <f t="shared" si="20"/>
        <v>11</v>
      </c>
      <c r="P60" s="77">
        <f t="shared" si="20"/>
        <v>377</v>
      </c>
      <c r="Q60" s="78">
        <f t="shared" si="20"/>
        <v>20</v>
      </c>
      <c r="R60" s="91">
        <f t="shared" si="20"/>
        <v>1089</v>
      </c>
      <c r="S60" s="90">
        <f t="shared" si="20"/>
        <v>37</v>
      </c>
      <c r="T60" s="46"/>
      <c r="U60" s="43">
        <f>SUM(U8:U59)</f>
        <v>7356</v>
      </c>
      <c r="V60" s="111">
        <f>SUM(V8:V59)</f>
        <v>1089</v>
      </c>
      <c r="W60" s="204">
        <f>SUM(W8:W59)</f>
        <v>338296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4" t="s">
        <v>3</v>
      </c>
      <c r="D69" s="215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ECFFB-6E56-48E6-BDE7-6AC770AC0671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46092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19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64</v>
      </c>
      <c r="D8" s="120">
        <v>21</v>
      </c>
      <c r="E8" s="121"/>
      <c r="F8" s="121"/>
      <c r="G8" s="79">
        <v>1</v>
      </c>
      <c r="H8" s="76"/>
      <c r="I8" s="76">
        <f>C8-G8</f>
        <v>63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1533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32</v>
      </c>
      <c r="D10" s="120"/>
      <c r="E10" s="121"/>
      <c r="F10" s="121"/>
      <c r="G10" s="79">
        <v>1</v>
      </c>
      <c r="H10" s="76"/>
      <c r="I10" s="76">
        <f t="shared" si="4"/>
        <v>31</v>
      </c>
      <c r="J10" s="104">
        <f t="shared" si="0"/>
        <v>0</v>
      </c>
      <c r="K10" s="41"/>
      <c r="L10" s="121"/>
      <c r="M10" s="121"/>
      <c r="N10" s="121"/>
      <c r="O10" s="121"/>
      <c r="P10" s="121">
        <v>1</v>
      </c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6</v>
      </c>
      <c r="D11" s="120"/>
      <c r="E11" s="121"/>
      <c r="F11" s="121"/>
      <c r="G11" s="79">
        <v>2</v>
      </c>
      <c r="H11" s="76"/>
      <c r="I11" s="76">
        <f t="shared" si="4"/>
        <v>4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</v>
      </c>
      <c r="Q11" s="129"/>
      <c r="R11" s="92">
        <f t="shared" si="1"/>
        <v>2</v>
      </c>
      <c r="S11" s="133">
        <f t="shared" si="1"/>
        <v>0</v>
      </c>
      <c r="T11" s="41"/>
      <c r="U11" s="116">
        <f>L11*24+N11*24+P11*24</f>
        <v>48</v>
      </c>
      <c r="V11" s="139">
        <f>U11/24</f>
        <v>2</v>
      </c>
      <c r="W11" s="138">
        <f t="shared" si="2"/>
        <v>96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3811</v>
      </c>
      <c r="D13" s="123">
        <v>8</v>
      </c>
      <c r="E13" s="124"/>
      <c r="F13" s="124"/>
      <c r="G13" s="81">
        <v>36</v>
      </c>
      <c r="H13" s="82">
        <v>42</v>
      </c>
      <c r="I13" s="85">
        <f t="shared" si="4"/>
        <v>3775</v>
      </c>
      <c r="J13" s="103">
        <f>D13-H13</f>
        <v>-34</v>
      </c>
      <c r="K13" s="55"/>
      <c r="L13" s="130">
        <v>15</v>
      </c>
      <c r="M13" s="130">
        <v>21</v>
      </c>
      <c r="N13" s="130">
        <v>10</v>
      </c>
      <c r="O13" s="130">
        <v>7</v>
      </c>
      <c r="P13" s="130">
        <v>11</v>
      </c>
      <c r="Q13" s="131">
        <v>14</v>
      </c>
      <c r="R13" s="106">
        <f>L13+N13+P13</f>
        <v>36</v>
      </c>
      <c r="S13" s="134">
        <f>M13+O13+Q13</f>
        <v>42</v>
      </c>
      <c r="T13" s="55"/>
      <c r="U13" s="140">
        <f>L13*24+N13*24+P13*24</f>
        <v>864</v>
      </c>
      <c r="V13" s="144">
        <f t="shared" si="6"/>
        <v>36</v>
      </c>
      <c r="W13" s="142">
        <f>I13*24+J13</f>
        <v>90566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85</v>
      </c>
      <c r="D29" s="120"/>
      <c r="E29" s="121"/>
      <c r="F29" s="121"/>
      <c r="G29" s="79">
        <v>1</v>
      </c>
      <c r="H29" s="76"/>
      <c r="I29" s="76">
        <f t="shared" si="4"/>
        <v>84</v>
      </c>
      <c r="J29" s="80">
        <f t="shared" si="4"/>
        <v>0</v>
      </c>
      <c r="K29" s="42"/>
      <c r="L29" s="121"/>
      <c r="M29" s="121"/>
      <c r="N29" s="121"/>
      <c r="O29" s="121"/>
      <c r="P29" s="121">
        <v>1</v>
      </c>
      <c r="Q29" s="129"/>
      <c r="R29" s="92">
        <f t="shared" si="7"/>
        <v>1</v>
      </c>
      <c r="S29" s="133">
        <f t="shared" si="7"/>
        <v>0</v>
      </c>
      <c r="T29" s="42"/>
      <c r="U29" s="116">
        <f t="shared" si="5"/>
        <v>24</v>
      </c>
      <c r="V29" s="139">
        <f t="shared" si="6"/>
        <v>1</v>
      </c>
      <c r="W29" s="138">
        <f t="shared" si="8"/>
        <v>2016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>
        <v>2</v>
      </c>
      <c r="H30" s="76"/>
      <c r="I30" s="76">
        <f t="shared" si="4"/>
        <v>8</v>
      </c>
      <c r="J30" s="80">
        <f t="shared" si="4"/>
        <v>0</v>
      </c>
      <c r="K30" s="41"/>
      <c r="L30" s="121"/>
      <c r="M30" s="121"/>
      <c r="N30" s="121"/>
      <c r="O30" s="121"/>
      <c r="P30" s="121">
        <v>2</v>
      </c>
      <c r="Q30" s="129"/>
      <c r="R30" s="92">
        <f t="shared" si="7"/>
        <v>2</v>
      </c>
      <c r="S30" s="133">
        <f t="shared" si="7"/>
        <v>0</v>
      </c>
      <c r="T30" s="41"/>
      <c r="U30" s="116">
        <f t="shared" si="5"/>
        <v>48</v>
      </c>
      <c r="V30" s="139">
        <f t="shared" si="6"/>
        <v>2</v>
      </c>
      <c r="W30" s="138">
        <f t="shared" si="8"/>
        <v>192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>
        <v>2</v>
      </c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>
        <v>2</v>
      </c>
      <c r="Q31" s="129"/>
      <c r="R31" s="92">
        <f t="shared" si="7"/>
        <v>2</v>
      </c>
      <c r="S31" s="133">
        <f t="shared" si="7"/>
        <v>0</v>
      </c>
      <c r="T31" s="41"/>
      <c r="U31" s="116">
        <f t="shared" si="5"/>
        <v>48</v>
      </c>
      <c r="V31" s="139">
        <f t="shared" si="6"/>
        <v>2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132</v>
      </c>
      <c r="D35" s="120">
        <v>5</v>
      </c>
      <c r="E35" s="121"/>
      <c r="F35" s="121"/>
      <c r="G35" s="79">
        <v>4</v>
      </c>
      <c r="H35" s="76"/>
      <c r="I35" s="76">
        <f t="shared" si="4"/>
        <v>128</v>
      </c>
      <c r="J35" s="80">
        <f t="shared" si="4"/>
        <v>5</v>
      </c>
      <c r="K35" s="41"/>
      <c r="L35" s="121"/>
      <c r="M35" s="121"/>
      <c r="N35" s="121"/>
      <c r="O35" s="121"/>
      <c r="P35" s="121">
        <v>4</v>
      </c>
      <c r="Q35" s="129"/>
      <c r="R35" s="92">
        <f t="shared" si="7"/>
        <v>4</v>
      </c>
      <c r="S35" s="133">
        <f t="shared" si="7"/>
        <v>0</v>
      </c>
      <c r="T35" s="41"/>
      <c r="U35" s="116">
        <f t="shared" si="5"/>
        <v>96</v>
      </c>
      <c r="V35" s="139">
        <f t="shared" si="6"/>
        <v>4</v>
      </c>
      <c r="W35" s="138">
        <f t="shared" si="8"/>
        <v>3077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3745</v>
      </c>
      <c r="D38" s="123">
        <v>2</v>
      </c>
      <c r="E38" s="124"/>
      <c r="F38" s="124"/>
      <c r="G38" s="81">
        <v>5</v>
      </c>
      <c r="H38" s="82"/>
      <c r="I38" s="148">
        <f t="shared" si="4"/>
        <v>3740</v>
      </c>
      <c r="J38" s="149">
        <f t="shared" si="4"/>
        <v>2</v>
      </c>
      <c r="K38" s="53"/>
      <c r="L38" s="130"/>
      <c r="M38" s="130"/>
      <c r="N38" s="130"/>
      <c r="O38" s="130"/>
      <c r="P38" s="130">
        <v>5</v>
      </c>
      <c r="Q38" s="131"/>
      <c r="R38" s="106">
        <f t="shared" si="7"/>
        <v>5</v>
      </c>
      <c r="S38" s="134">
        <f t="shared" si="7"/>
        <v>0</v>
      </c>
      <c r="T38" s="53"/>
      <c r="U38" s="140">
        <f>L38*6+N38*6+P38*6</f>
        <v>30</v>
      </c>
      <c r="V38" s="144">
        <f>U38/6</f>
        <v>5</v>
      </c>
      <c r="W38" s="142">
        <f>I38*6+J38</f>
        <v>22442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506</v>
      </c>
      <c r="D41" s="156"/>
      <c r="E41" s="157"/>
      <c r="F41" s="157"/>
      <c r="G41" s="158">
        <v>2</v>
      </c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>
        <v>2</v>
      </c>
      <c r="Q41" s="164"/>
      <c r="R41" s="165">
        <f t="shared" si="7"/>
        <v>2</v>
      </c>
      <c r="S41" s="166">
        <f t="shared" si="7"/>
        <v>0</v>
      </c>
      <c r="T41" s="162"/>
      <c r="U41" s="167">
        <f t="shared" si="9"/>
        <v>48</v>
      </c>
      <c r="V41" s="168">
        <f t="shared" si="6"/>
        <v>2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1341</v>
      </c>
      <c r="D42" s="173">
        <v>9</v>
      </c>
      <c r="E42" s="174"/>
      <c r="F42" s="174"/>
      <c r="G42" s="175">
        <v>17</v>
      </c>
      <c r="H42" s="176"/>
      <c r="I42" s="175">
        <f t="shared" si="4"/>
        <v>1324</v>
      </c>
      <c r="J42" s="177">
        <f t="shared" si="4"/>
        <v>9</v>
      </c>
      <c r="K42" s="178"/>
      <c r="L42" s="174">
        <v>2</v>
      </c>
      <c r="M42" s="174"/>
      <c r="N42" s="174"/>
      <c r="O42" s="174"/>
      <c r="P42" s="174">
        <v>15</v>
      </c>
      <c r="Q42" s="179"/>
      <c r="R42" s="180">
        <f t="shared" si="7"/>
        <v>17</v>
      </c>
      <c r="S42" s="181">
        <f t="shared" si="7"/>
        <v>0</v>
      </c>
      <c r="T42" s="178"/>
      <c r="U42" s="182">
        <f>L42*12+N42*12+P42*12</f>
        <v>204</v>
      </c>
      <c r="V42" s="183">
        <f>U42/12</f>
        <v>17</v>
      </c>
      <c r="W42" s="184">
        <f>I42*12+J42</f>
        <v>15897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27396</v>
      </c>
      <c r="D44" s="123">
        <v>3</v>
      </c>
      <c r="E44" s="124"/>
      <c r="F44" s="124"/>
      <c r="G44" s="81">
        <v>1177</v>
      </c>
      <c r="H44" s="82"/>
      <c r="I44" s="76">
        <f>C44+E44-G44</f>
        <v>26219</v>
      </c>
      <c r="J44" s="186">
        <f t="shared" si="4"/>
        <v>3</v>
      </c>
      <c r="K44" s="53"/>
      <c r="L44" s="130">
        <v>411</v>
      </c>
      <c r="M44" s="130"/>
      <c r="N44" s="130">
        <v>348</v>
      </c>
      <c r="O44" s="130"/>
      <c r="P44" s="130">
        <v>418</v>
      </c>
      <c r="Q44" s="131"/>
      <c r="R44" s="187">
        <f t="shared" si="7"/>
        <v>1177</v>
      </c>
      <c r="S44" s="188">
        <f t="shared" si="7"/>
        <v>0</v>
      </c>
      <c r="T44" s="53"/>
      <c r="U44" s="140">
        <f>L44*6+N44*6+P44*6</f>
        <v>7062</v>
      </c>
      <c r="V44" s="139">
        <f>U44/6</f>
        <v>1177</v>
      </c>
      <c r="W44" s="142">
        <f>I44*6+J44</f>
        <v>157317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>
        <v>1</v>
      </c>
      <c r="H48" s="148"/>
      <c r="I48" s="148">
        <f t="shared" si="4"/>
        <v>2347</v>
      </c>
      <c r="J48" s="149">
        <f t="shared" si="4"/>
        <v>4</v>
      </c>
      <c r="K48" s="53"/>
      <c r="L48" s="130"/>
      <c r="M48" s="130"/>
      <c r="N48" s="130">
        <v>1</v>
      </c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14086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39905</v>
      </c>
      <c r="D60" s="57">
        <f>SUM(D8:D59)</f>
        <v>82</v>
      </c>
      <c r="E60" s="44">
        <f>SUM(E8:E59)</f>
        <v>0</v>
      </c>
      <c r="F60" s="44"/>
      <c r="G60" s="28">
        <f>SUM(G8:G59)</f>
        <v>1251</v>
      </c>
      <c r="H60" s="59">
        <f>SUM(H8:H59)</f>
        <v>42</v>
      </c>
      <c r="I60" s="59">
        <f>SUM(I8:I59)</f>
        <v>38654</v>
      </c>
      <c r="J60" s="45">
        <f>SUM(J8:J59)</f>
        <v>40</v>
      </c>
      <c r="K60" s="46"/>
      <c r="L60" s="77">
        <f t="shared" ref="L60:S60" si="20">SUM(L8:L59)</f>
        <v>430</v>
      </c>
      <c r="M60" s="77">
        <f t="shared" si="20"/>
        <v>21</v>
      </c>
      <c r="N60" s="77">
        <f t="shared" si="20"/>
        <v>359</v>
      </c>
      <c r="O60" s="77">
        <f t="shared" si="20"/>
        <v>7</v>
      </c>
      <c r="P60" s="77">
        <f t="shared" si="20"/>
        <v>462</v>
      </c>
      <c r="Q60" s="78">
        <f t="shared" si="20"/>
        <v>14</v>
      </c>
      <c r="R60" s="91">
        <f t="shared" si="20"/>
        <v>1251</v>
      </c>
      <c r="S60" s="90">
        <f t="shared" si="20"/>
        <v>42</v>
      </c>
      <c r="T60" s="46"/>
      <c r="U60" s="43">
        <f>SUM(U8:U59)</f>
        <v>8526</v>
      </c>
      <c r="V60" s="111">
        <f>SUM(V8:V59)</f>
        <v>1251</v>
      </c>
      <c r="W60" s="204">
        <f>SUM(W8:W59)</f>
        <v>329728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7F05-1F9A-49D1-9564-7A6E0EF3020A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46093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19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E6754-2A1D-461F-A0F4-DED7C6789BA4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46094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19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EXAMPLE</vt:lpstr>
      <vt:lpstr>02,05 PROMO</vt:lpstr>
      <vt:lpstr>03,02</vt:lpstr>
      <vt:lpstr>03,03</vt:lpstr>
      <vt:lpstr>03,04</vt:lpstr>
      <vt:lpstr>03,05</vt:lpstr>
      <vt:lpstr>03,06</vt:lpstr>
      <vt:lpstr>03,07</vt:lpstr>
      <vt:lpstr>03,09</vt:lpstr>
      <vt:lpstr>03,10</vt:lpstr>
      <vt:lpstr>03,11</vt:lpstr>
      <vt:lpstr>03,12</vt:lpstr>
      <vt:lpstr>03,13</vt:lpstr>
      <vt:lpstr>'02,05 PROMO'!Print_Area</vt:lpstr>
      <vt:lpstr>'03,02'!Print_Area</vt:lpstr>
      <vt:lpstr>'03,03'!Print_Area</vt:lpstr>
      <vt:lpstr>'03,04'!Print_Area</vt:lpstr>
      <vt:lpstr>'03,05'!Print_Area</vt:lpstr>
      <vt:lpstr>'03,06'!Print_Area</vt:lpstr>
      <vt:lpstr>'03,07'!Print_Area</vt:lpstr>
      <vt:lpstr>'03,09'!Print_Area</vt:lpstr>
      <vt:lpstr>'03,10'!Print_Area</vt:lpstr>
      <vt:lpstr>'03,11'!Print_Area</vt:lpstr>
      <vt:lpstr>'03,12'!Print_Area</vt:lpstr>
      <vt:lpstr>'03,13'!Print_Area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2026-03-13T03:08:12Z</dcterms:modified>
</cp:coreProperties>
</file>