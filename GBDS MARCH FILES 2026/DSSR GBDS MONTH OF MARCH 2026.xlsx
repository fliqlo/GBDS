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A271396-3170-4527-AE1B-C391042DEBEF}" xr6:coauthVersionLast="45" xr6:coauthVersionMax="45" xr10:uidLastSave="{00000000-0000-0000-0000-000000000000}"/>
  <bookViews>
    <workbookView xWindow="-120" yWindow="-120" windowWidth="29040" windowHeight="15840" activeTab="4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  <sheet name="03,05" sheetId="94" r:id="rId6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5">'03,05'!$A$1:$Y$61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94" l="1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U54" i="94"/>
  <c r="V54" i="94" s="1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U52" i="94"/>
  <c r="V52" i="94" s="1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U50" i="94"/>
  <c r="V50" i="94" s="1"/>
  <c r="S50" i="94"/>
  <c r="R50" i="94"/>
  <c r="J50" i="94"/>
  <c r="I50" i="94"/>
  <c r="W50" i="94" s="1"/>
  <c r="U49" i="94"/>
  <c r="V49" i="94" s="1"/>
  <c r="S49" i="94"/>
  <c r="R49" i="94"/>
  <c r="J49" i="94"/>
  <c r="I49" i="94"/>
  <c r="W49" i="94" s="1"/>
  <c r="U48" i="94"/>
  <c r="V48" i="94" s="1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U46" i="94"/>
  <c r="V46" i="94" s="1"/>
  <c r="S46" i="94"/>
  <c r="R46" i="94"/>
  <c r="J46" i="94"/>
  <c r="I46" i="94"/>
  <c r="W46" i="94" s="1"/>
  <c r="S45" i="94"/>
  <c r="R45" i="94"/>
  <c r="R60" i="94" s="1"/>
  <c r="J45" i="94"/>
  <c r="I45" i="94"/>
  <c r="V44" i="94"/>
  <c r="U44" i="94"/>
  <c r="S44" i="94"/>
  <c r="R44" i="94"/>
  <c r="J44" i="94"/>
  <c r="I44" i="94"/>
  <c r="W44" i="94" s="1"/>
  <c r="S43" i="94"/>
  <c r="R43" i="94"/>
  <c r="J43" i="94"/>
  <c r="I43" i="94"/>
  <c r="W42" i="94"/>
  <c r="V42" i="94"/>
  <c r="U42" i="94"/>
  <c r="S42" i="94"/>
  <c r="R42" i="94"/>
  <c r="J42" i="94"/>
  <c r="I42" i="94"/>
  <c r="W41" i="94"/>
  <c r="U41" i="94"/>
  <c r="V41" i="94" s="1"/>
  <c r="S41" i="94"/>
  <c r="R41" i="94"/>
  <c r="J41" i="94"/>
  <c r="I41" i="94"/>
  <c r="W40" i="94"/>
  <c r="V40" i="94"/>
  <c r="U40" i="94"/>
  <c r="S40" i="94"/>
  <c r="R40" i="94"/>
  <c r="J40" i="94"/>
  <c r="I40" i="94"/>
  <c r="W39" i="94"/>
  <c r="U39" i="94"/>
  <c r="V39" i="94" s="1"/>
  <c r="S39" i="94"/>
  <c r="R39" i="94"/>
  <c r="J39" i="94"/>
  <c r="I39" i="94"/>
  <c r="W38" i="94"/>
  <c r="V38" i="94"/>
  <c r="U38" i="94"/>
  <c r="S38" i="94"/>
  <c r="R38" i="94"/>
  <c r="J38" i="94"/>
  <c r="I38" i="94"/>
  <c r="W37" i="94"/>
  <c r="U37" i="94"/>
  <c r="V37" i="94" s="1"/>
  <c r="S37" i="94"/>
  <c r="R37" i="94"/>
  <c r="J37" i="94"/>
  <c r="I37" i="94"/>
  <c r="W36" i="94"/>
  <c r="V36" i="94"/>
  <c r="U36" i="94"/>
  <c r="S36" i="94"/>
  <c r="R36" i="94"/>
  <c r="J36" i="94"/>
  <c r="I36" i="94"/>
  <c r="W35" i="94"/>
  <c r="U35" i="94"/>
  <c r="V35" i="94" s="1"/>
  <c r="S35" i="94"/>
  <c r="R35" i="94"/>
  <c r="J35" i="94"/>
  <c r="I35" i="94"/>
  <c r="W34" i="94"/>
  <c r="V34" i="94"/>
  <c r="U34" i="94"/>
  <c r="S34" i="94"/>
  <c r="R34" i="94"/>
  <c r="J34" i="94"/>
  <c r="I34" i="94"/>
  <c r="W33" i="94"/>
  <c r="U33" i="94"/>
  <c r="V33" i="94" s="1"/>
  <c r="S33" i="94"/>
  <c r="R33" i="94"/>
  <c r="J33" i="94"/>
  <c r="I33" i="94"/>
  <c r="W32" i="94"/>
  <c r="V32" i="94"/>
  <c r="U32" i="94"/>
  <c r="S32" i="94"/>
  <c r="R32" i="94"/>
  <c r="J32" i="94"/>
  <c r="I32" i="94"/>
  <c r="W31" i="94"/>
  <c r="U31" i="94"/>
  <c r="V31" i="94" s="1"/>
  <c r="S31" i="94"/>
  <c r="R31" i="94"/>
  <c r="J31" i="94"/>
  <c r="I31" i="94"/>
  <c r="W30" i="94"/>
  <c r="V30" i="94"/>
  <c r="U30" i="94"/>
  <c r="S30" i="94"/>
  <c r="R30" i="94"/>
  <c r="J30" i="94"/>
  <c r="I30" i="94"/>
  <c r="W29" i="94"/>
  <c r="U29" i="94"/>
  <c r="V29" i="94" s="1"/>
  <c r="S29" i="94"/>
  <c r="R29" i="94"/>
  <c r="J29" i="94"/>
  <c r="I29" i="94"/>
  <c r="W28" i="94"/>
  <c r="V28" i="94"/>
  <c r="U28" i="94"/>
  <c r="S28" i="94"/>
  <c r="R28" i="94"/>
  <c r="J28" i="94"/>
  <c r="I28" i="94"/>
  <c r="W27" i="94"/>
  <c r="U27" i="94"/>
  <c r="V27" i="94" s="1"/>
  <c r="S27" i="94"/>
  <c r="R27" i="94"/>
  <c r="J27" i="94"/>
  <c r="I27" i="94"/>
  <c r="BE26" i="94"/>
  <c r="W26" i="94"/>
  <c r="V26" i="94"/>
  <c r="U26" i="94"/>
  <c r="S26" i="94"/>
  <c r="R26" i="94"/>
  <c r="J26" i="94"/>
  <c r="I26" i="94"/>
  <c r="V25" i="94"/>
  <c r="U25" i="94"/>
  <c r="S25" i="94"/>
  <c r="R25" i="94"/>
  <c r="J25" i="94"/>
  <c r="I25" i="94"/>
  <c r="W25" i="94" s="1"/>
  <c r="W24" i="94"/>
  <c r="V24" i="94"/>
  <c r="U24" i="94"/>
  <c r="S24" i="94"/>
  <c r="R24" i="94"/>
  <c r="J24" i="94"/>
  <c r="I24" i="94"/>
  <c r="V23" i="94"/>
  <c r="U23" i="94"/>
  <c r="S23" i="94"/>
  <c r="R23" i="94"/>
  <c r="J23" i="94"/>
  <c r="I23" i="94"/>
  <c r="W23" i="94" s="1"/>
  <c r="W22" i="94"/>
  <c r="V22" i="94"/>
  <c r="U22" i="94"/>
  <c r="S22" i="94"/>
  <c r="R22" i="94"/>
  <c r="J22" i="94"/>
  <c r="I22" i="94"/>
  <c r="V21" i="94"/>
  <c r="U21" i="94"/>
  <c r="S21" i="94"/>
  <c r="R21" i="94"/>
  <c r="J21" i="94"/>
  <c r="I21" i="94"/>
  <c r="W21" i="94" s="1"/>
  <c r="W20" i="94"/>
  <c r="V20" i="94"/>
  <c r="U20" i="94"/>
  <c r="S20" i="94"/>
  <c r="R20" i="94"/>
  <c r="J20" i="94"/>
  <c r="I20" i="94"/>
  <c r="V19" i="94"/>
  <c r="U19" i="94"/>
  <c r="S19" i="94"/>
  <c r="R19" i="94"/>
  <c r="J19" i="94"/>
  <c r="I19" i="94"/>
  <c r="W19" i="94" s="1"/>
  <c r="W18" i="94"/>
  <c r="V18" i="94"/>
  <c r="U18" i="94"/>
  <c r="S18" i="94"/>
  <c r="R18" i="94"/>
  <c r="J18" i="94"/>
  <c r="I18" i="94"/>
  <c r="V17" i="94"/>
  <c r="U17" i="94"/>
  <c r="S17" i="94"/>
  <c r="R17" i="94"/>
  <c r="J17" i="94"/>
  <c r="I17" i="94"/>
  <c r="W17" i="94" s="1"/>
  <c r="W16" i="94"/>
  <c r="V16" i="94"/>
  <c r="U16" i="94"/>
  <c r="S16" i="94"/>
  <c r="R16" i="94"/>
  <c r="J16" i="94"/>
  <c r="I16" i="94"/>
  <c r="V15" i="94"/>
  <c r="U15" i="94"/>
  <c r="S15" i="94"/>
  <c r="R15" i="94"/>
  <c r="J15" i="94"/>
  <c r="I15" i="94"/>
  <c r="W15" i="94" s="1"/>
  <c r="W14" i="94"/>
  <c r="V14" i="94"/>
  <c r="U14" i="94"/>
  <c r="S14" i="94"/>
  <c r="R14" i="94"/>
  <c r="J14" i="94"/>
  <c r="I14" i="94"/>
  <c r="V13" i="94"/>
  <c r="U13" i="94"/>
  <c r="S13" i="94"/>
  <c r="R13" i="94"/>
  <c r="J13" i="94"/>
  <c r="I13" i="94"/>
  <c r="W13" i="94" s="1"/>
  <c r="W12" i="94"/>
  <c r="V12" i="94"/>
  <c r="U12" i="94"/>
  <c r="S12" i="94"/>
  <c r="R12" i="94"/>
  <c r="J12" i="94"/>
  <c r="I12" i="94"/>
  <c r="V11" i="94"/>
  <c r="U11" i="94"/>
  <c r="S11" i="94"/>
  <c r="R11" i="94"/>
  <c r="J11" i="94"/>
  <c r="I11" i="94"/>
  <c r="W11" i="94" s="1"/>
  <c r="W10" i="94"/>
  <c r="V10" i="94"/>
  <c r="U10" i="94"/>
  <c r="S10" i="94"/>
  <c r="R10" i="94"/>
  <c r="J10" i="94"/>
  <c r="I10" i="94"/>
  <c r="V9" i="94"/>
  <c r="U9" i="94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W8" i="94"/>
  <c r="V8" i="94"/>
  <c r="U8" i="94"/>
  <c r="U60" i="94" s="1"/>
  <c r="S8" i="94"/>
  <c r="S60" i="94" s="1"/>
  <c r="R8" i="94"/>
  <c r="J8" i="94"/>
  <c r="J60" i="94" s="1"/>
  <c r="I8" i="94"/>
  <c r="I60" i="94" s="1"/>
  <c r="W60" i="94" l="1"/>
  <c r="V60" i="94"/>
  <c r="Q60" i="93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U42" i="93"/>
  <c r="V42" i="93" s="1"/>
  <c r="S42" i="93"/>
  <c r="R42" i="93"/>
  <c r="J42" i="93"/>
  <c r="I42" i="93"/>
  <c r="W42" i="93" s="1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W13" i="93" s="1"/>
  <c r="U12" i="93"/>
  <c r="V12" i="93" s="1"/>
  <c r="S12" i="93"/>
  <c r="R12" i="93"/>
  <c r="J12" i="93"/>
  <c r="I12" i="93"/>
  <c r="U11" i="93"/>
  <c r="V11" i="93" s="1"/>
  <c r="S11" i="93"/>
  <c r="R11" i="93"/>
  <c r="J11" i="93"/>
  <c r="I11" i="93"/>
  <c r="W11" i="93" s="1"/>
  <c r="U10" i="93"/>
  <c r="V10" i="93" s="1"/>
  <c r="S10" i="93"/>
  <c r="R10" i="93"/>
  <c r="J10" i="93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W8" i="93" s="1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44" i="93" l="1"/>
  <c r="W35" i="93"/>
  <c r="W26" i="93"/>
  <c r="W24" i="93"/>
  <c r="W22" i="93"/>
  <c r="W20" i="93"/>
  <c r="W18" i="93"/>
  <c r="W14" i="93"/>
  <c r="S60" i="93"/>
  <c r="W12" i="93"/>
  <c r="R60" i="93"/>
  <c r="U60" i="93"/>
  <c r="W10" i="93"/>
  <c r="I60" i="93"/>
  <c r="W47" i="92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W60" i="93" l="1"/>
  <c r="W60" i="9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1370760-45DE-4990-B7D9-B05FAC41B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3A9AF1-D2D1-488B-B2AA-68DBFE71F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95E873B-B4FE-406E-8636-AC1C79D801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<sst xmlns="http://schemas.openxmlformats.org/spreadsheetml/2006/main" count="633" uniqueCount="82">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</sst>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3"/>
      <c r="Q1" s="214"/>
      <c r="R1" s="214"/>
      <c r="S1" s="214"/>
      <c r="T1" s="214"/>
      <c r="U1" s="214"/>
      <c r="V1" s="214"/>
      <c r="W1" s="214"/>
      <c r="X1" s="21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6" t="s">
        <v>74</v>
      </c>
      <c r="C4" s="217" t="s">
        <v>3</v>
      </c>
      <c r="D4" s="218" t="s">
        <v>75</v>
      </c>
      <c r="E4" s="219" t="s">
        <v>4</v>
      </c>
      <c r="F4" s="220"/>
      <c r="G4" s="221" t="s">
        <v>5</v>
      </c>
      <c r="H4" s="223" t="s">
        <v>75</v>
      </c>
      <c r="I4" s="225" t="s">
        <v>6</v>
      </c>
      <c r="J4" s="223" t="s">
        <v>75</v>
      </c>
      <c r="L4" s="227" t="s">
        <v>7</v>
      </c>
      <c r="M4" s="228"/>
      <c r="N4" s="228"/>
      <c r="O4" s="228"/>
      <c r="P4" s="228"/>
      <c r="Q4" s="228"/>
      <c r="R4" s="228"/>
      <c r="S4" s="228"/>
      <c r="T4" s="228"/>
      <c r="U4" s="228"/>
      <c r="V4" s="229"/>
      <c r="W4" s="228"/>
      <c r="X4" s="230"/>
    </row>
    <row r="5" spans="1:60" s="3" customFormat="1" ht="57" thickBot="1" x14ac:dyDescent="0.3">
      <c r="A5" s="49"/>
      <c r="B5" s="216"/>
      <c r="C5" s="217"/>
      <c r="D5" s="218"/>
      <c r="E5" s="48" t="s">
        <v>8</v>
      </c>
      <c r="F5" s="115" t="s">
        <v>9</v>
      </c>
      <c r="G5" s="222"/>
      <c r="H5" s="224"/>
      <c r="I5" s="226"/>
      <c r="J5" s="22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0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0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13">
        <v>46058</v>
      </c>
      <c r="Q1" s="214"/>
      <c r="R1" s="214"/>
      <c r="S1" s="214"/>
      <c r="T1" s="214"/>
      <c r="U1" s="214"/>
      <c r="V1" s="21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16" t="s">
        <v>74</v>
      </c>
      <c r="C4" s="217" t="s">
        <v>3</v>
      </c>
      <c r="D4" s="218" t="s">
        <v>75</v>
      </c>
      <c r="E4" s="219" t="s">
        <v>4</v>
      </c>
      <c r="F4" s="220"/>
      <c r="G4" s="221" t="s">
        <v>5</v>
      </c>
      <c r="H4" s="223" t="s">
        <v>75</v>
      </c>
      <c r="I4" s="225" t="s">
        <v>6</v>
      </c>
      <c r="J4" s="223" t="s">
        <v>75</v>
      </c>
      <c r="L4" s="227" t="s">
        <v>7</v>
      </c>
      <c r="M4" s="228"/>
      <c r="N4" s="228"/>
      <c r="O4" s="228"/>
      <c r="P4" s="228"/>
      <c r="Q4" s="228"/>
      <c r="R4" s="228"/>
      <c r="S4" s="228"/>
      <c r="T4" s="228"/>
      <c r="U4" s="228"/>
      <c r="V4" s="230"/>
    </row>
    <row r="5" spans="1:58" s="3" customFormat="1" ht="38.25" thickBot="1" x14ac:dyDescent="0.3">
      <c r="A5" s="49"/>
      <c r="B5" s="216"/>
      <c r="C5" s="217"/>
      <c r="D5" s="218"/>
      <c r="E5" s="48" t="s">
        <v>8</v>
      </c>
      <c r="F5" s="97" t="s">
        <v>9</v>
      </c>
      <c r="G5" s="222"/>
      <c r="H5" s="224"/>
      <c r="I5" s="226"/>
      <c r="J5" s="22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0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0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1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1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1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1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3">
        <v>46083</v>
      </c>
      <c r="Q1" s="214"/>
      <c r="R1" s="214"/>
      <c r="S1" s="214"/>
      <c r="T1" s="214"/>
      <c r="U1" s="214"/>
      <c r="V1" s="214"/>
      <c r="W1" s="214"/>
      <c r="X1" s="21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6" t="s">
        <v>74</v>
      </c>
      <c r="C4" s="217" t="s">
        <v>3</v>
      </c>
      <c r="D4" s="218" t="s">
        <v>75</v>
      </c>
      <c r="E4" s="219" t="s">
        <v>4</v>
      </c>
      <c r="F4" s="220"/>
      <c r="G4" s="221" t="s">
        <v>5</v>
      </c>
      <c r="H4" s="223" t="s">
        <v>75</v>
      </c>
      <c r="I4" s="225" t="s">
        <v>6</v>
      </c>
      <c r="J4" s="223" t="s">
        <v>75</v>
      </c>
      <c r="L4" s="227" t="s">
        <v>7</v>
      </c>
      <c r="M4" s="228"/>
      <c r="N4" s="228"/>
      <c r="O4" s="228"/>
      <c r="P4" s="228"/>
      <c r="Q4" s="228"/>
      <c r="R4" s="228"/>
      <c r="S4" s="228"/>
      <c r="T4" s="228"/>
      <c r="U4" s="228"/>
      <c r="V4" s="229"/>
      <c r="W4" s="228"/>
      <c r="X4" s="230"/>
    </row>
    <row r="5" spans="1:60" s="3" customFormat="1" ht="57" thickBot="1" x14ac:dyDescent="0.3">
      <c r="A5" s="49"/>
      <c r="B5" s="216"/>
      <c r="C5" s="217"/>
      <c r="D5" s="218"/>
      <c r="E5" s="48" t="s">
        <v>8</v>
      </c>
      <c r="F5" s="191" t="s">
        <v>9</v>
      </c>
      <c r="G5" s="222"/>
      <c r="H5" s="224"/>
      <c r="I5" s="226"/>
      <c r="J5" s="22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08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09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10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1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11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12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3">
        <v>46084</v>
      </c>
      <c r="Q1" s="214"/>
      <c r="R1" s="214"/>
      <c r="S1" s="214"/>
      <c r="T1" s="214"/>
      <c r="U1" s="214"/>
      <c r="V1" s="214"/>
      <c r="W1" s="214"/>
      <c r="X1" s="21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6" t="s">
        <v>74</v>
      </c>
      <c r="C4" s="217" t="s">
        <v>3</v>
      </c>
      <c r="D4" s="218" t="s">
        <v>75</v>
      </c>
      <c r="E4" s="219" t="s">
        <v>4</v>
      </c>
      <c r="F4" s="220"/>
      <c r="G4" s="221" t="s">
        <v>5</v>
      </c>
      <c r="H4" s="223" t="s">
        <v>75</v>
      </c>
      <c r="I4" s="225" t="s">
        <v>6</v>
      </c>
      <c r="J4" s="223" t="s">
        <v>75</v>
      </c>
      <c r="L4" s="227" t="s">
        <v>7</v>
      </c>
      <c r="M4" s="228"/>
      <c r="N4" s="228"/>
      <c r="O4" s="228"/>
      <c r="P4" s="228"/>
      <c r="Q4" s="228"/>
      <c r="R4" s="228"/>
      <c r="S4" s="228"/>
      <c r="T4" s="228"/>
      <c r="U4" s="228"/>
      <c r="V4" s="229"/>
      <c r="W4" s="228"/>
      <c r="X4" s="230"/>
    </row>
    <row r="5" spans="1:60" s="3" customFormat="1" ht="57" thickBot="1" x14ac:dyDescent="0.3">
      <c r="A5" s="49"/>
      <c r="B5" s="216"/>
      <c r="C5" s="217"/>
      <c r="D5" s="218"/>
      <c r="E5" s="48" t="s">
        <v>8</v>
      </c>
      <c r="F5" s="191" t="s">
        <v>9</v>
      </c>
      <c r="G5" s="222"/>
      <c r="H5" s="224"/>
      <c r="I5" s="226"/>
      <c r="J5" s="22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0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0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3">
        <v>46085</v>
      </c>
      <c r="Q1" s="214"/>
      <c r="R1" s="214"/>
      <c r="S1" s="214"/>
      <c r="T1" s="214"/>
      <c r="U1" s="214"/>
      <c r="V1" s="214"/>
      <c r="W1" s="214"/>
      <c r="X1" s="21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6" t="s">
        <v>74</v>
      </c>
      <c r="C4" s="217" t="s">
        <v>3</v>
      </c>
      <c r="D4" s="218" t="s">
        <v>75</v>
      </c>
      <c r="E4" s="219" t="s">
        <v>4</v>
      </c>
      <c r="F4" s="220"/>
      <c r="G4" s="221" t="s">
        <v>5</v>
      </c>
      <c r="H4" s="223" t="s">
        <v>75</v>
      </c>
      <c r="I4" s="225" t="s">
        <v>6</v>
      </c>
      <c r="J4" s="223" t="s">
        <v>75</v>
      </c>
      <c r="L4" s="227" t="s">
        <v>7</v>
      </c>
      <c r="M4" s="228"/>
      <c r="N4" s="228"/>
      <c r="O4" s="228"/>
      <c r="P4" s="228"/>
      <c r="Q4" s="228"/>
      <c r="R4" s="228"/>
      <c r="S4" s="228"/>
      <c r="T4" s="228"/>
      <c r="U4" s="228"/>
      <c r="V4" s="229"/>
      <c r="W4" s="228"/>
      <c r="X4" s="230"/>
    </row>
    <row r="5" spans="1:60" s="3" customFormat="1" ht="57" thickBot="1" x14ac:dyDescent="0.3">
      <c r="A5" s="49"/>
      <c r="B5" s="216"/>
      <c r="C5" s="217"/>
      <c r="D5" s="218"/>
      <c r="E5" s="48" t="s">
        <v>8</v>
      </c>
      <c r="F5" s="191" t="s">
        <v>9</v>
      </c>
      <c r="G5" s="222"/>
      <c r="H5" s="224"/>
      <c r="I5" s="226"/>
      <c r="J5" s="22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76</v>
      </c>
      <c r="D10" s="120"/>
      <c r="E10" s="121"/>
      <c r="F10" s="121"/>
      <c r="G10" s="79">
        <v>8</v>
      </c>
      <c r="H10" s="76"/>
      <c r="I10" s="76">
        <f t="shared" si="4"/>
        <v>68</v>
      </c>
      <c r="J10" s="104">
        <f t="shared" si="0"/>
        <v>0</v>
      </c>
      <c r="K10" s="41"/>
      <c r="L10" s="121"/>
      <c r="M10" s="121"/>
      <c r="N10" s="121"/>
      <c r="O10" s="121"/>
      <c r="P10" s="121">
        <v>8</v>
      </c>
      <c r="Q10" s="129"/>
      <c r="R10" s="108">
        <f t="shared" si="1"/>
        <v>8</v>
      </c>
      <c r="S10" s="135">
        <f t="shared" si="1"/>
        <v>0</v>
      </c>
      <c r="T10" s="41"/>
      <c r="U10" s="116">
        <f>L10*24+N10*24+P10*24</f>
        <v>192</v>
      </c>
      <c r="V10" s="143">
        <f>U10/24</f>
        <v>8</v>
      </c>
      <c r="W10" s="138">
        <f t="shared" si="2"/>
        <v>1632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39</v>
      </c>
      <c r="D11" s="120"/>
      <c r="E11" s="121"/>
      <c r="F11" s="121"/>
      <c r="G11" s="79">
        <v>3</v>
      </c>
      <c r="H11" s="76"/>
      <c r="I11" s="76">
        <f t="shared" si="4"/>
        <v>36</v>
      </c>
      <c r="J11" s="80">
        <f t="shared" si="0"/>
        <v>0</v>
      </c>
      <c r="K11" s="41"/>
      <c r="L11" s="121"/>
      <c r="M11" s="121"/>
      <c r="N11" s="121">
        <v>2</v>
      </c>
      <c r="O11" s="121"/>
      <c r="P11" s="121">
        <v>1</v>
      </c>
      <c r="Q11" s="129"/>
      <c r="R11" s="92">
        <f t="shared" si="1"/>
        <v>3</v>
      </c>
      <c r="S11" s="133">
        <f t="shared" si="1"/>
        <v>0</v>
      </c>
      <c r="T11" s="41"/>
      <c r="U11" s="116">
        <f>L11*24+N11*24+P11*24</f>
        <v>72</v>
      </c>
      <c r="V11" s="139">
        <f>U11/24</f>
        <v>3</v>
      </c>
      <c r="W11" s="138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3999</v>
      </c>
      <c r="D13" s="123">
        <v>20</v>
      </c>
      <c r="E13" s="124"/>
      <c r="F13" s="124"/>
      <c r="G13" s="81">
        <v>40</v>
      </c>
      <c r="H13" s="82">
        <v>26</v>
      </c>
      <c r="I13" s="85">
        <f t="shared" si="4"/>
        <v>3959</v>
      </c>
      <c r="J13" s="103">
        <f>D13-H13</f>
        <v>-6</v>
      </c>
      <c r="K13" s="55"/>
      <c r="L13" s="130">
        <v>18</v>
      </c>
      <c r="M13" s="130">
        <v>14</v>
      </c>
      <c r="N13" s="130">
        <v>14</v>
      </c>
      <c r="O13" s="130">
        <v>5</v>
      </c>
      <c r="P13" s="130">
        <v>8</v>
      </c>
      <c r="Q13" s="131">
        <v>7</v>
      </c>
      <c r="R13" s="106">
        <f>L13+N13+P13</f>
        <v>40</v>
      </c>
      <c r="S13" s="134">
        <f>M13+O13+Q13</f>
        <v>26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95010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>
        <v>2</v>
      </c>
      <c r="H26" s="76"/>
      <c r="I26" s="76">
        <f t="shared" si="4"/>
        <v>123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2963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100</v>
      </c>
      <c r="D29" s="120"/>
      <c r="E29" s="121"/>
      <c r="F29" s="121"/>
      <c r="G29" s="79">
        <v>3</v>
      </c>
      <c r="H29" s="76"/>
      <c r="I29" s="76">
        <f t="shared" si="4"/>
        <v>97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2328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/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>
        <v>10</v>
      </c>
      <c r="H35" s="76"/>
      <c r="I35" s="76">
        <f t="shared" si="4"/>
        <v>135</v>
      </c>
      <c r="J35" s="80">
        <f t="shared" si="4"/>
        <v>17</v>
      </c>
      <c r="K35" s="41"/>
      <c r="L35" s="121">
        <v>10</v>
      </c>
      <c r="M35" s="121"/>
      <c r="N35" s="121"/>
      <c r="O35" s="121"/>
      <c r="P35" s="121"/>
      <c r="Q35" s="129"/>
      <c r="R35" s="92">
        <f t="shared" si="7"/>
        <v>10</v>
      </c>
      <c r="S35" s="133">
        <f t="shared" si="7"/>
        <v>0</v>
      </c>
      <c r="T35" s="41"/>
      <c r="U35" s="116">
        <f t="shared" si="5"/>
        <v>240</v>
      </c>
      <c r="V35" s="139">
        <f t="shared" si="6"/>
        <v>10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4498</v>
      </c>
      <c r="D38" s="123">
        <v>2</v>
      </c>
      <c r="E38" s="124"/>
      <c r="F38" s="124"/>
      <c r="G38" s="81">
        <v>146</v>
      </c>
      <c r="H38" s="82"/>
      <c r="I38" s="148">
        <f t="shared" si="4"/>
        <v>4352</v>
      </c>
      <c r="J38" s="149">
        <f t="shared" si="4"/>
        <v>2</v>
      </c>
      <c r="K38" s="53"/>
      <c r="L38" s="130">
        <v>117</v>
      </c>
      <c r="M38" s="130"/>
      <c r="N38" s="130"/>
      <c r="O38" s="130"/>
      <c r="P38" s="130">
        <v>29</v>
      </c>
      <c r="Q38" s="131"/>
      <c r="R38" s="106">
        <f t="shared" si="7"/>
        <v>146</v>
      </c>
      <c r="S38" s="134">
        <f t="shared" si="7"/>
        <v>0</v>
      </c>
      <c r="T38" s="53"/>
      <c r="U38" s="140">
        <f>L38*6+N38*6+P38*6</f>
        <v>876</v>
      </c>
      <c r="V38" s="144">
        <f>U38/6</f>
        <v>146</v>
      </c>
      <c r="W38" s="142">
        <f>I38*6+J38</f>
        <v>26114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>
        <v>1</v>
      </c>
      <c r="H39" s="76"/>
      <c r="I39" s="79">
        <f t="shared" si="4"/>
        <v>18</v>
      </c>
      <c r="J39" s="80">
        <f t="shared" si="4"/>
        <v>0</v>
      </c>
      <c r="K39" s="41"/>
      <c r="L39" s="121"/>
      <c r="M39" s="121"/>
      <c r="N39" s="121"/>
      <c r="O39" s="121"/>
      <c r="P39" s="121">
        <v>1</v>
      </c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432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1456</v>
      </c>
      <c r="D42" s="173"/>
      <c r="E42" s="174"/>
      <c r="F42" s="174"/>
      <c r="G42" s="175">
        <v>6</v>
      </c>
      <c r="H42" s="176"/>
      <c r="I42" s="175">
        <f t="shared" si="4"/>
        <v>1450</v>
      </c>
      <c r="J42" s="177">
        <f t="shared" si="4"/>
        <v>0</v>
      </c>
      <c r="K42" s="178"/>
      <c r="L42" s="174">
        <v>6</v>
      </c>
      <c r="M42" s="174"/>
      <c r="N42" s="174"/>
      <c r="O42" s="174"/>
      <c r="P42" s="174"/>
      <c r="Q42" s="179"/>
      <c r="R42" s="180">
        <f t="shared" si="7"/>
        <v>6</v>
      </c>
      <c r="S42" s="181">
        <f t="shared" si="7"/>
        <v>0</v>
      </c>
      <c r="T42" s="178"/>
      <c r="U42" s="182">
        <f>L42*12+N42*12+P42*12</f>
        <v>72</v>
      </c>
      <c r="V42" s="183">
        <f>U42/12</f>
        <v>6</v>
      </c>
      <c r="W42" s="184">
        <f>I42*12+J42</f>
        <v>17400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32894</v>
      </c>
      <c r="D44" s="123">
        <v>4</v>
      </c>
      <c r="E44" s="124"/>
      <c r="F44" s="124"/>
      <c r="G44" s="81">
        <v>955</v>
      </c>
      <c r="H44" s="82"/>
      <c r="I44" s="76">
        <f>C44+E44-G44</f>
        <v>31939</v>
      </c>
      <c r="J44" s="186">
        <f t="shared" si="4"/>
        <v>4</v>
      </c>
      <c r="K44" s="53"/>
      <c r="L44" s="130">
        <v>359</v>
      </c>
      <c r="M44" s="130"/>
      <c r="N44" s="130">
        <v>326</v>
      </c>
      <c r="O44" s="130"/>
      <c r="P44" s="130">
        <v>270</v>
      </c>
      <c r="Q44" s="131"/>
      <c r="R44" s="187">
        <f t="shared" si="7"/>
        <v>955</v>
      </c>
      <c r="S44" s="188">
        <f t="shared" si="7"/>
        <v>0</v>
      </c>
      <c r="T44" s="53"/>
      <c r="U44" s="140">
        <f>L44*6+N44*6+P44*6</f>
        <v>5730</v>
      </c>
      <c r="V44" s="139">
        <f>U44/6</f>
        <v>955</v>
      </c>
      <c r="W44" s="142">
        <f>I44*6+J44</f>
        <v>191638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2352</v>
      </c>
      <c r="D48" s="151">
        <v>4</v>
      </c>
      <c r="E48" s="130"/>
      <c r="F48" s="130"/>
      <c r="G48" s="152">
        <v>3</v>
      </c>
      <c r="H48" s="148"/>
      <c r="I48" s="148">
        <f t="shared" si="4"/>
        <v>2349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46671</v>
      </c>
      <c r="D60" s="57">
        <f>SUM(D8:D59)</f>
        <v>79</v>
      </c>
      <c r="E60" s="44">
        <f>SUM(E8:E59)</f>
        <v>0</v>
      </c>
      <c r="F60" s="44"/>
      <c r="G60" s="28">
        <f>SUM(G8:G59)</f>
        <v>1177</v>
      </c>
      <c r="H60" s="59">
        <f>SUM(H8:H59)</f>
        <v>26</v>
      </c>
      <c r="I60" s="59">
        <f>SUM(I8:I59)</f>
        <v>45494</v>
      </c>
      <c r="J60" s="45">
        <f>SUM(J8:J59)</f>
        <v>53</v>
      </c>
      <c r="K60" s="46"/>
      <c r="L60" s="77">
        <f t="shared" ref="L60:S60" si="20">SUM(L8:L59)</f>
        <v>515</v>
      </c>
      <c r="M60" s="77">
        <f t="shared" si="20"/>
        <v>14</v>
      </c>
      <c r="N60" s="77">
        <f t="shared" si="20"/>
        <v>342</v>
      </c>
      <c r="O60" s="77">
        <f t="shared" si="20"/>
        <v>5</v>
      </c>
      <c r="P60" s="77">
        <f t="shared" si="20"/>
        <v>317</v>
      </c>
      <c r="Q60" s="78">
        <f t="shared" si="20"/>
        <v>7</v>
      </c>
      <c r="R60" s="91">
        <f t="shared" si="20"/>
        <v>1174</v>
      </c>
      <c r="S60" s="90">
        <f t="shared" si="20"/>
        <v>26</v>
      </c>
      <c r="T60" s="46"/>
      <c r="U60" s="43">
        <f>SUM(U8:U59)</f>
        <v>8232</v>
      </c>
      <c r="V60" s="111">
        <f>SUM(V8:V59)</f>
        <v>1174</v>
      </c>
      <c r="W60" s="204">
        <f>SUM(W8:W59)</f>
        <v>378377</v>
      </c>
      <c r="X60" s="45"/>
    </row>
    <row r="61" spans="1:24" ht="19.5" thickBot="1" x14ac:dyDescent="0.3">
      <c r="V61" s="112"/>
    </row>
    <row r="62" spans="1:24" ht="18.75" customHeight="1" x14ac:dyDescent="0.25">
      <c r="G62" s="20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0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F64C-9CBB-404D-8082-999D1B2E0E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3">
        <v>46086</v>
      </c>
      <c r="Q1" s="214"/>
      <c r="R1" s="214"/>
      <c r="S1" s="214"/>
      <c r="T1" s="214"/>
      <c r="U1" s="214"/>
      <c r="V1" s="214"/>
      <c r="W1" s="214"/>
      <c r="X1" s="21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6" t="s">
        <v>74</v>
      </c>
      <c r="C4" s="217" t="s">
        <v>3</v>
      </c>
      <c r="D4" s="218" t="s">
        <v>75</v>
      </c>
      <c r="E4" s="219" t="s">
        <v>4</v>
      </c>
      <c r="F4" s="220"/>
      <c r="G4" s="221" t="s">
        <v>5</v>
      </c>
      <c r="H4" s="223" t="s">
        <v>75</v>
      </c>
      <c r="I4" s="225" t="s">
        <v>6</v>
      </c>
      <c r="J4" s="223" t="s">
        <v>75</v>
      </c>
      <c r="L4" s="227" t="s">
        <v>7</v>
      </c>
      <c r="M4" s="228"/>
      <c r="N4" s="228"/>
      <c r="O4" s="228"/>
      <c r="P4" s="228"/>
      <c r="Q4" s="228"/>
      <c r="R4" s="228"/>
      <c r="S4" s="228"/>
      <c r="T4" s="228"/>
      <c r="U4" s="228"/>
      <c r="V4" s="229"/>
      <c r="W4" s="228"/>
      <c r="X4" s="230"/>
    </row>
    <row r="5" spans="1:60" s="3" customFormat="1" ht="57" thickBot="1" x14ac:dyDescent="0.3">
      <c r="A5" s="49"/>
      <c r="B5" s="216"/>
      <c r="C5" s="217"/>
      <c r="D5" s="218"/>
      <c r="E5" s="48" t="s">
        <v>8</v>
      </c>
      <c r="F5" s="207" t="s">
        <v>9</v>
      </c>
      <c r="G5" s="222"/>
      <c r="H5" s="224"/>
      <c r="I5" s="226"/>
      <c r="J5" s="22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0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0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1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1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1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5" t="s">
        <v>3</v>
      </c>
      <c r="D69" s="20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EXAMPLE</vt:lpstr>
      <vt:lpstr>02,05 PROMO</vt:lpstr>
      <vt:lpstr>03,02</vt:lpstr>
      <vt:lpstr>03,03</vt:lpstr>
      <vt:lpstr>03,04</vt:lpstr>
      <vt:lpstr>03,05</vt:lpstr>
      <vt:lpstr>'02,05 PROMO'!Print_Area</vt:lpstr>
      <vt:lpstr>'03,02'!Print_Area</vt:lpstr>
      <vt:lpstr>'03,03'!Print_Area</vt:lpstr>
      <vt:lpstr>'03,04'!Print_Area</vt:lpstr>
      <vt:lpstr>'03,05'!Print_Area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2026-03-05T02:40:34Z</dcterms:modified>
</cp:coreProperties>
</file>