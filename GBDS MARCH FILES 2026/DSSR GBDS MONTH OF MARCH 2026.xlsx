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FEF673D0-3930-43FF-8505-809D6AD1DDFB}" xr6:coauthVersionLast="45" xr6:coauthVersionMax="45" xr10:uidLastSave="{00000000-0000-0000-0000-000000000000}"/>
  <bookViews>
    <workbookView xWindow="-120" yWindow="-120" windowWidth="29040" windowHeight="15840" firstSheet="7" activeTab="22" xr2:uid="{00000000-000D-0000-FFFF-FFFF00000000}"/>
  </bookViews>
  <sheets>
    <sheet name="EXAMPLE" sheetId="89" r:id="rId1"/>
    <sheet name="02,05 PROMO" sheetId="76" r:id="rId2"/>
    <sheet name="03,02" sheetId="91" r:id="rId3"/>
    <sheet name="03,03" sheetId="92" r:id="rId4"/>
    <sheet name="03,04" sheetId="93" r:id="rId5"/>
    <sheet name="03,05" sheetId="94" r:id="rId6"/>
    <sheet name="03,06" sheetId="95" r:id="rId7"/>
    <sheet name="03,07" sheetId="96" r:id="rId8"/>
    <sheet name="03,09" sheetId="97" r:id="rId9"/>
    <sheet name="03,10" sheetId="98" r:id="rId10"/>
    <sheet name="03,11" sheetId="99" r:id="rId11"/>
    <sheet name="03,12" sheetId="100" r:id="rId12"/>
    <sheet name="03,14" sheetId="101" r:id="rId13"/>
    <sheet name="03,16" sheetId="103" r:id="rId14"/>
    <sheet name="03,17" sheetId="102" r:id="rId15"/>
    <sheet name="03,18" sheetId="104" r:id="rId16"/>
    <sheet name="03,19" sheetId="105" r:id="rId17"/>
    <sheet name="03,20" sheetId="106" r:id="rId18"/>
    <sheet name="03,23" sheetId="108" r:id="rId19"/>
    <sheet name="03,24" sheetId="107" r:id="rId20"/>
    <sheet name="03,25" sheetId="109" r:id="rId21"/>
    <sheet name="03,26" sheetId="110" r:id="rId22"/>
    <sheet name="03,27" sheetId="111" r:id="rId23"/>
    <sheet name="03,28" sheetId="112" r:id="rId24"/>
  </sheets>
  <definedNames>
    <definedName name="_xlnm.Print_Area" localSheetId="1">'02,05 PROMO'!$A$1:$W$61</definedName>
    <definedName name="_xlnm.Print_Area" localSheetId="2">'03,02'!$A$1:$Y$61</definedName>
    <definedName name="_xlnm.Print_Area" localSheetId="3">'03,03'!$A$1:$Y$61</definedName>
    <definedName name="_xlnm.Print_Area" localSheetId="4">'03,04'!$A$1:$Y$61</definedName>
    <definedName name="_xlnm.Print_Area" localSheetId="5">'03,05'!$A$1:$Y$61</definedName>
    <definedName name="_xlnm.Print_Area" localSheetId="6">'03,06'!$A$1:$Y$61</definedName>
    <definedName name="_xlnm.Print_Area" localSheetId="7">'03,07'!$A$1:$Y$61</definedName>
    <definedName name="_xlnm.Print_Area" localSheetId="8">'03,09'!$A$1:$Y$61</definedName>
    <definedName name="_xlnm.Print_Area" localSheetId="9">'03,10'!$A$1:$Y$61</definedName>
    <definedName name="_xlnm.Print_Area" localSheetId="10">'03,11'!$A$1:$Y$61</definedName>
    <definedName name="_xlnm.Print_Area" localSheetId="11">'03,12'!$A$1:$Y$61</definedName>
    <definedName name="_xlnm.Print_Area" localSheetId="12">'03,14'!$A$1:$Y$61</definedName>
    <definedName name="_xlnm.Print_Area" localSheetId="13">'03,16'!$A$1:$Y$61</definedName>
    <definedName name="_xlnm.Print_Area" localSheetId="14">'03,17'!$A$1:$Y$61</definedName>
    <definedName name="_xlnm.Print_Area" localSheetId="15">'03,18'!$A$1:$Y$61</definedName>
    <definedName name="_xlnm.Print_Area" localSheetId="16">'03,19'!$A$1:$Y$61</definedName>
    <definedName name="_xlnm.Print_Area" localSheetId="17">'03,20'!$A$1:$Y$61</definedName>
    <definedName name="_xlnm.Print_Area" localSheetId="18">'03,23'!$A$1:$Y$61</definedName>
    <definedName name="_xlnm.Print_Area" localSheetId="19">'03,24'!$A$1:$Y$61</definedName>
    <definedName name="_xlnm.Print_Area" localSheetId="20">'03,25'!$A$1:$Y$61</definedName>
    <definedName name="_xlnm.Print_Area" localSheetId="21">'03,26'!$A$1:$Y$61</definedName>
    <definedName name="_xlnm.Print_Area" localSheetId="22">'03,27'!$A$1:$Y$61</definedName>
    <definedName name="_xlnm.Print_Area" localSheetId="23">'03,28'!$A$1:$Y$61</definedName>
    <definedName name="_xlnm.Print_Area" localSheetId="0">EXAMPLE!$A$1:$Y$91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112" l="1"/>
  <c r="P60" i="112"/>
  <c r="O60" i="112"/>
  <c r="N60" i="112"/>
  <c r="M60" i="112"/>
  <c r="L60" i="112"/>
  <c r="H60" i="112"/>
  <c r="G60" i="112"/>
  <c r="E60" i="112"/>
  <c r="D60" i="112"/>
  <c r="C60" i="112"/>
  <c r="S59" i="112"/>
  <c r="R59" i="112"/>
  <c r="J59" i="112"/>
  <c r="I59" i="112"/>
  <c r="S58" i="112"/>
  <c r="R58" i="112"/>
  <c r="J58" i="112"/>
  <c r="I58" i="112"/>
  <c r="S57" i="112"/>
  <c r="R57" i="112"/>
  <c r="J57" i="112"/>
  <c r="I57" i="112"/>
  <c r="S56" i="112"/>
  <c r="R56" i="112"/>
  <c r="J56" i="112"/>
  <c r="I56" i="112"/>
  <c r="S55" i="112"/>
  <c r="R55" i="112"/>
  <c r="J55" i="112"/>
  <c r="I55" i="112"/>
  <c r="W54" i="112"/>
  <c r="U54" i="112"/>
  <c r="V54" i="112" s="1"/>
  <c r="S54" i="112"/>
  <c r="R54" i="112"/>
  <c r="J54" i="112"/>
  <c r="I54" i="112"/>
  <c r="U53" i="112"/>
  <c r="V53" i="112" s="1"/>
  <c r="S53" i="112"/>
  <c r="R53" i="112"/>
  <c r="J53" i="112"/>
  <c r="I53" i="112"/>
  <c r="W53" i="112" s="1"/>
  <c r="W52" i="112"/>
  <c r="U52" i="112"/>
  <c r="V52" i="112" s="1"/>
  <c r="S52" i="112"/>
  <c r="R52" i="112"/>
  <c r="J52" i="112"/>
  <c r="I52" i="112"/>
  <c r="U51" i="112"/>
  <c r="V51" i="112" s="1"/>
  <c r="S51" i="112"/>
  <c r="R51" i="112"/>
  <c r="J51" i="112"/>
  <c r="I51" i="112"/>
  <c r="W51" i="112" s="1"/>
  <c r="W50" i="112"/>
  <c r="U50" i="112"/>
  <c r="V50" i="112" s="1"/>
  <c r="S50" i="112"/>
  <c r="R50" i="112"/>
  <c r="J50" i="112"/>
  <c r="I50" i="112"/>
  <c r="U49" i="112"/>
  <c r="V49" i="112" s="1"/>
  <c r="S49" i="112"/>
  <c r="R49" i="112"/>
  <c r="J49" i="112"/>
  <c r="I49" i="112"/>
  <c r="W49" i="112" s="1"/>
  <c r="W48" i="112"/>
  <c r="U48" i="112"/>
  <c r="V48" i="112" s="1"/>
  <c r="S48" i="112"/>
  <c r="R48" i="112"/>
  <c r="J48" i="112"/>
  <c r="I48" i="112"/>
  <c r="U47" i="112"/>
  <c r="V47" i="112" s="1"/>
  <c r="S47" i="112"/>
  <c r="R47" i="112"/>
  <c r="J47" i="112"/>
  <c r="I47" i="112"/>
  <c r="W47" i="112" s="1"/>
  <c r="W46" i="112"/>
  <c r="U46" i="112"/>
  <c r="V46" i="112" s="1"/>
  <c r="S46" i="112"/>
  <c r="R46" i="112"/>
  <c r="J46" i="112"/>
  <c r="I46" i="112"/>
  <c r="S45" i="112"/>
  <c r="R45" i="112"/>
  <c r="J45" i="112"/>
  <c r="I45" i="112"/>
  <c r="U44" i="112"/>
  <c r="V44" i="112" s="1"/>
  <c r="S44" i="112"/>
  <c r="R44" i="112"/>
  <c r="J44" i="112"/>
  <c r="I44" i="112"/>
  <c r="W44" i="112" s="1"/>
  <c r="S43" i="112"/>
  <c r="R43" i="112"/>
  <c r="J43" i="112"/>
  <c r="I43" i="112"/>
  <c r="U42" i="112"/>
  <c r="V42" i="112" s="1"/>
  <c r="S42" i="112"/>
  <c r="R42" i="112"/>
  <c r="J42" i="112"/>
  <c r="I42" i="112"/>
  <c r="W42" i="112" s="1"/>
  <c r="W41" i="112"/>
  <c r="U41" i="112"/>
  <c r="V41" i="112" s="1"/>
  <c r="S41" i="112"/>
  <c r="R41" i="112"/>
  <c r="J41" i="112"/>
  <c r="I41" i="112"/>
  <c r="U40" i="112"/>
  <c r="V40" i="112" s="1"/>
  <c r="S40" i="112"/>
  <c r="R40" i="112"/>
  <c r="J40" i="112"/>
  <c r="I40" i="112"/>
  <c r="W40" i="112" s="1"/>
  <c r="W39" i="112"/>
  <c r="U39" i="112"/>
  <c r="V39" i="112" s="1"/>
  <c r="S39" i="112"/>
  <c r="R39" i="112"/>
  <c r="J39" i="112"/>
  <c r="I39" i="112"/>
  <c r="U38" i="112"/>
  <c r="V38" i="112" s="1"/>
  <c r="S38" i="112"/>
  <c r="R38" i="112"/>
  <c r="J38" i="112"/>
  <c r="I38" i="112"/>
  <c r="W38" i="112" s="1"/>
  <c r="W37" i="112"/>
  <c r="U37" i="112"/>
  <c r="V37" i="112" s="1"/>
  <c r="S37" i="112"/>
  <c r="R37" i="112"/>
  <c r="J37" i="112"/>
  <c r="I37" i="112"/>
  <c r="U36" i="112"/>
  <c r="V36" i="112" s="1"/>
  <c r="S36" i="112"/>
  <c r="R36" i="112"/>
  <c r="J36" i="112"/>
  <c r="I36" i="112"/>
  <c r="W36" i="112" s="1"/>
  <c r="W35" i="112"/>
  <c r="U35" i="112"/>
  <c r="V35" i="112" s="1"/>
  <c r="S35" i="112"/>
  <c r="R35" i="112"/>
  <c r="J35" i="112"/>
  <c r="I35" i="112"/>
  <c r="U34" i="112"/>
  <c r="V34" i="112" s="1"/>
  <c r="S34" i="112"/>
  <c r="R34" i="112"/>
  <c r="J34" i="112"/>
  <c r="I34" i="112"/>
  <c r="W34" i="112" s="1"/>
  <c r="W33" i="112"/>
  <c r="U33" i="112"/>
  <c r="V33" i="112" s="1"/>
  <c r="S33" i="112"/>
  <c r="R33" i="112"/>
  <c r="J33" i="112"/>
  <c r="I33" i="112"/>
  <c r="U32" i="112"/>
  <c r="V32" i="112" s="1"/>
  <c r="S32" i="112"/>
  <c r="R32" i="112"/>
  <c r="J32" i="112"/>
  <c r="I32" i="112"/>
  <c r="W32" i="112" s="1"/>
  <c r="W31" i="112"/>
  <c r="U31" i="112"/>
  <c r="V31" i="112" s="1"/>
  <c r="S31" i="112"/>
  <c r="R31" i="112"/>
  <c r="J31" i="112"/>
  <c r="I31" i="112"/>
  <c r="U30" i="112"/>
  <c r="V30" i="112" s="1"/>
  <c r="S30" i="112"/>
  <c r="R30" i="112"/>
  <c r="J30" i="112"/>
  <c r="I30" i="112"/>
  <c r="W30" i="112" s="1"/>
  <c r="W29" i="112"/>
  <c r="U29" i="112"/>
  <c r="V29" i="112" s="1"/>
  <c r="S29" i="112"/>
  <c r="R29" i="112"/>
  <c r="J29" i="112"/>
  <c r="I29" i="112"/>
  <c r="U28" i="112"/>
  <c r="V28" i="112" s="1"/>
  <c r="S28" i="112"/>
  <c r="R28" i="112"/>
  <c r="J28" i="112"/>
  <c r="I28" i="112"/>
  <c r="W28" i="112" s="1"/>
  <c r="W27" i="112"/>
  <c r="U27" i="112"/>
  <c r="V27" i="112" s="1"/>
  <c r="S27" i="112"/>
  <c r="R27" i="112"/>
  <c r="J27" i="112"/>
  <c r="I27" i="112"/>
  <c r="BE26" i="112"/>
  <c r="U26" i="112"/>
  <c r="V26" i="112" s="1"/>
  <c r="S26" i="112"/>
  <c r="R26" i="112"/>
  <c r="J26" i="112"/>
  <c r="I26" i="112"/>
  <c r="W26" i="112" s="1"/>
  <c r="W25" i="112"/>
  <c r="V25" i="112"/>
  <c r="U25" i="112"/>
  <c r="S25" i="112"/>
  <c r="R25" i="112"/>
  <c r="J25" i="112"/>
  <c r="I25" i="112"/>
  <c r="U24" i="112"/>
  <c r="V24" i="112" s="1"/>
  <c r="S24" i="112"/>
  <c r="R24" i="112"/>
  <c r="J24" i="112"/>
  <c r="I24" i="112"/>
  <c r="W24" i="112" s="1"/>
  <c r="W23" i="112"/>
  <c r="V23" i="112"/>
  <c r="U23" i="112"/>
  <c r="S23" i="112"/>
  <c r="R23" i="112"/>
  <c r="J23" i="112"/>
  <c r="I23" i="112"/>
  <c r="U22" i="112"/>
  <c r="V22" i="112" s="1"/>
  <c r="S22" i="112"/>
  <c r="R22" i="112"/>
  <c r="J22" i="112"/>
  <c r="I22" i="112"/>
  <c r="W22" i="112" s="1"/>
  <c r="W21" i="112"/>
  <c r="V21" i="112"/>
  <c r="U21" i="112"/>
  <c r="S21" i="112"/>
  <c r="R21" i="112"/>
  <c r="J21" i="112"/>
  <c r="I21" i="112"/>
  <c r="U20" i="112"/>
  <c r="V20" i="112" s="1"/>
  <c r="S20" i="112"/>
  <c r="R20" i="112"/>
  <c r="J20" i="112"/>
  <c r="I20" i="112"/>
  <c r="W20" i="112" s="1"/>
  <c r="W19" i="112"/>
  <c r="V19" i="112"/>
  <c r="U19" i="112"/>
  <c r="S19" i="112"/>
  <c r="R19" i="112"/>
  <c r="J19" i="112"/>
  <c r="I19" i="112"/>
  <c r="U18" i="112"/>
  <c r="V18" i="112" s="1"/>
  <c r="S18" i="112"/>
  <c r="R18" i="112"/>
  <c r="J18" i="112"/>
  <c r="I18" i="112"/>
  <c r="W18" i="112" s="1"/>
  <c r="W17" i="112"/>
  <c r="V17" i="112"/>
  <c r="U17" i="112"/>
  <c r="S17" i="112"/>
  <c r="R17" i="112"/>
  <c r="J17" i="112"/>
  <c r="I17" i="112"/>
  <c r="U16" i="112"/>
  <c r="V16" i="112" s="1"/>
  <c r="S16" i="112"/>
  <c r="R16" i="112"/>
  <c r="J16" i="112"/>
  <c r="I16" i="112"/>
  <c r="W16" i="112" s="1"/>
  <c r="W15" i="112"/>
  <c r="V15" i="112"/>
  <c r="U15" i="112"/>
  <c r="S15" i="112"/>
  <c r="R15" i="112"/>
  <c r="J15" i="112"/>
  <c r="I15" i="112"/>
  <c r="U14" i="112"/>
  <c r="V14" i="112" s="1"/>
  <c r="S14" i="112"/>
  <c r="R14" i="112"/>
  <c r="J14" i="112"/>
  <c r="I14" i="112"/>
  <c r="W14" i="112" s="1"/>
  <c r="W13" i="112"/>
  <c r="V13" i="112"/>
  <c r="U13" i="112"/>
  <c r="S13" i="112"/>
  <c r="R13" i="112"/>
  <c r="J13" i="112"/>
  <c r="I13" i="112"/>
  <c r="U12" i="112"/>
  <c r="V12" i="112" s="1"/>
  <c r="S12" i="112"/>
  <c r="R12" i="112"/>
  <c r="J12" i="112"/>
  <c r="I12" i="112"/>
  <c r="W12" i="112" s="1"/>
  <c r="W11" i="112"/>
  <c r="V11" i="112"/>
  <c r="U11" i="112"/>
  <c r="S11" i="112"/>
  <c r="R11" i="112"/>
  <c r="J11" i="112"/>
  <c r="I11" i="112"/>
  <c r="U10" i="112"/>
  <c r="V10" i="112" s="1"/>
  <c r="S10" i="112"/>
  <c r="R10" i="112"/>
  <c r="J10" i="112"/>
  <c r="I10" i="112"/>
  <c r="W10" i="112" s="1"/>
  <c r="A10" i="112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A38" i="112" s="1"/>
  <c r="A39" i="112" s="1"/>
  <c r="A40" i="112" s="1"/>
  <c r="A41" i="112" s="1"/>
  <c r="A42" i="112" s="1"/>
  <c r="A43" i="112" s="1"/>
  <c r="A44" i="112" s="1"/>
  <c r="A45" i="112" s="1"/>
  <c r="A46" i="112" s="1"/>
  <c r="A47" i="112" s="1"/>
  <c r="A48" i="112" s="1"/>
  <c r="A49" i="112" s="1"/>
  <c r="A50" i="112" s="1"/>
  <c r="A51" i="112" s="1"/>
  <c r="A52" i="112" s="1"/>
  <c r="A53" i="112" s="1"/>
  <c r="A54" i="112" s="1"/>
  <c r="A55" i="112" s="1"/>
  <c r="A56" i="112" s="1"/>
  <c r="A57" i="112" s="1"/>
  <c r="A58" i="112" s="1"/>
  <c r="A59" i="112" s="1"/>
  <c r="W9" i="112"/>
  <c r="V9" i="112"/>
  <c r="U9" i="112"/>
  <c r="S9" i="112"/>
  <c r="R9" i="112"/>
  <c r="J9" i="112"/>
  <c r="I9" i="112"/>
  <c r="A9" i="112"/>
  <c r="U8" i="112"/>
  <c r="U60" i="112" s="1"/>
  <c r="S8" i="112"/>
  <c r="S60" i="112" s="1"/>
  <c r="R8" i="112"/>
  <c r="R60" i="112" s="1"/>
  <c r="J8" i="112"/>
  <c r="J60" i="112" s="1"/>
  <c r="I8" i="112"/>
  <c r="W8" i="112" s="1"/>
  <c r="W60" i="112" l="1"/>
  <c r="I60" i="112"/>
  <c r="V8" i="112"/>
  <c r="V60" i="112" s="1"/>
  <c r="Q60" i="111" l="1"/>
  <c r="P60" i="111"/>
  <c r="O60" i="111"/>
  <c r="N60" i="111"/>
  <c r="M60" i="111"/>
  <c r="L60" i="111"/>
  <c r="H60" i="111"/>
  <c r="G60" i="111"/>
  <c r="E60" i="111"/>
  <c r="D60" i="111"/>
  <c r="C60" i="111"/>
  <c r="S59" i="111"/>
  <c r="R59" i="111"/>
  <c r="J59" i="111"/>
  <c r="I59" i="111"/>
  <c r="S58" i="111"/>
  <c r="R58" i="111"/>
  <c r="J58" i="111"/>
  <c r="I58" i="111"/>
  <c r="S57" i="111"/>
  <c r="R57" i="111"/>
  <c r="J57" i="111"/>
  <c r="I57" i="111"/>
  <c r="S56" i="111"/>
  <c r="R56" i="111"/>
  <c r="J56" i="111"/>
  <c r="I56" i="111"/>
  <c r="S55" i="111"/>
  <c r="R55" i="111"/>
  <c r="J55" i="111"/>
  <c r="I55" i="111"/>
  <c r="V54" i="111"/>
  <c r="U54" i="111"/>
  <c r="S54" i="111"/>
  <c r="R54" i="111"/>
  <c r="J54" i="111"/>
  <c r="I54" i="111"/>
  <c r="W54" i="111" s="1"/>
  <c r="V53" i="111"/>
  <c r="U53" i="111"/>
  <c r="S53" i="111"/>
  <c r="R53" i="111"/>
  <c r="J53" i="111"/>
  <c r="W53" i="111" s="1"/>
  <c r="I53" i="111"/>
  <c r="V52" i="111"/>
  <c r="U52" i="111"/>
  <c r="S52" i="111"/>
  <c r="R52" i="111"/>
  <c r="J52" i="111"/>
  <c r="I52" i="111"/>
  <c r="W52" i="111" s="1"/>
  <c r="V51" i="111"/>
  <c r="U51" i="111"/>
  <c r="S51" i="111"/>
  <c r="R51" i="111"/>
  <c r="J51" i="111"/>
  <c r="W51" i="111" s="1"/>
  <c r="I51" i="111"/>
  <c r="V50" i="111"/>
  <c r="U50" i="111"/>
  <c r="S50" i="111"/>
  <c r="R50" i="111"/>
  <c r="J50" i="111"/>
  <c r="I50" i="111"/>
  <c r="W50" i="111" s="1"/>
  <c r="V49" i="111"/>
  <c r="U49" i="111"/>
  <c r="S49" i="111"/>
  <c r="R49" i="111"/>
  <c r="J49" i="111"/>
  <c r="W49" i="111" s="1"/>
  <c r="I49" i="111"/>
  <c r="V48" i="111"/>
  <c r="U48" i="111"/>
  <c r="S48" i="111"/>
  <c r="R48" i="111"/>
  <c r="J48" i="111"/>
  <c r="I48" i="111"/>
  <c r="W48" i="111" s="1"/>
  <c r="V47" i="111"/>
  <c r="U47" i="111"/>
  <c r="S47" i="111"/>
  <c r="R47" i="111"/>
  <c r="J47" i="111"/>
  <c r="W47" i="111" s="1"/>
  <c r="I47" i="111"/>
  <c r="V46" i="111"/>
  <c r="U46" i="111"/>
  <c r="S46" i="111"/>
  <c r="R46" i="111"/>
  <c r="J46" i="111"/>
  <c r="I46" i="111"/>
  <c r="W46" i="111" s="1"/>
  <c r="S45" i="111"/>
  <c r="R45" i="111"/>
  <c r="J45" i="111"/>
  <c r="I45" i="111"/>
  <c r="W44" i="111"/>
  <c r="V44" i="111"/>
  <c r="U44" i="111"/>
  <c r="S44" i="111"/>
  <c r="R44" i="111"/>
  <c r="J44" i="111"/>
  <c r="I44" i="111"/>
  <c r="S43" i="111"/>
  <c r="R43" i="111"/>
  <c r="J43" i="111"/>
  <c r="I43" i="111"/>
  <c r="W42" i="111"/>
  <c r="U42" i="111"/>
  <c r="V42" i="111" s="1"/>
  <c r="S42" i="111"/>
  <c r="R42" i="111"/>
  <c r="J42" i="111"/>
  <c r="I42" i="111"/>
  <c r="U41" i="111"/>
  <c r="V41" i="111" s="1"/>
  <c r="S41" i="111"/>
  <c r="R41" i="111"/>
  <c r="J41" i="111"/>
  <c r="I41" i="111"/>
  <c r="W41" i="111" s="1"/>
  <c r="W40" i="111"/>
  <c r="U40" i="111"/>
  <c r="V40" i="111" s="1"/>
  <c r="S40" i="111"/>
  <c r="R40" i="111"/>
  <c r="J40" i="111"/>
  <c r="I40" i="111"/>
  <c r="U39" i="111"/>
  <c r="V39" i="111" s="1"/>
  <c r="S39" i="111"/>
  <c r="R39" i="111"/>
  <c r="J39" i="111"/>
  <c r="I39" i="111"/>
  <c r="W39" i="111" s="1"/>
  <c r="W38" i="111"/>
  <c r="U38" i="111"/>
  <c r="V38" i="111" s="1"/>
  <c r="S38" i="111"/>
  <c r="R38" i="111"/>
  <c r="J38" i="111"/>
  <c r="I38" i="111"/>
  <c r="U37" i="111"/>
  <c r="V37" i="111" s="1"/>
  <c r="S37" i="111"/>
  <c r="R37" i="111"/>
  <c r="J37" i="111"/>
  <c r="I37" i="111"/>
  <c r="W37" i="111" s="1"/>
  <c r="W36" i="111"/>
  <c r="U36" i="111"/>
  <c r="V36" i="111" s="1"/>
  <c r="S36" i="111"/>
  <c r="R36" i="111"/>
  <c r="J36" i="111"/>
  <c r="I36" i="111"/>
  <c r="U35" i="111"/>
  <c r="V35" i="111" s="1"/>
  <c r="S35" i="111"/>
  <c r="R35" i="111"/>
  <c r="J35" i="111"/>
  <c r="I35" i="111"/>
  <c r="W35" i="111" s="1"/>
  <c r="W34" i="111"/>
  <c r="U34" i="111"/>
  <c r="V34" i="111" s="1"/>
  <c r="S34" i="111"/>
  <c r="R34" i="111"/>
  <c r="J34" i="111"/>
  <c r="I34" i="111"/>
  <c r="U33" i="111"/>
  <c r="V33" i="111" s="1"/>
  <c r="S33" i="111"/>
  <c r="R33" i="111"/>
  <c r="J33" i="111"/>
  <c r="I33" i="111"/>
  <c r="W33" i="111" s="1"/>
  <c r="W32" i="111"/>
  <c r="U32" i="111"/>
  <c r="V32" i="111" s="1"/>
  <c r="S32" i="111"/>
  <c r="R32" i="111"/>
  <c r="J32" i="111"/>
  <c r="I32" i="111"/>
  <c r="U31" i="111"/>
  <c r="V31" i="111" s="1"/>
  <c r="S31" i="111"/>
  <c r="R31" i="111"/>
  <c r="J31" i="111"/>
  <c r="I31" i="111"/>
  <c r="W31" i="111" s="1"/>
  <c r="W30" i="111"/>
  <c r="U30" i="111"/>
  <c r="V30" i="111" s="1"/>
  <c r="S30" i="111"/>
  <c r="R30" i="111"/>
  <c r="J30" i="111"/>
  <c r="I30" i="111"/>
  <c r="U29" i="111"/>
  <c r="V29" i="111" s="1"/>
  <c r="S29" i="111"/>
  <c r="R29" i="111"/>
  <c r="J29" i="111"/>
  <c r="I29" i="111"/>
  <c r="W29" i="111" s="1"/>
  <c r="W28" i="111"/>
  <c r="U28" i="111"/>
  <c r="V28" i="111" s="1"/>
  <c r="S28" i="111"/>
  <c r="R28" i="111"/>
  <c r="J28" i="111"/>
  <c r="I28" i="111"/>
  <c r="U27" i="111"/>
  <c r="V27" i="111" s="1"/>
  <c r="S27" i="111"/>
  <c r="R27" i="111"/>
  <c r="J27" i="111"/>
  <c r="I27" i="111"/>
  <c r="W27" i="111" s="1"/>
  <c r="BE26" i="111"/>
  <c r="W26" i="111"/>
  <c r="U26" i="111"/>
  <c r="V26" i="111" s="1"/>
  <c r="S26" i="111"/>
  <c r="R26" i="111"/>
  <c r="J26" i="111"/>
  <c r="I26" i="111"/>
  <c r="U25" i="111"/>
  <c r="V25" i="111" s="1"/>
  <c r="S25" i="111"/>
  <c r="R25" i="111"/>
  <c r="J25" i="111"/>
  <c r="I25" i="111"/>
  <c r="W25" i="111" s="1"/>
  <c r="W24" i="111"/>
  <c r="U24" i="111"/>
  <c r="V24" i="111" s="1"/>
  <c r="S24" i="111"/>
  <c r="R24" i="111"/>
  <c r="J24" i="111"/>
  <c r="I24" i="111"/>
  <c r="U23" i="111"/>
  <c r="V23" i="111" s="1"/>
  <c r="S23" i="111"/>
  <c r="R23" i="111"/>
  <c r="J23" i="111"/>
  <c r="I23" i="111"/>
  <c r="W23" i="111" s="1"/>
  <c r="W22" i="111"/>
  <c r="U22" i="111"/>
  <c r="V22" i="111" s="1"/>
  <c r="S22" i="111"/>
  <c r="R22" i="111"/>
  <c r="J22" i="111"/>
  <c r="I22" i="111"/>
  <c r="U21" i="111"/>
  <c r="V21" i="111" s="1"/>
  <c r="S21" i="111"/>
  <c r="R21" i="111"/>
  <c r="J21" i="111"/>
  <c r="I21" i="111"/>
  <c r="W21" i="111" s="1"/>
  <c r="W20" i="111"/>
  <c r="U20" i="111"/>
  <c r="V20" i="111" s="1"/>
  <c r="S20" i="111"/>
  <c r="R20" i="111"/>
  <c r="J20" i="111"/>
  <c r="I20" i="111"/>
  <c r="U19" i="111"/>
  <c r="V19" i="111" s="1"/>
  <c r="S19" i="111"/>
  <c r="R19" i="111"/>
  <c r="J19" i="111"/>
  <c r="I19" i="111"/>
  <c r="W19" i="111" s="1"/>
  <c r="W18" i="111"/>
  <c r="U18" i="111"/>
  <c r="V18" i="111" s="1"/>
  <c r="S18" i="111"/>
  <c r="R18" i="111"/>
  <c r="J18" i="111"/>
  <c r="I18" i="111"/>
  <c r="U17" i="111"/>
  <c r="V17" i="111" s="1"/>
  <c r="S17" i="111"/>
  <c r="R17" i="111"/>
  <c r="J17" i="111"/>
  <c r="I17" i="111"/>
  <c r="W17" i="111" s="1"/>
  <c r="W16" i="111"/>
  <c r="U16" i="111"/>
  <c r="V16" i="111" s="1"/>
  <c r="S16" i="111"/>
  <c r="R16" i="111"/>
  <c r="J16" i="111"/>
  <c r="I16" i="111"/>
  <c r="U15" i="111"/>
  <c r="V15" i="111" s="1"/>
  <c r="S15" i="111"/>
  <c r="R15" i="111"/>
  <c r="J15" i="111"/>
  <c r="I15" i="111"/>
  <c r="W15" i="111" s="1"/>
  <c r="W14" i="111"/>
  <c r="U14" i="111"/>
  <c r="V14" i="111" s="1"/>
  <c r="S14" i="111"/>
  <c r="R14" i="111"/>
  <c r="J14" i="111"/>
  <c r="I14" i="111"/>
  <c r="U13" i="111"/>
  <c r="V13" i="111" s="1"/>
  <c r="S13" i="111"/>
  <c r="R13" i="111"/>
  <c r="J13" i="111"/>
  <c r="I13" i="111"/>
  <c r="W13" i="111" s="1"/>
  <c r="W12" i="111"/>
  <c r="U12" i="111"/>
  <c r="V12" i="111" s="1"/>
  <c r="S12" i="111"/>
  <c r="R12" i="111"/>
  <c r="J12" i="111"/>
  <c r="I12" i="111"/>
  <c r="U11" i="111"/>
  <c r="V11" i="111" s="1"/>
  <c r="S11" i="111"/>
  <c r="R11" i="111"/>
  <c r="J11" i="111"/>
  <c r="I11" i="111"/>
  <c r="W11" i="111" s="1"/>
  <c r="W10" i="111"/>
  <c r="V10" i="111"/>
  <c r="U10" i="111"/>
  <c r="S10" i="111"/>
  <c r="R10" i="111"/>
  <c r="J10" i="111"/>
  <c r="I10" i="111"/>
  <c r="U9" i="111"/>
  <c r="V9" i="111" s="1"/>
  <c r="S9" i="111"/>
  <c r="R9" i="111"/>
  <c r="J9" i="111"/>
  <c r="I9" i="111"/>
  <c r="W9" i="111" s="1"/>
  <c r="A9" i="11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A38" i="111" s="1"/>
  <c r="A39" i="111" s="1"/>
  <c r="A40" i="111" s="1"/>
  <c r="A41" i="111" s="1"/>
  <c r="A42" i="111" s="1"/>
  <c r="A43" i="111" s="1"/>
  <c r="A44" i="111" s="1"/>
  <c r="A45" i="111" s="1"/>
  <c r="A46" i="111" s="1"/>
  <c r="A47" i="111" s="1"/>
  <c r="A48" i="111" s="1"/>
  <c r="A49" i="111" s="1"/>
  <c r="A50" i="111" s="1"/>
  <c r="A51" i="111" s="1"/>
  <c r="A52" i="111" s="1"/>
  <c r="A53" i="111" s="1"/>
  <c r="A54" i="111" s="1"/>
  <c r="A55" i="111" s="1"/>
  <c r="A56" i="111" s="1"/>
  <c r="A57" i="111" s="1"/>
  <c r="A58" i="111" s="1"/>
  <c r="A59" i="111" s="1"/>
  <c r="W8" i="111"/>
  <c r="U8" i="111"/>
  <c r="U60" i="111" s="1"/>
  <c r="S8" i="111"/>
  <c r="S60" i="111" s="1"/>
  <c r="R8" i="111"/>
  <c r="R60" i="111" s="1"/>
  <c r="J8" i="111"/>
  <c r="J60" i="111" s="1"/>
  <c r="I8" i="111"/>
  <c r="I60" i="111" s="1"/>
  <c r="W60" i="111" l="1"/>
  <c r="V8" i="111"/>
  <c r="V60" i="111" s="1"/>
  <c r="Q60" i="110"/>
  <c r="P60" i="110"/>
  <c r="O60" i="110"/>
  <c r="N60" i="110"/>
  <c r="M60" i="110"/>
  <c r="L60" i="110"/>
  <c r="H60" i="110"/>
  <c r="G60" i="110"/>
  <c r="E60" i="110"/>
  <c r="D60" i="110"/>
  <c r="C60" i="110"/>
  <c r="S59" i="110"/>
  <c r="R59" i="110"/>
  <c r="J59" i="110"/>
  <c r="I59" i="110"/>
  <c r="S58" i="110"/>
  <c r="R58" i="110"/>
  <c r="J58" i="110"/>
  <c r="I58" i="110"/>
  <c r="S57" i="110"/>
  <c r="R57" i="110"/>
  <c r="J57" i="110"/>
  <c r="I57" i="110"/>
  <c r="S56" i="110"/>
  <c r="R56" i="110"/>
  <c r="J56" i="110"/>
  <c r="I56" i="110"/>
  <c r="S55" i="110"/>
  <c r="R55" i="110"/>
  <c r="J55" i="110"/>
  <c r="I55" i="110"/>
  <c r="U54" i="110"/>
  <c r="V54" i="110" s="1"/>
  <c r="S54" i="110"/>
  <c r="R54" i="110"/>
  <c r="J54" i="110"/>
  <c r="I54" i="110"/>
  <c r="W54" i="110" s="1"/>
  <c r="W53" i="110"/>
  <c r="V53" i="110"/>
  <c r="U53" i="110"/>
  <c r="S53" i="110"/>
  <c r="R53" i="110"/>
  <c r="J53" i="110"/>
  <c r="I53" i="110"/>
  <c r="U52" i="110"/>
  <c r="V52" i="110" s="1"/>
  <c r="S52" i="110"/>
  <c r="R52" i="110"/>
  <c r="J52" i="110"/>
  <c r="I52" i="110"/>
  <c r="W52" i="110" s="1"/>
  <c r="W51" i="110"/>
  <c r="V51" i="110"/>
  <c r="U51" i="110"/>
  <c r="S51" i="110"/>
  <c r="R51" i="110"/>
  <c r="J51" i="110"/>
  <c r="I51" i="110"/>
  <c r="U50" i="110"/>
  <c r="V50" i="110" s="1"/>
  <c r="S50" i="110"/>
  <c r="R50" i="110"/>
  <c r="J50" i="110"/>
  <c r="I50" i="110"/>
  <c r="W50" i="110" s="1"/>
  <c r="W49" i="110"/>
  <c r="V49" i="110"/>
  <c r="U49" i="110"/>
  <c r="S49" i="110"/>
  <c r="R49" i="110"/>
  <c r="J49" i="110"/>
  <c r="I49" i="110"/>
  <c r="U48" i="110"/>
  <c r="V48" i="110" s="1"/>
  <c r="S48" i="110"/>
  <c r="R48" i="110"/>
  <c r="J48" i="110"/>
  <c r="I48" i="110"/>
  <c r="W47" i="110"/>
  <c r="V47" i="110"/>
  <c r="U47" i="110"/>
  <c r="S47" i="110"/>
  <c r="R47" i="110"/>
  <c r="J47" i="110"/>
  <c r="I47" i="110"/>
  <c r="U46" i="110"/>
  <c r="V46" i="110" s="1"/>
  <c r="S46" i="110"/>
  <c r="R46" i="110"/>
  <c r="J46" i="110"/>
  <c r="I46" i="110"/>
  <c r="W46" i="110" s="1"/>
  <c r="S45" i="110"/>
  <c r="R45" i="110"/>
  <c r="J45" i="110"/>
  <c r="I45" i="110"/>
  <c r="U44" i="110"/>
  <c r="V44" i="110" s="1"/>
  <c r="S44" i="110"/>
  <c r="R44" i="110"/>
  <c r="J44" i="110"/>
  <c r="I44" i="110"/>
  <c r="S43" i="110"/>
  <c r="R43" i="110"/>
  <c r="J43" i="110"/>
  <c r="I43" i="110"/>
  <c r="U42" i="110"/>
  <c r="V42" i="110" s="1"/>
  <c r="S42" i="110"/>
  <c r="R42" i="110"/>
  <c r="J42" i="110"/>
  <c r="I42" i="110"/>
  <c r="U41" i="110"/>
  <c r="V41" i="110" s="1"/>
  <c r="S41" i="110"/>
  <c r="R41" i="110"/>
  <c r="J41" i="110"/>
  <c r="I41" i="110"/>
  <c r="W41" i="110" s="1"/>
  <c r="V40" i="110"/>
  <c r="U40" i="110"/>
  <c r="S40" i="110"/>
  <c r="R40" i="110"/>
  <c r="J40" i="110"/>
  <c r="I40" i="110"/>
  <c r="W40" i="110" s="1"/>
  <c r="U39" i="110"/>
  <c r="V39" i="110" s="1"/>
  <c r="S39" i="110"/>
  <c r="R39" i="110"/>
  <c r="J39" i="110"/>
  <c r="I39" i="110"/>
  <c r="W39" i="110" s="1"/>
  <c r="U38" i="110"/>
  <c r="V38" i="110" s="1"/>
  <c r="S38" i="110"/>
  <c r="R38" i="110"/>
  <c r="J38" i="110"/>
  <c r="I38" i="110"/>
  <c r="U37" i="110"/>
  <c r="V37" i="110" s="1"/>
  <c r="S37" i="110"/>
  <c r="R37" i="110"/>
  <c r="J37" i="110"/>
  <c r="I37" i="110"/>
  <c r="W37" i="110" s="1"/>
  <c r="V36" i="110"/>
  <c r="U36" i="110"/>
  <c r="S36" i="110"/>
  <c r="R36" i="110"/>
  <c r="J36" i="110"/>
  <c r="I36" i="110"/>
  <c r="W36" i="110" s="1"/>
  <c r="U35" i="110"/>
  <c r="V35" i="110" s="1"/>
  <c r="S35" i="110"/>
  <c r="R35" i="110"/>
  <c r="J35" i="110"/>
  <c r="I35" i="110"/>
  <c r="V34" i="110"/>
  <c r="U34" i="110"/>
  <c r="S34" i="110"/>
  <c r="R34" i="110"/>
  <c r="J34" i="110"/>
  <c r="I34" i="110"/>
  <c r="W34" i="110" s="1"/>
  <c r="U33" i="110"/>
  <c r="V33" i="110" s="1"/>
  <c r="S33" i="110"/>
  <c r="R33" i="110"/>
  <c r="J33" i="110"/>
  <c r="I33" i="110"/>
  <c r="W33" i="110" s="1"/>
  <c r="V32" i="110"/>
  <c r="U32" i="110"/>
  <c r="S32" i="110"/>
  <c r="R32" i="110"/>
  <c r="J32" i="110"/>
  <c r="I32" i="110"/>
  <c r="W32" i="110" s="1"/>
  <c r="U31" i="110"/>
  <c r="V31" i="110" s="1"/>
  <c r="S31" i="110"/>
  <c r="R31" i="110"/>
  <c r="J31" i="110"/>
  <c r="I31" i="110"/>
  <c r="W31" i="110" s="1"/>
  <c r="V30" i="110"/>
  <c r="U30" i="110"/>
  <c r="S30" i="110"/>
  <c r="R30" i="110"/>
  <c r="J30" i="110"/>
  <c r="I30" i="110"/>
  <c r="W30" i="110" s="1"/>
  <c r="U29" i="110"/>
  <c r="V29" i="110" s="1"/>
  <c r="S29" i="110"/>
  <c r="R29" i="110"/>
  <c r="J29" i="110"/>
  <c r="I29" i="110"/>
  <c r="W29" i="110" s="1"/>
  <c r="V28" i="110"/>
  <c r="U28" i="110"/>
  <c r="S28" i="110"/>
  <c r="R28" i="110"/>
  <c r="J28" i="110"/>
  <c r="I28" i="110"/>
  <c r="W28" i="110" s="1"/>
  <c r="U27" i="110"/>
  <c r="S27" i="110"/>
  <c r="R27" i="110"/>
  <c r="J27" i="110"/>
  <c r="I27" i="110"/>
  <c r="W27" i="110" s="1"/>
  <c r="BE26" i="110"/>
  <c r="V26" i="110"/>
  <c r="U26" i="110"/>
  <c r="S26" i="110"/>
  <c r="R26" i="110"/>
  <c r="J26" i="110"/>
  <c r="W26" i="110" s="1"/>
  <c r="I26" i="110"/>
  <c r="V25" i="110"/>
  <c r="U25" i="110"/>
  <c r="S25" i="110"/>
  <c r="R25" i="110"/>
  <c r="J25" i="110"/>
  <c r="I25" i="110"/>
  <c r="W25" i="110" s="1"/>
  <c r="V24" i="110"/>
  <c r="U24" i="110"/>
  <c r="S24" i="110"/>
  <c r="R24" i="110"/>
  <c r="J24" i="110"/>
  <c r="I24" i="110"/>
  <c r="V23" i="110"/>
  <c r="U23" i="110"/>
  <c r="S23" i="110"/>
  <c r="R23" i="110"/>
  <c r="J23" i="110"/>
  <c r="I23" i="110"/>
  <c r="V22" i="110"/>
  <c r="U22" i="110"/>
  <c r="S22" i="110"/>
  <c r="R22" i="110"/>
  <c r="J22" i="110"/>
  <c r="I22" i="110"/>
  <c r="V21" i="110"/>
  <c r="U21" i="110"/>
  <c r="S21" i="110"/>
  <c r="R21" i="110"/>
  <c r="J21" i="110"/>
  <c r="I21" i="110"/>
  <c r="V20" i="110"/>
  <c r="U20" i="110"/>
  <c r="S20" i="110"/>
  <c r="R20" i="110"/>
  <c r="J20" i="110"/>
  <c r="I20" i="110"/>
  <c r="V19" i="110"/>
  <c r="U19" i="110"/>
  <c r="S19" i="110"/>
  <c r="R19" i="110"/>
  <c r="J19" i="110"/>
  <c r="I19" i="110"/>
  <c r="W19" i="110" s="1"/>
  <c r="W18" i="110"/>
  <c r="V18" i="110"/>
  <c r="U18" i="110"/>
  <c r="S18" i="110"/>
  <c r="R18" i="110"/>
  <c r="J18" i="110"/>
  <c r="I18" i="110"/>
  <c r="V17" i="110"/>
  <c r="U17" i="110"/>
  <c r="S17" i="110"/>
  <c r="R17" i="110"/>
  <c r="J17" i="110"/>
  <c r="I17" i="110"/>
  <c r="W17" i="110" s="1"/>
  <c r="W16" i="110"/>
  <c r="V16" i="110"/>
  <c r="U16" i="110"/>
  <c r="S16" i="110"/>
  <c r="R16" i="110"/>
  <c r="J16" i="110"/>
  <c r="I16" i="110"/>
  <c r="V15" i="110"/>
  <c r="U15" i="110"/>
  <c r="S15" i="110"/>
  <c r="R15" i="110"/>
  <c r="J15" i="110"/>
  <c r="I15" i="110"/>
  <c r="W15" i="110" s="1"/>
  <c r="V14" i="110"/>
  <c r="U14" i="110"/>
  <c r="S14" i="110"/>
  <c r="R14" i="110"/>
  <c r="J14" i="110"/>
  <c r="W14" i="110" s="1"/>
  <c r="I14" i="110"/>
  <c r="U13" i="110"/>
  <c r="V13" i="110" s="1"/>
  <c r="S13" i="110"/>
  <c r="R13" i="110"/>
  <c r="J13" i="110"/>
  <c r="I13" i="110"/>
  <c r="V12" i="110"/>
  <c r="U12" i="110"/>
  <c r="S12" i="110"/>
  <c r="R12" i="110"/>
  <c r="J12" i="110"/>
  <c r="I12" i="110"/>
  <c r="W12" i="110" s="1"/>
  <c r="V11" i="110"/>
  <c r="U11" i="110"/>
  <c r="S11" i="110"/>
  <c r="R11" i="110"/>
  <c r="J11" i="110"/>
  <c r="I11" i="110"/>
  <c r="W11" i="110" s="1"/>
  <c r="U10" i="110"/>
  <c r="V10" i="110" s="1"/>
  <c r="S10" i="110"/>
  <c r="R10" i="110"/>
  <c r="J10" i="110"/>
  <c r="I10" i="110"/>
  <c r="W10" i="110" s="1"/>
  <c r="A10" i="110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A53" i="110" s="1"/>
  <c r="A54" i="110" s="1"/>
  <c r="A55" i="110" s="1"/>
  <c r="A56" i="110" s="1"/>
  <c r="A57" i="110" s="1"/>
  <c r="A58" i="110" s="1"/>
  <c r="A59" i="110" s="1"/>
  <c r="V9" i="110"/>
  <c r="U9" i="110"/>
  <c r="S9" i="110"/>
  <c r="R9" i="110"/>
  <c r="J9" i="110"/>
  <c r="I9" i="110"/>
  <c r="W9" i="110" s="1"/>
  <c r="A9" i="110"/>
  <c r="V8" i="110"/>
  <c r="U8" i="110"/>
  <c r="S8" i="110"/>
  <c r="R8" i="110"/>
  <c r="J8" i="110"/>
  <c r="I8" i="110"/>
  <c r="Q60" i="109"/>
  <c r="P60" i="109"/>
  <c r="O60" i="109"/>
  <c r="N60" i="109"/>
  <c r="M60" i="109"/>
  <c r="L60" i="109"/>
  <c r="H60" i="109"/>
  <c r="G60" i="109"/>
  <c r="E60" i="109"/>
  <c r="D60" i="109"/>
  <c r="C60" i="109"/>
  <c r="S59" i="109"/>
  <c r="R59" i="109"/>
  <c r="J59" i="109"/>
  <c r="I59" i="109"/>
  <c r="S58" i="109"/>
  <c r="R58" i="109"/>
  <c r="J58" i="109"/>
  <c r="I58" i="109"/>
  <c r="S57" i="109"/>
  <c r="R57" i="109"/>
  <c r="J57" i="109"/>
  <c r="I57" i="109"/>
  <c r="S56" i="109"/>
  <c r="R56" i="109"/>
  <c r="J56" i="109"/>
  <c r="I56" i="109"/>
  <c r="S55" i="109"/>
  <c r="R55" i="109"/>
  <c r="J55" i="109"/>
  <c r="I55" i="109"/>
  <c r="U54" i="109"/>
  <c r="V54" i="109" s="1"/>
  <c r="S54" i="109"/>
  <c r="R54" i="109"/>
  <c r="J54" i="109"/>
  <c r="I54" i="109"/>
  <c r="W54" i="109" s="1"/>
  <c r="U53" i="109"/>
  <c r="V53" i="109" s="1"/>
  <c r="S53" i="109"/>
  <c r="R53" i="109"/>
  <c r="J53" i="109"/>
  <c r="I53" i="109"/>
  <c r="W53" i="109" s="1"/>
  <c r="U52" i="109"/>
  <c r="V52" i="109" s="1"/>
  <c r="S52" i="109"/>
  <c r="R52" i="109"/>
  <c r="J52" i="109"/>
  <c r="I52" i="109"/>
  <c r="W52" i="109" s="1"/>
  <c r="U51" i="109"/>
  <c r="V51" i="109" s="1"/>
  <c r="S51" i="109"/>
  <c r="R51" i="109"/>
  <c r="J51" i="109"/>
  <c r="I51" i="109"/>
  <c r="W51" i="109" s="1"/>
  <c r="U50" i="109"/>
  <c r="V50" i="109" s="1"/>
  <c r="S50" i="109"/>
  <c r="R50" i="109"/>
  <c r="J50" i="109"/>
  <c r="I50" i="109"/>
  <c r="W50" i="109" s="1"/>
  <c r="U49" i="109"/>
  <c r="V49" i="109" s="1"/>
  <c r="S49" i="109"/>
  <c r="R49" i="109"/>
  <c r="J49" i="109"/>
  <c r="I49" i="109"/>
  <c r="U48" i="109"/>
  <c r="V48" i="109" s="1"/>
  <c r="S48" i="109"/>
  <c r="R48" i="109"/>
  <c r="J48" i="109"/>
  <c r="I48" i="109"/>
  <c r="W48" i="109" s="1"/>
  <c r="U47" i="109"/>
  <c r="V47" i="109" s="1"/>
  <c r="S47" i="109"/>
  <c r="R47" i="109"/>
  <c r="J47" i="109"/>
  <c r="I47" i="109"/>
  <c r="W47" i="109" s="1"/>
  <c r="U46" i="109"/>
  <c r="V46" i="109" s="1"/>
  <c r="S46" i="109"/>
  <c r="R46" i="109"/>
  <c r="J46" i="109"/>
  <c r="I46" i="109"/>
  <c r="W46" i="109" s="1"/>
  <c r="S45" i="109"/>
  <c r="R45" i="109"/>
  <c r="J45" i="109"/>
  <c r="I45" i="109"/>
  <c r="U44" i="109"/>
  <c r="V44" i="109" s="1"/>
  <c r="S44" i="109"/>
  <c r="R44" i="109"/>
  <c r="J44" i="109"/>
  <c r="I44" i="109"/>
  <c r="S43" i="109"/>
  <c r="R43" i="109"/>
  <c r="J43" i="109"/>
  <c r="I43" i="109"/>
  <c r="U42" i="109"/>
  <c r="V42" i="109" s="1"/>
  <c r="S42" i="109"/>
  <c r="R42" i="109"/>
  <c r="J42" i="109"/>
  <c r="I42" i="109"/>
  <c r="U41" i="109"/>
  <c r="V41" i="109" s="1"/>
  <c r="S41" i="109"/>
  <c r="R41" i="109"/>
  <c r="J41" i="109"/>
  <c r="I41" i="109"/>
  <c r="W41" i="109" s="1"/>
  <c r="U40" i="109"/>
  <c r="V40" i="109" s="1"/>
  <c r="S40" i="109"/>
  <c r="R40" i="109"/>
  <c r="J40" i="109"/>
  <c r="I40" i="109"/>
  <c r="W40" i="109" s="1"/>
  <c r="U39" i="109"/>
  <c r="V39" i="109" s="1"/>
  <c r="S39" i="109"/>
  <c r="R39" i="109"/>
  <c r="J39" i="109"/>
  <c r="I39" i="109"/>
  <c r="W39" i="109" s="1"/>
  <c r="U38" i="109"/>
  <c r="V38" i="109" s="1"/>
  <c r="S38" i="109"/>
  <c r="R38" i="109"/>
  <c r="J38" i="109"/>
  <c r="I38" i="109"/>
  <c r="U37" i="109"/>
  <c r="V37" i="109" s="1"/>
  <c r="S37" i="109"/>
  <c r="R37" i="109"/>
  <c r="J37" i="109"/>
  <c r="W37" i="109" s="1"/>
  <c r="I37" i="109"/>
  <c r="U36" i="109"/>
  <c r="V36" i="109" s="1"/>
  <c r="S36" i="109"/>
  <c r="R36" i="109"/>
  <c r="J36" i="109"/>
  <c r="I36" i="109"/>
  <c r="W36" i="109" s="1"/>
  <c r="U35" i="109"/>
  <c r="V35" i="109" s="1"/>
  <c r="S35" i="109"/>
  <c r="R35" i="109"/>
  <c r="J35" i="109"/>
  <c r="I35" i="109"/>
  <c r="W35" i="109" s="1"/>
  <c r="W34" i="109"/>
  <c r="U34" i="109"/>
  <c r="V34" i="109" s="1"/>
  <c r="S34" i="109"/>
  <c r="R34" i="109"/>
  <c r="J34" i="109"/>
  <c r="I34" i="109"/>
  <c r="U33" i="109"/>
  <c r="V33" i="109" s="1"/>
  <c r="S33" i="109"/>
  <c r="R33" i="109"/>
  <c r="J33" i="109"/>
  <c r="I33" i="109"/>
  <c r="W33" i="109" s="1"/>
  <c r="W32" i="109"/>
  <c r="U32" i="109"/>
  <c r="V32" i="109" s="1"/>
  <c r="S32" i="109"/>
  <c r="R32" i="109"/>
  <c r="J32" i="109"/>
  <c r="I32" i="109"/>
  <c r="U31" i="109"/>
  <c r="V31" i="109" s="1"/>
  <c r="S31" i="109"/>
  <c r="R31" i="109"/>
  <c r="J31" i="109"/>
  <c r="I31" i="109"/>
  <c r="W31" i="109" s="1"/>
  <c r="V30" i="109"/>
  <c r="U30" i="109"/>
  <c r="S30" i="109"/>
  <c r="R30" i="109"/>
  <c r="J30" i="109"/>
  <c r="I30" i="109"/>
  <c r="W30" i="109" s="1"/>
  <c r="U29" i="109"/>
  <c r="V29" i="109" s="1"/>
  <c r="S29" i="109"/>
  <c r="R29" i="109"/>
  <c r="J29" i="109"/>
  <c r="I29" i="109"/>
  <c r="W29" i="109" s="1"/>
  <c r="U28" i="109"/>
  <c r="V28" i="109" s="1"/>
  <c r="S28" i="109"/>
  <c r="R28" i="109"/>
  <c r="J28" i="109"/>
  <c r="I28" i="109"/>
  <c r="W28" i="109" s="1"/>
  <c r="U27" i="109"/>
  <c r="V27" i="109" s="1"/>
  <c r="S27" i="109"/>
  <c r="R27" i="109"/>
  <c r="J27" i="109"/>
  <c r="I27" i="109"/>
  <c r="BE26" i="109"/>
  <c r="U26" i="109"/>
  <c r="V26" i="109" s="1"/>
  <c r="S26" i="109"/>
  <c r="R26" i="109"/>
  <c r="J26" i="109"/>
  <c r="I26" i="109"/>
  <c r="W26" i="109" s="1"/>
  <c r="U25" i="109"/>
  <c r="V25" i="109" s="1"/>
  <c r="S25" i="109"/>
  <c r="R25" i="109"/>
  <c r="J25" i="109"/>
  <c r="I25" i="109"/>
  <c r="W25" i="109" s="1"/>
  <c r="U24" i="109"/>
  <c r="V24" i="109" s="1"/>
  <c r="S24" i="109"/>
  <c r="R24" i="109"/>
  <c r="J24" i="109"/>
  <c r="I24" i="109"/>
  <c r="U23" i="109"/>
  <c r="V23" i="109" s="1"/>
  <c r="S23" i="109"/>
  <c r="R23" i="109"/>
  <c r="J23" i="109"/>
  <c r="I23" i="109"/>
  <c r="W23" i="109" s="1"/>
  <c r="U22" i="109"/>
  <c r="V22" i="109" s="1"/>
  <c r="S22" i="109"/>
  <c r="R22" i="109"/>
  <c r="J22" i="109"/>
  <c r="I22" i="109"/>
  <c r="U21" i="109"/>
  <c r="V21" i="109" s="1"/>
  <c r="S21" i="109"/>
  <c r="R21" i="109"/>
  <c r="J21" i="109"/>
  <c r="I21" i="109"/>
  <c r="W21" i="109" s="1"/>
  <c r="U20" i="109"/>
  <c r="V20" i="109" s="1"/>
  <c r="S20" i="109"/>
  <c r="R20" i="109"/>
  <c r="J20" i="109"/>
  <c r="I20" i="109"/>
  <c r="W19" i="109"/>
  <c r="U19" i="109"/>
  <c r="V19" i="109" s="1"/>
  <c r="S19" i="109"/>
  <c r="R19" i="109"/>
  <c r="J19" i="109"/>
  <c r="I19" i="109"/>
  <c r="U18" i="109"/>
  <c r="V18" i="109" s="1"/>
  <c r="S18" i="109"/>
  <c r="R18" i="109"/>
  <c r="J18" i="109"/>
  <c r="I18" i="109"/>
  <c r="W18" i="109" s="1"/>
  <c r="U17" i="109"/>
  <c r="V17" i="109" s="1"/>
  <c r="S17" i="109"/>
  <c r="R17" i="109"/>
  <c r="J17" i="109"/>
  <c r="I17" i="109"/>
  <c r="W17" i="109" s="1"/>
  <c r="W16" i="109"/>
  <c r="U16" i="109"/>
  <c r="V16" i="109" s="1"/>
  <c r="S16" i="109"/>
  <c r="R16" i="109"/>
  <c r="J16" i="109"/>
  <c r="I16" i="109"/>
  <c r="U15" i="109"/>
  <c r="V15" i="109" s="1"/>
  <c r="S15" i="109"/>
  <c r="R15" i="109"/>
  <c r="J15" i="109"/>
  <c r="I15" i="109"/>
  <c r="W15" i="109" s="1"/>
  <c r="U14" i="109"/>
  <c r="V14" i="109" s="1"/>
  <c r="S14" i="109"/>
  <c r="R14" i="109"/>
  <c r="J14" i="109"/>
  <c r="I14" i="109"/>
  <c r="U13" i="109"/>
  <c r="V13" i="109" s="1"/>
  <c r="S13" i="109"/>
  <c r="R13" i="109"/>
  <c r="J13" i="109"/>
  <c r="I13" i="109"/>
  <c r="U12" i="109"/>
  <c r="V12" i="109" s="1"/>
  <c r="S12" i="109"/>
  <c r="R12" i="109"/>
  <c r="J12" i="109"/>
  <c r="I12" i="109"/>
  <c r="W12" i="109" s="1"/>
  <c r="W11" i="109"/>
  <c r="U11" i="109"/>
  <c r="V11" i="109" s="1"/>
  <c r="S11" i="109"/>
  <c r="R11" i="109"/>
  <c r="J11" i="109"/>
  <c r="I11" i="109"/>
  <c r="U10" i="109"/>
  <c r="V10" i="109" s="1"/>
  <c r="S10" i="109"/>
  <c r="R10" i="109"/>
  <c r="J10" i="109"/>
  <c r="I10" i="109"/>
  <c r="W10" i="109" s="1"/>
  <c r="U9" i="109"/>
  <c r="V9" i="109" s="1"/>
  <c r="S9" i="109"/>
  <c r="R9" i="109"/>
  <c r="J9" i="109"/>
  <c r="I9" i="109"/>
  <c r="W9" i="109" s="1"/>
  <c r="A9" i="109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38" i="109" s="1"/>
  <c r="A39" i="109" s="1"/>
  <c r="A40" i="109" s="1"/>
  <c r="A41" i="109" s="1"/>
  <c r="A42" i="109" s="1"/>
  <c r="A43" i="109" s="1"/>
  <c r="A44" i="109" s="1"/>
  <c r="A45" i="109" s="1"/>
  <c r="A46" i="109" s="1"/>
  <c r="A47" i="109" s="1"/>
  <c r="A48" i="109" s="1"/>
  <c r="A49" i="109" s="1"/>
  <c r="A50" i="109" s="1"/>
  <c r="A51" i="109" s="1"/>
  <c r="A52" i="109" s="1"/>
  <c r="A53" i="109" s="1"/>
  <c r="A54" i="109" s="1"/>
  <c r="A55" i="109" s="1"/>
  <c r="A56" i="109" s="1"/>
  <c r="A57" i="109" s="1"/>
  <c r="A58" i="109" s="1"/>
  <c r="A59" i="109" s="1"/>
  <c r="U8" i="109"/>
  <c r="S8" i="109"/>
  <c r="R8" i="109"/>
  <c r="J8" i="109"/>
  <c r="I8" i="109"/>
  <c r="W48" i="110" l="1"/>
  <c r="W60" i="110" s="1"/>
  <c r="W44" i="110"/>
  <c r="W42" i="110"/>
  <c r="W38" i="110"/>
  <c r="W35" i="110"/>
  <c r="W24" i="110"/>
  <c r="W23" i="110"/>
  <c r="W22" i="110"/>
  <c r="W21" i="110"/>
  <c r="W20" i="110"/>
  <c r="S60" i="110"/>
  <c r="W13" i="110"/>
  <c r="J60" i="110"/>
  <c r="U60" i="110"/>
  <c r="R60" i="110"/>
  <c r="I60" i="110"/>
  <c r="W8" i="110"/>
  <c r="W22" i="109"/>
  <c r="W42" i="109"/>
  <c r="W38" i="109"/>
  <c r="W27" i="109"/>
  <c r="W24" i="109"/>
  <c r="W20" i="109"/>
  <c r="W14" i="109"/>
  <c r="W13" i="109"/>
  <c r="W8" i="109"/>
  <c r="V60" i="110"/>
  <c r="V27" i="110"/>
  <c r="S60" i="109"/>
  <c r="U60" i="109"/>
  <c r="R60" i="109"/>
  <c r="W49" i="109"/>
  <c r="I60" i="109"/>
  <c r="J60" i="109"/>
  <c r="W44" i="109"/>
  <c r="V8" i="109"/>
  <c r="V60" i="109" s="1"/>
  <c r="I29" i="108"/>
  <c r="W60" i="109" l="1"/>
  <c r="Q60" i="108"/>
  <c r="P60" i="108"/>
  <c r="O60" i="108"/>
  <c r="N60" i="108"/>
  <c r="M60" i="108"/>
  <c r="L60" i="108"/>
  <c r="H60" i="108"/>
  <c r="G60" i="108"/>
  <c r="E60" i="108"/>
  <c r="D60" i="108"/>
  <c r="C60" i="108"/>
  <c r="S59" i="108"/>
  <c r="R59" i="108"/>
  <c r="J59" i="108"/>
  <c r="I59" i="108"/>
  <c r="S58" i="108"/>
  <c r="R58" i="108"/>
  <c r="J58" i="108"/>
  <c r="I58" i="108"/>
  <c r="S57" i="108"/>
  <c r="R57" i="108"/>
  <c r="J57" i="108"/>
  <c r="I57" i="108"/>
  <c r="S56" i="108"/>
  <c r="R56" i="108"/>
  <c r="J56" i="108"/>
  <c r="I56" i="108"/>
  <c r="S55" i="108"/>
  <c r="R55" i="108"/>
  <c r="J55" i="108"/>
  <c r="I55" i="108"/>
  <c r="W54" i="108"/>
  <c r="U54" i="108"/>
  <c r="V54" i="108" s="1"/>
  <c r="S54" i="108"/>
  <c r="R54" i="108"/>
  <c r="J54" i="108"/>
  <c r="I54" i="108"/>
  <c r="U53" i="108"/>
  <c r="V53" i="108" s="1"/>
  <c r="S53" i="108"/>
  <c r="R53" i="108"/>
  <c r="J53" i="108"/>
  <c r="I53" i="108"/>
  <c r="W53" i="108" s="1"/>
  <c r="U52" i="108"/>
  <c r="V52" i="108" s="1"/>
  <c r="S52" i="108"/>
  <c r="R52" i="108"/>
  <c r="J52" i="108"/>
  <c r="I52" i="108"/>
  <c r="W52" i="108" s="1"/>
  <c r="U51" i="108"/>
  <c r="V51" i="108" s="1"/>
  <c r="S51" i="108"/>
  <c r="R51" i="108"/>
  <c r="J51" i="108"/>
  <c r="I51" i="108"/>
  <c r="W51" i="108" s="1"/>
  <c r="W50" i="108"/>
  <c r="U50" i="108"/>
  <c r="V50" i="108" s="1"/>
  <c r="S50" i="108"/>
  <c r="R50" i="108"/>
  <c r="J50" i="108"/>
  <c r="I50" i="108"/>
  <c r="U49" i="108"/>
  <c r="V49" i="108" s="1"/>
  <c r="S49" i="108"/>
  <c r="R49" i="108"/>
  <c r="J49" i="108"/>
  <c r="I49" i="108"/>
  <c r="W49" i="108" s="1"/>
  <c r="W48" i="108"/>
  <c r="U48" i="108"/>
  <c r="V48" i="108" s="1"/>
  <c r="S48" i="108"/>
  <c r="R48" i="108"/>
  <c r="J48" i="108"/>
  <c r="I48" i="108"/>
  <c r="U47" i="108"/>
  <c r="V47" i="108" s="1"/>
  <c r="S47" i="108"/>
  <c r="R47" i="108"/>
  <c r="J47" i="108"/>
  <c r="I47" i="108"/>
  <c r="W47" i="108" s="1"/>
  <c r="W46" i="108"/>
  <c r="U46" i="108"/>
  <c r="V46" i="108" s="1"/>
  <c r="S46" i="108"/>
  <c r="R46" i="108"/>
  <c r="J46" i="108"/>
  <c r="I46" i="108"/>
  <c r="S45" i="108"/>
  <c r="R45" i="108"/>
  <c r="J45" i="108"/>
  <c r="I45" i="108"/>
  <c r="U44" i="108"/>
  <c r="V44" i="108" s="1"/>
  <c r="S44" i="108"/>
  <c r="R44" i="108"/>
  <c r="J44" i="108"/>
  <c r="I44" i="108"/>
  <c r="S43" i="108"/>
  <c r="R43" i="108"/>
  <c r="J43" i="108"/>
  <c r="I43" i="108"/>
  <c r="U42" i="108"/>
  <c r="V42" i="108" s="1"/>
  <c r="S42" i="108"/>
  <c r="R42" i="108"/>
  <c r="J42" i="108"/>
  <c r="I42" i="108"/>
  <c r="W42" i="108" s="1"/>
  <c r="U41" i="108"/>
  <c r="V41" i="108" s="1"/>
  <c r="S41" i="108"/>
  <c r="R41" i="108"/>
  <c r="J41" i="108"/>
  <c r="I41" i="108"/>
  <c r="W41" i="108" s="1"/>
  <c r="U40" i="108"/>
  <c r="V40" i="108" s="1"/>
  <c r="S40" i="108"/>
  <c r="R40" i="108"/>
  <c r="J40" i="108"/>
  <c r="I40" i="108"/>
  <c r="W40" i="108" s="1"/>
  <c r="U39" i="108"/>
  <c r="V39" i="108" s="1"/>
  <c r="S39" i="108"/>
  <c r="R39" i="108"/>
  <c r="J39" i="108"/>
  <c r="I39" i="108"/>
  <c r="W39" i="108" s="1"/>
  <c r="U38" i="108"/>
  <c r="V38" i="108" s="1"/>
  <c r="S38" i="108"/>
  <c r="R38" i="108"/>
  <c r="J38" i="108"/>
  <c r="I38" i="108"/>
  <c r="W38" i="108" s="1"/>
  <c r="W37" i="108"/>
  <c r="U37" i="108"/>
  <c r="V37" i="108" s="1"/>
  <c r="S37" i="108"/>
  <c r="R37" i="108"/>
  <c r="J37" i="108"/>
  <c r="I37" i="108"/>
  <c r="U36" i="108"/>
  <c r="V36" i="108" s="1"/>
  <c r="S36" i="108"/>
  <c r="R36" i="108"/>
  <c r="J36" i="108"/>
  <c r="I36" i="108"/>
  <c r="W36" i="108" s="1"/>
  <c r="U35" i="108"/>
  <c r="V35" i="108" s="1"/>
  <c r="S35" i="108"/>
  <c r="R35" i="108"/>
  <c r="J35" i="108"/>
  <c r="I35" i="108"/>
  <c r="W35" i="108" s="1"/>
  <c r="U34" i="108"/>
  <c r="V34" i="108" s="1"/>
  <c r="S34" i="108"/>
  <c r="R34" i="108"/>
  <c r="J34" i="108"/>
  <c r="I34" i="108"/>
  <c r="W34" i="108" s="1"/>
  <c r="W33" i="108"/>
  <c r="U33" i="108"/>
  <c r="V33" i="108" s="1"/>
  <c r="S33" i="108"/>
  <c r="R33" i="108"/>
  <c r="J33" i="108"/>
  <c r="I33" i="108"/>
  <c r="U32" i="108"/>
  <c r="V32" i="108" s="1"/>
  <c r="S32" i="108"/>
  <c r="R32" i="108"/>
  <c r="J32" i="108"/>
  <c r="I32" i="108"/>
  <c r="W32" i="108" s="1"/>
  <c r="W31" i="108"/>
  <c r="U31" i="108"/>
  <c r="V31" i="108" s="1"/>
  <c r="S31" i="108"/>
  <c r="R31" i="108"/>
  <c r="J31" i="108"/>
  <c r="I31" i="108"/>
  <c r="U30" i="108"/>
  <c r="V30" i="108" s="1"/>
  <c r="S30" i="108"/>
  <c r="R30" i="108"/>
  <c r="J30" i="108"/>
  <c r="I30" i="108"/>
  <c r="W30" i="108" s="1"/>
  <c r="W29" i="108"/>
  <c r="U29" i="108"/>
  <c r="V29" i="108" s="1"/>
  <c r="S29" i="108"/>
  <c r="R29" i="108"/>
  <c r="J29" i="108"/>
  <c r="U28" i="108"/>
  <c r="V28" i="108" s="1"/>
  <c r="S28" i="108"/>
  <c r="R28" i="108"/>
  <c r="J28" i="108"/>
  <c r="I28" i="108"/>
  <c r="W28" i="108" s="1"/>
  <c r="U27" i="108"/>
  <c r="V27" i="108" s="1"/>
  <c r="S27" i="108"/>
  <c r="R27" i="108"/>
  <c r="J27" i="108"/>
  <c r="I27" i="108"/>
  <c r="W27" i="108" s="1"/>
  <c r="BE26" i="108"/>
  <c r="U26" i="108"/>
  <c r="V26" i="108" s="1"/>
  <c r="S26" i="108"/>
  <c r="R26" i="108"/>
  <c r="J26" i="108"/>
  <c r="I26" i="108"/>
  <c r="V25" i="108"/>
  <c r="U25" i="108"/>
  <c r="S25" i="108"/>
  <c r="R25" i="108"/>
  <c r="J25" i="108"/>
  <c r="W25" i="108" s="1"/>
  <c r="I25" i="108"/>
  <c r="U24" i="108"/>
  <c r="V24" i="108" s="1"/>
  <c r="S24" i="108"/>
  <c r="R24" i="108"/>
  <c r="J24" i="108"/>
  <c r="I24" i="108"/>
  <c r="V23" i="108"/>
  <c r="U23" i="108"/>
  <c r="S23" i="108"/>
  <c r="R23" i="108"/>
  <c r="J23" i="108"/>
  <c r="W23" i="108" s="1"/>
  <c r="I23" i="108"/>
  <c r="V22" i="108"/>
  <c r="U22" i="108"/>
  <c r="S22" i="108"/>
  <c r="R22" i="108"/>
  <c r="J22" i="108"/>
  <c r="I22" i="108"/>
  <c r="W22" i="108" s="1"/>
  <c r="V21" i="108"/>
  <c r="U21" i="108"/>
  <c r="S21" i="108"/>
  <c r="R21" i="108"/>
  <c r="J21" i="108"/>
  <c r="I21" i="108"/>
  <c r="V20" i="108"/>
  <c r="U20" i="108"/>
  <c r="S20" i="108"/>
  <c r="R20" i="108"/>
  <c r="J20" i="108"/>
  <c r="I20" i="108"/>
  <c r="W19" i="108"/>
  <c r="V19" i="108"/>
  <c r="U19" i="108"/>
  <c r="S19" i="108"/>
  <c r="R19" i="108"/>
  <c r="J19" i="108"/>
  <c r="I19" i="108"/>
  <c r="V18" i="108"/>
  <c r="U18" i="108"/>
  <c r="S18" i="108"/>
  <c r="R18" i="108"/>
  <c r="J18" i="108"/>
  <c r="I18" i="108"/>
  <c r="W18" i="108" s="1"/>
  <c r="W17" i="108"/>
  <c r="V17" i="108"/>
  <c r="U17" i="108"/>
  <c r="S17" i="108"/>
  <c r="R17" i="108"/>
  <c r="J17" i="108"/>
  <c r="I17" i="108"/>
  <c r="W16" i="108"/>
  <c r="U16" i="108"/>
  <c r="V16" i="108" s="1"/>
  <c r="S16" i="108"/>
  <c r="R16" i="108"/>
  <c r="J16" i="108"/>
  <c r="I16" i="108"/>
  <c r="W15" i="108"/>
  <c r="V15" i="108"/>
  <c r="U15" i="108"/>
  <c r="S15" i="108"/>
  <c r="R15" i="108"/>
  <c r="J15" i="108"/>
  <c r="I15" i="108"/>
  <c r="U14" i="108"/>
  <c r="V14" i="108" s="1"/>
  <c r="S14" i="108"/>
  <c r="R14" i="108"/>
  <c r="J14" i="108"/>
  <c r="I14" i="108"/>
  <c r="U13" i="108"/>
  <c r="V13" i="108" s="1"/>
  <c r="S13" i="108"/>
  <c r="R13" i="108"/>
  <c r="J13" i="108"/>
  <c r="I13" i="108"/>
  <c r="U12" i="108"/>
  <c r="V12" i="108" s="1"/>
  <c r="S12" i="108"/>
  <c r="R12" i="108"/>
  <c r="J12" i="108"/>
  <c r="I12" i="108"/>
  <c r="W11" i="108"/>
  <c r="V11" i="108"/>
  <c r="U11" i="108"/>
  <c r="S11" i="108"/>
  <c r="R11" i="108"/>
  <c r="J11" i="108"/>
  <c r="I11" i="108"/>
  <c r="U10" i="108"/>
  <c r="V10" i="108" s="1"/>
  <c r="S10" i="108"/>
  <c r="R10" i="108"/>
  <c r="J10" i="108"/>
  <c r="I10" i="108"/>
  <c r="A10" i="108"/>
  <c r="A11" i="108" s="1"/>
  <c r="A12" i="108" s="1"/>
  <c r="A13" i="108" s="1"/>
  <c r="A14" i="108" s="1"/>
  <c r="A15" i="108" s="1"/>
  <c r="A16" i="108" s="1"/>
  <c r="A17" i="108" s="1"/>
  <c r="A18" i="108" s="1"/>
  <c r="A19" i="108" s="1"/>
  <c r="A20" i="108" s="1"/>
  <c r="A21" i="108" s="1"/>
  <c r="A22" i="108" s="1"/>
  <c r="A23" i="108" s="1"/>
  <c r="A24" i="108" s="1"/>
  <c r="A25" i="108" s="1"/>
  <c r="A26" i="108" s="1"/>
  <c r="A27" i="108" s="1"/>
  <c r="A28" i="108" s="1"/>
  <c r="A29" i="108" s="1"/>
  <c r="A30" i="108" s="1"/>
  <c r="A31" i="108" s="1"/>
  <c r="A32" i="108" s="1"/>
  <c r="A33" i="108" s="1"/>
  <c r="A34" i="108" s="1"/>
  <c r="A35" i="108" s="1"/>
  <c r="A36" i="108" s="1"/>
  <c r="A37" i="108" s="1"/>
  <c r="A38" i="108" s="1"/>
  <c r="A39" i="108" s="1"/>
  <c r="A40" i="108" s="1"/>
  <c r="A41" i="108" s="1"/>
  <c r="A42" i="108" s="1"/>
  <c r="A43" i="108" s="1"/>
  <c r="A44" i="108" s="1"/>
  <c r="A45" i="108" s="1"/>
  <c r="A46" i="108" s="1"/>
  <c r="A47" i="108" s="1"/>
  <c r="A48" i="108" s="1"/>
  <c r="A49" i="108" s="1"/>
  <c r="A50" i="108" s="1"/>
  <c r="A51" i="108" s="1"/>
  <c r="A52" i="108" s="1"/>
  <c r="A53" i="108" s="1"/>
  <c r="A54" i="108" s="1"/>
  <c r="A55" i="108" s="1"/>
  <c r="A56" i="108" s="1"/>
  <c r="A57" i="108" s="1"/>
  <c r="A58" i="108" s="1"/>
  <c r="A59" i="108" s="1"/>
  <c r="V9" i="108"/>
  <c r="U9" i="108"/>
  <c r="S9" i="108"/>
  <c r="R9" i="108"/>
  <c r="J9" i="108"/>
  <c r="I9" i="108"/>
  <c r="W9" i="108" s="1"/>
  <c r="A9" i="108"/>
  <c r="U8" i="108"/>
  <c r="S8" i="108"/>
  <c r="R8" i="108"/>
  <c r="J8" i="108"/>
  <c r="I8" i="108"/>
  <c r="W44" i="108" l="1"/>
  <c r="W26" i="108"/>
  <c r="W24" i="108"/>
  <c r="W21" i="108"/>
  <c r="W20" i="108"/>
  <c r="W14" i="108"/>
  <c r="S60" i="108"/>
  <c r="W13" i="108"/>
  <c r="W12" i="108"/>
  <c r="R60" i="108"/>
  <c r="U60" i="108"/>
  <c r="W10" i="108"/>
  <c r="I60" i="108"/>
  <c r="W8" i="108"/>
  <c r="J60" i="108"/>
  <c r="V8" i="108"/>
  <c r="V60" i="108" s="1"/>
  <c r="Q60" i="107"/>
  <c r="P60" i="107"/>
  <c r="O60" i="107"/>
  <c r="N60" i="107"/>
  <c r="M60" i="107"/>
  <c r="L60" i="107"/>
  <c r="H60" i="107"/>
  <c r="G60" i="107"/>
  <c r="E60" i="107"/>
  <c r="D60" i="107"/>
  <c r="C60" i="107"/>
  <c r="S59" i="107"/>
  <c r="R59" i="107"/>
  <c r="J59" i="107"/>
  <c r="I59" i="107"/>
  <c r="S58" i="107"/>
  <c r="R58" i="107"/>
  <c r="J58" i="107"/>
  <c r="I58" i="107"/>
  <c r="S57" i="107"/>
  <c r="R57" i="107"/>
  <c r="J57" i="107"/>
  <c r="I57" i="107"/>
  <c r="S56" i="107"/>
  <c r="R56" i="107"/>
  <c r="J56" i="107"/>
  <c r="I56" i="107"/>
  <c r="S55" i="107"/>
  <c r="R55" i="107"/>
  <c r="J55" i="107"/>
  <c r="I55" i="107"/>
  <c r="W54" i="107"/>
  <c r="V54" i="107"/>
  <c r="U54" i="107"/>
  <c r="S54" i="107"/>
  <c r="R54" i="107"/>
  <c r="J54" i="107"/>
  <c r="I54" i="107"/>
  <c r="W53" i="107"/>
  <c r="U53" i="107"/>
  <c r="V53" i="107" s="1"/>
  <c r="S53" i="107"/>
  <c r="R53" i="107"/>
  <c r="J53" i="107"/>
  <c r="I53" i="107"/>
  <c r="W52" i="107"/>
  <c r="V52" i="107"/>
  <c r="U52" i="107"/>
  <c r="S52" i="107"/>
  <c r="R52" i="107"/>
  <c r="J52" i="107"/>
  <c r="I52" i="107"/>
  <c r="W51" i="107"/>
  <c r="U51" i="107"/>
  <c r="V51" i="107" s="1"/>
  <c r="S51" i="107"/>
  <c r="R51" i="107"/>
  <c r="J51" i="107"/>
  <c r="I51" i="107"/>
  <c r="W50" i="107"/>
  <c r="V50" i="107"/>
  <c r="U50" i="107"/>
  <c r="S50" i="107"/>
  <c r="R50" i="107"/>
  <c r="J50" i="107"/>
  <c r="I50" i="107"/>
  <c r="U49" i="107"/>
  <c r="V49" i="107" s="1"/>
  <c r="S49" i="107"/>
  <c r="R49" i="107"/>
  <c r="J49" i="107"/>
  <c r="I49" i="107"/>
  <c r="W49" i="107" s="1"/>
  <c r="U48" i="107"/>
  <c r="V48" i="107" s="1"/>
  <c r="S48" i="107"/>
  <c r="R48" i="107"/>
  <c r="J48" i="107"/>
  <c r="I48" i="107"/>
  <c r="U47" i="107"/>
  <c r="V47" i="107" s="1"/>
  <c r="S47" i="107"/>
  <c r="R47" i="107"/>
  <c r="J47" i="107"/>
  <c r="I47" i="107"/>
  <c r="W47" i="107" s="1"/>
  <c r="W46" i="107"/>
  <c r="V46" i="107"/>
  <c r="U46" i="107"/>
  <c r="S46" i="107"/>
  <c r="R46" i="107"/>
  <c r="J46" i="107"/>
  <c r="I46" i="107"/>
  <c r="S45" i="107"/>
  <c r="R45" i="107"/>
  <c r="J45" i="107"/>
  <c r="I45" i="107"/>
  <c r="W44" i="107"/>
  <c r="U44" i="107"/>
  <c r="V44" i="107" s="1"/>
  <c r="S44" i="107"/>
  <c r="R44" i="107"/>
  <c r="J44" i="107"/>
  <c r="I44" i="107"/>
  <c r="S43" i="107"/>
  <c r="R43" i="107"/>
  <c r="J43" i="107"/>
  <c r="I43" i="107"/>
  <c r="U42" i="107"/>
  <c r="V42" i="107" s="1"/>
  <c r="S42" i="107"/>
  <c r="R42" i="107"/>
  <c r="J42" i="107"/>
  <c r="I42" i="107"/>
  <c r="U41" i="107"/>
  <c r="V41" i="107" s="1"/>
  <c r="S41" i="107"/>
  <c r="R41" i="107"/>
  <c r="J41" i="107"/>
  <c r="I41" i="107"/>
  <c r="W41" i="107" s="1"/>
  <c r="U40" i="107"/>
  <c r="V40" i="107" s="1"/>
  <c r="S40" i="107"/>
  <c r="R40" i="107"/>
  <c r="J40" i="107"/>
  <c r="I40" i="107"/>
  <c r="W40" i="107" s="1"/>
  <c r="U39" i="107"/>
  <c r="V39" i="107" s="1"/>
  <c r="S39" i="107"/>
  <c r="R39" i="107"/>
  <c r="J39" i="107"/>
  <c r="I39" i="107"/>
  <c r="W39" i="107" s="1"/>
  <c r="U38" i="107"/>
  <c r="V38" i="107" s="1"/>
  <c r="S38" i="107"/>
  <c r="R38" i="107"/>
  <c r="J38" i="107"/>
  <c r="I38" i="107"/>
  <c r="U37" i="107"/>
  <c r="V37" i="107" s="1"/>
  <c r="S37" i="107"/>
  <c r="R37" i="107"/>
  <c r="J37" i="107"/>
  <c r="I37" i="107"/>
  <c r="W37" i="107" s="1"/>
  <c r="U36" i="107"/>
  <c r="V36" i="107" s="1"/>
  <c r="S36" i="107"/>
  <c r="R36" i="107"/>
  <c r="J36" i="107"/>
  <c r="I36" i="107"/>
  <c r="W36" i="107" s="1"/>
  <c r="U35" i="107"/>
  <c r="V35" i="107" s="1"/>
  <c r="S35" i="107"/>
  <c r="R35" i="107"/>
  <c r="J35" i="107"/>
  <c r="I35" i="107"/>
  <c r="W35" i="107" s="1"/>
  <c r="U34" i="107"/>
  <c r="V34" i="107" s="1"/>
  <c r="S34" i="107"/>
  <c r="R34" i="107"/>
  <c r="J34" i="107"/>
  <c r="I34" i="107"/>
  <c r="W34" i="107" s="1"/>
  <c r="U33" i="107"/>
  <c r="V33" i="107" s="1"/>
  <c r="S33" i="107"/>
  <c r="R33" i="107"/>
  <c r="J33" i="107"/>
  <c r="I33" i="107"/>
  <c r="W33" i="107" s="1"/>
  <c r="U32" i="107"/>
  <c r="V32" i="107" s="1"/>
  <c r="S32" i="107"/>
  <c r="R32" i="107"/>
  <c r="J32" i="107"/>
  <c r="I32" i="107"/>
  <c r="W32" i="107" s="1"/>
  <c r="U31" i="107"/>
  <c r="V31" i="107" s="1"/>
  <c r="S31" i="107"/>
  <c r="R31" i="107"/>
  <c r="J31" i="107"/>
  <c r="I31" i="107"/>
  <c r="W31" i="107" s="1"/>
  <c r="U30" i="107"/>
  <c r="V30" i="107" s="1"/>
  <c r="S30" i="107"/>
  <c r="R30" i="107"/>
  <c r="J30" i="107"/>
  <c r="I30" i="107"/>
  <c r="W30" i="107" s="1"/>
  <c r="U29" i="107"/>
  <c r="V29" i="107" s="1"/>
  <c r="S29" i="107"/>
  <c r="R29" i="107"/>
  <c r="J29" i="107"/>
  <c r="I29" i="107"/>
  <c r="W29" i="107" s="1"/>
  <c r="U28" i="107"/>
  <c r="V28" i="107" s="1"/>
  <c r="S28" i="107"/>
  <c r="R28" i="107"/>
  <c r="J28" i="107"/>
  <c r="I28" i="107"/>
  <c r="W28" i="107" s="1"/>
  <c r="U27" i="107"/>
  <c r="V27" i="107" s="1"/>
  <c r="S27" i="107"/>
  <c r="R27" i="107"/>
  <c r="J27" i="107"/>
  <c r="I27" i="107"/>
  <c r="W27" i="107" s="1"/>
  <c r="BE26" i="107"/>
  <c r="U26" i="107"/>
  <c r="V26" i="107" s="1"/>
  <c r="S26" i="107"/>
  <c r="R26" i="107"/>
  <c r="J26" i="107"/>
  <c r="I26" i="107"/>
  <c r="U25" i="107"/>
  <c r="V25" i="107" s="1"/>
  <c r="S25" i="107"/>
  <c r="R25" i="107"/>
  <c r="J25" i="107"/>
  <c r="I25" i="107"/>
  <c r="U24" i="107"/>
  <c r="V24" i="107" s="1"/>
  <c r="S24" i="107"/>
  <c r="R24" i="107"/>
  <c r="J24" i="107"/>
  <c r="I24" i="107"/>
  <c r="W24" i="107" s="1"/>
  <c r="U23" i="107"/>
  <c r="V23" i="107" s="1"/>
  <c r="S23" i="107"/>
  <c r="R23" i="107"/>
  <c r="J23" i="107"/>
  <c r="W23" i="107" s="1"/>
  <c r="I23" i="107"/>
  <c r="U22" i="107"/>
  <c r="V22" i="107" s="1"/>
  <c r="S22" i="107"/>
  <c r="R22" i="107"/>
  <c r="J22" i="107"/>
  <c r="I22" i="107"/>
  <c r="W22" i="107" s="1"/>
  <c r="U21" i="107"/>
  <c r="V21" i="107" s="1"/>
  <c r="S21" i="107"/>
  <c r="R21" i="107"/>
  <c r="J21" i="107"/>
  <c r="I21" i="107"/>
  <c r="U20" i="107"/>
  <c r="V20" i="107" s="1"/>
  <c r="S20" i="107"/>
  <c r="R20" i="107"/>
  <c r="J20" i="107"/>
  <c r="I20" i="107"/>
  <c r="W20" i="107" s="1"/>
  <c r="U19" i="107"/>
  <c r="V19" i="107" s="1"/>
  <c r="S19" i="107"/>
  <c r="R19" i="107"/>
  <c r="J19" i="107"/>
  <c r="W19" i="107" s="1"/>
  <c r="I19" i="107"/>
  <c r="U18" i="107"/>
  <c r="V18" i="107" s="1"/>
  <c r="S18" i="107"/>
  <c r="R18" i="107"/>
  <c r="J18" i="107"/>
  <c r="I18" i="107"/>
  <c r="W18" i="107" s="1"/>
  <c r="U17" i="107"/>
  <c r="V17" i="107" s="1"/>
  <c r="S17" i="107"/>
  <c r="R17" i="107"/>
  <c r="J17" i="107"/>
  <c r="W17" i="107" s="1"/>
  <c r="I17" i="107"/>
  <c r="U16" i="107"/>
  <c r="V16" i="107" s="1"/>
  <c r="S16" i="107"/>
  <c r="R16" i="107"/>
  <c r="J16" i="107"/>
  <c r="I16" i="107"/>
  <c r="W16" i="107" s="1"/>
  <c r="U15" i="107"/>
  <c r="V15" i="107" s="1"/>
  <c r="S15" i="107"/>
  <c r="R15" i="107"/>
  <c r="J15" i="107"/>
  <c r="W15" i="107" s="1"/>
  <c r="I15" i="107"/>
  <c r="U14" i="107"/>
  <c r="V14" i="107" s="1"/>
  <c r="S14" i="107"/>
  <c r="R14" i="107"/>
  <c r="J14" i="107"/>
  <c r="I14" i="107"/>
  <c r="W14" i="107" s="1"/>
  <c r="U13" i="107"/>
  <c r="V13" i="107" s="1"/>
  <c r="S13" i="107"/>
  <c r="R13" i="107"/>
  <c r="J13" i="107"/>
  <c r="I13" i="107"/>
  <c r="U12" i="107"/>
  <c r="V12" i="107" s="1"/>
  <c r="S12" i="107"/>
  <c r="R12" i="107"/>
  <c r="J12" i="107"/>
  <c r="I12" i="107"/>
  <c r="W12" i="107" s="1"/>
  <c r="U11" i="107"/>
  <c r="V11" i="107" s="1"/>
  <c r="S11" i="107"/>
  <c r="R11" i="107"/>
  <c r="J11" i="107"/>
  <c r="W11" i="107" s="1"/>
  <c r="I11" i="107"/>
  <c r="U10" i="107"/>
  <c r="V10" i="107" s="1"/>
  <c r="S10" i="107"/>
  <c r="R10" i="107"/>
  <c r="J10" i="107"/>
  <c r="I10" i="107"/>
  <c r="W10" i="107" s="1"/>
  <c r="U9" i="107"/>
  <c r="S9" i="107"/>
  <c r="R9" i="107"/>
  <c r="J9" i="107"/>
  <c r="I9" i="107"/>
  <c r="A9" i="107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41" i="107" s="1"/>
  <c r="A42" i="107" s="1"/>
  <c r="A43" i="107" s="1"/>
  <c r="A44" i="107" s="1"/>
  <c r="A45" i="107" s="1"/>
  <c r="A46" i="107" s="1"/>
  <c r="A47" i="107" s="1"/>
  <c r="A48" i="107" s="1"/>
  <c r="A49" i="107" s="1"/>
  <c r="A50" i="107" s="1"/>
  <c r="A51" i="107" s="1"/>
  <c r="A52" i="107" s="1"/>
  <c r="A53" i="107" s="1"/>
  <c r="A54" i="107" s="1"/>
  <c r="A55" i="107" s="1"/>
  <c r="A56" i="107" s="1"/>
  <c r="A57" i="107" s="1"/>
  <c r="A58" i="107" s="1"/>
  <c r="A59" i="107" s="1"/>
  <c r="U8" i="107"/>
  <c r="V8" i="107" s="1"/>
  <c r="S8" i="107"/>
  <c r="R8" i="107"/>
  <c r="J8" i="107"/>
  <c r="I8" i="107"/>
  <c r="C38" i="104"/>
  <c r="C9" i="104"/>
  <c r="Q60" i="106"/>
  <c r="P60" i="106"/>
  <c r="O60" i="106"/>
  <c r="N60" i="106"/>
  <c r="M60" i="106"/>
  <c r="L60" i="106"/>
  <c r="H60" i="106"/>
  <c r="G60" i="106"/>
  <c r="E60" i="106"/>
  <c r="D60" i="106"/>
  <c r="C60" i="106"/>
  <c r="S59" i="106"/>
  <c r="R59" i="106"/>
  <c r="J59" i="106"/>
  <c r="I59" i="106"/>
  <c r="S58" i="106"/>
  <c r="R58" i="106"/>
  <c r="J58" i="106"/>
  <c r="I58" i="106"/>
  <c r="S57" i="106"/>
  <c r="R57" i="106"/>
  <c r="J57" i="106"/>
  <c r="I57" i="106"/>
  <c r="S56" i="106"/>
  <c r="R56" i="106"/>
  <c r="J56" i="106"/>
  <c r="I56" i="106"/>
  <c r="S55" i="106"/>
  <c r="R55" i="106"/>
  <c r="J55" i="106"/>
  <c r="I55" i="106"/>
  <c r="U54" i="106"/>
  <c r="V54" i="106" s="1"/>
  <c r="S54" i="106"/>
  <c r="R54" i="106"/>
  <c r="J54" i="106"/>
  <c r="I54" i="106"/>
  <c r="W54" i="106" s="1"/>
  <c r="W53" i="106"/>
  <c r="U53" i="106"/>
  <c r="V53" i="106" s="1"/>
  <c r="S53" i="106"/>
  <c r="R53" i="106"/>
  <c r="J53" i="106"/>
  <c r="I53" i="106"/>
  <c r="U52" i="106"/>
  <c r="V52" i="106" s="1"/>
  <c r="S52" i="106"/>
  <c r="R52" i="106"/>
  <c r="J52" i="106"/>
  <c r="I52" i="106"/>
  <c r="W52" i="106" s="1"/>
  <c r="W51" i="106"/>
  <c r="U51" i="106"/>
  <c r="V51" i="106" s="1"/>
  <c r="S51" i="106"/>
  <c r="R51" i="106"/>
  <c r="J51" i="106"/>
  <c r="I51" i="106"/>
  <c r="W50" i="106"/>
  <c r="U50" i="106"/>
  <c r="V50" i="106" s="1"/>
  <c r="S50" i="106"/>
  <c r="R50" i="106"/>
  <c r="J50" i="106"/>
  <c r="I50" i="106"/>
  <c r="U49" i="106"/>
  <c r="V49" i="106" s="1"/>
  <c r="S49" i="106"/>
  <c r="R49" i="106"/>
  <c r="J49" i="106"/>
  <c r="I49" i="106"/>
  <c r="W49" i="106" s="1"/>
  <c r="W48" i="106"/>
  <c r="U48" i="106"/>
  <c r="V48" i="106" s="1"/>
  <c r="S48" i="106"/>
  <c r="R48" i="106"/>
  <c r="J48" i="106"/>
  <c r="I48" i="106"/>
  <c r="W47" i="106"/>
  <c r="U47" i="106"/>
  <c r="V47" i="106" s="1"/>
  <c r="S47" i="106"/>
  <c r="R47" i="106"/>
  <c r="J47" i="106"/>
  <c r="I47" i="106"/>
  <c r="W46" i="106"/>
  <c r="U46" i="106"/>
  <c r="V46" i="106" s="1"/>
  <c r="S46" i="106"/>
  <c r="R46" i="106"/>
  <c r="J46" i="106"/>
  <c r="I46" i="106"/>
  <c r="S45" i="106"/>
  <c r="R45" i="106"/>
  <c r="J45" i="106"/>
  <c r="I45" i="106"/>
  <c r="U44" i="106"/>
  <c r="V44" i="106" s="1"/>
  <c r="S44" i="106"/>
  <c r="R44" i="106"/>
  <c r="J44" i="106"/>
  <c r="I44" i="106"/>
  <c r="S43" i="106"/>
  <c r="R43" i="106"/>
  <c r="J43" i="106"/>
  <c r="I43" i="106"/>
  <c r="U42" i="106"/>
  <c r="V42" i="106" s="1"/>
  <c r="S42" i="106"/>
  <c r="R42" i="106"/>
  <c r="J42" i="106"/>
  <c r="I42" i="106"/>
  <c r="W42" i="106" s="1"/>
  <c r="U41" i="106"/>
  <c r="V41" i="106" s="1"/>
  <c r="S41" i="106"/>
  <c r="R41" i="106"/>
  <c r="J41" i="106"/>
  <c r="I41" i="106"/>
  <c r="W41" i="106" s="1"/>
  <c r="U40" i="106"/>
  <c r="V40" i="106" s="1"/>
  <c r="S40" i="106"/>
  <c r="R40" i="106"/>
  <c r="J40" i="106"/>
  <c r="I40" i="106"/>
  <c r="W40" i="106" s="1"/>
  <c r="U39" i="106"/>
  <c r="V39" i="106" s="1"/>
  <c r="S39" i="106"/>
  <c r="R39" i="106"/>
  <c r="J39" i="106"/>
  <c r="I39" i="106"/>
  <c r="W39" i="106" s="1"/>
  <c r="U38" i="106"/>
  <c r="V38" i="106" s="1"/>
  <c r="S38" i="106"/>
  <c r="R38" i="106"/>
  <c r="J38" i="106"/>
  <c r="I38" i="106"/>
  <c r="U37" i="106"/>
  <c r="V37" i="106" s="1"/>
  <c r="S37" i="106"/>
  <c r="R37" i="106"/>
  <c r="J37" i="106"/>
  <c r="I37" i="106"/>
  <c r="W37" i="106" s="1"/>
  <c r="U36" i="106"/>
  <c r="V36" i="106" s="1"/>
  <c r="S36" i="106"/>
  <c r="R36" i="106"/>
  <c r="J36" i="106"/>
  <c r="I36" i="106"/>
  <c r="W36" i="106" s="1"/>
  <c r="U35" i="106"/>
  <c r="V35" i="106" s="1"/>
  <c r="S35" i="106"/>
  <c r="R35" i="106"/>
  <c r="J35" i="106"/>
  <c r="I35" i="106"/>
  <c r="W35" i="106" s="1"/>
  <c r="U34" i="106"/>
  <c r="V34" i="106" s="1"/>
  <c r="S34" i="106"/>
  <c r="R34" i="106"/>
  <c r="J34" i="106"/>
  <c r="I34" i="106"/>
  <c r="W34" i="106" s="1"/>
  <c r="U33" i="106"/>
  <c r="V33" i="106" s="1"/>
  <c r="S33" i="106"/>
  <c r="R33" i="106"/>
  <c r="J33" i="106"/>
  <c r="I33" i="106"/>
  <c r="W33" i="106" s="1"/>
  <c r="U32" i="106"/>
  <c r="V32" i="106" s="1"/>
  <c r="S32" i="106"/>
  <c r="R32" i="106"/>
  <c r="J32" i="106"/>
  <c r="I32" i="106"/>
  <c r="W32" i="106" s="1"/>
  <c r="U31" i="106"/>
  <c r="V31" i="106" s="1"/>
  <c r="S31" i="106"/>
  <c r="R31" i="106"/>
  <c r="J31" i="106"/>
  <c r="I31" i="106"/>
  <c r="W31" i="106" s="1"/>
  <c r="U30" i="106"/>
  <c r="V30" i="106" s="1"/>
  <c r="S30" i="106"/>
  <c r="R30" i="106"/>
  <c r="J30" i="106"/>
  <c r="I30" i="106"/>
  <c r="W30" i="106" s="1"/>
  <c r="U29" i="106"/>
  <c r="V29" i="106" s="1"/>
  <c r="S29" i="106"/>
  <c r="R29" i="106"/>
  <c r="J29" i="106"/>
  <c r="I29" i="106"/>
  <c r="W29" i="106" s="1"/>
  <c r="U28" i="106"/>
  <c r="V28" i="106" s="1"/>
  <c r="S28" i="106"/>
  <c r="R28" i="106"/>
  <c r="J28" i="106"/>
  <c r="I28" i="106"/>
  <c r="W28" i="106" s="1"/>
  <c r="U27" i="106"/>
  <c r="V27" i="106" s="1"/>
  <c r="S27" i="106"/>
  <c r="R27" i="106"/>
  <c r="J27" i="106"/>
  <c r="I27" i="106"/>
  <c r="W27" i="106" s="1"/>
  <c r="BE26" i="106"/>
  <c r="U26" i="106"/>
  <c r="V26" i="106" s="1"/>
  <c r="S26" i="106"/>
  <c r="R26" i="106"/>
  <c r="J26" i="106"/>
  <c r="I26" i="106"/>
  <c r="W26" i="106" s="1"/>
  <c r="U25" i="106"/>
  <c r="V25" i="106" s="1"/>
  <c r="S25" i="106"/>
  <c r="R25" i="106"/>
  <c r="J25" i="106"/>
  <c r="I25" i="106"/>
  <c r="U24" i="106"/>
  <c r="V24" i="106" s="1"/>
  <c r="S24" i="106"/>
  <c r="R24" i="106"/>
  <c r="J24" i="106"/>
  <c r="I24" i="106"/>
  <c r="U23" i="106"/>
  <c r="V23" i="106" s="1"/>
  <c r="S23" i="106"/>
  <c r="R23" i="106"/>
  <c r="J23" i="106"/>
  <c r="W23" i="106" s="1"/>
  <c r="I23" i="106"/>
  <c r="U22" i="106"/>
  <c r="V22" i="106" s="1"/>
  <c r="S22" i="106"/>
  <c r="R22" i="106"/>
  <c r="J22" i="106"/>
  <c r="I22" i="106"/>
  <c r="W22" i="106" s="1"/>
  <c r="U21" i="106"/>
  <c r="V21" i="106" s="1"/>
  <c r="S21" i="106"/>
  <c r="R21" i="106"/>
  <c r="J21" i="106"/>
  <c r="I21" i="106"/>
  <c r="U20" i="106"/>
  <c r="V20" i="106" s="1"/>
  <c r="S20" i="106"/>
  <c r="R20" i="106"/>
  <c r="J20" i="106"/>
  <c r="I20" i="106"/>
  <c r="W20" i="106" s="1"/>
  <c r="U19" i="106"/>
  <c r="V19" i="106" s="1"/>
  <c r="S19" i="106"/>
  <c r="R19" i="106"/>
  <c r="J19" i="106"/>
  <c r="W19" i="106" s="1"/>
  <c r="I19" i="106"/>
  <c r="U18" i="106"/>
  <c r="V18" i="106" s="1"/>
  <c r="S18" i="106"/>
  <c r="R18" i="106"/>
  <c r="J18" i="106"/>
  <c r="I18" i="106"/>
  <c r="W18" i="106" s="1"/>
  <c r="U17" i="106"/>
  <c r="V17" i="106" s="1"/>
  <c r="S17" i="106"/>
  <c r="R17" i="106"/>
  <c r="J17" i="106"/>
  <c r="W17" i="106" s="1"/>
  <c r="I17" i="106"/>
  <c r="U16" i="106"/>
  <c r="V16" i="106" s="1"/>
  <c r="S16" i="106"/>
  <c r="R16" i="106"/>
  <c r="J16" i="106"/>
  <c r="I16" i="106"/>
  <c r="W16" i="106" s="1"/>
  <c r="U15" i="106"/>
  <c r="V15" i="106" s="1"/>
  <c r="S15" i="106"/>
  <c r="R15" i="106"/>
  <c r="J15" i="106"/>
  <c r="W15" i="106" s="1"/>
  <c r="I15" i="106"/>
  <c r="U14" i="106"/>
  <c r="V14" i="106" s="1"/>
  <c r="S14" i="106"/>
  <c r="R14" i="106"/>
  <c r="J14" i="106"/>
  <c r="I14" i="106"/>
  <c r="W14" i="106" s="1"/>
  <c r="U13" i="106"/>
  <c r="V13" i="106" s="1"/>
  <c r="S13" i="106"/>
  <c r="R13" i="106"/>
  <c r="J13" i="106"/>
  <c r="I13" i="106"/>
  <c r="U12" i="106"/>
  <c r="V12" i="106" s="1"/>
  <c r="S12" i="106"/>
  <c r="R12" i="106"/>
  <c r="J12" i="106"/>
  <c r="I12" i="106"/>
  <c r="W12" i="106" s="1"/>
  <c r="U11" i="106"/>
  <c r="V11" i="106" s="1"/>
  <c r="S11" i="106"/>
  <c r="R11" i="106"/>
  <c r="J11" i="106"/>
  <c r="W11" i="106" s="1"/>
  <c r="I11" i="106"/>
  <c r="U10" i="106"/>
  <c r="V10" i="106" s="1"/>
  <c r="S10" i="106"/>
  <c r="R10" i="106"/>
  <c r="J10" i="106"/>
  <c r="I10" i="106"/>
  <c r="W10" i="106" s="1"/>
  <c r="A10" i="106"/>
  <c r="A11" i="106" s="1"/>
  <c r="A12" i="106" s="1"/>
  <c r="A13" i="106" s="1"/>
  <c r="A14" i="106" s="1"/>
  <c r="A15" i="106" s="1"/>
  <c r="A16" i="106" s="1"/>
  <c r="A17" i="106" s="1"/>
  <c r="A18" i="106" s="1"/>
  <c r="A19" i="106" s="1"/>
  <c r="A20" i="106" s="1"/>
  <c r="A21" i="106" s="1"/>
  <c r="A22" i="106" s="1"/>
  <c r="A23" i="106" s="1"/>
  <c r="A24" i="106" s="1"/>
  <c r="A25" i="106" s="1"/>
  <c r="A26" i="106" s="1"/>
  <c r="A27" i="106" s="1"/>
  <c r="A28" i="106" s="1"/>
  <c r="A29" i="106" s="1"/>
  <c r="A30" i="106" s="1"/>
  <c r="A31" i="106" s="1"/>
  <c r="A32" i="106" s="1"/>
  <c r="A33" i="106" s="1"/>
  <c r="A34" i="106" s="1"/>
  <c r="A35" i="106" s="1"/>
  <c r="A36" i="106" s="1"/>
  <c r="A37" i="106" s="1"/>
  <c r="A38" i="106" s="1"/>
  <c r="A39" i="106" s="1"/>
  <c r="A40" i="106" s="1"/>
  <c r="A41" i="106" s="1"/>
  <c r="A42" i="106" s="1"/>
  <c r="A43" i="106" s="1"/>
  <c r="A44" i="106" s="1"/>
  <c r="A45" i="106" s="1"/>
  <c r="A46" i="106" s="1"/>
  <c r="A47" i="106" s="1"/>
  <c r="A48" i="106" s="1"/>
  <c r="A49" i="106" s="1"/>
  <c r="A50" i="106" s="1"/>
  <c r="A51" i="106" s="1"/>
  <c r="A52" i="106" s="1"/>
  <c r="A53" i="106" s="1"/>
  <c r="A54" i="106" s="1"/>
  <c r="A55" i="106" s="1"/>
  <c r="A56" i="106" s="1"/>
  <c r="A57" i="106" s="1"/>
  <c r="A58" i="106" s="1"/>
  <c r="A59" i="106" s="1"/>
  <c r="U9" i="106"/>
  <c r="S9" i="106"/>
  <c r="R9" i="106"/>
  <c r="J9" i="106"/>
  <c r="I9" i="106"/>
  <c r="A9" i="106"/>
  <c r="U8" i="106"/>
  <c r="V8" i="106" s="1"/>
  <c r="S8" i="106"/>
  <c r="R8" i="106"/>
  <c r="J8" i="106"/>
  <c r="I8" i="106"/>
  <c r="Q60" i="105"/>
  <c r="P60" i="105"/>
  <c r="O60" i="105"/>
  <c r="N60" i="105"/>
  <c r="M60" i="105"/>
  <c r="L60" i="105"/>
  <c r="H60" i="105"/>
  <c r="G60" i="105"/>
  <c r="E60" i="105"/>
  <c r="D60" i="105"/>
  <c r="C60" i="105"/>
  <c r="S59" i="105"/>
  <c r="R59" i="105"/>
  <c r="J59" i="105"/>
  <c r="I59" i="105"/>
  <c r="S58" i="105"/>
  <c r="R58" i="105"/>
  <c r="J58" i="105"/>
  <c r="I58" i="105"/>
  <c r="S57" i="105"/>
  <c r="R57" i="105"/>
  <c r="J57" i="105"/>
  <c r="I57" i="105"/>
  <c r="S56" i="105"/>
  <c r="R56" i="105"/>
  <c r="J56" i="105"/>
  <c r="I56" i="105"/>
  <c r="S55" i="105"/>
  <c r="R55" i="105"/>
  <c r="J55" i="105"/>
  <c r="I55" i="105"/>
  <c r="V54" i="105"/>
  <c r="U54" i="105"/>
  <c r="S54" i="105"/>
  <c r="R54" i="105"/>
  <c r="J54" i="105"/>
  <c r="I54" i="105"/>
  <c r="W54" i="105" s="1"/>
  <c r="W53" i="105"/>
  <c r="V53" i="105"/>
  <c r="U53" i="105"/>
  <c r="S53" i="105"/>
  <c r="R53" i="105"/>
  <c r="J53" i="105"/>
  <c r="I53" i="105"/>
  <c r="V52" i="105"/>
  <c r="U52" i="105"/>
  <c r="S52" i="105"/>
  <c r="R52" i="105"/>
  <c r="J52" i="105"/>
  <c r="I52" i="105"/>
  <c r="W52" i="105" s="1"/>
  <c r="W51" i="105"/>
  <c r="U51" i="105"/>
  <c r="V51" i="105" s="1"/>
  <c r="S51" i="105"/>
  <c r="R51" i="105"/>
  <c r="J51" i="105"/>
  <c r="I51" i="105"/>
  <c r="W50" i="105"/>
  <c r="V50" i="105"/>
  <c r="U50" i="105"/>
  <c r="S50" i="105"/>
  <c r="R50" i="105"/>
  <c r="J50" i="105"/>
  <c r="I50" i="105"/>
  <c r="W49" i="105"/>
  <c r="U49" i="105"/>
  <c r="V49" i="105" s="1"/>
  <c r="S49" i="105"/>
  <c r="R49" i="105"/>
  <c r="J49" i="105"/>
  <c r="I49" i="105"/>
  <c r="W48" i="105"/>
  <c r="U48" i="105"/>
  <c r="V48" i="105" s="1"/>
  <c r="S48" i="105"/>
  <c r="R48" i="105"/>
  <c r="J48" i="105"/>
  <c r="I48" i="105"/>
  <c r="W47" i="105"/>
  <c r="U47" i="105"/>
  <c r="V47" i="105" s="1"/>
  <c r="S47" i="105"/>
  <c r="R47" i="105"/>
  <c r="J47" i="105"/>
  <c r="I47" i="105"/>
  <c r="W46" i="105"/>
  <c r="V46" i="105"/>
  <c r="U46" i="105"/>
  <c r="S46" i="105"/>
  <c r="R46" i="105"/>
  <c r="J46" i="105"/>
  <c r="I46" i="105"/>
  <c r="S45" i="105"/>
  <c r="R45" i="105"/>
  <c r="J45" i="105"/>
  <c r="I45" i="105"/>
  <c r="U44" i="105"/>
  <c r="V44" i="105" s="1"/>
  <c r="S44" i="105"/>
  <c r="R44" i="105"/>
  <c r="J44" i="105"/>
  <c r="I44" i="105"/>
  <c r="S43" i="105"/>
  <c r="R43" i="105"/>
  <c r="J43" i="105"/>
  <c r="I43" i="105"/>
  <c r="U42" i="105"/>
  <c r="V42" i="105" s="1"/>
  <c r="S42" i="105"/>
  <c r="R42" i="105"/>
  <c r="J42" i="105"/>
  <c r="I42" i="105"/>
  <c r="W42" i="105" s="1"/>
  <c r="U41" i="105"/>
  <c r="V41" i="105" s="1"/>
  <c r="S41" i="105"/>
  <c r="R41" i="105"/>
  <c r="J41" i="105"/>
  <c r="I41" i="105"/>
  <c r="W41" i="105" s="1"/>
  <c r="W40" i="105"/>
  <c r="V40" i="105"/>
  <c r="U40" i="105"/>
  <c r="S40" i="105"/>
  <c r="R40" i="105"/>
  <c r="J40" i="105"/>
  <c r="I40" i="105"/>
  <c r="U39" i="105"/>
  <c r="V39" i="105" s="1"/>
  <c r="S39" i="105"/>
  <c r="R39" i="105"/>
  <c r="J39" i="105"/>
  <c r="I39" i="105"/>
  <c r="W39" i="105" s="1"/>
  <c r="V38" i="105"/>
  <c r="U38" i="105"/>
  <c r="S38" i="105"/>
  <c r="R38" i="105"/>
  <c r="J38" i="105"/>
  <c r="I38" i="105"/>
  <c r="U37" i="105"/>
  <c r="V37" i="105" s="1"/>
  <c r="S37" i="105"/>
  <c r="R37" i="105"/>
  <c r="J37" i="105"/>
  <c r="I37" i="105"/>
  <c r="W37" i="105" s="1"/>
  <c r="W36" i="105"/>
  <c r="V36" i="105"/>
  <c r="U36" i="105"/>
  <c r="S36" i="105"/>
  <c r="R36" i="105"/>
  <c r="J36" i="105"/>
  <c r="I36" i="105"/>
  <c r="U35" i="105"/>
  <c r="V35" i="105" s="1"/>
  <c r="S35" i="105"/>
  <c r="R35" i="105"/>
  <c r="J35" i="105"/>
  <c r="I35" i="105"/>
  <c r="W34" i="105"/>
  <c r="V34" i="105"/>
  <c r="U34" i="105"/>
  <c r="S34" i="105"/>
  <c r="R34" i="105"/>
  <c r="J34" i="105"/>
  <c r="I34" i="105"/>
  <c r="U33" i="105"/>
  <c r="V33" i="105" s="1"/>
  <c r="S33" i="105"/>
  <c r="R33" i="105"/>
  <c r="J33" i="105"/>
  <c r="I33" i="105"/>
  <c r="W33" i="105" s="1"/>
  <c r="W32" i="105"/>
  <c r="V32" i="105"/>
  <c r="U32" i="105"/>
  <c r="S32" i="105"/>
  <c r="R32" i="105"/>
  <c r="J32" i="105"/>
  <c r="I32" i="105"/>
  <c r="U31" i="105"/>
  <c r="V31" i="105" s="1"/>
  <c r="S31" i="105"/>
  <c r="R31" i="105"/>
  <c r="J31" i="105"/>
  <c r="I31" i="105"/>
  <c r="W31" i="105" s="1"/>
  <c r="W30" i="105"/>
  <c r="V30" i="105"/>
  <c r="U30" i="105"/>
  <c r="S30" i="105"/>
  <c r="R30" i="105"/>
  <c r="J30" i="105"/>
  <c r="I30" i="105"/>
  <c r="U29" i="105"/>
  <c r="V29" i="105" s="1"/>
  <c r="S29" i="105"/>
  <c r="R29" i="105"/>
  <c r="J29" i="105"/>
  <c r="I29" i="105"/>
  <c r="W29" i="105" s="1"/>
  <c r="W28" i="105"/>
  <c r="V28" i="105"/>
  <c r="U28" i="105"/>
  <c r="S28" i="105"/>
  <c r="R28" i="105"/>
  <c r="J28" i="105"/>
  <c r="I28" i="105"/>
  <c r="U27" i="105"/>
  <c r="S27" i="105"/>
  <c r="R27" i="105"/>
  <c r="J27" i="105"/>
  <c r="I27" i="105"/>
  <c r="W27" i="105" s="1"/>
  <c r="BE26" i="105"/>
  <c r="U26" i="105"/>
  <c r="V26" i="105" s="1"/>
  <c r="S26" i="105"/>
  <c r="R26" i="105"/>
  <c r="J26" i="105"/>
  <c r="I26" i="105"/>
  <c r="W26" i="105" s="1"/>
  <c r="V25" i="105"/>
  <c r="U25" i="105"/>
  <c r="S25" i="105"/>
  <c r="R25" i="105"/>
  <c r="J25" i="105"/>
  <c r="I25" i="105"/>
  <c r="W25" i="105" s="1"/>
  <c r="W24" i="105"/>
  <c r="V24" i="105"/>
  <c r="U24" i="105"/>
  <c r="S24" i="105"/>
  <c r="R24" i="105"/>
  <c r="J24" i="105"/>
  <c r="I24" i="105"/>
  <c r="V23" i="105"/>
  <c r="U23" i="105"/>
  <c r="S23" i="105"/>
  <c r="R23" i="105"/>
  <c r="J23" i="105"/>
  <c r="I23" i="105"/>
  <c r="W23" i="105" s="1"/>
  <c r="W22" i="105"/>
  <c r="V22" i="105"/>
  <c r="U22" i="105"/>
  <c r="S22" i="105"/>
  <c r="R22" i="105"/>
  <c r="J22" i="105"/>
  <c r="I22" i="105"/>
  <c r="V21" i="105"/>
  <c r="U21" i="105"/>
  <c r="S21" i="105"/>
  <c r="R21" i="105"/>
  <c r="J21" i="105"/>
  <c r="I21" i="105"/>
  <c r="V20" i="105"/>
  <c r="U20" i="105"/>
  <c r="S20" i="105"/>
  <c r="R20" i="105"/>
  <c r="J20" i="105"/>
  <c r="I20" i="105"/>
  <c r="W20" i="105" s="1"/>
  <c r="V19" i="105"/>
  <c r="U19" i="105"/>
  <c r="S19" i="105"/>
  <c r="R19" i="105"/>
  <c r="J19" i="105"/>
  <c r="I19" i="105"/>
  <c r="W19" i="105" s="1"/>
  <c r="W18" i="105"/>
  <c r="V18" i="105"/>
  <c r="U18" i="105"/>
  <c r="S18" i="105"/>
  <c r="R18" i="105"/>
  <c r="J18" i="105"/>
  <c r="I18" i="105"/>
  <c r="V17" i="105"/>
  <c r="U17" i="105"/>
  <c r="S17" i="105"/>
  <c r="R17" i="105"/>
  <c r="J17" i="105"/>
  <c r="I17" i="105"/>
  <c r="W17" i="105" s="1"/>
  <c r="W16" i="105"/>
  <c r="V16" i="105"/>
  <c r="U16" i="105"/>
  <c r="S16" i="105"/>
  <c r="R16" i="105"/>
  <c r="J16" i="105"/>
  <c r="I16" i="105"/>
  <c r="V15" i="105"/>
  <c r="U15" i="105"/>
  <c r="S15" i="105"/>
  <c r="R15" i="105"/>
  <c r="J15" i="105"/>
  <c r="I15" i="105"/>
  <c r="W15" i="105" s="1"/>
  <c r="V14" i="105"/>
  <c r="U14" i="105"/>
  <c r="S14" i="105"/>
  <c r="R14" i="105"/>
  <c r="J14" i="105"/>
  <c r="I14" i="105"/>
  <c r="W14" i="105" s="1"/>
  <c r="U13" i="105"/>
  <c r="V13" i="105" s="1"/>
  <c r="S13" i="105"/>
  <c r="R13" i="105"/>
  <c r="J13" i="105"/>
  <c r="I13" i="105"/>
  <c r="W13" i="105" s="1"/>
  <c r="W12" i="105"/>
  <c r="V12" i="105"/>
  <c r="U12" i="105"/>
  <c r="S12" i="105"/>
  <c r="R12" i="105"/>
  <c r="J12" i="105"/>
  <c r="I12" i="105"/>
  <c r="V11" i="105"/>
  <c r="U11" i="105"/>
  <c r="S11" i="105"/>
  <c r="R11" i="105"/>
  <c r="J11" i="105"/>
  <c r="I11" i="105"/>
  <c r="W11" i="105" s="1"/>
  <c r="W10" i="105"/>
  <c r="V10" i="105"/>
  <c r="U10" i="105"/>
  <c r="S10" i="105"/>
  <c r="R10" i="105"/>
  <c r="J10" i="105"/>
  <c r="I10" i="105"/>
  <c r="V9" i="105"/>
  <c r="U9" i="105"/>
  <c r="S9" i="105"/>
  <c r="R9" i="105"/>
  <c r="J9" i="105"/>
  <c r="I9" i="105"/>
  <c r="W9" i="105" s="1"/>
  <c r="A9" i="105"/>
  <c r="A10" i="105" s="1"/>
  <c r="A11" i="105" s="1"/>
  <c r="A12" i="105" s="1"/>
  <c r="A13" i="105" s="1"/>
  <c r="A14" i="105" s="1"/>
  <c r="A15" i="105" s="1"/>
  <c r="A16" i="105" s="1"/>
  <c r="A17" i="105" s="1"/>
  <c r="A18" i="105" s="1"/>
  <c r="A19" i="105" s="1"/>
  <c r="A20" i="105" s="1"/>
  <c r="A21" i="105" s="1"/>
  <c r="A22" i="105" s="1"/>
  <c r="A23" i="105" s="1"/>
  <c r="A24" i="105" s="1"/>
  <c r="A25" i="105" s="1"/>
  <c r="A26" i="105" s="1"/>
  <c r="A27" i="105" s="1"/>
  <c r="A28" i="105" s="1"/>
  <c r="A29" i="105" s="1"/>
  <c r="A30" i="105" s="1"/>
  <c r="A31" i="105" s="1"/>
  <c r="A32" i="105" s="1"/>
  <c r="A33" i="105" s="1"/>
  <c r="A34" i="105" s="1"/>
  <c r="A35" i="105" s="1"/>
  <c r="A36" i="105" s="1"/>
  <c r="A37" i="105" s="1"/>
  <c r="A38" i="105" s="1"/>
  <c r="A39" i="105" s="1"/>
  <c r="A40" i="105" s="1"/>
  <c r="A41" i="105" s="1"/>
  <c r="A42" i="105" s="1"/>
  <c r="A43" i="105" s="1"/>
  <c r="A44" i="105" s="1"/>
  <c r="A45" i="105" s="1"/>
  <c r="A46" i="105" s="1"/>
  <c r="A47" i="105" s="1"/>
  <c r="A48" i="105" s="1"/>
  <c r="A49" i="105" s="1"/>
  <c r="A50" i="105" s="1"/>
  <c r="A51" i="105" s="1"/>
  <c r="A52" i="105" s="1"/>
  <c r="A53" i="105" s="1"/>
  <c r="A54" i="105" s="1"/>
  <c r="A55" i="105" s="1"/>
  <c r="A56" i="105" s="1"/>
  <c r="A57" i="105" s="1"/>
  <c r="A58" i="105" s="1"/>
  <c r="A59" i="105" s="1"/>
  <c r="U8" i="105"/>
  <c r="V8" i="105" s="1"/>
  <c r="S8" i="105"/>
  <c r="R8" i="105"/>
  <c r="J8" i="105"/>
  <c r="I8" i="105"/>
  <c r="W48" i="107" l="1"/>
  <c r="W42" i="107"/>
  <c r="W38" i="107"/>
  <c r="W26" i="107"/>
  <c r="W25" i="107"/>
  <c r="W21" i="107"/>
  <c r="U60" i="107"/>
  <c r="S60" i="107"/>
  <c r="R60" i="107"/>
  <c r="J60" i="107"/>
  <c r="W13" i="107"/>
  <c r="W9" i="107"/>
  <c r="W8" i="107"/>
  <c r="W60" i="108"/>
  <c r="W44" i="106"/>
  <c r="W38" i="106"/>
  <c r="W25" i="106"/>
  <c r="W24" i="106"/>
  <c r="W21" i="106"/>
  <c r="R60" i="106"/>
  <c r="U60" i="106"/>
  <c r="S60" i="106"/>
  <c r="J60" i="106"/>
  <c r="W13" i="106"/>
  <c r="W9" i="106"/>
  <c r="W8" i="106"/>
  <c r="W44" i="105"/>
  <c r="W38" i="105"/>
  <c r="W35" i="105"/>
  <c r="W21" i="105"/>
  <c r="S60" i="105"/>
  <c r="U60" i="105"/>
  <c r="J60" i="105"/>
  <c r="R60" i="105"/>
  <c r="I60" i="105"/>
  <c r="W8" i="105"/>
  <c r="V9" i="107"/>
  <c r="V60" i="107" s="1"/>
  <c r="I60" i="107"/>
  <c r="V60" i="106"/>
  <c r="V9" i="106"/>
  <c r="I60" i="106"/>
  <c r="V27" i="105"/>
  <c r="V60" i="105" s="1"/>
  <c r="W60" i="107" l="1"/>
  <c r="W60" i="106"/>
  <c r="W60" i="105"/>
  <c r="Q60" i="104" l="1"/>
  <c r="P60" i="104"/>
  <c r="O60" i="104"/>
  <c r="N60" i="104"/>
  <c r="M60" i="104"/>
  <c r="L60" i="104"/>
  <c r="H60" i="104"/>
  <c r="G60" i="104"/>
  <c r="E60" i="104"/>
  <c r="D60" i="104"/>
  <c r="C60" i="104"/>
  <c r="S59" i="104"/>
  <c r="R59" i="104"/>
  <c r="J59" i="104"/>
  <c r="I59" i="104"/>
  <c r="S58" i="104"/>
  <c r="R58" i="104"/>
  <c r="J58" i="104"/>
  <c r="I58" i="104"/>
  <c r="S57" i="104"/>
  <c r="R57" i="104"/>
  <c r="J57" i="104"/>
  <c r="I57" i="104"/>
  <c r="S56" i="104"/>
  <c r="R56" i="104"/>
  <c r="J56" i="104"/>
  <c r="I56" i="104"/>
  <c r="S55" i="104"/>
  <c r="R55" i="104"/>
  <c r="J55" i="104"/>
  <c r="I55" i="104"/>
  <c r="U54" i="104"/>
  <c r="V54" i="104" s="1"/>
  <c r="S54" i="104"/>
  <c r="R54" i="104"/>
  <c r="J54" i="104"/>
  <c r="I54" i="104"/>
  <c r="W54" i="104" s="1"/>
  <c r="U53" i="104"/>
  <c r="V53" i="104" s="1"/>
  <c r="S53" i="104"/>
  <c r="R53" i="104"/>
  <c r="J53" i="104"/>
  <c r="I53" i="104"/>
  <c r="W53" i="104" s="1"/>
  <c r="U52" i="104"/>
  <c r="V52" i="104" s="1"/>
  <c r="S52" i="104"/>
  <c r="R52" i="104"/>
  <c r="J52" i="104"/>
  <c r="I52" i="104"/>
  <c r="W52" i="104" s="1"/>
  <c r="U51" i="104"/>
  <c r="V51" i="104" s="1"/>
  <c r="S51" i="104"/>
  <c r="R51" i="104"/>
  <c r="J51" i="104"/>
  <c r="I51" i="104"/>
  <c r="W51" i="104" s="1"/>
  <c r="U50" i="104"/>
  <c r="V50" i="104" s="1"/>
  <c r="S50" i="104"/>
  <c r="R50" i="104"/>
  <c r="J50" i="104"/>
  <c r="I50" i="104"/>
  <c r="W50" i="104" s="1"/>
  <c r="U49" i="104"/>
  <c r="V49" i="104" s="1"/>
  <c r="S49" i="104"/>
  <c r="R49" i="104"/>
  <c r="J49" i="104"/>
  <c r="I49" i="104"/>
  <c r="W49" i="104" s="1"/>
  <c r="U48" i="104"/>
  <c r="V48" i="104" s="1"/>
  <c r="S48" i="104"/>
  <c r="R48" i="104"/>
  <c r="J48" i="104"/>
  <c r="I48" i="104"/>
  <c r="U47" i="104"/>
  <c r="V47" i="104" s="1"/>
  <c r="S47" i="104"/>
  <c r="R47" i="104"/>
  <c r="J47" i="104"/>
  <c r="I47" i="104"/>
  <c r="W47" i="104" s="1"/>
  <c r="U46" i="104"/>
  <c r="V46" i="104" s="1"/>
  <c r="S46" i="104"/>
  <c r="R46" i="104"/>
  <c r="J46" i="104"/>
  <c r="I46" i="104"/>
  <c r="W46" i="104" s="1"/>
  <c r="S45" i="104"/>
  <c r="R45" i="104"/>
  <c r="J45" i="104"/>
  <c r="I45" i="104"/>
  <c r="U44" i="104"/>
  <c r="V44" i="104" s="1"/>
  <c r="S44" i="104"/>
  <c r="R44" i="104"/>
  <c r="J44" i="104"/>
  <c r="I44" i="104"/>
  <c r="S43" i="104"/>
  <c r="R43" i="104"/>
  <c r="J43" i="104"/>
  <c r="I43" i="104"/>
  <c r="U42" i="104"/>
  <c r="V42" i="104" s="1"/>
  <c r="S42" i="104"/>
  <c r="R42" i="104"/>
  <c r="J42" i="104"/>
  <c r="I42" i="104"/>
  <c r="U41" i="104"/>
  <c r="V41" i="104" s="1"/>
  <c r="S41" i="104"/>
  <c r="R41" i="104"/>
  <c r="J41" i="104"/>
  <c r="I41" i="104"/>
  <c r="W40" i="104"/>
  <c r="U40" i="104"/>
  <c r="V40" i="104" s="1"/>
  <c r="S40" i="104"/>
  <c r="R40" i="104"/>
  <c r="J40" i="104"/>
  <c r="I40" i="104"/>
  <c r="U39" i="104"/>
  <c r="V39" i="104" s="1"/>
  <c r="S39" i="104"/>
  <c r="R39" i="104"/>
  <c r="J39" i="104"/>
  <c r="I39" i="104"/>
  <c r="W39" i="104" s="1"/>
  <c r="U38" i="104"/>
  <c r="V38" i="104" s="1"/>
  <c r="S38" i="104"/>
  <c r="R38" i="104"/>
  <c r="J38" i="104"/>
  <c r="I38" i="104"/>
  <c r="W37" i="104"/>
  <c r="U37" i="104"/>
  <c r="V37" i="104" s="1"/>
  <c r="S37" i="104"/>
  <c r="R37" i="104"/>
  <c r="J37" i="104"/>
  <c r="I37" i="104"/>
  <c r="W36" i="104"/>
  <c r="U36" i="104"/>
  <c r="V36" i="104" s="1"/>
  <c r="S36" i="104"/>
  <c r="R36" i="104"/>
  <c r="J36" i="104"/>
  <c r="I36" i="104"/>
  <c r="U35" i="104"/>
  <c r="V35" i="104" s="1"/>
  <c r="S35" i="104"/>
  <c r="R35" i="104"/>
  <c r="J35" i="104"/>
  <c r="I35" i="104"/>
  <c r="W34" i="104"/>
  <c r="U34" i="104"/>
  <c r="V34" i="104" s="1"/>
  <c r="S34" i="104"/>
  <c r="R34" i="104"/>
  <c r="J34" i="104"/>
  <c r="I34" i="104"/>
  <c r="W33" i="104"/>
  <c r="U33" i="104"/>
  <c r="V33" i="104" s="1"/>
  <c r="S33" i="104"/>
  <c r="R33" i="104"/>
  <c r="J33" i="104"/>
  <c r="I33" i="104"/>
  <c r="W32" i="104"/>
  <c r="U32" i="104"/>
  <c r="V32" i="104" s="1"/>
  <c r="S32" i="104"/>
  <c r="R32" i="104"/>
  <c r="J32" i="104"/>
  <c r="I32" i="104"/>
  <c r="U31" i="104"/>
  <c r="V31" i="104" s="1"/>
  <c r="S31" i="104"/>
  <c r="R31" i="104"/>
  <c r="J31" i="104"/>
  <c r="I31" i="104"/>
  <c r="W31" i="104" s="1"/>
  <c r="W30" i="104"/>
  <c r="U30" i="104"/>
  <c r="V30" i="104" s="1"/>
  <c r="S30" i="104"/>
  <c r="R30" i="104"/>
  <c r="J30" i="104"/>
  <c r="I30" i="104"/>
  <c r="U29" i="104"/>
  <c r="V29" i="104" s="1"/>
  <c r="S29" i="104"/>
  <c r="R29" i="104"/>
  <c r="J29" i="104"/>
  <c r="I29" i="104"/>
  <c r="W29" i="104" s="1"/>
  <c r="W28" i="104"/>
  <c r="U28" i="104"/>
  <c r="V28" i="104" s="1"/>
  <c r="S28" i="104"/>
  <c r="R28" i="104"/>
  <c r="J28" i="104"/>
  <c r="I28" i="104"/>
  <c r="U27" i="104"/>
  <c r="S27" i="104"/>
  <c r="R27" i="104"/>
  <c r="J27" i="104"/>
  <c r="I27" i="104"/>
  <c r="W27" i="104" s="1"/>
  <c r="BE26" i="104"/>
  <c r="U26" i="104"/>
  <c r="V26" i="104" s="1"/>
  <c r="S26" i="104"/>
  <c r="R26" i="104"/>
  <c r="J26" i="104"/>
  <c r="I26" i="104"/>
  <c r="V25" i="104"/>
  <c r="U25" i="104"/>
  <c r="S25" i="104"/>
  <c r="R25" i="104"/>
  <c r="J25" i="104"/>
  <c r="I25" i="104"/>
  <c r="W25" i="104" s="1"/>
  <c r="V24" i="104"/>
  <c r="U24" i="104"/>
  <c r="S24" i="104"/>
  <c r="R24" i="104"/>
  <c r="J24" i="104"/>
  <c r="I24" i="104"/>
  <c r="V23" i="104"/>
  <c r="U23" i="104"/>
  <c r="S23" i="104"/>
  <c r="R23" i="104"/>
  <c r="J23" i="104"/>
  <c r="I23" i="104"/>
  <c r="W23" i="104" s="1"/>
  <c r="U22" i="104"/>
  <c r="V22" i="104" s="1"/>
  <c r="S22" i="104"/>
  <c r="R22" i="104"/>
  <c r="J22" i="104"/>
  <c r="I22" i="104"/>
  <c r="W22" i="104" s="1"/>
  <c r="V21" i="104"/>
  <c r="U21" i="104"/>
  <c r="S21" i="104"/>
  <c r="R21" i="104"/>
  <c r="J21" i="104"/>
  <c r="I21" i="104"/>
  <c r="W21" i="104" s="1"/>
  <c r="U20" i="104"/>
  <c r="V20" i="104" s="1"/>
  <c r="S20" i="104"/>
  <c r="R20" i="104"/>
  <c r="J20" i="104"/>
  <c r="I20" i="104"/>
  <c r="W20" i="104" s="1"/>
  <c r="V19" i="104"/>
  <c r="U19" i="104"/>
  <c r="S19" i="104"/>
  <c r="R19" i="104"/>
  <c r="J19" i="104"/>
  <c r="I19" i="104"/>
  <c r="W19" i="104" s="1"/>
  <c r="U18" i="104"/>
  <c r="V18" i="104" s="1"/>
  <c r="S18" i="104"/>
  <c r="R18" i="104"/>
  <c r="J18" i="104"/>
  <c r="I18" i="104"/>
  <c r="W18" i="104" s="1"/>
  <c r="V17" i="104"/>
  <c r="U17" i="104"/>
  <c r="S17" i="104"/>
  <c r="R17" i="104"/>
  <c r="J17" i="104"/>
  <c r="I17" i="104"/>
  <c r="W17" i="104" s="1"/>
  <c r="V16" i="104"/>
  <c r="U16" i="104"/>
  <c r="S16" i="104"/>
  <c r="R16" i="104"/>
  <c r="J16" i="104"/>
  <c r="I16" i="104"/>
  <c r="W16" i="104" s="1"/>
  <c r="V15" i="104"/>
  <c r="U15" i="104"/>
  <c r="S15" i="104"/>
  <c r="R15" i="104"/>
  <c r="J15" i="104"/>
  <c r="I15" i="104"/>
  <c r="W15" i="104" s="1"/>
  <c r="V14" i="104"/>
  <c r="U14" i="104"/>
  <c r="S14" i="104"/>
  <c r="R14" i="104"/>
  <c r="J14" i="104"/>
  <c r="I14" i="104"/>
  <c r="U13" i="104"/>
  <c r="V13" i="104" s="1"/>
  <c r="S13" i="104"/>
  <c r="R13" i="104"/>
  <c r="J13" i="104"/>
  <c r="I13" i="104"/>
  <c r="U12" i="104"/>
  <c r="V12" i="104" s="1"/>
  <c r="S12" i="104"/>
  <c r="R12" i="104"/>
  <c r="J12" i="104"/>
  <c r="I12" i="104"/>
  <c r="W12" i="104" s="1"/>
  <c r="V11" i="104"/>
  <c r="U11" i="104"/>
  <c r="S11" i="104"/>
  <c r="R11" i="104"/>
  <c r="J11" i="104"/>
  <c r="I11" i="104"/>
  <c r="W11" i="104" s="1"/>
  <c r="U10" i="104"/>
  <c r="V10" i="104" s="1"/>
  <c r="S10" i="104"/>
  <c r="R10" i="104"/>
  <c r="J10" i="104"/>
  <c r="I10" i="104"/>
  <c r="W10" i="104" s="1"/>
  <c r="A10" i="104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A38" i="104" s="1"/>
  <c r="A39" i="104" s="1"/>
  <c r="A40" i="104" s="1"/>
  <c r="A41" i="104" s="1"/>
  <c r="A42" i="104" s="1"/>
  <c r="A43" i="104" s="1"/>
  <c r="A44" i="104" s="1"/>
  <c r="A45" i="104" s="1"/>
  <c r="A46" i="104" s="1"/>
  <c r="A47" i="104" s="1"/>
  <c r="A48" i="104" s="1"/>
  <c r="A49" i="104" s="1"/>
  <c r="A50" i="104" s="1"/>
  <c r="A51" i="104" s="1"/>
  <c r="A52" i="104" s="1"/>
  <c r="A53" i="104" s="1"/>
  <c r="A54" i="104" s="1"/>
  <c r="A55" i="104" s="1"/>
  <c r="A56" i="104" s="1"/>
  <c r="A57" i="104" s="1"/>
  <c r="A58" i="104" s="1"/>
  <c r="A59" i="104" s="1"/>
  <c r="U9" i="104"/>
  <c r="V9" i="104" s="1"/>
  <c r="S9" i="104"/>
  <c r="R9" i="104"/>
  <c r="J9" i="104"/>
  <c r="I9" i="104"/>
  <c r="W9" i="104" s="1"/>
  <c r="A9" i="104"/>
  <c r="U8" i="104"/>
  <c r="V8" i="104" s="1"/>
  <c r="S8" i="104"/>
  <c r="R8" i="104"/>
  <c r="J8" i="104"/>
  <c r="I8" i="104"/>
  <c r="W48" i="104" l="1"/>
  <c r="W44" i="104"/>
  <c r="W42" i="104"/>
  <c r="W41" i="104"/>
  <c r="W38" i="104"/>
  <c r="W35" i="104"/>
  <c r="W26" i="104"/>
  <c r="W24" i="104"/>
  <c r="W14" i="104"/>
  <c r="S60" i="104"/>
  <c r="J60" i="104"/>
  <c r="W13" i="104"/>
  <c r="R60" i="104"/>
  <c r="U60" i="104"/>
  <c r="W8" i="104"/>
  <c r="V27" i="104"/>
  <c r="V60" i="104" s="1"/>
  <c r="I60" i="104"/>
  <c r="W60" i="104" l="1"/>
  <c r="Q60" i="103"/>
  <c r="P60" i="103"/>
  <c r="O60" i="103"/>
  <c r="N60" i="103"/>
  <c r="M60" i="103"/>
  <c r="L60" i="103"/>
  <c r="H60" i="103"/>
  <c r="G60" i="103"/>
  <c r="E60" i="103"/>
  <c r="D60" i="103"/>
  <c r="C60" i="103"/>
  <c r="S59" i="103"/>
  <c r="R59" i="103"/>
  <c r="J59" i="103"/>
  <c r="I59" i="103"/>
  <c r="S58" i="103"/>
  <c r="R58" i="103"/>
  <c r="J58" i="103"/>
  <c r="I58" i="103"/>
  <c r="S57" i="103"/>
  <c r="R57" i="103"/>
  <c r="J57" i="103"/>
  <c r="I57" i="103"/>
  <c r="S56" i="103"/>
  <c r="R56" i="103"/>
  <c r="J56" i="103"/>
  <c r="I56" i="103"/>
  <c r="S55" i="103"/>
  <c r="R55" i="103"/>
  <c r="J55" i="103"/>
  <c r="I55" i="103"/>
  <c r="U54" i="103"/>
  <c r="V54" i="103" s="1"/>
  <c r="S54" i="103"/>
  <c r="R54" i="103"/>
  <c r="J54" i="103"/>
  <c r="W54" i="103" s="1"/>
  <c r="I54" i="103"/>
  <c r="W53" i="103"/>
  <c r="V53" i="103"/>
  <c r="U53" i="103"/>
  <c r="S53" i="103"/>
  <c r="R53" i="103"/>
  <c r="J53" i="103"/>
  <c r="I53" i="103"/>
  <c r="W52" i="103"/>
  <c r="U52" i="103"/>
  <c r="V52" i="103" s="1"/>
  <c r="S52" i="103"/>
  <c r="R52" i="103"/>
  <c r="J52" i="103"/>
  <c r="I52" i="103"/>
  <c r="W51" i="103"/>
  <c r="V51" i="103"/>
  <c r="U51" i="103"/>
  <c r="S51" i="103"/>
  <c r="R51" i="103"/>
  <c r="J51" i="103"/>
  <c r="I51" i="103"/>
  <c r="W50" i="103"/>
  <c r="U50" i="103"/>
  <c r="V50" i="103" s="1"/>
  <c r="S50" i="103"/>
  <c r="R50" i="103"/>
  <c r="J50" i="103"/>
  <c r="I50" i="103"/>
  <c r="W49" i="103"/>
  <c r="V49" i="103"/>
  <c r="U49" i="103"/>
  <c r="S49" i="103"/>
  <c r="R49" i="103"/>
  <c r="J49" i="103"/>
  <c r="I49" i="103"/>
  <c r="W48" i="103"/>
  <c r="U48" i="103"/>
  <c r="V48" i="103" s="1"/>
  <c r="S48" i="103"/>
  <c r="R48" i="103"/>
  <c r="J48" i="103"/>
  <c r="I48" i="103"/>
  <c r="W47" i="103"/>
  <c r="V47" i="103"/>
  <c r="U47" i="103"/>
  <c r="S47" i="103"/>
  <c r="R47" i="103"/>
  <c r="J47" i="103"/>
  <c r="I47" i="103"/>
  <c r="W46" i="103"/>
  <c r="U46" i="103"/>
  <c r="V46" i="103" s="1"/>
  <c r="S46" i="103"/>
  <c r="R46" i="103"/>
  <c r="J46" i="103"/>
  <c r="I46" i="103"/>
  <c r="S45" i="103"/>
  <c r="R45" i="103"/>
  <c r="J45" i="103"/>
  <c r="I45" i="103"/>
  <c r="W44" i="103"/>
  <c r="U44" i="103"/>
  <c r="V44" i="103" s="1"/>
  <c r="S44" i="103"/>
  <c r="R44" i="103"/>
  <c r="J44" i="103"/>
  <c r="I44" i="103"/>
  <c r="S43" i="103"/>
  <c r="R43" i="103"/>
  <c r="J43" i="103"/>
  <c r="I43" i="103"/>
  <c r="U42" i="103"/>
  <c r="V42" i="103" s="1"/>
  <c r="S42" i="103"/>
  <c r="R42" i="103"/>
  <c r="J42" i="103"/>
  <c r="I42" i="103"/>
  <c r="W42" i="103" s="1"/>
  <c r="U41" i="103"/>
  <c r="V41" i="103" s="1"/>
  <c r="S41" i="103"/>
  <c r="R41" i="103"/>
  <c r="J41" i="103"/>
  <c r="I41" i="103"/>
  <c r="W41" i="103" s="1"/>
  <c r="U40" i="103"/>
  <c r="V40" i="103" s="1"/>
  <c r="S40" i="103"/>
  <c r="R40" i="103"/>
  <c r="J40" i="103"/>
  <c r="I40" i="103"/>
  <c r="W40" i="103" s="1"/>
  <c r="U39" i="103"/>
  <c r="V39" i="103" s="1"/>
  <c r="S39" i="103"/>
  <c r="R39" i="103"/>
  <c r="J39" i="103"/>
  <c r="I39" i="103"/>
  <c r="W39" i="103" s="1"/>
  <c r="U38" i="103"/>
  <c r="V38" i="103" s="1"/>
  <c r="S38" i="103"/>
  <c r="R38" i="103"/>
  <c r="J38" i="103"/>
  <c r="I38" i="103"/>
  <c r="W38" i="103" s="1"/>
  <c r="U37" i="103"/>
  <c r="V37" i="103" s="1"/>
  <c r="S37" i="103"/>
  <c r="R37" i="103"/>
  <c r="J37" i="103"/>
  <c r="I37" i="103"/>
  <c r="W37" i="103" s="1"/>
  <c r="U36" i="103"/>
  <c r="V36" i="103" s="1"/>
  <c r="S36" i="103"/>
  <c r="R36" i="103"/>
  <c r="J36" i="103"/>
  <c r="I36" i="103"/>
  <c r="W36" i="103" s="1"/>
  <c r="U35" i="103"/>
  <c r="V35" i="103" s="1"/>
  <c r="S35" i="103"/>
  <c r="R35" i="103"/>
  <c r="J35" i="103"/>
  <c r="I35" i="103"/>
  <c r="W35" i="103" s="1"/>
  <c r="U34" i="103"/>
  <c r="V34" i="103" s="1"/>
  <c r="S34" i="103"/>
  <c r="R34" i="103"/>
  <c r="J34" i="103"/>
  <c r="I34" i="103"/>
  <c r="W34" i="103" s="1"/>
  <c r="U33" i="103"/>
  <c r="V33" i="103" s="1"/>
  <c r="S33" i="103"/>
  <c r="R33" i="103"/>
  <c r="J33" i="103"/>
  <c r="I33" i="103"/>
  <c r="W33" i="103" s="1"/>
  <c r="U32" i="103"/>
  <c r="V32" i="103" s="1"/>
  <c r="S32" i="103"/>
  <c r="R32" i="103"/>
  <c r="J32" i="103"/>
  <c r="I32" i="103"/>
  <c r="W32" i="103" s="1"/>
  <c r="U31" i="103"/>
  <c r="V31" i="103" s="1"/>
  <c r="S31" i="103"/>
  <c r="R31" i="103"/>
  <c r="J31" i="103"/>
  <c r="I31" i="103"/>
  <c r="W31" i="103" s="1"/>
  <c r="U30" i="103"/>
  <c r="V30" i="103" s="1"/>
  <c r="S30" i="103"/>
  <c r="R30" i="103"/>
  <c r="J30" i="103"/>
  <c r="I30" i="103"/>
  <c r="W30" i="103" s="1"/>
  <c r="U29" i="103"/>
  <c r="V29" i="103" s="1"/>
  <c r="S29" i="103"/>
  <c r="R29" i="103"/>
  <c r="J29" i="103"/>
  <c r="I29" i="103"/>
  <c r="W29" i="103" s="1"/>
  <c r="U28" i="103"/>
  <c r="V28" i="103" s="1"/>
  <c r="S28" i="103"/>
  <c r="R28" i="103"/>
  <c r="J28" i="103"/>
  <c r="I28" i="103"/>
  <c r="W28" i="103" s="1"/>
  <c r="U27" i="103"/>
  <c r="V27" i="103" s="1"/>
  <c r="S27" i="103"/>
  <c r="R27" i="103"/>
  <c r="J27" i="103"/>
  <c r="I27" i="103"/>
  <c r="W27" i="103" s="1"/>
  <c r="BE26" i="103"/>
  <c r="U26" i="103"/>
  <c r="V26" i="103" s="1"/>
  <c r="S26" i="103"/>
  <c r="R26" i="103"/>
  <c r="J26" i="103"/>
  <c r="W26" i="103" s="1"/>
  <c r="I26" i="103"/>
  <c r="U25" i="103"/>
  <c r="V25" i="103" s="1"/>
  <c r="S25" i="103"/>
  <c r="R25" i="103"/>
  <c r="J25" i="103"/>
  <c r="I25" i="103"/>
  <c r="W25" i="103" s="1"/>
  <c r="U24" i="103"/>
  <c r="V24" i="103" s="1"/>
  <c r="S24" i="103"/>
  <c r="R24" i="103"/>
  <c r="J24" i="103"/>
  <c r="W24" i="103" s="1"/>
  <c r="I24" i="103"/>
  <c r="U23" i="103"/>
  <c r="V23" i="103" s="1"/>
  <c r="S23" i="103"/>
  <c r="R23" i="103"/>
  <c r="J23" i="103"/>
  <c r="I23" i="103"/>
  <c r="W23" i="103" s="1"/>
  <c r="U22" i="103"/>
  <c r="V22" i="103" s="1"/>
  <c r="S22" i="103"/>
  <c r="R22" i="103"/>
  <c r="J22" i="103"/>
  <c r="W22" i="103" s="1"/>
  <c r="I22" i="103"/>
  <c r="U21" i="103"/>
  <c r="V21" i="103" s="1"/>
  <c r="S21" i="103"/>
  <c r="R21" i="103"/>
  <c r="J21" i="103"/>
  <c r="I21" i="103"/>
  <c r="W21" i="103" s="1"/>
  <c r="U20" i="103"/>
  <c r="V20" i="103" s="1"/>
  <c r="S20" i="103"/>
  <c r="R20" i="103"/>
  <c r="J20" i="103"/>
  <c r="W20" i="103" s="1"/>
  <c r="I20" i="103"/>
  <c r="U19" i="103"/>
  <c r="V19" i="103" s="1"/>
  <c r="S19" i="103"/>
  <c r="R19" i="103"/>
  <c r="J19" i="103"/>
  <c r="I19" i="103"/>
  <c r="W19" i="103" s="1"/>
  <c r="U18" i="103"/>
  <c r="V18" i="103" s="1"/>
  <c r="S18" i="103"/>
  <c r="R18" i="103"/>
  <c r="J18" i="103"/>
  <c r="W18" i="103" s="1"/>
  <c r="I18" i="103"/>
  <c r="U17" i="103"/>
  <c r="V17" i="103" s="1"/>
  <c r="S17" i="103"/>
  <c r="R17" i="103"/>
  <c r="J17" i="103"/>
  <c r="I17" i="103"/>
  <c r="W17" i="103" s="1"/>
  <c r="U16" i="103"/>
  <c r="V16" i="103" s="1"/>
  <c r="S16" i="103"/>
  <c r="R16" i="103"/>
  <c r="J16" i="103"/>
  <c r="W16" i="103" s="1"/>
  <c r="I16" i="103"/>
  <c r="U15" i="103"/>
  <c r="V15" i="103" s="1"/>
  <c r="S15" i="103"/>
  <c r="R15" i="103"/>
  <c r="J15" i="103"/>
  <c r="I15" i="103"/>
  <c r="W15" i="103" s="1"/>
  <c r="U14" i="103"/>
  <c r="V14" i="103" s="1"/>
  <c r="S14" i="103"/>
  <c r="R14" i="103"/>
  <c r="J14" i="103"/>
  <c r="W14" i="103" s="1"/>
  <c r="I14" i="103"/>
  <c r="U13" i="103"/>
  <c r="V13" i="103" s="1"/>
  <c r="S13" i="103"/>
  <c r="R13" i="103"/>
  <c r="J13" i="103"/>
  <c r="I13" i="103"/>
  <c r="W13" i="103" s="1"/>
  <c r="U12" i="103"/>
  <c r="V12" i="103" s="1"/>
  <c r="S12" i="103"/>
  <c r="R12" i="103"/>
  <c r="J12" i="103"/>
  <c r="W12" i="103" s="1"/>
  <c r="I12" i="103"/>
  <c r="U11" i="103"/>
  <c r="V11" i="103" s="1"/>
  <c r="S11" i="103"/>
  <c r="R11" i="103"/>
  <c r="J11" i="103"/>
  <c r="I11" i="103"/>
  <c r="W11" i="103" s="1"/>
  <c r="U10" i="103"/>
  <c r="V10" i="103" s="1"/>
  <c r="S10" i="103"/>
  <c r="R10" i="103"/>
  <c r="J10" i="103"/>
  <c r="W10" i="103" s="1"/>
  <c r="I10" i="103"/>
  <c r="U9" i="103"/>
  <c r="V9" i="103" s="1"/>
  <c r="S9" i="103"/>
  <c r="R9" i="103"/>
  <c r="J9" i="103"/>
  <c r="I9" i="103"/>
  <c r="W9" i="103" s="1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A19" i="103" s="1"/>
  <c r="A20" i="103" s="1"/>
  <c r="A21" i="103" s="1"/>
  <c r="A22" i="103" s="1"/>
  <c r="A23" i="103" s="1"/>
  <c r="A24" i="103" s="1"/>
  <c r="A25" i="103" s="1"/>
  <c r="A26" i="103" s="1"/>
  <c r="A27" i="103" s="1"/>
  <c r="A28" i="103" s="1"/>
  <c r="A29" i="103" s="1"/>
  <c r="A30" i="103" s="1"/>
  <c r="A31" i="103" s="1"/>
  <c r="A32" i="103" s="1"/>
  <c r="A33" i="103" s="1"/>
  <c r="A34" i="103" s="1"/>
  <c r="A35" i="103" s="1"/>
  <c r="A36" i="103" s="1"/>
  <c r="A37" i="103" s="1"/>
  <c r="A38" i="103" s="1"/>
  <c r="A39" i="103" s="1"/>
  <c r="A40" i="103" s="1"/>
  <c r="A41" i="103" s="1"/>
  <c r="A42" i="103" s="1"/>
  <c r="A43" i="103" s="1"/>
  <c r="A44" i="103" s="1"/>
  <c r="A45" i="103" s="1"/>
  <c r="A46" i="103" s="1"/>
  <c r="A47" i="103" s="1"/>
  <c r="A48" i="103" s="1"/>
  <c r="A49" i="103" s="1"/>
  <c r="A50" i="103" s="1"/>
  <c r="A51" i="103" s="1"/>
  <c r="A52" i="103" s="1"/>
  <c r="A53" i="103" s="1"/>
  <c r="A54" i="103" s="1"/>
  <c r="A55" i="103" s="1"/>
  <c r="A56" i="103" s="1"/>
  <c r="A57" i="103" s="1"/>
  <c r="A58" i="103" s="1"/>
  <c r="A59" i="103" s="1"/>
  <c r="U8" i="103"/>
  <c r="U60" i="103" s="1"/>
  <c r="S8" i="103"/>
  <c r="S60" i="103" s="1"/>
  <c r="R8" i="103"/>
  <c r="R60" i="103" s="1"/>
  <c r="J8" i="103"/>
  <c r="W8" i="103" s="1"/>
  <c r="W60" i="103" s="1"/>
  <c r="I8" i="103"/>
  <c r="I60" i="103" s="1"/>
  <c r="Q60" i="102"/>
  <c r="P60" i="102"/>
  <c r="O60" i="102"/>
  <c r="N60" i="102"/>
  <c r="M60" i="102"/>
  <c r="L60" i="102"/>
  <c r="H60" i="102"/>
  <c r="G60" i="102"/>
  <c r="E60" i="102"/>
  <c r="D60" i="102"/>
  <c r="C60" i="102"/>
  <c r="S59" i="102"/>
  <c r="R59" i="102"/>
  <c r="J59" i="102"/>
  <c r="I59" i="102"/>
  <c r="S58" i="102"/>
  <c r="R58" i="102"/>
  <c r="J58" i="102"/>
  <c r="I58" i="102"/>
  <c r="S57" i="102"/>
  <c r="R57" i="102"/>
  <c r="J57" i="102"/>
  <c r="I57" i="102"/>
  <c r="S56" i="102"/>
  <c r="R56" i="102"/>
  <c r="J56" i="102"/>
  <c r="I56" i="102"/>
  <c r="S55" i="102"/>
  <c r="R55" i="102"/>
  <c r="J55" i="102"/>
  <c r="I55" i="102"/>
  <c r="U54" i="102"/>
  <c r="V54" i="102" s="1"/>
  <c r="S54" i="102"/>
  <c r="R54" i="102"/>
  <c r="J54" i="102"/>
  <c r="I54" i="102"/>
  <c r="W54" i="102" s="1"/>
  <c r="U53" i="102"/>
  <c r="V53" i="102" s="1"/>
  <c r="S53" i="102"/>
  <c r="R53" i="102"/>
  <c r="J53" i="102"/>
  <c r="I53" i="102"/>
  <c r="W53" i="102" s="1"/>
  <c r="U52" i="102"/>
  <c r="V52" i="102" s="1"/>
  <c r="S52" i="102"/>
  <c r="R52" i="102"/>
  <c r="J52" i="102"/>
  <c r="I52" i="102"/>
  <c r="W52" i="102" s="1"/>
  <c r="U51" i="102"/>
  <c r="V51" i="102" s="1"/>
  <c r="S51" i="102"/>
  <c r="R51" i="102"/>
  <c r="J51" i="102"/>
  <c r="I51" i="102"/>
  <c r="W51" i="102" s="1"/>
  <c r="U50" i="102"/>
  <c r="V50" i="102" s="1"/>
  <c r="S50" i="102"/>
  <c r="R50" i="102"/>
  <c r="J50" i="102"/>
  <c r="I50" i="102"/>
  <c r="W50" i="102" s="1"/>
  <c r="U49" i="102"/>
  <c r="V49" i="102" s="1"/>
  <c r="S49" i="102"/>
  <c r="R49" i="102"/>
  <c r="J49" i="102"/>
  <c r="I49" i="102"/>
  <c r="W49" i="102" s="1"/>
  <c r="U48" i="102"/>
  <c r="V48" i="102" s="1"/>
  <c r="S48" i="102"/>
  <c r="R48" i="102"/>
  <c r="J48" i="102"/>
  <c r="I48" i="102"/>
  <c r="U47" i="102"/>
  <c r="V47" i="102" s="1"/>
  <c r="S47" i="102"/>
  <c r="R47" i="102"/>
  <c r="J47" i="102"/>
  <c r="I47" i="102"/>
  <c r="W47" i="102" s="1"/>
  <c r="U46" i="102"/>
  <c r="V46" i="102" s="1"/>
  <c r="S46" i="102"/>
  <c r="R46" i="102"/>
  <c r="J46" i="102"/>
  <c r="I46" i="102"/>
  <c r="W46" i="102" s="1"/>
  <c r="S45" i="102"/>
  <c r="R45" i="102"/>
  <c r="J45" i="102"/>
  <c r="I45" i="102"/>
  <c r="U44" i="102"/>
  <c r="V44" i="102" s="1"/>
  <c r="S44" i="102"/>
  <c r="R44" i="102"/>
  <c r="J44" i="102"/>
  <c r="I44" i="102"/>
  <c r="W44" i="102" s="1"/>
  <c r="S43" i="102"/>
  <c r="R43" i="102"/>
  <c r="J43" i="102"/>
  <c r="I43" i="102"/>
  <c r="U42" i="102"/>
  <c r="V42" i="102" s="1"/>
  <c r="S42" i="102"/>
  <c r="R42" i="102"/>
  <c r="J42" i="102"/>
  <c r="I42" i="102"/>
  <c r="U41" i="102"/>
  <c r="V41" i="102" s="1"/>
  <c r="S41" i="102"/>
  <c r="R41" i="102"/>
  <c r="J41" i="102"/>
  <c r="I41" i="102"/>
  <c r="W41" i="102" s="1"/>
  <c r="W40" i="102"/>
  <c r="U40" i="102"/>
  <c r="V40" i="102" s="1"/>
  <c r="S40" i="102"/>
  <c r="R40" i="102"/>
  <c r="J40" i="102"/>
  <c r="I40" i="102"/>
  <c r="U39" i="102"/>
  <c r="V39" i="102" s="1"/>
  <c r="S39" i="102"/>
  <c r="R39" i="102"/>
  <c r="J39" i="102"/>
  <c r="I39" i="102"/>
  <c r="W39" i="102" s="1"/>
  <c r="U38" i="102"/>
  <c r="V38" i="102" s="1"/>
  <c r="S38" i="102"/>
  <c r="R38" i="102"/>
  <c r="J38" i="102"/>
  <c r="I38" i="102"/>
  <c r="U37" i="102"/>
  <c r="V37" i="102" s="1"/>
  <c r="S37" i="102"/>
  <c r="R37" i="102"/>
  <c r="J37" i="102"/>
  <c r="I37" i="102"/>
  <c r="W37" i="102" s="1"/>
  <c r="W36" i="102"/>
  <c r="U36" i="102"/>
  <c r="V36" i="102" s="1"/>
  <c r="S36" i="102"/>
  <c r="R36" i="102"/>
  <c r="J36" i="102"/>
  <c r="I36" i="102"/>
  <c r="U35" i="102"/>
  <c r="V35" i="102" s="1"/>
  <c r="S35" i="102"/>
  <c r="R35" i="102"/>
  <c r="J35" i="102"/>
  <c r="I35" i="102"/>
  <c r="W35" i="102" s="1"/>
  <c r="W34" i="102"/>
  <c r="U34" i="102"/>
  <c r="V34" i="102" s="1"/>
  <c r="S34" i="102"/>
  <c r="R34" i="102"/>
  <c r="J34" i="102"/>
  <c r="I34" i="102"/>
  <c r="U33" i="102"/>
  <c r="V33" i="102" s="1"/>
  <c r="S33" i="102"/>
  <c r="R33" i="102"/>
  <c r="J33" i="102"/>
  <c r="I33" i="102"/>
  <c r="W33" i="102" s="1"/>
  <c r="U32" i="102"/>
  <c r="V32" i="102" s="1"/>
  <c r="S32" i="102"/>
  <c r="R32" i="102"/>
  <c r="J32" i="102"/>
  <c r="I32" i="102"/>
  <c r="W32" i="102" s="1"/>
  <c r="U31" i="102"/>
  <c r="V31" i="102" s="1"/>
  <c r="S31" i="102"/>
  <c r="R31" i="102"/>
  <c r="J31" i="102"/>
  <c r="I31" i="102"/>
  <c r="W31" i="102" s="1"/>
  <c r="U30" i="102"/>
  <c r="V30" i="102" s="1"/>
  <c r="S30" i="102"/>
  <c r="R30" i="102"/>
  <c r="J30" i="102"/>
  <c r="I30" i="102"/>
  <c r="W30" i="102" s="1"/>
  <c r="U29" i="102"/>
  <c r="V29" i="102" s="1"/>
  <c r="S29" i="102"/>
  <c r="R29" i="102"/>
  <c r="J29" i="102"/>
  <c r="I29" i="102"/>
  <c r="W29" i="102" s="1"/>
  <c r="W28" i="102"/>
  <c r="U28" i="102"/>
  <c r="V28" i="102" s="1"/>
  <c r="S28" i="102"/>
  <c r="R28" i="102"/>
  <c r="J28" i="102"/>
  <c r="I28" i="102"/>
  <c r="U27" i="102"/>
  <c r="V27" i="102" s="1"/>
  <c r="S27" i="102"/>
  <c r="R27" i="102"/>
  <c r="J27" i="102"/>
  <c r="I27" i="102"/>
  <c r="W27" i="102" s="1"/>
  <c r="BE26" i="102"/>
  <c r="U26" i="102"/>
  <c r="V26" i="102" s="1"/>
  <c r="S26" i="102"/>
  <c r="R26" i="102"/>
  <c r="J26" i="102"/>
  <c r="I26" i="102"/>
  <c r="W26" i="102" s="1"/>
  <c r="V25" i="102"/>
  <c r="U25" i="102"/>
  <c r="S25" i="102"/>
  <c r="R25" i="102"/>
  <c r="J25" i="102"/>
  <c r="I25" i="102"/>
  <c r="W25" i="102" s="1"/>
  <c r="U24" i="102"/>
  <c r="V24" i="102" s="1"/>
  <c r="S24" i="102"/>
  <c r="R24" i="102"/>
  <c r="J24" i="102"/>
  <c r="I24" i="102"/>
  <c r="U23" i="102"/>
  <c r="V23" i="102" s="1"/>
  <c r="S23" i="102"/>
  <c r="R23" i="102"/>
  <c r="J23" i="102"/>
  <c r="I23" i="102"/>
  <c r="W23" i="102" s="1"/>
  <c r="U22" i="102"/>
  <c r="V22" i="102" s="1"/>
  <c r="S22" i="102"/>
  <c r="R22" i="102"/>
  <c r="J22" i="102"/>
  <c r="I22" i="102"/>
  <c r="W22" i="102" s="1"/>
  <c r="V21" i="102"/>
  <c r="U21" i="102"/>
  <c r="S21" i="102"/>
  <c r="R21" i="102"/>
  <c r="J21" i="102"/>
  <c r="I21" i="102"/>
  <c r="W21" i="102" s="1"/>
  <c r="U20" i="102"/>
  <c r="V20" i="102" s="1"/>
  <c r="S20" i="102"/>
  <c r="R20" i="102"/>
  <c r="J20" i="102"/>
  <c r="I20" i="102"/>
  <c r="W20" i="102" s="1"/>
  <c r="V19" i="102"/>
  <c r="U19" i="102"/>
  <c r="S19" i="102"/>
  <c r="R19" i="102"/>
  <c r="J19" i="102"/>
  <c r="I19" i="102"/>
  <c r="W19" i="102" s="1"/>
  <c r="U18" i="102"/>
  <c r="V18" i="102" s="1"/>
  <c r="S18" i="102"/>
  <c r="R18" i="102"/>
  <c r="J18" i="102"/>
  <c r="I18" i="102"/>
  <c r="W18" i="102" s="1"/>
  <c r="V17" i="102"/>
  <c r="U17" i="102"/>
  <c r="S17" i="102"/>
  <c r="R17" i="102"/>
  <c r="J17" i="102"/>
  <c r="I17" i="102"/>
  <c r="W17" i="102" s="1"/>
  <c r="U16" i="102"/>
  <c r="V16" i="102" s="1"/>
  <c r="S16" i="102"/>
  <c r="R16" i="102"/>
  <c r="J16" i="102"/>
  <c r="I16" i="102"/>
  <c r="W16" i="102" s="1"/>
  <c r="V15" i="102"/>
  <c r="U15" i="102"/>
  <c r="S15" i="102"/>
  <c r="R15" i="102"/>
  <c r="J15" i="102"/>
  <c r="I15" i="102"/>
  <c r="W15" i="102" s="1"/>
  <c r="U14" i="102"/>
  <c r="V14" i="102" s="1"/>
  <c r="S14" i="102"/>
  <c r="R14" i="102"/>
  <c r="J14" i="102"/>
  <c r="I14" i="102"/>
  <c r="W14" i="102" s="1"/>
  <c r="U13" i="102"/>
  <c r="V13" i="102" s="1"/>
  <c r="S13" i="102"/>
  <c r="R13" i="102"/>
  <c r="J13" i="102"/>
  <c r="I13" i="102"/>
  <c r="U12" i="102"/>
  <c r="V12" i="102" s="1"/>
  <c r="S12" i="102"/>
  <c r="R12" i="102"/>
  <c r="J12" i="102"/>
  <c r="I12" i="102"/>
  <c r="W12" i="102" s="1"/>
  <c r="U11" i="102"/>
  <c r="V11" i="102" s="1"/>
  <c r="S11" i="102"/>
  <c r="R11" i="102"/>
  <c r="J11" i="102"/>
  <c r="I11" i="102"/>
  <c r="W11" i="102" s="1"/>
  <c r="U10" i="102"/>
  <c r="V10" i="102" s="1"/>
  <c r="S10" i="102"/>
  <c r="R10" i="102"/>
  <c r="J10" i="102"/>
  <c r="I10" i="102"/>
  <c r="W10" i="102" s="1"/>
  <c r="U9" i="102"/>
  <c r="V9" i="102" s="1"/>
  <c r="S9" i="102"/>
  <c r="R9" i="102"/>
  <c r="J9" i="102"/>
  <c r="I9" i="102"/>
  <c r="W9" i="102" s="1"/>
  <c r="A9" i="102"/>
  <c r="A10" i="102" s="1"/>
  <c r="A11" i="102" s="1"/>
  <c r="A12" i="102" s="1"/>
  <c r="A13" i="102" s="1"/>
  <c r="A14" i="102" s="1"/>
  <c r="A15" i="102" s="1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A47" i="102" s="1"/>
  <c r="A48" i="102" s="1"/>
  <c r="A49" i="102" s="1"/>
  <c r="A50" i="102" s="1"/>
  <c r="A51" i="102" s="1"/>
  <c r="A52" i="102" s="1"/>
  <c r="A53" i="102" s="1"/>
  <c r="A54" i="102" s="1"/>
  <c r="A55" i="102" s="1"/>
  <c r="A56" i="102" s="1"/>
  <c r="A57" i="102" s="1"/>
  <c r="A58" i="102" s="1"/>
  <c r="A59" i="102" s="1"/>
  <c r="U8" i="102"/>
  <c r="S8" i="102"/>
  <c r="S60" i="102" s="1"/>
  <c r="R8" i="102"/>
  <c r="J8" i="102"/>
  <c r="I8" i="102"/>
  <c r="W48" i="102" l="1"/>
  <c r="W42" i="102"/>
  <c r="W38" i="102"/>
  <c r="J60" i="102"/>
  <c r="W24" i="102"/>
  <c r="W13" i="102"/>
  <c r="R60" i="102"/>
  <c r="U60" i="102"/>
  <c r="W8" i="102"/>
  <c r="J60" i="103"/>
  <c r="V8" i="103"/>
  <c r="V60" i="103" s="1"/>
  <c r="I60" i="102"/>
  <c r="V8" i="102"/>
  <c r="V60" i="102" s="1"/>
  <c r="Q60" i="101"/>
  <c r="P60" i="101"/>
  <c r="O60" i="101"/>
  <c r="N60" i="101"/>
  <c r="M60" i="101"/>
  <c r="L60" i="101"/>
  <c r="H60" i="101"/>
  <c r="G60" i="101"/>
  <c r="E60" i="101"/>
  <c r="D60" i="101"/>
  <c r="C60" i="101"/>
  <c r="S59" i="101"/>
  <c r="R59" i="101"/>
  <c r="J59" i="101"/>
  <c r="I59" i="101"/>
  <c r="S58" i="101"/>
  <c r="R58" i="101"/>
  <c r="J58" i="101"/>
  <c r="I58" i="101"/>
  <c r="S57" i="101"/>
  <c r="R57" i="101"/>
  <c r="J57" i="101"/>
  <c r="I57" i="101"/>
  <c r="S56" i="101"/>
  <c r="R56" i="101"/>
  <c r="J56" i="101"/>
  <c r="I56" i="101"/>
  <c r="S55" i="101"/>
  <c r="R55" i="101"/>
  <c r="J55" i="101"/>
  <c r="I55" i="101"/>
  <c r="U54" i="101"/>
  <c r="V54" i="101" s="1"/>
  <c r="S54" i="101"/>
  <c r="R54" i="101"/>
  <c r="J54" i="101"/>
  <c r="W54" i="101" s="1"/>
  <c r="I54" i="101"/>
  <c r="U53" i="101"/>
  <c r="V53" i="101" s="1"/>
  <c r="S53" i="101"/>
  <c r="R53" i="101"/>
  <c r="J53" i="101"/>
  <c r="W53" i="101" s="1"/>
  <c r="I53" i="101"/>
  <c r="U52" i="101"/>
  <c r="V52" i="101" s="1"/>
  <c r="S52" i="101"/>
  <c r="R52" i="101"/>
  <c r="J52" i="101"/>
  <c r="W52" i="101" s="1"/>
  <c r="I52" i="101"/>
  <c r="U51" i="101"/>
  <c r="V51" i="101" s="1"/>
  <c r="S51" i="101"/>
  <c r="R51" i="101"/>
  <c r="J51" i="101"/>
  <c r="W51" i="101" s="1"/>
  <c r="I51" i="101"/>
  <c r="U50" i="101"/>
  <c r="V50" i="101" s="1"/>
  <c r="S50" i="101"/>
  <c r="R50" i="101"/>
  <c r="J50" i="101"/>
  <c r="W50" i="101" s="1"/>
  <c r="I50" i="101"/>
  <c r="U49" i="101"/>
  <c r="V49" i="101" s="1"/>
  <c r="S49" i="101"/>
  <c r="R49" i="101"/>
  <c r="J49" i="101"/>
  <c r="I49" i="101"/>
  <c r="U48" i="101"/>
  <c r="V48" i="101" s="1"/>
  <c r="S48" i="101"/>
  <c r="R48" i="101"/>
  <c r="J48" i="101"/>
  <c r="I48" i="101"/>
  <c r="U47" i="101"/>
  <c r="V47" i="101" s="1"/>
  <c r="S47" i="101"/>
  <c r="R47" i="101"/>
  <c r="J47" i="101"/>
  <c r="W47" i="101" s="1"/>
  <c r="I47" i="101"/>
  <c r="U46" i="101"/>
  <c r="V46" i="101" s="1"/>
  <c r="S46" i="101"/>
  <c r="R46" i="101"/>
  <c r="J46" i="101"/>
  <c r="W46" i="101" s="1"/>
  <c r="I46" i="101"/>
  <c r="S45" i="101"/>
  <c r="R45" i="101"/>
  <c r="J45" i="101"/>
  <c r="I45" i="101"/>
  <c r="U44" i="101"/>
  <c r="V44" i="101" s="1"/>
  <c r="S44" i="101"/>
  <c r="R44" i="101"/>
  <c r="J44" i="101"/>
  <c r="I44" i="101"/>
  <c r="S43" i="101"/>
  <c r="R43" i="101"/>
  <c r="J43" i="101"/>
  <c r="I43" i="101"/>
  <c r="W42" i="101"/>
  <c r="U42" i="101"/>
  <c r="V42" i="101" s="1"/>
  <c r="S42" i="101"/>
  <c r="R42" i="101"/>
  <c r="J42" i="101"/>
  <c r="I42" i="101"/>
  <c r="W41" i="101"/>
  <c r="U41" i="101"/>
  <c r="V41" i="101" s="1"/>
  <c r="S41" i="101"/>
  <c r="R41" i="101"/>
  <c r="J41" i="101"/>
  <c r="I41" i="101"/>
  <c r="W40" i="101"/>
  <c r="V40" i="101"/>
  <c r="U40" i="101"/>
  <c r="S40" i="101"/>
  <c r="R40" i="101"/>
  <c r="J40" i="101"/>
  <c r="I40" i="101"/>
  <c r="U39" i="101"/>
  <c r="V39" i="101" s="1"/>
  <c r="S39" i="101"/>
  <c r="R39" i="101"/>
  <c r="J39" i="101"/>
  <c r="I39" i="101"/>
  <c r="W39" i="101" s="1"/>
  <c r="U38" i="101"/>
  <c r="V38" i="101" s="1"/>
  <c r="S38" i="101"/>
  <c r="R38" i="101"/>
  <c r="J38" i="101"/>
  <c r="I38" i="101"/>
  <c r="W38" i="101" s="1"/>
  <c r="W37" i="101"/>
  <c r="U37" i="101"/>
  <c r="V37" i="101" s="1"/>
  <c r="S37" i="101"/>
  <c r="R37" i="101"/>
  <c r="J37" i="101"/>
  <c r="I37" i="101"/>
  <c r="W36" i="101"/>
  <c r="V36" i="101"/>
  <c r="U36" i="101"/>
  <c r="S36" i="101"/>
  <c r="R36" i="101"/>
  <c r="J36" i="101"/>
  <c r="I36" i="101"/>
  <c r="U35" i="101"/>
  <c r="V35" i="101" s="1"/>
  <c r="S35" i="101"/>
  <c r="R35" i="101"/>
  <c r="J35" i="101"/>
  <c r="I35" i="101"/>
  <c r="W34" i="101"/>
  <c r="V34" i="101"/>
  <c r="U34" i="101"/>
  <c r="S34" i="101"/>
  <c r="R34" i="101"/>
  <c r="J34" i="101"/>
  <c r="I34" i="101"/>
  <c r="W33" i="101"/>
  <c r="U33" i="101"/>
  <c r="V33" i="101" s="1"/>
  <c r="S33" i="101"/>
  <c r="R33" i="101"/>
  <c r="J33" i="101"/>
  <c r="I33" i="101"/>
  <c r="V32" i="101"/>
  <c r="U32" i="101"/>
  <c r="S32" i="101"/>
  <c r="R32" i="101"/>
  <c r="J32" i="101"/>
  <c r="I32" i="101"/>
  <c r="W32" i="101" s="1"/>
  <c r="U31" i="101"/>
  <c r="V31" i="101" s="1"/>
  <c r="S31" i="101"/>
  <c r="R31" i="101"/>
  <c r="J31" i="101"/>
  <c r="I31" i="101"/>
  <c r="W31" i="101" s="1"/>
  <c r="U30" i="101"/>
  <c r="V30" i="101" s="1"/>
  <c r="S30" i="101"/>
  <c r="R30" i="101"/>
  <c r="J30" i="101"/>
  <c r="I30" i="101"/>
  <c r="W30" i="101" s="1"/>
  <c r="W29" i="101"/>
  <c r="U29" i="101"/>
  <c r="V29" i="101" s="1"/>
  <c r="S29" i="101"/>
  <c r="R29" i="101"/>
  <c r="J29" i="101"/>
  <c r="I29" i="101"/>
  <c r="W28" i="101"/>
  <c r="V28" i="101"/>
  <c r="U28" i="101"/>
  <c r="S28" i="101"/>
  <c r="R28" i="101"/>
  <c r="J28" i="101"/>
  <c r="I28" i="101"/>
  <c r="W27" i="101"/>
  <c r="U27" i="101"/>
  <c r="V27" i="101" s="1"/>
  <c r="S27" i="101"/>
  <c r="R27" i="101"/>
  <c r="J27" i="101"/>
  <c r="I27" i="101"/>
  <c r="BE26" i="101"/>
  <c r="U26" i="101"/>
  <c r="V26" i="101" s="1"/>
  <c r="S26" i="101"/>
  <c r="R26" i="101"/>
  <c r="J26" i="101"/>
  <c r="I26" i="101"/>
  <c r="W26" i="101" s="1"/>
  <c r="W25" i="101"/>
  <c r="V25" i="101"/>
  <c r="U25" i="101"/>
  <c r="S25" i="101"/>
  <c r="R25" i="101"/>
  <c r="J25" i="101"/>
  <c r="I25" i="101"/>
  <c r="W24" i="101"/>
  <c r="U24" i="101"/>
  <c r="V24" i="101" s="1"/>
  <c r="S24" i="101"/>
  <c r="R24" i="101"/>
  <c r="J24" i="101"/>
  <c r="I24" i="101"/>
  <c r="W23" i="101"/>
  <c r="V23" i="101"/>
  <c r="U23" i="101"/>
  <c r="S23" i="101"/>
  <c r="R23" i="101"/>
  <c r="J23" i="101"/>
  <c r="I23" i="101"/>
  <c r="U22" i="101"/>
  <c r="V22" i="101" s="1"/>
  <c r="S22" i="101"/>
  <c r="R22" i="101"/>
  <c r="J22" i="101"/>
  <c r="I22" i="101"/>
  <c r="W22" i="101" s="1"/>
  <c r="W21" i="101"/>
  <c r="V21" i="101"/>
  <c r="U21" i="101"/>
  <c r="S21" i="101"/>
  <c r="R21" i="101"/>
  <c r="J21" i="101"/>
  <c r="I21" i="101"/>
  <c r="U20" i="101"/>
  <c r="V20" i="101" s="1"/>
  <c r="S20" i="101"/>
  <c r="R20" i="101"/>
  <c r="J20" i="101"/>
  <c r="I20" i="101"/>
  <c r="W20" i="101" s="1"/>
  <c r="W19" i="101"/>
  <c r="V19" i="101"/>
  <c r="U19" i="101"/>
  <c r="S19" i="101"/>
  <c r="R19" i="101"/>
  <c r="J19" i="101"/>
  <c r="I19" i="101"/>
  <c r="U18" i="101"/>
  <c r="V18" i="101" s="1"/>
  <c r="S18" i="101"/>
  <c r="R18" i="101"/>
  <c r="J18" i="101"/>
  <c r="I18" i="101"/>
  <c r="W18" i="101" s="1"/>
  <c r="W17" i="101"/>
  <c r="V17" i="101"/>
  <c r="U17" i="101"/>
  <c r="S17" i="101"/>
  <c r="R17" i="101"/>
  <c r="J17" i="101"/>
  <c r="I17" i="101"/>
  <c r="W16" i="101"/>
  <c r="U16" i="101"/>
  <c r="V16" i="101" s="1"/>
  <c r="S16" i="101"/>
  <c r="R16" i="101"/>
  <c r="J16" i="101"/>
  <c r="I16" i="101"/>
  <c r="W15" i="101"/>
  <c r="V15" i="101"/>
  <c r="U15" i="101"/>
  <c r="S15" i="101"/>
  <c r="R15" i="101"/>
  <c r="J15" i="101"/>
  <c r="I15" i="101"/>
  <c r="W14" i="101"/>
  <c r="U14" i="101"/>
  <c r="V14" i="101" s="1"/>
  <c r="S14" i="101"/>
  <c r="R14" i="101"/>
  <c r="J14" i="101"/>
  <c r="I14" i="101"/>
  <c r="U13" i="101"/>
  <c r="V13" i="101" s="1"/>
  <c r="S13" i="101"/>
  <c r="R13" i="101"/>
  <c r="J13" i="101"/>
  <c r="I13" i="101"/>
  <c r="U12" i="101"/>
  <c r="V12" i="101" s="1"/>
  <c r="S12" i="101"/>
  <c r="R12" i="101"/>
  <c r="J12" i="101"/>
  <c r="I12" i="101"/>
  <c r="W12" i="101" s="1"/>
  <c r="V11" i="101"/>
  <c r="U11" i="101"/>
  <c r="S11" i="101"/>
  <c r="R11" i="101"/>
  <c r="J11" i="101"/>
  <c r="I11" i="101"/>
  <c r="W11" i="101" s="1"/>
  <c r="U10" i="101"/>
  <c r="V10" i="101" s="1"/>
  <c r="S10" i="101"/>
  <c r="R10" i="101"/>
  <c r="J10" i="101"/>
  <c r="I10" i="101"/>
  <c r="W10" i="101" s="1"/>
  <c r="V9" i="101"/>
  <c r="U9" i="101"/>
  <c r="S9" i="101"/>
  <c r="R9" i="101"/>
  <c r="J9" i="101"/>
  <c r="I9" i="101"/>
  <c r="W9" i="101" s="1"/>
  <c r="A9" i="101"/>
  <c r="A10" i="101" s="1"/>
  <c r="A11" i="101" s="1"/>
  <c r="A12" i="101" s="1"/>
  <c r="A13" i="101" s="1"/>
  <c r="A14" i="101" s="1"/>
  <c r="A15" i="101" s="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A47" i="101" s="1"/>
  <c r="A48" i="101" s="1"/>
  <c r="A49" i="101" s="1"/>
  <c r="A50" i="101" s="1"/>
  <c r="A51" i="101" s="1"/>
  <c r="A52" i="101" s="1"/>
  <c r="A53" i="101" s="1"/>
  <c r="A54" i="101" s="1"/>
  <c r="A55" i="101" s="1"/>
  <c r="A56" i="101" s="1"/>
  <c r="A57" i="101" s="1"/>
  <c r="A58" i="101" s="1"/>
  <c r="A59" i="101" s="1"/>
  <c r="U8" i="101"/>
  <c r="S8" i="101"/>
  <c r="R8" i="101"/>
  <c r="J8" i="101"/>
  <c r="I8" i="101"/>
  <c r="Q60" i="100"/>
  <c r="P60" i="100"/>
  <c r="O60" i="100"/>
  <c r="N60" i="100"/>
  <c r="M60" i="100"/>
  <c r="L60" i="100"/>
  <c r="H60" i="100"/>
  <c r="G60" i="100"/>
  <c r="E60" i="100"/>
  <c r="D60" i="100"/>
  <c r="C60" i="100"/>
  <c r="S59" i="100"/>
  <c r="R59" i="100"/>
  <c r="J59" i="100"/>
  <c r="I59" i="100"/>
  <c r="S58" i="100"/>
  <c r="R58" i="100"/>
  <c r="J58" i="100"/>
  <c r="I58" i="100"/>
  <c r="S57" i="100"/>
  <c r="R57" i="100"/>
  <c r="J57" i="100"/>
  <c r="I57" i="100"/>
  <c r="S56" i="100"/>
  <c r="R56" i="100"/>
  <c r="J56" i="100"/>
  <c r="I56" i="100"/>
  <c r="S55" i="100"/>
  <c r="R55" i="100"/>
  <c r="J55" i="100"/>
  <c r="I55" i="100"/>
  <c r="U54" i="100"/>
  <c r="V54" i="100" s="1"/>
  <c r="S54" i="100"/>
  <c r="R54" i="100"/>
  <c r="J54" i="100"/>
  <c r="I54" i="100"/>
  <c r="W54" i="100" s="1"/>
  <c r="U53" i="100"/>
  <c r="V53" i="100" s="1"/>
  <c r="S53" i="100"/>
  <c r="R53" i="100"/>
  <c r="J53" i="100"/>
  <c r="I53" i="100"/>
  <c r="W53" i="100" s="1"/>
  <c r="U52" i="100"/>
  <c r="V52" i="100" s="1"/>
  <c r="S52" i="100"/>
  <c r="R52" i="100"/>
  <c r="J52" i="100"/>
  <c r="I52" i="100"/>
  <c r="W52" i="100" s="1"/>
  <c r="U51" i="100"/>
  <c r="V51" i="100" s="1"/>
  <c r="S51" i="100"/>
  <c r="R51" i="100"/>
  <c r="J51" i="100"/>
  <c r="I51" i="100"/>
  <c r="W51" i="100" s="1"/>
  <c r="W50" i="100"/>
  <c r="U50" i="100"/>
  <c r="V50" i="100" s="1"/>
  <c r="S50" i="100"/>
  <c r="R50" i="100"/>
  <c r="J50" i="100"/>
  <c r="I50" i="100"/>
  <c r="U49" i="100"/>
  <c r="V49" i="100" s="1"/>
  <c r="S49" i="100"/>
  <c r="R49" i="100"/>
  <c r="J49" i="100"/>
  <c r="I49" i="100"/>
  <c r="W49" i="100" s="1"/>
  <c r="U48" i="100"/>
  <c r="V48" i="100" s="1"/>
  <c r="S48" i="100"/>
  <c r="R48" i="100"/>
  <c r="J48" i="100"/>
  <c r="I48" i="100"/>
  <c r="W48" i="100" s="1"/>
  <c r="W47" i="100"/>
  <c r="U47" i="100"/>
  <c r="V47" i="100" s="1"/>
  <c r="S47" i="100"/>
  <c r="R47" i="100"/>
  <c r="J47" i="100"/>
  <c r="I47" i="100"/>
  <c r="W46" i="100"/>
  <c r="U46" i="100"/>
  <c r="V46" i="100" s="1"/>
  <c r="S46" i="100"/>
  <c r="R46" i="100"/>
  <c r="J46" i="100"/>
  <c r="I46" i="100"/>
  <c r="S45" i="100"/>
  <c r="R45" i="100"/>
  <c r="J45" i="100"/>
  <c r="I45" i="100"/>
  <c r="U44" i="100"/>
  <c r="V44" i="100" s="1"/>
  <c r="S44" i="100"/>
  <c r="R44" i="100"/>
  <c r="J44" i="100"/>
  <c r="I44" i="100"/>
  <c r="W44" i="100" s="1"/>
  <c r="S43" i="100"/>
  <c r="R43" i="100"/>
  <c r="J43" i="100"/>
  <c r="I43" i="100"/>
  <c r="U42" i="100"/>
  <c r="V42" i="100" s="1"/>
  <c r="S42" i="100"/>
  <c r="R42" i="100"/>
  <c r="J42" i="100"/>
  <c r="I42" i="100"/>
  <c r="W42" i="100" s="1"/>
  <c r="U41" i="100"/>
  <c r="V41" i="100" s="1"/>
  <c r="S41" i="100"/>
  <c r="R41" i="100"/>
  <c r="J41" i="100"/>
  <c r="I41" i="100"/>
  <c r="W41" i="100" s="1"/>
  <c r="V40" i="100"/>
  <c r="U40" i="100"/>
  <c r="S40" i="100"/>
  <c r="R40" i="100"/>
  <c r="J40" i="100"/>
  <c r="I40" i="100"/>
  <c r="W40" i="100" s="1"/>
  <c r="U39" i="100"/>
  <c r="V39" i="100" s="1"/>
  <c r="S39" i="100"/>
  <c r="R39" i="100"/>
  <c r="J39" i="100"/>
  <c r="I39" i="100"/>
  <c r="W39" i="100" s="1"/>
  <c r="U38" i="100"/>
  <c r="V38" i="100" s="1"/>
  <c r="S38" i="100"/>
  <c r="R38" i="100"/>
  <c r="J38" i="100"/>
  <c r="I38" i="100"/>
  <c r="W38" i="100" s="1"/>
  <c r="W37" i="100"/>
  <c r="U37" i="100"/>
  <c r="V37" i="100" s="1"/>
  <c r="S37" i="100"/>
  <c r="R37" i="100"/>
  <c r="J37" i="100"/>
  <c r="I37" i="100"/>
  <c r="U36" i="100"/>
  <c r="V36" i="100" s="1"/>
  <c r="S36" i="100"/>
  <c r="R36" i="100"/>
  <c r="J36" i="100"/>
  <c r="I36" i="100"/>
  <c r="W36" i="100" s="1"/>
  <c r="U35" i="100"/>
  <c r="V35" i="100" s="1"/>
  <c r="S35" i="100"/>
  <c r="R35" i="100"/>
  <c r="J35" i="100"/>
  <c r="I35" i="100"/>
  <c r="U34" i="100"/>
  <c r="V34" i="100" s="1"/>
  <c r="S34" i="100"/>
  <c r="R34" i="100"/>
  <c r="J34" i="100"/>
  <c r="I34" i="100"/>
  <c r="W34" i="100" s="1"/>
  <c r="W33" i="100"/>
  <c r="U33" i="100"/>
  <c r="V33" i="100" s="1"/>
  <c r="S33" i="100"/>
  <c r="R33" i="100"/>
  <c r="J33" i="100"/>
  <c r="I33" i="100"/>
  <c r="U32" i="100"/>
  <c r="V32" i="100" s="1"/>
  <c r="S32" i="100"/>
  <c r="R32" i="100"/>
  <c r="J32" i="100"/>
  <c r="I32" i="100"/>
  <c r="W32" i="100" s="1"/>
  <c r="W31" i="100"/>
  <c r="U31" i="100"/>
  <c r="V31" i="100" s="1"/>
  <c r="S31" i="100"/>
  <c r="R31" i="100"/>
  <c r="J31" i="100"/>
  <c r="I31" i="100"/>
  <c r="U30" i="100"/>
  <c r="V30" i="100" s="1"/>
  <c r="S30" i="100"/>
  <c r="R30" i="100"/>
  <c r="J30" i="100"/>
  <c r="I30" i="100"/>
  <c r="W30" i="100" s="1"/>
  <c r="U29" i="100"/>
  <c r="V29" i="100" s="1"/>
  <c r="S29" i="100"/>
  <c r="R29" i="100"/>
  <c r="J29" i="100"/>
  <c r="I29" i="100"/>
  <c r="W29" i="100" s="1"/>
  <c r="U28" i="100"/>
  <c r="V28" i="100" s="1"/>
  <c r="S28" i="100"/>
  <c r="R28" i="100"/>
  <c r="J28" i="100"/>
  <c r="I28" i="100"/>
  <c r="W28" i="100" s="1"/>
  <c r="U27" i="100"/>
  <c r="V27" i="100" s="1"/>
  <c r="S27" i="100"/>
  <c r="R27" i="100"/>
  <c r="J27" i="100"/>
  <c r="I27" i="100"/>
  <c r="W27" i="100" s="1"/>
  <c r="BE26" i="100"/>
  <c r="V26" i="100"/>
  <c r="U26" i="100"/>
  <c r="S26" i="100"/>
  <c r="R26" i="100"/>
  <c r="J26" i="100"/>
  <c r="I26" i="100"/>
  <c r="W26" i="100" s="1"/>
  <c r="V25" i="100"/>
  <c r="U25" i="100"/>
  <c r="S25" i="100"/>
  <c r="R25" i="100"/>
  <c r="J25" i="100"/>
  <c r="I25" i="100"/>
  <c r="V24" i="100"/>
  <c r="U24" i="100"/>
  <c r="S24" i="100"/>
  <c r="R24" i="100"/>
  <c r="J24" i="100"/>
  <c r="I24" i="100"/>
  <c r="W24" i="100" s="1"/>
  <c r="V23" i="100"/>
  <c r="U23" i="100"/>
  <c r="S23" i="100"/>
  <c r="R23" i="100"/>
  <c r="J23" i="100"/>
  <c r="I23" i="100"/>
  <c r="V22" i="100"/>
  <c r="U22" i="100"/>
  <c r="S22" i="100"/>
  <c r="R22" i="100"/>
  <c r="J22" i="100"/>
  <c r="I22" i="100"/>
  <c r="W22" i="100" s="1"/>
  <c r="V21" i="100"/>
  <c r="U21" i="100"/>
  <c r="S21" i="100"/>
  <c r="R21" i="100"/>
  <c r="J21" i="100"/>
  <c r="I21" i="100"/>
  <c r="V20" i="100"/>
  <c r="U20" i="100"/>
  <c r="S20" i="100"/>
  <c r="R20" i="100"/>
  <c r="J20" i="100"/>
  <c r="I20" i="100"/>
  <c r="W20" i="100" s="1"/>
  <c r="V19" i="100"/>
  <c r="U19" i="100"/>
  <c r="S19" i="100"/>
  <c r="R19" i="100"/>
  <c r="J19" i="100"/>
  <c r="W19" i="100" s="1"/>
  <c r="I19" i="100"/>
  <c r="V18" i="100"/>
  <c r="U18" i="100"/>
  <c r="S18" i="100"/>
  <c r="R18" i="100"/>
  <c r="J18" i="100"/>
  <c r="I18" i="100"/>
  <c r="W18" i="100" s="1"/>
  <c r="V17" i="100"/>
  <c r="U17" i="100"/>
  <c r="S17" i="100"/>
  <c r="R17" i="100"/>
  <c r="J17" i="100"/>
  <c r="W17" i="100" s="1"/>
  <c r="I17" i="100"/>
  <c r="V16" i="100"/>
  <c r="U16" i="100"/>
  <c r="S16" i="100"/>
  <c r="R16" i="100"/>
  <c r="J16" i="100"/>
  <c r="I16" i="100"/>
  <c r="W16" i="100" s="1"/>
  <c r="V15" i="100"/>
  <c r="U15" i="100"/>
  <c r="S15" i="100"/>
  <c r="R15" i="100"/>
  <c r="J15" i="100"/>
  <c r="W15" i="100" s="1"/>
  <c r="I15" i="100"/>
  <c r="U14" i="100"/>
  <c r="V14" i="100" s="1"/>
  <c r="S14" i="100"/>
  <c r="R14" i="100"/>
  <c r="J14" i="100"/>
  <c r="I14" i="100"/>
  <c r="W14" i="100" s="1"/>
  <c r="U13" i="100"/>
  <c r="V13" i="100" s="1"/>
  <c r="S13" i="100"/>
  <c r="R13" i="100"/>
  <c r="J13" i="100"/>
  <c r="I13" i="100"/>
  <c r="V12" i="100"/>
  <c r="U12" i="100"/>
  <c r="S12" i="100"/>
  <c r="R12" i="100"/>
  <c r="J12" i="100"/>
  <c r="I12" i="100"/>
  <c r="W12" i="100" s="1"/>
  <c r="U11" i="100"/>
  <c r="V11" i="100" s="1"/>
  <c r="S11" i="100"/>
  <c r="R11" i="100"/>
  <c r="J11" i="100"/>
  <c r="I11" i="100"/>
  <c r="U10" i="100"/>
  <c r="V10" i="100" s="1"/>
  <c r="S10" i="100"/>
  <c r="R10" i="100"/>
  <c r="J10" i="100"/>
  <c r="I10" i="100"/>
  <c r="W10" i="100" s="1"/>
  <c r="A10" i="100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V9" i="100"/>
  <c r="U9" i="100"/>
  <c r="S9" i="100"/>
  <c r="R9" i="100"/>
  <c r="J9" i="100"/>
  <c r="I9" i="100"/>
  <c r="A9" i="100"/>
  <c r="U8" i="100"/>
  <c r="S8" i="100"/>
  <c r="R8" i="100"/>
  <c r="J8" i="100"/>
  <c r="I8" i="100"/>
  <c r="Q60" i="99"/>
  <c r="P60" i="99"/>
  <c r="O60" i="99"/>
  <c r="N60" i="99"/>
  <c r="M60" i="99"/>
  <c r="L60" i="99"/>
  <c r="H60" i="99"/>
  <c r="G60" i="99"/>
  <c r="E60" i="99"/>
  <c r="D60" i="99"/>
  <c r="C60" i="99"/>
  <c r="S59" i="99"/>
  <c r="R59" i="99"/>
  <c r="J59" i="99"/>
  <c r="I59" i="99"/>
  <c r="S58" i="99"/>
  <c r="R58" i="99"/>
  <c r="J58" i="99"/>
  <c r="I58" i="99"/>
  <c r="S57" i="99"/>
  <c r="R57" i="99"/>
  <c r="J57" i="99"/>
  <c r="I57" i="99"/>
  <c r="S56" i="99"/>
  <c r="R56" i="99"/>
  <c r="J56" i="99"/>
  <c r="I56" i="99"/>
  <c r="S55" i="99"/>
  <c r="R55" i="99"/>
  <c r="J55" i="99"/>
  <c r="I55" i="99"/>
  <c r="U54" i="99"/>
  <c r="V54" i="99" s="1"/>
  <c r="S54" i="99"/>
  <c r="R54" i="99"/>
  <c r="J54" i="99"/>
  <c r="I54" i="99"/>
  <c r="W54" i="99" s="1"/>
  <c r="W53" i="99"/>
  <c r="U53" i="99"/>
  <c r="V53" i="99" s="1"/>
  <c r="S53" i="99"/>
  <c r="R53" i="99"/>
  <c r="J53" i="99"/>
  <c r="I53" i="99"/>
  <c r="U52" i="99"/>
  <c r="V52" i="99" s="1"/>
  <c r="S52" i="99"/>
  <c r="R52" i="99"/>
  <c r="J52" i="99"/>
  <c r="I52" i="99"/>
  <c r="W52" i="99" s="1"/>
  <c r="W51" i="99"/>
  <c r="U51" i="99"/>
  <c r="V51" i="99" s="1"/>
  <c r="S51" i="99"/>
  <c r="R51" i="99"/>
  <c r="J51" i="99"/>
  <c r="I51" i="99"/>
  <c r="U50" i="99"/>
  <c r="V50" i="99" s="1"/>
  <c r="S50" i="99"/>
  <c r="R50" i="99"/>
  <c r="J50" i="99"/>
  <c r="I50" i="99"/>
  <c r="W50" i="99" s="1"/>
  <c r="U49" i="99"/>
  <c r="V49" i="99" s="1"/>
  <c r="S49" i="99"/>
  <c r="R49" i="99"/>
  <c r="J49" i="99"/>
  <c r="I49" i="99"/>
  <c r="W49" i="99" s="1"/>
  <c r="U48" i="99"/>
  <c r="V48" i="99" s="1"/>
  <c r="S48" i="99"/>
  <c r="R48" i="99"/>
  <c r="J48" i="99"/>
  <c r="I48" i="99"/>
  <c r="W48" i="99" s="1"/>
  <c r="W47" i="99"/>
  <c r="U47" i="99"/>
  <c r="V47" i="99" s="1"/>
  <c r="S47" i="99"/>
  <c r="R47" i="99"/>
  <c r="J47" i="99"/>
  <c r="I47" i="99"/>
  <c r="U46" i="99"/>
  <c r="V46" i="99" s="1"/>
  <c r="S46" i="99"/>
  <c r="R46" i="99"/>
  <c r="J46" i="99"/>
  <c r="I46" i="99"/>
  <c r="W46" i="99" s="1"/>
  <c r="S45" i="99"/>
  <c r="R45" i="99"/>
  <c r="J45" i="99"/>
  <c r="I45" i="99"/>
  <c r="U44" i="99"/>
  <c r="V44" i="99" s="1"/>
  <c r="S44" i="99"/>
  <c r="R44" i="99"/>
  <c r="J44" i="99"/>
  <c r="I44" i="99"/>
  <c r="W44" i="99" s="1"/>
  <c r="S43" i="99"/>
  <c r="R43" i="99"/>
  <c r="J43" i="99"/>
  <c r="I43" i="99"/>
  <c r="U42" i="99"/>
  <c r="V42" i="99" s="1"/>
  <c r="S42" i="99"/>
  <c r="R42" i="99"/>
  <c r="J42" i="99"/>
  <c r="I42" i="99"/>
  <c r="U41" i="99"/>
  <c r="V41" i="99" s="1"/>
  <c r="S41" i="99"/>
  <c r="R41" i="99"/>
  <c r="J41" i="99"/>
  <c r="I41" i="99"/>
  <c r="W41" i="99" s="1"/>
  <c r="U40" i="99"/>
  <c r="V40" i="99" s="1"/>
  <c r="S40" i="99"/>
  <c r="R40" i="99"/>
  <c r="J40" i="99"/>
  <c r="W40" i="99" s="1"/>
  <c r="I40" i="99"/>
  <c r="U39" i="99"/>
  <c r="V39" i="99" s="1"/>
  <c r="S39" i="99"/>
  <c r="R39" i="99"/>
  <c r="J39" i="99"/>
  <c r="I39" i="99"/>
  <c r="W39" i="99" s="1"/>
  <c r="U38" i="99"/>
  <c r="V38" i="99" s="1"/>
  <c r="S38" i="99"/>
  <c r="R38" i="99"/>
  <c r="J38" i="99"/>
  <c r="I38" i="99"/>
  <c r="U37" i="99"/>
  <c r="V37" i="99" s="1"/>
  <c r="S37" i="99"/>
  <c r="R37" i="99"/>
  <c r="J37" i="99"/>
  <c r="I37" i="99"/>
  <c r="W37" i="99" s="1"/>
  <c r="U36" i="99"/>
  <c r="V36" i="99" s="1"/>
  <c r="S36" i="99"/>
  <c r="R36" i="99"/>
  <c r="J36" i="99"/>
  <c r="W36" i="99" s="1"/>
  <c r="I36" i="99"/>
  <c r="U35" i="99"/>
  <c r="V35" i="99" s="1"/>
  <c r="S35" i="99"/>
  <c r="R35" i="99"/>
  <c r="J35" i="99"/>
  <c r="I35" i="99"/>
  <c r="W35" i="99" s="1"/>
  <c r="U34" i="99"/>
  <c r="V34" i="99" s="1"/>
  <c r="S34" i="99"/>
  <c r="R34" i="99"/>
  <c r="J34" i="99"/>
  <c r="W34" i="99" s="1"/>
  <c r="I34" i="99"/>
  <c r="U33" i="99"/>
  <c r="V33" i="99" s="1"/>
  <c r="S33" i="99"/>
  <c r="R33" i="99"/>
  <c r="J33" i="99"/>
  <c r="I33" i="99"/>
  <c r="W33" i="99" s="1"/>
  <c r="U32" i="99"/>
  <c r="V32" i="99" s="1"/>
  <c r="S32" i="99"/>
  <c r="R32" i="99"/>
  <c r="J32" i="99"/>
  <c r="W32" i="99" s="1"/>
  <c r="I32" i="99"/>
  <c r="U31" i="99"/>
  <c r="V31" i="99" s="1"/>
  <c r="S31" i="99"/>
  <c r="R31" i="99"/>
  <c r="J31" i="99"/>
  <c r="I31" i="99"/>
  <c r="W31" i="99" s="1"/>
  <c r="U30" i="99"/>
  <c r="V30" i="99" s="1"/>
  <c r="S30" i="99"/>
  <c r="R30" i="99"/>
  <c r="J30" i="99"/>
  <c r="I30" i="99"/>
  <c r="U29" i="99"/>
  <c r="V29" i="99" s="1"/>
  <c r="S29" i="99"/>
  <c r="R29" i="99"/>
  <c r="J29" i="99"/>
  <c r="I29" i="99"/>
  <c r="W29" i="99" s="1"/>
  <c r="U28" i="99"/>
  <c r="V28" i="99" s="1"/>
  <c r="S28" i="99"/>
  <c r="R28" i="99"/>
  <c r="J28" i="99"/>
  <c r="W28" i="99" s="1"/>
  <c r="I28" i="99"/>
  <c r="U27" i="99"/>
  <c r="S27" i="99"/>
  <c r="R27" i="99"/>
  <c r="J27" i="99"/>
  <c r="I27" i="99"/>
  <c r="W27" i="99" s="1"/>
  <c r="BE26" i="99"/>
  <c r="V26" i="99"/>
  <c r="U26" i="99"/>
  <c r="S26" i="99"/>
  <c r="R26" i="99"/>
  <c r="J26" i="99"/>
  <c r="I26" i="99"/>
  <c r="V25" i="99"/>
  <c r="U25" i="99"/>
  <c r="S25" i="99"/>
  <c r="R25" i="99"/>
  <c r="J25" i="99"/>
  <c r="I25" i="99"/>
  <c r="W25" i="99" s="1"/>
  <c r="V24" i="99"/>
  <c r="U24" i="99"/>
  <c r="S24" i="99"/>
  <c r="R24" i="99"/>
  <c r="J24" i="99"/>
  <c r="I24" i="99"/>
  <c r="V23" i="99"/>
  <c r="U23" i="99"/>
  <c r="S23" i="99"/>
  <c r="R23" i="99"/>
  <c r="J23" i="99"/>
  <c r="I23" i="99"/>
  <c r="W23" i="99" s="1"/>
  <c r="V22" i="99"/>
  <c r="U22" i="99"/>
  <c r="S22" i="99"/>
  <c r="R22" i="99"/>
  <c r="J22" i="99"/>
  <c r="I22" i="99"/>
  <c r="W22" i="99" s="1"/>
  <c r="V21" i="99"/>
  <c r="U21" i="99"/>
  <c r="S21" i="99"/>
  <c r="R21" i="99"/>
  <c r="J21" i="99"/>
  <c r="I21" i="99"/>
  <c r="W21" i="99" s="1"/>
  <c r="V20" i="99"/>
  <c r="U20" i="99"/>
  <c r="S20" i="99"/>
  <c r="R20" i="99"/>
  <c r="J20" i="99"/>
  <c r="I20" i="99"/>
  <c r="W20" i="99" s="1"/>
  <c r="V19" i="99"/>
  <c r="U19" i="99"/>
  <c r="S19" i="99"/>
  <c r="R19" i="99"/>
  <c r="J19" i="99"/>
  <c r="I19" i="99"/>
  <c r="W19" i="99" s="1"/>
  <c r="V18" i="99"/>
  <c r="U18" i="99"/>
  <c r="S18" i="99"/>
  <c r="R18" i="99"/>
  <c r="J18" i="99"/>
  <c r="I18" i="99"/>
  <c r="W18" i="99" s="1"/>
  <c r="V17" i="99"/>
  <c r="U17" i="99"/>
  <c r="S17" i="99"/>
  <c r="R17" i="99"/>
  <c r="J17" i="99"/>
  <c r="I17" i="99"/>
  <c r="W17" i="99" s="1"/>
  <c r="W16" i="99"/>
  <c r="V16" i="99"/>
  <c r="U16" i="99"/>
  <c r="S16" i="99"/>
  <c r="R16" i="99"/>
  <c r="J16" i="99"/>
  <c r="I16" i="99"/>
  <c r="V15" i="99"/>
  <c r="U15" i="99"/>
  <c r="S15" i="99"/>
  <c r="R15" i="99"/>
  <c r="J15" i="99"/>
  <c r="I15" i="99"/>
  <c r="W15" i="99" s="1"/>
  <c r="V14" i="99"/>
  <c r="U14" i="99"/>
  <c r="S14" i="99"/>
  <c r="R14" i="99"/>
  <c r="J14" i="99"/>
  <c r="I14" i="99"/>
  <c r="W14" i="99" s="1"/>
  <c r="U13" i="99"/>
  <c r="V13" i="99" s="1"/>
  <c r="S13" i="99"/>
  <c r="R13" i="99"/>
  <c r="J13" i="99"/>
  <c r="I13" i="99"/>
  <c r="V12" i="99"/>
  <c r="U12" i="99"/>
  <c r="S12" i="99"/>
  <c r="R12" i="99"/>
  <c r="J12" i="99"/>
  <c r="I12" i="99"/>
  <c r="W12" i="99" s="1"/>
  <c r="U11" i="99"/>
  <c r="V11" i="99" s="1"/>
  <c r="S11" i="99"/>
  <c r="R11" i="99"/>
  <c r="J11" i="99"/>
  <c r="I11" i="99"/>
  <c r="W11" i="99" s="1"/>
  <c r="U10" i="99"/>
  <c r="V10" i="99" s="1"/>
  <c r="S10" i="99"/>
  <c r="R10" i="99"/>
  <c r="J10" i="99"/>
  <c r="I10" i="99"/>
  <c r="W10" i="99" s="1"/>
  <c r="A10" i="99"/>
  <c r="A11" i="99" s="1"/>
  <c r="A12" i="99" s="1"/>
  <c r="A13" i="99" s="1"/>
  <c r="A14" i="99" s="1"/>
  <c r="A15" i="99" s="1"/>
  <c r="A16" i="99" s="1"/>
  <c r="A17" i="99" s="1"/>
  <c r="A18" i="99" s="1"/>
  <c r="A19" i="99" s="1"/>
  <c r="A20" i="99" s="1"/>
  <c r="A21" i="99" s="1"/>
  <c r="A22" i="99" s="1"/>
  <c r="A23" i="99" s="1"/>
  <c r="A24" i="99" s="1"/>
  <c r="A25" i="99" s="1"/>
  <c r="A26" i="99" s="1"/>
  <c r="A27" i="99" s="1"/>
  <c r="A28" i="99" s="1"/>
  <c r="A29" i="99" s="1"/>
  <c r="A30" i="99" s="1"/>
  <c r="A31" i="99" s="1"/>
  <c r="A32" i="99" s="1"/>
  <c r="A33" i="99" s="1"/>
  <c r="A34" i="99" s="1"/>
  <c r="A35" i="99" s="1"/>
  <c r="A36" i="99" s="1"/>
  <c r="A37" i="99" s="1"/>
  <c r="A38" i="99" s="1"/>
  <c r="A39" i="99" s="1"/>
  <c r="A40" i="99" s="1"/>
  <c r="A41" i="99" s="1"/>
  <c r="A42" i="99" s="1"/>
  <c r="A43" i="99" s="1"/>
  <c r="A44" i="99" s="1"/>
  <c r="A45" i="99" s="1"/>
  <c r="A46" i="99" s="1"/>
  <c r="A47" i="99" s="1"/>
  <c r="A48" i="99" s="1"/>
  <c r="A49" i="99" s="1"/>
  <c r="A50" i="99" s="1"/>
  <c r="A51" i="99" s="1"/>
  <c r="A52" i="99" s="1"/>
  <c r="A53" i="99" s="1"/>
  <c r="A54" i="99" s="1"/>
  <c r="A55" i="99" s="1"/>
  <c r="A56" i="99" s="1"/>
  <c r="A57" i="99" s="1"/>
  <c r="A58" i="99" s="1"/>
  <c r="A59" i="99" s="1"/>
  <c r="V9" i="99"/>
  <c r="U9" i="99"/>
  <c r="S9" i="99"/>
  <c r="S60" i="99" s="1"/>
  <c r="R9" i="99"/>
  <c r="J9" i="99"/>
  <c r="I9" i="99"/>
  <c r="W9" i="99" s="1"/>
  <c r="A9" i="99"/>
  <c r="U8" i="99"/>
  <c r="V8" i="99" s="1"/>
  <c r="S8" i="99"/>
  <c r="R8" i="99"/>
  <c r="J8" i="99"/>
  <c r="I8" i="99"/>
  <c r="W60" i="102" l="1"/>
  <c r="W49" i="101"/>
  <c r="W48" i="101"/>
  <c r="W44" i="101"/>
  <c r="W35" i="101"/>
  <c r="S60" i="101"/>
  <c r="J60" i="101"/>
  <c r="W13" i="101"/>
  <c r="R60" i="101"/>
  <c r="U60" i="101"/>
  <c r="I60" i="101"/>
  <c r="W8" i="101"/>
  <c r="W35" i="100"/>
  <c r="W25" i="100"/>
  <c r="W23" i="100"/>
  <c r="W21" i="100"/>
  <c r="W13" i="100"/>
  <c r="J60" i="100"/>
  <c r="W11" i="100"/>
  <c r="R60" i="100"/>
  <c r="U60" i="100"/>
  <c r="S60" i="100"/>
  <c r="W9" i="100"/>
  <c r="W8" i="100"/>
  <c r="W42" i="99"/>
  <c r="W38" i="99"/>
  <c r="W30" i="99"/>
  <c r="W26" i="99"/>
  <c r="W24" i="99"/>
  <c r="W13" i="99"/>
  <c r="J60" i="99"/>
  <c r="R60" i="99"/>
  <c r="I60" i="99"/>
  <c r="U60" i="99"/>
  <c r="W8" i="99"/>
  <c r="V8" i="101"/>
  <c r="V60" i="101" s="1"/>
  <c r="I60" i="100"/>
  <c r="V8" i="100"/>
  <c r="V60" i="100" s="1"/>
  <c r="V60" i="99"/>
  <c r="V27" i="99"/>
  <c r="Q60" i="98"/>
  <c r="P60" i="98"/>
  <c r="O60" i="98"/>
  <c r="N60" i="98"/>
  <c r="M60" i="98"/>
  <c r="L60" i="98"/>
  <c r="H60" i="98"/>
  <c r="G60" i="98"/>
  <c r="E60" i="98"/>
  <c r="D60" i="98"/>
  <c r="C60" i="98"/>
  <c r="S59" i="98"/>
  <c r="R59" i="98"/>
  <c r="J59" i="98"/>
  <c r="I59" i="98"/>
  <c r="S58" i="98"/>
  <c r="R58" i="98"/>
  <c r="J58" i="98"/>
  <c r="I58" i="98"/>
  <c r="S57" i="98"/>
  <c r="R57" i="98"/>
  <c r="J57" i="98"/>
  <c r="I57" i="98"/>
  <c r="S56" i="98"/>
  <c r="R56" i="98"/>
  <c r="J56" i="98"/>
  <c r="I56" i="98"/>
  <c r="S55" i="98"/>
  <c r="R55" i="98"/>
  <c r="J55" i="98"/>
  <c r="I55" i="98"/>
  <c r="U54" i="98"/>
  <c r="V54" i="98" s="1"/>
  <c r="S54" i="98"/>
  <c r="R54" i="98"/>
  <c r="J54" i="98"/>
  <c r="I54" i="98"/>
  <c r="W54" i="98" s="1"/>
  <c r="U53" i="98"/>
  <c r="V53" i="98" s="1"/>
  <c r="S53" i="98"/>
  <c r="R53" i="98"/>
  <c r="J53" i="98"/>
  <c r="I53" i="98"/>
  <c r="W53" i="98" s="1"/>
  <c r="W52" i="98"/>
  <c r="U52" i="98"/>
  <c r="V52" i="98" s="1"/>
  <c r="S52" i="98"/>
  <c r="R52" i="98"/>
  <c r="J52" i="98"/>
  <c r="I52" i="98"/>
  <c r="U51" i="98"/>
  <c r="V51" i="98" s="1"/>
  <c r="S51" i="98"/>
  <c r="R51" i="98"/>
  <c r="J51" i="98"/>
  <c r="I51" i="98"/>
  <c r="W51" i="98" s="1"/>
  <c r="W50" i="98"/>
  <c r="U50" i="98"/>
  <c r="V50" i="98" s="1"/>
  <c r="S50" i="98"/>
  <c r="R50" i="98"/>
  <c r="J50" i="98"/>
  <c r="I50" i="98"/>
  <c r="U49" i="98"/>
  <c r="V49" i="98" s="1"/>
  <c r="S49" i="98"/>
  <c r="R49" i="98"/>
  <c r="J49" i="98"/>
  <c r="I49" i="98"/>
  <c r="W49" i="98" s="1"/>
  <c r="U48" i="98"/>
  <c r="V48" i="98" s="1"/>
  <c r="S48" i="98"/>
  <c r="R48" i="98"/>
  <c r="J48" i="98"/>
  <c r="I48" i="98"/>
  <c r="U47" i="98"/>
  <c r="V47" i="98" s="1"/>
  <c r="S47" i="98"/>
  <c r="R47" i="98"/>
  <c r="J47" i="98"/>
  <c r="I47" i="98"/>
  <c r="W47" i="98" s="1"/>
  <c r="W46" i="98"/>
  <c r="U46" i="98"/>
  <c r="V46" i="98" s="1"/>
  <c r="S46" i="98"/>
  <c r="R46" i="98"/>
  <c r="J46" i="98"/>
  <c r="I46" i="98"/>
  <c r="S45" i="98"/>
  <c r="R45" i="98"/>
  <c r="J45" i="98"/>
  <c r="I45" i="98"/>
  <c r="U44" i="98"/>
  <c r="V44" i="98" s="1"/>
  <c r="S44" i="98"/>
  <c r="R44" i="98"/>
  <c r="J44" i="98"/>
  <c r="I44" i="98"/>
  <c r="S43" i="98"/>
  <c r="R43" i="98"/>
  <c r="J43" i="98"/>
  <c r="I43" i="98"/>
  <c r="U42" i="98"/>
  <c r="V42" i="98" s="1"/>
  <c r="S42" i="98"/>
  <c r="R42" i="98"/>
  <c r="J42" i="98"/>
  <c r="I42" i="98"/>
  <c r="W42" i="98" s="1"/>
  <c r="W41" i="98"/>
  <c r="U41" i="98"/>
  <c r="V41" i="98" s="1"/>
  <c r="S41" i="98"/>
  <c r="R41" i="98"/>
  <c r="J41" i="98"/>
  <c r="I41" i="98"/>
  <c r="U40" i="98"/>
  <c r="V40" i="98" s="1"/>
  <c r="S40" i="98"/>
  <c r="R40" i="98"/>
  <c r="J40" i="98"/>
  <c r="I40" i="98"/>
  <c r="W40" i="98" s="1"/>
  <c r="U39" i="98"/>
  <c r="V39" i="98" s="1"/>
  <c r="S39" i="98"/>
  <c r="R39" i="98"/>
  <c r="J39" i="98"/>
  <c r="I39" i="98"/>
  <c r="W39" i="98" s="1"/>
  <c r="U38" i="98"/>
  <c r="V38" i="98" s="1"/>
  <c r="S38" i="98"/>
  <c r="R38" i="98"/>
  <c r="J38" i="98"/>
  <c r="I38" i="98"/>
  <c r="W37" i="98"/>
  <c r="U37" i="98"/>
  <c r="V37" i="98" s="1"/>
  <c r="S37" i="98"/>
  <c r="R37" i="98"/>
  <c r="J37" i="98"/>
  <c r="I37" i="98"/>
  <c r="U36" i="98"/>
  <c r="V36" i="98" s="1"/>
  <c r="S36" i="98"/>
  <c r="R36" i="98"/>
  <c r="J36" i="98"/>
  <c r="I36" i="98"/>
  <c r="W36" i="98" s="1"/>
  <c r="U35" i="98"/>
  <c r="V35" i="98" s="1"/>
  <c r="S35" i="98"/>
  <c r="R35" i="98"/>
  <c r="J35" i="98"/>
  <c r="I35" i="98"/>
  <c r="U34" i="98"/>
  <c r="V34" i="98" s="1"/>
  <c r="S34" i="98"/>
  <c r="R34" i="98"/>
  <c r="J34" i="98"/>
  <c r="I34" i="98"/>
  <c r="W34" i="98" s="1"/>
  <c r="W33" i="98"/>
  <c r="U33" i="98"/>
  <c r="V33" i="98" s="1"/>
  <c r="S33" i="98"/>
  <c r="R33" i="98"/>
  <c r="J33" i="98"/>
  <c r="I33" i="98"/>
  <c r="U32" i="98"/>
  <c r="V32" i="98" s="1"/>
  <c r="S32" i="98"/>
  <c r="R32" i="98"/>
  <c r="J32" i="98"/>
  <c r="I32" i="98"/>
  <c r="W32" i="98" s="1"/>
  <c r="W31" i="98"/>
  <c r="U31" i="98"/>
  <c r="V31" i="98" s="1"/>
  <c r="S31" i="98"/>
  <c r="R31" i="98"/>
  <c r="J31" i="98"/>
  <c r="I31" i="98"/>
  <c r="U30" i="98"/>
  <c r="V30" i="98" s="1"/>
  <c r="S30" i="98"/>
  <c r="R30" i="98"/>
  <c r="J30" i="98"/>
  <c r="I30" i="98"/>
  <c r="W30" i="98" s="1"/>
  <c r="U29" i="98"/>
  <c r="V29" i="98" s="1"/>
  <c r="S29" i="98"/>
  <c r="R29" i="98"/>
  <c r="J29" i="98"/>
  <c r="I29" i="98"/>
  <c r="W29" i="98" s="1"/>
  <c r="U28" i="98"/>
  <c r="V28" i="98" s="1"/>
  <c r="S28" i="98"/>
  <c r="R28" i="98"/>
  <c r="J28" i="98"/>
  <c r="I28" i="98"/>
  <c r="W28" i="98" s="1"/>
  <c r="W27" i="98"/>
  <c r="U27" i="98"/>
  <c r="V27" i="98" s="1"/>
  <c r="S27" i="98"/>
  <c r="R27" i="98"/>
  <c r="J27" i="98"/>
  <c r="I27" i="98"/>
  <c r="BE26" i="98"/>
  <c r="V26" i="98"/>
  <c r="U26" i="98"/>
  <c r="S26" i="98"/>
  <c r="R26" i="98"/>
  <c r="J26" i="98"/>
  <c r="I26" i="98"/>
  <c r="W26" i="98" s="1"/>
  <c r="V25" i="98"/>
  <c r="U25" i="98"/>
  <c r="S25" i="98"/>
  <c r="R25" i="98"/>
  <c r="J25" i="98"/>
  <c r="I25" i="98"/>
  <c r="W25" i="98" s="1"/>
  <c r="V24" i="98"/>
  <c r="U24" i="98"/>
  <c r="S24" i="98"/>
  <c r="R24" i="98"/>
  <c r="J24" i="98"/>
  <c r="I24" i="98"/>
  <c r="V23" i="98"/>
  <c r="U23" i="98"/>
  <c r="S23" i="98"/>
  <c r="R23" i="98"/>
  <c r="J23" i="98"/>
  <c r="I23" i="98"/>
  <c r="W23" i="98" s="1"/>
  <c r="V22" i="98"/>
  <c r="U22" i="98"/>
  <c r="S22" i="98"/>
  <c r="R22" i="98"/>
  <c r="J22" i="98"/>
  <c r="I22" i="98"/>
  <c r="W22" i="98" s="1"/>
  <c r="W21" i="98"/>
  <c r="V21" i="98"/>
  <c r="U21" i="98"/>
  <c r="S21" i="98"/>
  <c r="R21" i="98"/>
  <c r="J21" i="98"/>
  <c r="I21" i="98"/>
  <c r="V20" i="98"/>
  <c r="U20" i="98"/>
  <c r="S20" i="98"/>
  <c r="R20" i="98"/>
  <c r="J20" i="98"/>
  <c r="I20" i="98"/>
  <c r="W20" i="98" s="1"/>
  <c r="W19" i="98"/>
  <c r="V19" i="98"/>
  <c r="U19" i="98"/>
  <c r="S19" i="98"/>
  <c r="R19" i="98"/>
  <c r="J19" i="98"/>
  <c r="I19" i="98"/>
  <c r="V18" i="98"/>
  <c r="U18" i="98"/>
  <c r="S18" i="98"/>
  <c r="R18" i="98"/>
  <c r="J18" i="98"/>
  <c r="I18" i="98"/>
  <c r="W18" i="98" s="1"/>
  <c r="W17" i="98"/>
  <c r="V17" i="98"/>
  <c r="U17" i="98"/>
  <c r="S17" i="98"/>
  <c r="R17" i="98"/>
  <c r="J17" i="98"/>
  <c r="I17" i="98"/>
  <c r="V16" i="98"/>
  <c r="U16" i="98"/>
  <c r="S16" i="98"/>
  <c r="R16" i="98"/>
  <c r="J16" i="98"/>
  <c r="I16" i="98"/>
  <c r="W16" i="98" s="1"/>
  <c r="W15" i="98"/>
  <c r="V15" i="98"/>
  <c r="U15" i="98"/>
  <c r="S15" i="98"/>
  <c r="R15" i="98"/>
  <c r="J15" i="98"/>
  <c r="I15" i="98"/>
  <c r="V14" i="98"/>
  <c r="U14" i="98"/>
  <c r="S14" i="98"/>
  <c r="R14" i="98"/>
  <c r="J14" i="98"/>
  <c r="I14" i="98"/>
  <c r="W14" i="98" s="1"/>
  <c r="U13" i="98"/>
  <c r="V13" i="98" s="1"/>
  <c r="S13" i="98"/>
  <c r="R13" i="98"/>
  <c r="J13" i="98"/>
  <c r="I13" i="98"/>
  <c r="V12" i="98"/>
  <c r="U12" i="98"/>
  <c r="S12" i="98"/>
  <c r="R12" i="98"/>
  <c r="J12" i="98"/>
  <c r="I12" i="98"/>
  <c r="W12" i="98" s="1"/>
  <c r="W11" i="98"/>
  <c r="U11" i="98"/>
  <c r="V11" i="98" s="1"/>
  <c r="S11" i="98"/>
  <c r="R11" i="98"/>
  <c r="J11" i="98"/>
  <c r="I11" i="98"/>
  <c r="U10" i="98"/>
  <c r="V10" i="98" s="1"/>
  <c r="S10" i="98"/>
  <c r="R10" i="98"/>
  <c r="J10" i="98"/>
  <c r="I10" i="98"/>
  <c r="W10" i="98" s="1"/>
  <c r="A10" i="98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W9" i="98"/>
  <c r="U9" i="98"/>
  <c r="V9" i="98" s="1"/>
  <c r="S9" i="98"/>
  <c r="R9" i="98"/>
  <c r="J9" i="98"/>
  <c r="I9" i="98"/>
  <c r="A9" i="98"/>
  <c r="U8" i="98"/>
  <c r="S8" i="98"/>
  <c r="R8" i="98"/>
  <c r="J8" i="98"/>
  <c r="I8" i="98"/>
  <c r="W60" i="101" l="1"/>
  <c r="W60" i="100"/>
  <c r="W60" i="99"/>
  <c r="W48" i="98"/>
  <c r="W44" i="98"/>
  <c r="W38" i="98"/>
  <c r="W35" i="98"/>
  <c r="W24" i="98"/>
  <c r="S60" i="98"/>
  <c r="W13" i="98"/>
  <c r="J60" i="98"/>
  <c r="R60" i="98"/>
  <c r="U60" i="98"/>
  <c r="V8" i="98"/>
  <c r="W8" i="98"/>
  <c r="V60" i="98"/>
  <c r="I60" i="98"/>
  <c r="C48" i="95"/>
  <c r="Q60" i="97"/>
  <c r="P60" i="97"/>
  <c r="O60" i="97"/>
  <c r="N60" i="97"/>
  <c r="M60" i="97"/>
  <c r="L60" i="97"/>
  <c r="H60" i="97"/>
  <c r="G60" i="97"/>
  <c r="E60" i="97"/>
  <c r="D60" i="97"/>
  <c r="C60" i="97"/>
  <c r="S59" i="97"/>
  <c r="R59" i="97"/>
  <c r="J59" i="97"/>
  <c r="I59" i="97"/>
  <c r="S58" i="97"/>
  <c r="R58" i="97"/>
  <c r="J58" i="97"/>
  <c r="I58" i="97"/>
  <c r="S57" i="97"/>
  <c r="R57" i="97"/>
  <c r="J57" i="97"/>
  <c r="I57" i="97"/>
  <c r="S56" i="97"/>
  <c r="R56" i="97"/>
  <c r="J56" i="97"/>
  <c r="I56" i="97"/>
  <c r="S55" i="97"/>
  <c r="R55" i="97"/>
  <c r="J55" i="97"/>
  <c r="I55" i="97"/>
  <c r="V54" i="97"/>
  <c r="U54" i="97"/>
  <c r="S54" i="97"/>
  <c r="R54" i="97"/>
  <c r="J54" i="97"/>
  <c r="I54" i="97"/>
  <c r="W54" i="97" s="1"/>
  <c r="U53" i="97"/>
  <c r="V53" i="97" s="1"/>
  <c r="S53" i="97"/>
  <c r="R53" i="97"/>
  <c r="J53" i="97"/>
  <c r="I53" i="97"/>
  <c r="W53" i="97" s="1"/>
  <c r="W52" i="97"/>
  <c r="V52" i="97"/>
  <c r="U52" i="97"/>
  <c r="S52" i="97"/>
  <c r="R52" i="97"/>
  <c r="J52" i="97"/>
  <c r="I52" i="97"/>
  <c r="U51" i="97"/>
  <c r="V51" i="97" s="1"/>
  <c r="S51" i="97"/>
  <c r="R51" i="97"/>
  <c r="J51" i="97"/>
  <c r="I51" i="97"/>
  <c r="W51" i="97" s="1"/>
  <c r="W50" i="97"/>
  <c r="V50" i="97"/>
  <c r="U50" i="97"/>
  <c r="S50" i="97"/>
  <c r="R50" i="97"/>
  <c r="J50" i="97"/>
  <c r="I50" i="97"/>
  <c r="U49" i="97"/>
  <c r="V49" i="97" s="1"/>
  <c r="S49" i="97"/>
  <c r="R49" i="97"/>
  <c r="J49" i="97"/>
  <c r="I49" i="97"/>
  <c r="W49" i="97" s="1"/>
  <c r="W48" i="97"/>
  <c r="V48" i="97"/>
  <c r="U48" i="97"/>
  <c r="S48" i="97"/>
  <c r="R48" i="97"/>
  <c r="J48" i="97"/>
  <c r="I48" i="97"/>
  <c r="U47" i="97"/>
  <c r="V47" i="97" s="1"/>
  <c r="S47" i="97"/>
  <c r="R47" i="97"/>
  <c r="J47" i="97"/>
  <c r="I47" i="97"/>
  <c r="W47" i="97" s="1"/>
  <c r="W46" i="97"/>
  <c r="V46" i="97"/>
  <c r="U46" i="97"/>
  <c r="S46" i="97"/>
  <c r="R46" i="97"/>
  <c r="J46" i="97"/>
  <c r="I46" i="97"/>
  <c r="S45" i="97"/>
  <c r="R45" i="97"/>
  <c r="J45" i="97"/>
  <c r="I45" i="97"/>
  <c r="U44" i="97"/>
  <c r="V44" i="97" s="1"/>
  <c r="S44" i="97"/>
  <c r="R44" i="97"/>
  <c r="J44" i="97"/>
  <c r="I44" i="97"/>
  <c r="S43" i="97"/>
  <c r="R43" i="97"/>
  <c r="J43" i="97"/>
  <c r="I43" i="97"/>
  <c r="U42" i="97"/>
  <c r="V42" i="97" s="1"/>
  <c r="S42" i="97"/>
  <c r="R42" i="97"/>
  <c r="J42" i="97"/>
  <c r="I42" i="97"/>
  <c r="W42" i="97" s="1"/>
  <c r="W41" i="97"/>
  <c r="U41" i="97"/>
  <c r="V41" i="97" s="1"/>
  <c r="S41" i="97"/>
  <c r="R41" i="97"/>
  <c r="J41" i="97"/>
  <c r="I41" i="97"/>
  <c r="U40" i="97"/>
  <c r="V40" i="97" s="1"/>
  <c r="S40" i="97"/>
  <c r="R40" i="97"/>
  <c r="J40" i="97"/>
  <c r="I40" i="97"/>
  <c r="W40" i="97" s="1"/>
  <c r="U39" i="97"/>
  <c r="V39" i="97" s="1"/>
  <c r="S39" i="97"/>
  <c r="R39" i="97"/>
  <c r="J39" i="97"/>
  <c r="I39" i="97"/>
  <c r="W39" i="97" s="1"/>
  <c r="U38" i="97"/>
  <c r="V38" i="97" s="1"/>
  <c r="S38" i="97"/>
  <c r="R38" i="97"/>
  <c r="J38" i="97"/>
  <c r="I38" i="97"/>
  <c r="W38" i="97" s="1"/>
  <c r="W37" i="97"/>
  <c r="U37" i="97"/>
  <c r="V37" i="97" s="1"/>
  <c r="S37" i="97"/>
  <c r="R37" i="97"/>
  <c r="J37" i="97"/>
  <c r="I37" i="97"/>
  <c r="U36" i="97"/>
  <c r="V36" i="97" s="1"/>
  <c r="S36" i="97"/>
  <c r="R36" i="97"/>
  <c r="J36" i="97"/>
  <c r="I36" i="97"/>
  <c r="W36" i="97" s="1"/>
  <c r="U35" i="97"/>
  <c r="V35" i="97" s="1"/>
  <c r="S35" i="97"/>
  <c r="R35" i="97"/>
  <c r="J35" i="97"/>
  <c r="I35" i="97"/>
  <c r="U34" i="97"/>
  <c r="V34" i="97" s="1"/>
  <c r="S34" i="97"/>
  <c r="R34" i="97"/>
  <c r="J34" i="97"/>
  <c r="I34" i="97"/>
  <c r="W34" i="97" s="1"/>
  <c r="W33" i="97"/>
  <c r="U33" i="97"/>
  <c r="V33" i="97" s="1"/>
  <c r="S33" i="97"/>
  <c r="R33" i="97"/>
  <c r="J33" i="97"/>
  <c r="I33" i="97"/>
  <c r="U32" i="97"/>
  <c r="V32" i="97" s="1"/>
  <c r="S32" i="97"/>
  <c r="R32" i="97"/>
  <c r="J32" i="97"/>
  <c r="I32" i="97"/>
  <c r="W32" i="97" s="1"/>
  <c r="U31" i="97"/>
  <c r="V31" i="97" s="1"/>
  <c r="S31" i="97"/>
  <c r="R31" i="97"/>
  <c r="J31" i="97"/>
  <c r="I31" i="97"/>
  <c r="W31" i="97" s="1"/>
  <c r="U30" i="97"/>
  <c r="V30" i="97" s="1"/>
  <c r="S30" i="97"/>
  <c r="R30" i="97"/>
  <c r="J30" i="97"/>
  <c r="I30" i="97"/>
  <c r="W30" i="97" s="1"/>
  <c r="U29" i="97"/>
  <c r="V29" i="97" s="1"/>
  <c r="S29" i="97"/>
  <c r="R29" i="97"/>
  <c r="J29" i="97"/>
  <c r="I29" i="97"/>
  <c r="W29" i="97" s="1"/>
  <c r="U28" i="97"/>
  <c r="V28" i="97" s="1"/>
  <c r="S28" i="97"/>
  <c r="R28" i="97"/>
  <c r="J28" i="97"/>
  <c r="I28" i="97"/>
  <c r="W28" i="97" s="1"/>
  <c r="U27" i="97"/>
  <c r="V27" i="97" s="1"/>
  <c r="S27" i="97"/>
  <c r="R27" i="97"/>
  <c r="J27" i="97"/>
  <c r="I27" i="97"/>
  <c r="W27" i="97" s="1"/>
  <c r="BE26" i="97"/>
  <c r="U26" i="97"/>
  <c r="V26" i="97" s="1"/>
  <c r="S26" i="97"/>
  <c r="R26" i="97"/>
  <c r="J26" i="97"/>
  <c r="I26" i="97"/>
  <c r="W26" i="97" s="1"/>
  <c r="V25" i="97"/>
  <c r="U25" i="97"/>
  <c r="S25" i="97"/>
  <c r="R25" i="97"/>
  <c r="J25" i="97"/>
  <c r="I25" i="97"/>
  <c r="W25" i="97" s="1"/>
  <c r="U24" i="97"/>
  <c r="V24" i="97" s="1"/>
  <c r="S24" i="97"/>
  <c r="R24" i="97"/>
  <c r="J24" i="97"/>
  <c r="I24" i="97"/>
  <c r="W24" i="97" s="1"/>
  <c r="V23" i="97"/>
  <c r="U23" i="97"/>
  <c r="S23" i="97"/>
  <c r="R23" i="97"/>
  <c r="J23" i="97"/>
  <c r="I23" i="97"/>
  <c r="W23" i="97" s="1"/>
  <c r="U22" i="97"/>
  <c r="V22" i="97" s="1"/>
  <c r="S22" i="97"/>
  <c r="R22" i="97"/>
  <c r="J22" i="97"/>
  <c r="I22" i="97"/>
  <c r="W22" i="97" s="1"/>
  <c r="W21" i="97"/>
  <c r="V21" i="97"/>
  <c r="U21" i="97"/>
  <c r="S21" i="97"/>
  <c r="R21" i="97"/>
  <c r="J21" i="97"/>
  <c r="I21" i="97"/>
  <c r="U20" i="97"/>
  <c r="V20" i="97" s="1"/>
  <c r="S20" i="97"/>
  <c r="R20" i="97"/>
  <c r="J20" i="97"/>
  <c r="I20" i="97"/>
  <c r="W20" i="97" s="1"/>
  <c r="W19" i="97"/>
  <c r="V19" i="97"/>
  <c r="U19" i="97"/>
  <c r="S19" i="97"/>
  <c r="R19" i="97"/>
  <c r="J19" i="97"/>
  <c r="I19" i="97"/>
  <c r="U18" i="97"/>
  <c r="V18" i="97" s="1"/>
  <c r="S18" i="97"/>
  <c r="R18" i="97"/>
  <c r="J18" i="97"/>
  <c r="I18" i="97"/>
  <c r="W18" i="97" s="1"/>
  <c r="W17" i="97"/>
  <c r="V17" i="97"/>
  <c r="U17" i="97"/>
  <c r="S17" i="97"/>
  <c r="R17" i="97"/>
  <c r="J17" i="97"/>
  <c r="I17" i="97"/>
  <c r="U16" i="97"/>
  <c r="V16" i="97" s="1"/>
  <c r="S16" i="97"/>
  <c r="R16" i="97"/>
  <c r="J16" i="97"/>
  <c r="I16" i="97"/>
  <c r="W16" i="97" s="1"/>
  <c r="W15" i="97"/>
  <c r="V15" i="97"/>
  <c r="U15" i="97"/>
  <c r="S15" i="97"/>
  <c r="R15" i="97"/>
  <c r="J15" i="97"/>
  <c r="I15" i="97"/>
  <c r="U14" i="97"/>
  <c r="V14" i="97" s="1"/>
  <c r="S14" i="97"/>
  <c r="R14" i="97"/>
  <c r="J14" i="97"/>
  <c r="I14" i="97"/>
  <c r="W14" i="97" s="1"/>
  <c r="U13" i="97"/>
  <c r="V13" i="97" s="1"/>
  <c r="S13" i="97"/>
  <c r="R13" i="97"/>
  <c r="J13" i="97"/>
  <c r="I13" i="97"/>
  <c r="W13" i="97" s="1"/>
  <c r="U12" i="97"/>
  <c r="V12" i="97" s="1"/>
  <c r="S12" i="97"/>
  <c r="R12" i="97"/>
  <c r="J12" i="97"/>
  <c r="I12" i="97"/>
  <c r="W12" i="97" s="1"/>
  <c r="W11" i="97"/>
  <c r="V11" i="97"/>
  <c r="U11" i="97"/>
  <c r="S11" i="97"/>
  <c r="R11" i="97"/>
  <c r="J11" i="97"/>
  <c r="I11" i="97"/>
  <c r="U10" i="97"/>
  <c r="V10" i="97" s="1"/>
  <c r="S10" i="97"/>
  <c r="R10" i="97"/>
  <c r="J10" i="97"/>
  <c r="I10" i="97"/>
  <c r="W10" i="97" s="1"/>
  <c r="A10" i="97"/>
  <c r="A11" i="97" s="1"/>
  <c r="A12" i="97" s="1"/>
  <c r="A13" i="97" s="1"/>
  <c r="A14" i="97" s="1"/>
  <c r="A15" i="97" s="1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A47" i="97" s="1"/>
  <c r="A48" i="97" s="1"/>
  <c r="A49" i="97" s="1"/>
  <c r="A50" i="97" s="1"/>
  <c r="A51" i="97" s="1"/>
  <c r="A52" i="97" s="1"/>
  <c r="A53" i="97" s="1"/>
  <c r="A54" i="97" s="1"/>
  <c r="A55" i="97" s="1"/>
  <c r="A56" i="97" s="1"/>
  <c r="A57" i="97" s="1"/>
  <c r="A58" i="97" s="1"/>
  <c r="A59" i="97" s="1"/>
  <c r="V9" i="97"/>
  <c r="U9" i="97"/>
  <c r="S9" i="97"/>
  <c r="R9" i="97"/>
  <c r="J9" i="97"/>
  <c r="I9" i="97"/>
  <c r="W9" i="97" s="1"/>
  <c r="A9" i="97"/>
  <c r="U8" i="97"/>
  <c r="S8" i="97"/>
  <c r="R8" i="97"/>
  <c r="J8" i="97"/>
  <c r="I8" i="97"/>
  <c r="W8" i="97" s="1"/>
  <c r="Q60" i="96"/>
  <c r="P60" i="96"/>
  <c r="O60" i="96"/>
  <c r="N60" i="96"/>
  <c r="M60" i="96"/>
  <c r="L60" i="96"/>
  <c r="H60" i="96"/>
  <c r="G60" i="96"/>
  <c r="E60" i="96"/>
  <c r="D60" i="96"/>
  <c r="C60" i="96"/>
  <c r="S59" i="96"/>
  <c r="R59" i="96"/>
  <c r="J59" i="96"/>
  <c r="I59" i="96"/>
  <c r="S58" i="96"/>
  <c r="R58" i="96"/>
  <c r="J58" i="96"/>
  <c r="I58" i="96"/>
  <c r="S57" i="96"/>
  <c r="R57" i="96"/>
  <c r="J57" i="96"/>
  <c r="I57" i="96"/>
  <c r="S56" i="96"/>
  <c r="R56" i="96"/>
  <c r="J56" i="96"/>
  <c r="I56" i="96"/>
  <c r="S55" i="96"/>
  <c r="R55" i="96"/>
  <c r="J55" i="96"/>
  <c r="I55" i="96"/>
  <c r="U54" i="96"/>
  <c r="V54" i="96" s="1"/>
  <c r="S54" i="96"/>
  <c r="R54" i="96"/>
  <c r="J54" i="96"/>
  <c r="I54" i="96"/>
  <c r="V53" i="96"/>
  <c r="U53" i="96"/>
  <c r="S53" i="96"/>
  <c r="R53" i="96"/>
  <c r="J53" i="96"/>
  <c r="W53" i="96" s="1"/>
  <c r="I53" i="96"/>
  <c r="U52" i="96"/>
  <c r="V52" i="96" s="1"/>
  <c r="S52" i="96"/>
  <c r="R52" i="96"/>
  <c r="J52" i="96"/>
  <c r="W52" i="96" s="1"/>
  <c r="I52" i="96"/>
  <c r="V51" i="96"/>
  <c r="U51" i="96"/>
  <c r="S51" i="96"/>
  <c r="R51" i="96"/>
  <c r="J51" i="96"/>
  <c r="W51" i="96" s="1"/>
  <c r="I51" i="96"/>
  <c r="U50" i="96"/>
  <c r="V50" i="96" s="1"/>
  <c r="S50" i="96"/>
  <c r="R50" i="96"/>
  <c r="J50" i="96"/>
  <c r="W50" i="96" s="1"/>
  <c r="I50" i="96"/>
  <c r="V49" i="96"/>
  <c r="U49" i="96"/>
  <c r="S49" i="96"/>
  <c r="R49" i="96"/>
  <c r="J49" i="96"/>
  <c r="I49" i="96"/>
  <c r="U48" i="96"/>
  <c r="V48" i="96" s="1"/>
  <c r="S48" i="96"/>
  <c r="R48" i="96"/>
  <c r="J48" i="96"/>
  <c r="I48" i="96"/>
  <c r="W47" i="96"/>
  <c r="V47" i="96"/>
  <c r="U47" i="96"/>
  <c r="S47" i="96"/>
  <c r="R47" i="96"/>
  <c r="J47" i="96"/>
  <c r="I47" i="96"/>
  <c r="U46" i="96"/>
  <c r="V46" i="96" s="1"/>
  <c r="S46" i="96"/>
  <c r="R46" i="96"/>
  <c r="J46" i="96"/>
  <c r="W46" i="96" s="1"/>
  <c r="I46" i="96"/>
  <c r="S45" i="96"/>
  <c r="R45" i="96"/>
  <c r="J45" i="96"/>
  <c r="I45" i="96"/>
  <c r="U44" i="96"/>
  <c r="V44" i="96" s="1"/>
  <c r="S44" i="96"/>
  <c r="R44" i="96"/>
  <c r="J44" i="96"/>
  <c r="I44" i="96"/>
  <c r="W44" i="96" s="1"/>
  <c r="S43" i="96"/>
  <c r="R43" i="96"/>
  <c r="J43" i="96"/>
  <c r="I43" i="96"/>
  <c r="U42" i="96"/>
  <c r="V42" i="96" s="1"/>
  <c r="S42" i="96"/>
  <c r="R42" i="96"/>
  <c r="J42" i="96"/>
  <c r="I42" i="96"/>
  <c r="W42" i="96" s="1"/>
  <c r="U41" i="96"/>
  <c r="V41" i="96" s="1"/>
  <c r="S41" i="96"/>
  <c r="R41" i="96"/>
  <c r="J41" i="96"/>
  <c r="I41" i="96"/>
  <c r="W41" i="96" s="1"/>
  <c r="V40" i="96"/>
  <c r="U40" i="96"/>
  <c r="S40" i="96"/>
  <c r="R40" i="96"/>
  <c r="J40" i="96"/>
  <c r="I40" i="96"/>
  <c r="W40" i="96" s="1"/>
  <c r="U39" i="96"/>
  <c r="V39" i="96" s="1"/>
  <c r="S39" i="96"/>
  <c r="R39" i="96"/>
  <c r="J39" i="96"/>
  <c r="I39" i="96"/>
  <c r="W39" i="96" s="1"/>
  <c r="U38" i="96"/>
  <c r="V38" i="96" s="1"/>
  <c r="S38" i="96"/>
  <c r="R38" i="96"/>
  <c r="J38" i="96"/>
  <c r="I38" i="96"/>
  <c r="U37" i="96"/>
  <c r="V37" i="96" s="1"/>
  <c r="S37" i="96"/>
  <c r="R37" i="96"/>
  <c r="J37" i="96"/>
  <c r="I37" i="96"/>
  <c r="W37" i="96" s="1"/>
  <c r="V36" i="96"/>
  <c r="U36" i="96"/>
  <c r="S36" i="96"/>
  <c r="R36" i="96"/>
  <c r="J36" i="96"/>
  <c r="I36" i="96"/>
  <c r="W36" i="96" s="1"/>
  <c r="U35" i="96"/>
  <c r="V35" i="96" s="1"/>
  <c r="S35" i="96"/>
  <c r="R35" i="96"/>
  <c r="J35" i="96"/>
  <c r="I35" i="96"/>
  <c r="W35" i="96" s="1"/>
  <c r="V34" i="96"/>
  <c r="U34" i="96"/>
  <c r="S34" i="96"/>
  <c r="R34" i="96"/>
  <c r="J34" i="96"/>
  <c r="I34" i="96"/>
  <c r="W34" i="96" s="1"/>
  <c r="U33" i="96"/>
  <c r="V33" i="96" s="1"/>
  <c r="S33" i="96"/>
  <c r="R33" i="96"/>
  <c r="J33" i="96"/>
  <c r="I33" i="96"/>
  <c r="W33" i="96" s="1"/>
  <c r="V32" i="96"/>
  <c r="U32" i="96"/>
  <c r="S32" i="96"/>
  <c r="R32" i="96"/>
  <c r="J32" i="96"/>
  <c r="I32" i="96"/>
  <c r="W32" i="96" s="1"/>
  <c r="U31" i="96"/>
  <c r="V31" i="96" s="1"/>
  <c r="S31" i="96"/>
  <c r="R31" i="96"/>
  <c r="J31" i="96"/>
  <c r="I31" i="96"/>
  <c r="W31" i="96" s="1"/>
  <c r="V30" i="96"/>
  <c r="U30" i="96"/>
  <c r="S30" i="96"/>
  <c r="R30" i="96"/>
  <c r="J30" i="96"/>
  <c r="I30" i="96"/>
  <c r="W30" i="96" s="1"/>
  <c r="U29" i="96"/>
  <c r="V29" i="96" s="1"/>
  <c r="S29" i="96"/>
  <c r="R29" i="96"/>
  <c r="J29" i="96"/>
  <c r="I29" i="96"/>
  <c r="W29" i="96" s="1"/>
  <c r="V28" i="96"/>
  <c r="U28" i="96"/>
  <c r="S28" i="96"/>
  <c r="R28" i="96"/>
  <c r="J28" i="96"/>
  <c r="I28" i="96"/>
  <c r="W28" i="96" s="1"/>
  <c r="U27" i="96"/>
  <c r="V27" i="96" s="1"/>
  <c r="S27" i="96"/>
  <c r="S60" i="96" s="1"/>
  <c r="R27" i="96"/>
  <c r="J27" i="96"/>
  <c r="I27" i="96"/>
  <c r="W27" i="96" s="1"/>
  <c r="BE26" i="96"/>
  <c r="U26" i="96"/>
  <c r="V26" i="96" s="1"/>
  <c r="S26" i="96"/>
  <c r="R26" i="96"/>
  <c r="J26" i="96"/>
  <c r="I26" i="96"/>
  <c r="W26" i="96" s="1"/>
  <c r="U25" i="96"/>
  <c r="V25" i="96" s="1"/>
  <c r="S25" i="96"/>
  <c r="R25" i="96"/>
  <c r="J25" i="96"/>
  <c r="I25" i="96"/>
  <c r="W25" i="96" s="1"/>
  <c r="U24" i="96"/>
  <c r="V24" i="96" s="1"/>
  <c r="S24" i="96"/>
  <c r="R24" i="96"/>
  <c r="J24" i="96"/>
  <c r="I24" i="96"/>
  <c r="W24" i="96" s="1"/>
  <c r="U23" i="96"/>
  <c r="V23" i="96" s="1"/>
  <c r="S23" i="96"/>
  <c r="R23" i="96"/>
  <c r="J23" i="96"/>
  <c r="I23" i="96"/>
  <c r="W23" i="96" s="1"/>
  <c r="U22" i="96"/>
  <c r="V22" i="96" s="1"/>
  <c r="S22" i="96"/>
  <c r="R22" i="96"/>
  <c r="J22" i="96"/>
  <c r="I22" i="96"/>
  <c r="W22" i="96" s="1"/>
  <c r="U21" i="96"/>
  <c r="V21" i="96" s="1"/>
  <c r="S21" i="96"/>
  <c r="R21" i="96"/>
  <c r="J21" i="96"/>
  <c r="I21" i="96"/>
  <c r="W21" i="96" s="1"/>
  <c r="U20" i="96"/>
  <c r="V20" i="96" s="1"/>
  <c r="S20" i="96"/>
  <c r="R20" i="96"/>
  <c r="J20" i="96"/>
  <c r="I20" i="96"/>
  <c r="W20" i="96" s="1"/>
  <c r="W19" i="96"/>
  <c r="U19" i="96"/>
  <c r="V19" i="96" s="1"/>
  <c r="S19" i="96"/>
  <c r="R19" i="96"/>
  <c r="J19" i="96"/>
  <c r="I19" i="96"/>
  <c r="U18" i="96"/>
  <c r="V18" i="96" s="1"/>
  <c r="S18" i="96"/>
  <c r="R18" i="96"/>
  <c r="J18" i="96"/>
  <c r="I18" i="96"/>
  <c r="W18" i="96" s="1"/>
  <c r="W17" i="96"/>
  <c r="U17" i="96"/>
  <c r="V17" i="96" s="1"/>
  <c r="S17" i="96"/>
  <c r="R17" i="96"/>
  <c r="J17" i="96"/>
  <c r="I17" i="96"/>
  <c r="U16" i="96"/>
  <c r="V16" i="96" s="1"/>
  <c r="S16" i="96"/>
  <c r="R16" i="96"/>
  <c r="J16" i="96"/>
  <c r="I16" i="96"/>
  <c r="W16" i="96" s="1"/>
  <c r="W15" i="96"/>
  <c r="U15" i="96"/>
  <c r="V15" i="96" s="1"/>
  <c r="S15" i="96"/>
  <c r="R15" i="96"/>
  <c r="J15" i="96"/>
  <c r="I15" i="96"/>
  <c r="U14" i="96"/>
  <c r="V14" i="96" s="1"/>
  <c r="S14" i="96"/>
  <c r="R14" i="96"/>
  <c r="J14" i="96"/>
  <c r="I14" i="96"/>
  <c r="W14" i="96" s="1"/>
  <c r="U13" i="96"/>
  <c r="V13" i="96" s="1"/>
  <c r="S13" i="96"/>
  <c r="R13" i="96"/>
  <c r="J13" i="96"/>
  <c r="I13" i="96"/>
  <c r="W13" i="96" s="1"/>
  <c r="U12" i="96"/>
  <c r="V12" i="96" s="1"/>
  <c r="S12" i="96"/>
  <c r="R12" i="96"/>
  <c r="J12" i="96"/>
  <c r="I12" i="96"/>
  <c r="W12" i="96" s="1"/>
  <c r="U11" i="96"/>
  <c r="V11" i="96" s="1"/>
  <c r="S11" i="96"/>
  <c r="R11" i="96"/>
  <c r="J11" i="96"/>
  <c r="I11" i="96"/>
  <c r="W11" i="96" s="1"/>
  <c r="U10" i="96"/>
  <c r="V10" i="96" s="1"/>
  <c r="S10" i="96"/>
  <c r="R10" i="96"/>
  <c r="J10" i="96"/>
  <c r="I10" i="96"/>
  <c r="W10" i="96" s="1"/>
  <c r="A10" i="96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U9" i="96"/>
  <c r="V9" i="96" s="1"/>
  <c r="S9" i="96"/>
  <c r="R9" i="96"/>
  <c r="J9" i="96"/>
  <c r="I9" i="96"/>
  <c r="W9" i="96" s="1"/>
  <c r="A9" i="96"/>
  <c r="U8" i="96"/>
  <c r="S8" i="96"/>
  <c r="R8" i="96"/>
  <c r="J8" i="96"/>
  <c r="I8" i="96"/>
  <c r="W60" i="98" l="1"/>
  <c r="W44" i="97"/>
  <c r="W60" i="97" s="1"/>
  <c r="W35" i="97"/>
  <c r="U60" i="97"/>
  <c r="R60" i="97"/>
  <c r="S60" i="97"/>
  <c r="J60" i="97"/>
  <c r="W54" i="96"/>
  <c r="W49" i="96"/>
  <c r="W48" i="96"/>
  <c r="W38" i="96"/>
  <c r="W60" i="96" s="1"/>
  <c r="J60" i="96"/>
  <c r="R60" i="96"/>
  <c r="U60" i="96"/>
  <c r="W8" i="96"/>
  <c r="I60" i="97"/>
  <c r="V8" i="97"/>
  <c r="V60" i="97" s="1"/>
  <c r="I60" i="96"/>
  <c r="V8" i="96"/>
  <c r="V60" i="96" s="1"/>
  <c r="Q60" i="95"/>
  <c r="P60" i="95"/>
  <c r="O60" i="95"/>
  <c r="N60" i="95"/>
  <c r="M60" i="95"/>
  <c r="L60" i="95"/>
  <c r="H60" i="95"/>
  <c r="G60" i="95"/>
  <c r="E60" i="95"/>
  <c r="D60" i="95"/>
  <c r="C60" i="95"/>
  <c r="S59" i="95"/>
  <c r="R59" i="95"/>
  <c r="J59" i="95"/>
  <c r="I59" i="95"/>
  <c r="S58" i="95"/>
  <c r="R58" i="95"/>
  <c r="J58" i="95"/>
  <c r="I58" i="95"/>
  <c r="S57" i="95"/>
  <c r="R57" i="95"/>
  <c r="J57" i="95"/>
  <c r="I57" i="95"/>
  <c r="S56" i="95"/>
  <c r="R56" i="95"/>
  <c r="J56" i="95"/>
  <c r="I56" i="95"/>
  <c r="S55" i="95"/>
  <c r="R55" i="95"/>
  <c r="J55" i="95"/>
  <c r="I55" i="95"/>
  <c r="U54" i="95"/>
  <c r="V54" i="95" s="1"/>
  <c r="S54" i="95"/>
  <c r="R54" i="95"/>
  <c r="J54" i="95"/>
  <c r="I54" i="95"/>
  <c r="W54" i="95" s="1"/>
  <c r="U53" i="95"/>
  <c r="V53" i="95" s="1"/>
  <c r="S53" i="95"/>
  <c r="R53" i="95"/>
  <c r="J53" i="95"/>
  <c r="I53" i="95"/>
  <c r="W53" i="95" s="1"/>
  <c r="U52" i="95"/>
  <c r="V52" i="95" s="1"/>
  <c r="S52" i="95"/>
  <c r="R52" i="95"/>
  <c r="J52" i="95"/>
  <c r="I52" i="95"/>
  <c r="W52" i="95" s="1"/>
  <c r="U51" i="95"/>
  <c r="V51" i="95" s="1"/>
  <c r="S51" i="95"/>
  <c r="R51" i="95"/>
  <c r="J51" i="95"/>
  <c r="I51" i="95"/>
  <c r="W51" i="95" s="1"/>
  <c r="U50" i="95"/>
  <c r="V50" i="95" s="1"/>
  <c r="S50" i="95"/>
  <c r="R50" i="95"/>
  <c r="J50" i="95"/>
  <c r="I50" i="95"/>
  <c r="W50" i="95" s="1"/>
  <c r="U49" i="95"/>
  <c r="V49" i="95" s="1"/>
  <c r="S49" i="95"/>
  <c r="R49" i="95"/>
  <c r="J49" i="95"/>
  <c r="I49" i="95"/>
  <c r="W49" i="95" s="1"/>
  <c r="U48" i="95"/>
  <c r="V48" i="95" s="1"/>
  <c r="S48" i="95"/>
  <c r="R48" i="95"/>
  <c r="J48" i="95"/>
  <c r="I48" i="95"/>
  <c r="U47" i="95"/>
  <c r="V47" i="95" s="1"/>
  <c r="S47" i="95"/>
  <c r="R47" i="95"/>
  <c r="J47" i="95"/>
  <c r="I47" i="95"/>
  <c r="W47" i="95" s="1"/>
  <c r="U46" i="95"/>
  <c r="V46" i="95" s="1"/>
  <c r="S46" i="95"/>
  <c r="R46" i="95"/>
  <c r="J46" i="95"/>
  <c r="I46" i="95"/>
  <c r="W46" i="95" s="1"/>
  <c r="S45" i="95"/>
  <c r="R45" i="95"/>
  <c r="J45" i="95"/>
  <c r="I45" i="95"/>
  <c r="U44" i="95"/>
  <c r="V44" i="95" s="1"/>
  <c r="S44" i="95"/>
  <c r="R44" i="95"/>
  <c r="J44" i="95"/>
  <c r="I44" i="95"/>
  <c r="S43" i="95"/>
  <c r="R43" i="95"/>
  <c r="J43" i="95"/>
  <c r="I43" i="95"/>
  <c r="U42" i="95"/>
  <c r="V42" i="95" s="1"/>
  <c r="S42" i="95"/>
  <c r="R42" i="95"/>
  <c r="J42" i="95"/>
  <c r="I42" i="95"/>
  <c r="W42" i="95" s="1"/>
  <c r="U41" i="95"/>
  <c r="V41" i="95" s="1"/>
  <c r="S41" i="95"/>
  <c r="R41" i="95"/>
  <c r="J41" i="95"/>
  <c r="I41" i="95"/>
  <c r="U40" i="95"/>
  <c r="V40" i="95" s="1"/>
  <c r="S40" i="95"/>
  <c r="R40" i="95"/>
  <c r="J40" i="95"/>
  <c r="I40" i="95"/>
  <c r="W40" i="95" s="1"/>
  <c r="U39" i="95"/>
  <c r="V39" i="95" s="1"/>
  <c r="S39" i="95"/>
  <c r="R39" i="95"/>
  <c r="J39" i="95"/>
  <c r="I39" i="95"/>
  <c r="U38" i="95"/>
  <c r="V38" i="95" s="1"/>
  <c r="S38" i="95"/>
  <c r="R38" i="95"/>
  <c r="J38" i="95"/>
  <c r="I38" i="95"/>
  <c r="U37" i="95"/>
  <c r="V37" i="95" s="1"/>
  <c r="S37" i="95"/>
  <c r="R37" i="95"/>
  <c r="J37" i="95"/>
  <c r="W37" i="95" s="1"/>
  <c r="I37" i="95"/>
  <c r="U36" i="95"/>
  <c r="V36" i="95" s="1"/>
  <c r="S36" i="95"/>
  <c r="R36" i="95"/>
  <c r="J36" i="95"/>
  <c r="I36" i="95"/>
  <c r="W36" i="95" s="1"/>
  <c r="U35" i="95"/>
  <c r="V35" i="95" s="1"/>
  <c r="S35" i="95"/>
  <c r="R35" i="95"/>
  <c r="J35" i="95"/>
  <c r="I35" i="95"/>
  <c r="U34" i="95"/>
  <c r="V34" i="95" s="1"/>
  <c r="S34" i="95"/>
  <c r="R34" i="95"/>
  <c r="J34" i="95"/>
  <c r="I34" i="95"/>
  <c r="W34" i="95" s="1"/>
  <c r="U33" i="95"/>
  <c r="V33" i="95" s="1"/>
  <c r="S33" i="95"/>
  <c r="R33" i="95"/>
  <c r="J33" i="95"/>
  <c r="W33" i="95" s="1"/>
  <c r="I33" i="95"/>
  <c r="U32" i="95"/>
  <c r="V32" i="95" s="1"/>
  <c r="S32" i="95"/>
  <c r="R32" i="95"/>
  <c r="J32" i="95"/>
  <c r="I32" i="95"/>
  <c r="W32" i="95" s="1"/>
  <c r="U31" i="95"/>
  <c r="V31" i="95" s="1"/>
  <c r="S31" i="95"/>
  <c r="R31" i="95"/>
  <c r="J31" i="95"/>
  <c r="I31" i="95"/>
  <c r="U30" i="95"/>
  <c r="V30" i="95" s="1"/>
  <c r="S30" i="95"/>
  <c r="R30" i="95"/>
  <c r="J30" i="95"/>
  <c r="I30" i="95"/>
  <c r="W30" i="95" s="1"/>
  <c r="U29" i="95"/>
  <c r="V29" i="95" s="1"/>
  <c r="S29" i="95"/>
  <c r="R29" i="95"/>
  <c r="J29" i="95"/>
  <c r="I29" i="95"/>
  <c r="U28" i="95"/>
  <c r="V28" i="95" s="1"/>
  <c r="S28" i="95"/>
  <c r="R28" i="95"/>
  <c r="J28" i="95"/>
  <c r="I28" i="95"/>
  <c r="W28" i="95" s="1"/>
  <c r="U27" i="95"/>
  <c r="S27" i="95"/>
  <c r="R27" i="95"/>
  <c r="J27" i="95"/>
  <c r="I27" i="95"/>
  <c r="BE26" i="95"/>
  <c r="V26" i="95"/>
  <c r="U26" i="95"/>
  <c r="S26" i="95"/>
  <c r="R26" i="95"/>
  <c r="J26" i="95"/>
  <c r="I26" i="95"/>
  <c r="V25" i="95"/>
  <c r="U25" i="95"/>
  <c r="S25" i="95"/>
  <c r="R25" i="95"/>
  <c r="J25" i="95"/>
  <c r="I25" i="95"/>
  <c r="W25" i="95" s="1"/>
  <c r="V24" i="95"/>
  <c r="U24" i="95"/>
  <c r="S24" i="95"/>
  <c r="R24" i="95"/>
  <c r="J24" i="95"/>
  <c r="I24" i="95"/>
  <c r="W24" i="95" s="1"/>
  <c r="V23" i="95"/>
  <c r="U23" i="95"/>
  <c r="S23" i="95"/>
  <c r="R23" i="95"/>
  <c r="J23" i="95"/>
  <c r="I23" i="95"/>
  <c r="W23" i="95" s="1"/>
  <c r="V22" i="95"/>
  <c r="U22" i="95"/>
  <c r="S22" i="95"/>
  <c r="R22" i="95"/>
  <c r="J22" i="95"/>
  <c r="I22" i="95"/>
  <c r="W22" i="95" s="1"/>
  <c r="W21" i="95"/>
  <c r="V21" i="95"/>
  <c r="U21" i="95"/>
  <c r="S21" i="95"/>
  <c r="R21" i="95"/>
  <c r="J21" i="95"/>
  <c r="I21" i="95"/>
  <c r="V20" i="95"/>
  <c r="U20" i="95"/>
  <c r="S20" i="95"/>
  <c r="R20" i="95"/>
  <c r="J20" i="95"/>
  <c r="I20" i="95"/>
  <c r="W20" i="95" s="1"/>
  <c r="W19" i="95"/>
  <c r="V19" i="95"/>
  <c r="U19" i="95"/>
  <c r="S19" i="95"/>
  <c r="R19" i="95"/>
  <c r="J19" i="95"/>
  <c r="I19" i="95"/>
  <c r="V18" i="95"/>
  <c r="U18" i="95"/>
  <c r="S18" i="95"/>
  <c r="R18" i="95"/>
  <c r="J18" i="95"/>
  <c r="I18" i="95"/>
  <c r="W18" i="95" s="1"/>
  <c r="W17" i="95"/>
  <c r="V17" i="95"/>
  <c r="U17" i="95"/>
  <c r="S17" i="95"/>
  <c r="R17" i="95"/>
  <c r="J17" i="95"/>
  <c r="I17" i="95"/>
  <c r="V16" i="95"/>
  <c r="U16" i="95"/>
  <c r="S16" i="95"/>
  <c r="R16" i="95"/>
  <c r="J16" i="95"/>
  <c r="I16" i="95"/>
  <c r="W16" i="95" s="1"/>
  <c r="W15" i="95"/>
  <c r="V15" i="95"/>
  <c r="U15" i="95"/>
  <c r="S15" i="95"/>
  <c r="R15" i="95"/>
  <c r="J15" i="95"/>
  <c r="I15" i="95"/>
  <c r="V14" i="95"/>
  <c r="U14" i="95"/>
  <c r="S14" i="95"/>
  <c r="R14" i="95"/>
  <c r="J14" i="95"/>
  <c r="I14" i="95"/>
  <c r="W14" i="95" s="1"/>
  <c r="U13" i="95"/>
  <c r="V13" i="95" s="1"/>
  <c r="S13" i="95"/>
  <c r="R13" i="95"/>
  <c r="J13" i="95"/>
  <c r="I13" i="95"/>
  <c r="V12" i="95"/>
  <c r="U12" i="95"/>
  <c r="S12" i="95"/>
  <c r="R12" i="95"/>
  <c r="J12" i="95"/>
  <c r="I12" i="95"/>
  <c r="W12" i="95" s="1"/>
  <c r="V11" i="95"/>
  <c r="U11" i="95"/>
  <c r="S11" i="95"/>
  <c r="R11" i="95"/>
  <c r="J11" i="95"/>
  <c r="I11" i="95"/>
  <c r="W11" i="95" s="1"/>
  <c r="V10" i="95"/>
  <c r="U10" i="95"/>
  <c r="S10" i="95"/>
  <c r="R10" i="95"/>
  <c r="J10" i="95"/>
  <c r="I10" i="95"/>
  <c r="W10" i="95" s="1"/>
  <c r="A10" i="95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A38" i="95" s="1"/>
  <c r="A39" i="95" s="1"/>
  <c r="A40" i="95" s="1"/>
  <c r="A41" i="95" s="1"/>
  <c r="A42" i="95" s="1"/>
  <c r="A43" i="95" s="1"/>
  <c r="A44" i="95" s="1"/>
  <c r="A45" i="95" s="1"/>
  <c r="A46" i="95" s="1"/>
  <c r="A47" i="95" s="1"/>
  <c r="A48" i="95" s="1"/>
  <c r="A49" i="95" s="1"/>
  <c r="A50" i="95" s="1"/>
  <c r="A51" i="95" s="1"/>
  <c r="A52" i="95" s="1"/>
  <c r="A53" i="95" s="1"/>
  <c r="A54" i="95" s="1"/>
  <c r="A55" i="95" s="1"/>
  <c r="A56" i="95" s="1"/>
  <c r="A57" i="95" s="1"/>
  <c r="A58" i="95" s="1"/>
  <c r="A59" i="95" s="1"/>
  <c r="V9" i="95"/>
  <c r="U9" i="95"/>
  <c r="S9" i="95"/>
  <c r="R9" i="95"/>
  <c r="J9" i="95"/>
  <c r="I9" i="95"/>
  <c r="W9" i="95" s="1"/>
  <c r="A9" i="95"/>
  <c r="V8" i="95"/>
  <c r="U8" i="95"/>
  <c r="S8" i="95"/>
  <c r="S60" i="95" s="1"/>
  <c r="R8" i="95"/>
  <c r="J8" i="95"/>
  <c r="I8" i="95"/>
  <c r="W48" i="95" l="1"/>
  <c r="U60" i="95"/>
  <c r="W44" i="95"/>
  <c r="W41" i="95"/>
  <c r="W39" i="95"/>
  <c r="R60" i="95"/>
  <c r="W38" i="95"/>
  <c r="W35" i="95"/>
  <c r="W31" i="95"/>
  <c r="W29" i="95"/>
  <c r="W27" i="95"/>
  <c r="W26" i="95"/>
  <c r="J60" i="95"/>
  <c r="W13" i="95"/>
  <c r="W8" i="95"/>
  <c r="V60" i="95"/>
  <c r="I60" i="95"/>
  <c r="V27" i="95"/>
  <c r="Q60" i="94"/>
  <c r="P60" i="94"/>
  <c r="O60" i="94"/>
  <c r="N60" i="94"/>
  <c r="M60" i="94"/>
  <c r="L60" i="94"/>
  <c r="H60" i="94"/>
  <c r="G60" i="94"/>
  <c r="E60" i="94"/>
  <c r="D60" i="94"/>
  <c r="C60" i="94"/>
  <c r="S59" i="94"/>
  <c r="R59" i="94"/>
  <c r="J59" i="94"/>
  <c r="I59" i="94"/>
  <c r="S58" i="94"/>
  <c r="R58" i="94"/>
  <c r="J58" i="94"/>
  <c r="I58" i="94"/>
  <c r="S57" i="94"/>
  <c r="R57" i="94"/>
  <c r="J57" i="94"/>
  <c r="I57" i="94"/>
  <c r="S56" i="94"/>
  <c r="R56" i="94"/>
  <c r="J56" i="94"/>
  <c r="I56" i="94"/>
  <c r="S55" i="94"/>
  <c r="R55" i="94"/>
  <c r="J55" i="94"/>
  <c r="I55" i="94"/>
  <c r="U54" i="94"/>
  <c r="V54" i="94" s="1"/>
  <c r="S54" i="94"/>
  <c r="R54" i="94"/>
  <c r="J54" i="94"/>
  <c r="I54" i="94"/>
  <c r="W54" i="94" s="1"/>
  <c r="U53" i="94"/>
  <c r="V53" i="94" s="1"/>
  <c r="S53" i="94"/>
  <c r="R53" i="94"/>
  <c r="J53" i="94"/>
  <c r="I53" i="94"/>
  <c r="W53" i="94" s="1"/>
  <c r="U52" i="94"/>
  <c r="V52" i="94" s="1"/>
  <c r="S52" i="94"/>
  <c r="R52" i="94"/>
  <c r="J52" i="94"/>
  <c r="I52" i="94"/>
  <c r="W52" i="94" s="1"/>
  <c r="U51" i="94"/>
  <c r="V51" i="94" s="1"/>
  <c r="S51" i="94"/>
  <c r="R51" i="94"/>
  <c r="J51" i="94"/>
  <c r="I51" i="94"/>
  <c r="W51" i="94" s="1"/>
  <c r="U50" i="94"/>
  <c r="V50" i="94" s="1"/>
  <c r="S50" i="94"/>
  <c r="R50" i="94"/>
  <c r="J50" i="94"/>
  <c r="I50" i="94"/>
  <c r="W50" i="94" s="1"/>
  <c r="U49" i="94"/>
  <c r="V49" i="94" s="1"/>
  <c r="S49" i="94"/>
  <c r="R49" i="94"/>
  <c r="J49" i="94"/>
  <c r="I49" i="94"/>
  <c r="W49" i="94" s="1"/>
  <c r="U48" i="94"/>
  <c r="V48" i="94" s="1"/>
  <c r="S48" i="94"/>
  <c r="R48" i="94"/>
  <c r="J48" i="94"/>
  <c r="I48" i="94"/>
  <c r="W48" i="94" s="1"/>
  <c r="U47" i="94"/>
  <c r="V47" i="94" s="1"/>
  <c r="S47" i="94"/>
  <c r="R47" i="94"/>
  <c r="J47" i="94"/>
  <c r="I47" i="94"/>
  <c r="W47" i="94" s="1"/>
  <c r="U46" i="94"/>
  <c r="V46" i="94" s="1"/>
  <c r="S46" i="94"/>
  <c r="R46" i="94"/>
  <c r="J46" i="94"/>
  <c r="I46" i="94"/>
  <c r="W46" i="94" s="1"/>
  <c r="S45" i="94"/>
  <c r="R45" i="94"/>
  <c r="J45" i="94"/>
  <c r="I45" i="94"/>
  <c r="U44" i="94"/>
  <c r="V44" i="94" s="1"/>
  <c r="S44" i="94"/>
  <c r="R44" i="94"/>
  <c r="J44" i="94"/>
  <c r="I44" i="94"/>
  <c r="S43" i="94"/>
  <c r="R43" i="94"/>
  <c r="J43" i="94"/>
  <c r="I43" i="94"/>
  <c r="W42" i="94"/>
  <c r="U42" i="94"/>
  <c r="V42" i="94" s="1"/>
  <c r="S42" i="94"/>
  <c r="R42" i="94"/>
  <c r="J42" i="94"/>
  <c r="I42" i="94"/>
  <c r="U41" i="94"/>
  <c r="V41" i="94" s="1"/>
  <c r="S41" i="94"/>
  <c r="R41" i="94"/>
  <c r="J41" i="94"/>
  <c r="I41" i="94"/>
  <c r="W41" i="94" s="1"/>
  <c r="W40" i="94"/>
  <c r="V40" i="94"/>
  <c r="U40" i="94"/>
  <c r="S40" i="94"/>
  <c r="R40" i="94"/>
  <c r="J40" i="94"/>
  <c r="I40" i="94"/>
  <c r="W39" i="94"/>
  <c r="U39" i="94"/>
  <c r="V39" i="94" s="1"/>
  <c r="S39" i="94"/>
  <c r="R39" i="94"/>
  <c r="J39" i="94"/>
  <c r="I39" i="94"/>
  <c r="U38" i="94"/>
  <c r="V38" i="94" s="1"/>
  <c r="S38" i="94"/>
  <c r="R38" i="94"/>
  <c r="J38" i="94"/>
  <c r="I38" i="94"/>
  <c r="W37" i="94"/>
  <c r="U37" i="94"/>
  <c r="V37" i="94" s="1"/>
  <c r="S37" i="94"/>
  <c r="R37" i="94"/>
  <c r="J37" i="94"/>
  <c r="I37" i="94"/>
  <c r="W36" i="94"/>
  <c r="V36" i="94"/>
  <c r="U36" i="94"/>
  <c r="S36" i="94"/>
  <c r="R36" i="94"/>
  <c r="J36" i="94"/>
  <c r="I36" i="94"/>
  <c r="U35" i="94"/>
  <c r="V35" i="94" s="1"/>
  <c r="S35" i="94"/>
  <c r="R35" i="94"/>
  <c r="J35" i="94"/>
  <c r="I35" i="94"/>
  <c r="W35" i="94" s="1"/>
  <c r="U34" i="94"/>
  <c r="V34" i="94" s="1"/>
  <c r="S34" i="94"/>
  <c r="R34" i="94"/>
  <c r="J34" i="94"/>
  <c r="I34" i="94"/>
  <c r="W34" i="94" s="1"/>
  <c r="W33" i="94"/>
  <c r="U33" i="94"/>
  <c r="V33" i="94" s="1"/>
  <c r="S33" i="94"/>
  <c r="R33" i="94"/>
  <c r="J33" i="94"/>
  <c r="I33" i="94"/>
  <c r="V32" i="94"/>
  <c r="U32" i="94"/>
  <c r="S32" i="94"/>
  <c r="R32" i="94"/>
  <c r="J32" i="94"/>
  <c r="I32" i="94"/>
  <c r="W32" i="94" s="1"/>
  <c r="U31" i="94"/>
  <c r="V31" i="94" s="1"/>
  <c r="S31" i="94"/>
  <c r="R31" i="94"/>
  <c r="J31" i="94"/>
  <c r="I31" i="94"/>
  <c r="W31" i="94" s="1"/>
  <c r="W30" i="94"/>
  <c r="V30" i="94"/>
  <c r="U30" i="94"/>
  <c r="S30" i="94"/>
  <c r="R30" i="94"/>
  <c r="J30" i="94"/>
  <c r="I30" i="94"/>
  <c r="U29" i="94"/>
  <c r="V29" i="94" s="1"/>
  <c r="S29" i="94"/>
  <c r="R29" i="94"/>
  <c r="J29" i="94"/>
  <c r="I29" i="94"/>
  <c r="W29" i="94" s="1"/>
  <c r="W28" i="94"/>
  <c r="V28" i="94"/>
  <c r="U28" i="94"/>
  <c r="S28" i="94"/>
  <c r="R28" i="94"/>
  <c r="J28" i="94"/>
  <c r="I28" i="94"/>
  <c r="U27" i="94"/>
  <c r="V27" i="94" s="1"/>
  <c r="S27" i="94"/>
  <c r="R27" i="94"/>
  <c r="J27" i="94"/>
  <c r="I27" i="94"/>
  <c r="W27" i="94" s="1"/>
  <c r="BE26" i="94"/>
  <c r="V26" i="94"/>
  <c r="U26" i="94"/>
  <c r="S26" i="94"/>
  <c r="R26" i="94"/>
  <c r="J26" i="94"/>
  <c r="I26" i="94"/>
  <c r="V25" i="94"/>
  <c r="U25" i="94"/>
  <c r="S25" i="94"/>
  <c r="R25" i="94"/>
  <c r="J25" i="94"/>
  <c r="I25" i="94"/>
  <c r="W25" i="94" s="1"/>
  <c r="V24" i="94"/>
  <c r="U24" i="94"/>
  <c r="S24" i="94"/>
  <c r="R24" i="94"/>
  <c r="J24" i="94"/>
  <c r="I24" i="94"/>
  <c r="W24" i="94" s="1"/>
  <c r="V23" i="94"/>
  <c r="U23" i="94"/>
  <c r="S23" i="94"/>
  <c r="R23" i="94"/>
  <c r="J23" i="94"/>
  <c r="I23" i="94"/>
  <c r="W23" i="94" s="1"/>
  <c r="V22" i="94"/>
  <c r="U22" i="94"/>
  <c r="S22" i="94"/>
  <c r="R22" i="94"/>
  <c r="J22" i="94"/>
  <c r="I22" i="94"/>
  <c r="W22" i="94" s="1"/>
  <c r="V21" i="94"/>
  <c r="U21" i="94"/>
  <c r="S21" i="94"/>
  <c r="R21" i="94"/>
  <c r="J21" i="94"/>
  <c r="I21" i="94"/>
  <c r="W21" i="94" s="1"/>
  <c r="W20" i="94"/>
  <c r="V20" i="94"/>
  <c r="U20" i="94"/>
  <c r="S20" i="94"/>
  <c r="R20" i="94"/>
  <c r="J20" i="94"/>
  <c r="I20" i="94"/>
  <c r="V19" i="94"/>
  <c r="U19" i="94"/>
  <c r="S19" i="94"/>
  <c r="R19" i="94"/>
  <c r="J19" i="94"/>
  <c r="I19" i="94"/>
  <c r="W19" i="94" s="1"/>
  <c r="W18" i="94"/>
  <c r="V18" i="94"/>
  <c r="U18" i="94"/>
  <c r="S18" i="94"/>
  <c r="R18" i="94"/>
  <c r="J18" i="94"/>
  <c r="I18" i="94"/>
  <c r="V17" i="94"/>
  <c r="U17" i="94"/>
  <c r="S17" i="94"/>
  <c r="R17" i="94"/>
  <c r="J17" i="94"/>
  <c r="I17" i="94"/>
  <c r="W17" i="94" s="1"/>
  <c r="W16" i="94"/>
  <c r="V16" i="94"/>
  <c r="U16" i="94"/>
  <c r="S16" i="94"/>
  <c r="R16" i="94"/>
  <c r="J16" i="94"/>
  <c r="I16" i="94"/>
  <c r="V15" i="94"/>
  <c r="U15" i="94"/>
  <c r="S15" i="94"/>
  <c r="R15" i="94"/>
  <c r="J15" i="94"/>
  <c r="I15" i="94"/>
  <c r="W15" i="94" s="1"/>
  <c r="V14" i="94"/>
  <c r="U14" i="94"/>
  <c r="S14" i="94"/>
  <c r="R14" i="94"/>
  <c r="J14" i="94"/>
  <c r="I14" i="94"/>
  <c r="W14" i="94" s="1"/>
  <c r="U13" i="94"/>
  <c r="V13" i="94" s="1"/>
  <c r="S13" i="94"/>
  <c r="R13" i="94"/>
  <c r="J13" i="94"/>
  <c r="I13" i="94"/>
  <c r="W13" i="94" s="1"/>
  <c r="V12" i="94"/>
  <c r="U12" i="94"/>
  <c r="S12" i="94"/>
  <c r="R12" i="94"/>
  <c r="J12" i="94"/>
  <c r="I12" i="94"/>
  <c r="W12" i="94" s="1"/>
  <c r="U11" i="94"/>
  <c r="V11" i="94" s="1"/>
  <c r="S11" i="94"/>
  <c r="R11" i="94"/>
  <c r="J11" i="94"/>
  <c r="I11" i="94"/>
  <c r="W11" i="94" s="1"/>
  <c r="W10" i="94"/>
  <c r="U10" i="94"/>
  <c r="V10" i="94" s="1"/>
  <c r="S10" i="94"/>
  <c r="R10" i="94"/>
  <c r="J10" i="94"/>
  <c r="I10" i="94"/>
  <c r="V9" i="94"/>
  <c r="U9" i="94"/>
  <c r="S9" i="94"/>
  <c r="R9" i="94"/>
  <c r="J9" i="94"/>
  <c r="I9" i="94"/>
  <c r="W9" i="94" s="1"/>
  <c r="A9" i="94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U8" i="94"/>
  <c r="S8" i="94"/>
  <c r="S60" i="94" s="1"/>
  <c r="R8" i="94"/>
  <c r="J8" i="94"/>
  <c r="I8" i="94"/>
  <c r="W60" i="95" l="1"/>
  <c r="W44" i="94"/>
  <c r="W38" i="94"/>
  <c r="J60" i="94"/>
  <c r="W26" i="94"/>
  <c r="R60" i="94"/>
  <c r="U60" i="94"/>
  <c r="I60" i="94"/>
  <c r="V8" i="94"/>
  <c r="W8" i="94"/>
  <c r="V60" i="94"/>
  <c r="Q60" i="93"/>
  <c r="P60" i="93"/>
  <c r="O60" i="93"/>
  <c r="N60" i="93"/>
  <c r="M60" i="93"/>
  <c r="L60" i="93"/>
  <c r="H60" i="93"/>
  <c r="G60" i="93"/>
  <c r="E60" i="93"/>
  <c r="D60" i="93"/>
  <c r="C60" i="93"/>
  <c r="S59" i="93"/>
  <c r="R59" i="93"/>
  <c r="J59" i="93"/>
  <c r="I59" i="93"/>
  <c r="S58" i="93"/>
  <c r="R58" i="93"/>
  <c r="J58" i="93"/>
  <c r="I58" i="93"/>
  <c r="S57" i="93"/>
  <c r="R57" i="93"/>
  <c r="J57" i="93"/>
  <c r="I57" i="93"/>
  <c r="S56" i="93"/>
  <c r="R56" i="93"/>
  <c r="J56" i="93"/>
  <c r="I56" i="93"/>
  <c r="S55" i="93"/>
  <c r="R55" i="93"/>
  <c r="J55" i="93"/>
  <c r="I55" i="93"/>
  <c r="U54" i="93"/>
  <c r="V54" i="93" s="1"/>
  <c r="S54" i="93"/>
  <c r="R54" i="93"/>
  <c r="J54" i="93"/>
  <c r="I54" i="93"/>
  <c r="W54" i="93" s="1"/>
  <c r="U53" i="93"/>
  <c r="V53" i="93" s="1"/>
  <c r="S53" i="93"/>
  <c r="R53" i="93"/>
  <c r="J53" i="93"/>
  <c r="I53" i="93"/>
  <c r="W53" i="93" s="1"/>
  <c r="U52" i="93"/>
  <c r="V52" i="93" s="1"/>
  <c r="S52" i="93"/>
  <c r="R52" i="93"/>
  <c r="J52" i="93"/>
  <c r="I52" i="93"/>
  <c r="W52" i="93" s="1"/>
  <c r="U51" i="93"/>
  <c r="V51" i="93" s="1"/>
  <c r="S51" i="93"/>
  <c r="R51" i="93"/>
  <c r="J51" i="93"/>
  <c r="I51" i="93"/>
  <c r="W51" i="93" s="1"/>
  <c r="U50" i="93"/>
  <c r="V50" i="93" s="1"/>
  <c r="S50" i="93"/>
  <c r="R50" i="93"/>
  <c r="J50" i="93"/>
  <c r="I50" i="93"/>
  <c r="W50" i="93" s="1"/>
  <c r="U49" i="93"/>
  <c r="V49" i="93" s="1"/>
  <c r="S49" i="93"/>
  <c r="R49" i="93"/>
  <c r="J49" i="93"/>
  <c r="I49" i="93"/>
  <c r="W49" i="93" s="1"/>
  <c r="U48" i="93"/>
  <c r="V48" i="93" s="1"/>
  <c r="S48" i="93"/>
  <c r="R48" i="93"/>
  <c r="J48" i="93"/>
  <c r="I48" i="93"/>
  <c r="W48" i="93" s="1"/>
  <c r="U47" i="93"/>
  <c r="V47" i="93" s="1"/>
  <c r="S47" i="93"/>
  <c r="R47" i="93"/>
  <c r="J47" i="93"/>
  <c r="I47" i="93"/>
  <c r="W47" i="93" s="1"/>
  <c r="U46" i="93"/>
  <c r="V46" i="93" s="1"/>
  <c r="S46" i="93"/>
  <c r="R46" i="93"/>
  <c r="J46" i="93"/>
  <c r="I46" i="93"/>
  <c r="W46" i="93" s="1"/>
  <c r="S45" i="93"/>
  <c r="R45" i="93"/>
  <c r="J45" i="93"/>
  <c r="I45" i="93"/>
  <c r="U44" i="93"/>
  <c r="V44" i="93" s="1"/>
  <c r="S44" i="93"/>
  <c r="R44" i="93"/>
  <c r="J44" i="93"/>
  <c r="I44" i="93"/>
  <c r="S43" i="93"/>
  <c r="R43" i="93"/>
  <c r="J43" i="93"/>
  <c r="I43" i="93"/>
  <c r="U42" i="93"/>
  <c r="V42" i="93" s="1"/>
  <c r="S42" i="93"/>
  <c r="R42" i="93"/>
  <c r="J42" i="93"/>
  <c r="I42" i="93"/>
  <c r="W42" i="93" s="1"/>
  <c r="U41" i="93"/>
  <c r="V41" i="93" s="1"/>
  <c r="S41" i="93"/>
  <c r="R41" i="93"/>
  <c r="J41" i="93"/>
  <c r="I41" i="93"/>
  <c r="W41" i="93" s="1"/>
  <c r="V40" i="93"/>
  <c r="U40" i="93"/>
  <c r="S40" i="93"/>
  <c r="R40" i="93"/>
  <c r="J40" i="93"/>
  <c r="I40" i="93"/>
  <c r="W40" i="93" s="1"/>
  <c r="U39" i="93"/>
  <c r="V39" i="93" s="1"/>
  <c r="S39" i="93"/>
  <c r="R39" i="93"/>
  <c r="J39" i="93"/>
  <c r="I39" i="93"/>
  <c r="W39" i="93" s="1"/>
  <c r="U38" i="93"/>
  <c r="V38" i="93" s="1"/>
  <c r="S38" i="93"/>
  <c r="R38" i="93"/>
  <c r="J38" i="93"/>
  <c r="I38" i="93"/>
  <c r="W38" i="93" s="1"/>
  <c r="U37" i="93"/>
  <c r="V37" i="93" s="1"/>
  <c r="S37" i="93"/>
  <c r="R37" i="93"/>
  <c r="J37" i="93"/>
  <c r="I37" i="93"/>
  <c r="W37" i="93" s="1"/>
  <c r="V36" i="93"/>
  <c r="U36" i="93"/>
  <c r="S36" i="93"/>
  <c r="R36" i="93"/>
  <c r="J36" i="93"/>
  <c r="I36" i="93"/>
  <c r="W36" i="93" s="1"/>
  <c r="U35" i="93"/>
  <c r="V35" i="93" s="1"/>
  <c r="S35" i="93"/>
  <c r="R35" i="93"/>
  <c r="J35" i="93"/>
  <c r="I35" i="93"/>
  <c r="V34" i="93"/>
  <c r="U34" i="93"/>
  <c r="S34" i="93"/>
  <c r="R34" i="93"/>
  <c r="J34" i="93"/>
  <c r="I34" i="93"/>
  <c r="W34" i="93" s="1"/>
  <c r="U33" i="93"/>
  <c r="V33" i="93" s="1"/>
  <c r="S33" i="93"/>
  <c r="R33" i="93"/>
  <c r="J33" i="93"/>
  <c r="I33" i="93"/>
  <c r="W33" i="93" s="1"/>
  <c r="V32" i="93"/>
  <c r="U32" i="93"/>
  <c r="S32" i="93"/>
  <c r="R32" i="93"/>
  <c r="J32" i="93"/>
  <c r="I32" i="93"/>
  <c r="W32" i="93" s="1"/>
  <c r="U31" i="93"/>
  <c r="V31" i="93" s="1"/>
  <c r="S31" i="93"/>
  <c r="R31" i="93"/>
  <c r="J31" i="93"/>
  <c r="I31" i="93"/>
  <c r="W31" i="93" s="1"/>
  <c r="V30" i="93"/>
  <c r="U30" i="93"/>
  <c r="S30" i="93"/>
  <c r="R30" i="93"/>
  <c r="J30" i="93"/>
  <c r="I30" i="93"/>
  <c r="W30" i="93" s="1"/>
  <c r="U29" i="93"/>
  <c r="V29" i="93" s="1"/>
  <c r="S29" i="93"/>
  <c r="R29" i="93"/>
  <c r="J29" i="93"/>
  <c r="I29" i="93"/>
  <c r="W29" i="93" s="1"/>
  <c r="V28" i="93"/>
  <c r="U28" i="93"/>
  <c r="S28" i="93"/>
  <c r="R28" i="93"/>
  <c r="J28" i="93"/>
  <c r="I28" i="93"/>
  <c r="W28" i="93" s="1"/>
  <c r="U27" i="93"/>
  <c r="V27" i="93" s="1"/>
  <c r="S27" i="93"/>
  <c r="R27" i="93"/>
  <c r="J27" i="93"/>
  <c r="I27" i="93"/>
  <c r="W27" i="93" s="1"/>
  <c r="BE26" i="93"/>
  <c r="U26" i="93"/>
  <c r="V26" i="93" s="1"/>
  <c r="S26" i="93"/>
  <c r="R26" i="93"/>
  <c r="J26" i="93"/>
  <c r="I26" i="93"/>
  <c r="V25" i="93"/>
  <c r="U25" i="93"/>
  <c r="S25" i="93"/>
  <c r="R25" i="93"/>
  <c r="J25" i="93"/>
  <c r="I25" i="93"/>
  <c r="W25" i="93" s="1"/>
  <c r="U24" i="93"/>
  <c r="V24" i="93" s="1"/>
  <c r="S24" i="93"/>
  <c r="R24" i="93"/>
  <c r="J24" i="93"/>
  <c r="I24" i="93"/>
  <c r="V23" i="93"/>
  <c r="U23" i="93"/>
  <c r="S23" i="93"/>
  <c r="R23" i="93"/>
  <c r="J23" i="93"/>
  <c r="I23" i="93"/>
  <c r="W23" i="93" s="1"/>
  <c r="U22" i="93"/>
  <c r="V22" i="93" s="1"/>
  <c r="S22" i="93"/>
  <c r="R22" i="93"/>
  <c r="J22" i="93"/>
  <c r="I22" i="93"/>
  <c r="V21" i="93"/>
  <c r="U21" i="93"/>
  <c r="S21" i="93"/>
  <c r="R21" i="93"/>
  <c r="J21" i="93"/>
  <c r="I21" i="93"/>
  <c r="W21" i="93" s="1"/>
  <c r="U20" i="93"/>
  <c r="V20" i="93" s="1"/>
  <c r="S20" i="93"/>
  <c r="R20" i="93"/>
  <c r="J20" i="93"/>
  <c r="I20" i="93"/>
  <c r="V19" i="93"/>
  <c r="U19" i="93"/>
  <c r="S19" i="93"/>
  <c r="R19" i="93"/>
  <c r="J19" i="93"/>
  <c r="I19" i="93"/>
  <c r="W19" i="93" s="1"/>
  <c r="U18" i="93"/>
  <c r="V18" i="93" s="1"/>
  <c r="S18" i="93"/>
  <c r="R18" i="93"/>
  <c r="J18" i="93"/>
  <c r="I18" i="93"/>
  <c r="V17" i="93"/>
  <c r="U17" i="93"/>
  <c r="S17" i="93"/>
  <c r="R17" i="93"/>
  <c r="J17" i="93"/>
  <c r="I17" i="93"/>
  <c r="W17" i="93" s="1"/>
  <c r="U16" i="93"/>
  <c r="V16" i="93" s="1"/>
  <c r="S16" i="93"/>
  <c r="R16" i="93"/>
  <c r="J16" i="93"/>
  <c r="W16" i="93" s="1"/>
  <c r="I16" i="93"/>
  <c r="V15" i="93"/>
  <c r="U15" i="93"/>
  <c r="S15" i="93"/>
  <c r="R15" i="93"/>
  <c r="J15" i="93"/>
  <c r="I15" i="93"/>
  <c r="W15" i="93" s="1"/>
  <c r="U14" i="93"/>
  <c r="V14" i="93" s="1"/>
  <c r="S14" i="93"/>
  <c r="R14" i="93"/>
  <c r="J14" i="93"/>
  <c r="I14" i="93"/>
  <c r="U13" i="93"/>
  <c r="V13" i="93" s="1"/>
  <c r="S13" i="93"/>
  <c r="R13" i="93"/>
  <c r="J13" i="93"/>
  <c r="I13" i="93"/>
  <c r="W13" i="93" s="1"/>
  <c r="U12" i="93"/>
  <c r="V12" i="93" s="1"/>
  <c r="S12" i="93"/>
  <c r="R12" i="93"/>
  <c r="J12" i="93"/>
  <c r="I12" i="93"/>
  <c r="U11" i="93"/>
  <c r="V11" i="93" s="1"/>
  <c r="S11" i="93"/>
  <c r="R11" i="93"/>
  <c r="J11" i="93"/>
  <c r="I11" i="93"/>
  <c r="W11" i="93" s="1"/>
  <c r="U10" i="93"/>
  <c r="V10" i="93" s="1"/>
  <c r="S10" i="93"/>
  <c r="R10" i="93"/>
  <c r="J10" i="93"/>
  <c r="I10" i="93"/>
  <c r="V9" i="93"/>
  <c r="U9" i="93"/>
  <c r="S9" i="93"/>
  <c r="R9" i="93"/>
  <c r="J9" i="93"/>
  <c r="I9" i="93"/>
  <c r="W9" i="93" s="1"/>
  <c r="A9" i="93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U8" i="93"/>
  <c r="S8" i="93"/>
  <c r="R8" i="93"/>
  <c r="J8" i="93"/>
  <c r="W8" i="93" s="1"/>
  <c r="I8" i="93"/>
  <c r="Q60" i="92"/>
  <c r="P60" i="92"/>
  <c r="O60" i="92"/>
  <c r="N60" i="92"/>
  <c r="M60" i="92"/>
  <c r="L60" i="92"/>
  <c r="H60" i="92"/>
  <c r="G60" i="92"/>
  <c r="E60" i="92"/>
  <c r="D60" i="92"/>
  <c r="C60" i="92"/>
  <c r="S59" i="92"/>
  <c r="R59" i="92"/>
  <c r="J59" i="92"/>
  <c r="I59" i="92"/>
  <c r="S58" i="92"/>
  <c r="R58" i="92"/>
  <c r="J58" i="92"/>
  <c r="I58" i="92"/>
  <c r="S57" i="92"/>
  <c r="R57" i="92"/>
  <c r="J57" i="92"/>
  <c r="I57" i="92"/>
  <c r="S56" i="92"/>
  <c r="R56" i="92"/>
  <c r="J56" i="92"/>
  <c r="I56" i="92"/>
  <c r="S55" i="92"/>
  <c r="R55" i="92"/>
  <c r="J55" i="92"/>
  <c r="I55" i="92"/>
  <c r="U54" i="92"/>
  <c r="V54" i="92" s="1"/>
  <c r="S54" i="92"/>
  <c r="R54" i="92"/>
  <c r="J54" i="92"/>
  <c r="I54" i="92"/>
  <c r="U53" i="92"/>
  <c r="V53" i="92" s="1"/>
  <c r="S53" i="92"/>
  <c r="R53" i="92"/>
  <c r="J53" i="92"/>
  <c r="I53" i="92"/>
  <c r="U52" i="92"/>
  <c r="V52" i="92" s="1"/>
  <c r="S52" i="92"/>
  <c r="R52" i="92"/>
  <c r="J52" i="92"/>
  <c r="I52" i="92"/>
  <c r="U51" i="92"/>
  <c r="V51" i="92" s="1"/>
  <c r="S51" i="92"/>
  <c r="R51" i="92"/>
  <c r="J51" i="92"/>
  <c r="I51" i="92"/>
  <c r="U50" i="92"/>
  <c r="V50" i="92" s="1"/>
  <c r="S50" i="92"/>
  <c r="R50" i="92"/>
  <c r="J50" i="92"/>
  <c r="I50" i="92"/>
  <c r="U49" i="92"/>
  <c r="V49" i="92" s="1"/>
  <c r="S49" i="92"/>
  <c r="R49" i="92"/>
  <c r="J49" i="92"/>
  <c r="I49" i="92"/>
  <c r="U48" i="92"/>
  <c r="V48" i="92" s="1"/>
  <c r="S48" i="92"/>
  <c r="R48" i="92"/>
  <c r="J48" i="92"/>
  <c r="I48" i="92"/>
  <c r="U47" i="92"/>
  <c r="V47" i="92" s="1"/>
  <c r="S47" i="92"/>
  <c r="R47" i="92"/>
  <c r="J47" i="92"/>
  <c r="I47" i="92"/>
  <c r="U46" i="92"/>
  <c r="V46" i="92" s="1"/>
  <c r="S46" i="92"/>
  <c r="R46" i="92"/>
  <c r="J46" i="92"/>
  <c r="W46" i="92" s="1"/>
  <c r="I46" i="92"/>
  <c r="S45" i="92"/>
  <c r="R45" i="92"/>
  <c r="J45" i="92"/>
  <c r="I45" i="92"/>
  <c r="U44" i="92"/>
  <c r="V44" i="92" s="1"/>
  <c r="S44" i="92"/>
  <c r="R44" i="92"/>
  <c r="J44" i="92"/>
  <c r="I44" i="92"/>
  <c r="S43" i="92"/>
  <c r="R43" i="92"/>
  <c r="J43" i="92"/>
  <c r="I43" i="92"/>
  <c r="U42" i="92"/>
  <c r="V42" i="92" s="1"/>
  <c r="S42" i="92"/>
  <c r="R42" i="92"/>
  <c r="J42" i="92"/>
  <c r="I42" i="92"/>
  <c r="W42" i="92" s="1"/>
  <c r="U41" i="92"/>
  <c r="V41" i="92" s="1"/>
  <c r="S41" i="92"/>
  <c r="R41" i="92"/>
  <c r="J41" i="92"/>
  <c r="I41" i="92"/>
  <c r="U40" i="92"/>
  <c r="V40" i="92" s="1"/>
  <c r="S40" i="92"/>
  <c r="R40" i="92"/>
  <c r="J40" i="92"/>
  <c r="I40" i="92"/>
  <c r="W40" i="92" s="1"/>
  <c r="U39" i="92"/>
  <c r="V39" i="92" s="1"/>
  <c r="S39" i="92"/>
  <c r="R39" i="92"/>
  <c r="J39" i="92"/>
  <c r="I39" i="92"/>
  <c r="W39" i="92" s="1"/>
  <c r="U38" i="92"/>
  <c r="V38" i="92" s="1"/>
  <c r="S38" i="92"/>
  <c r="R38" i="92"/>
  <c r="J38" i="92"/>
  <c r="I38" i="92"/>
  <c r="W37" i="92"/>
  <c r="U37" i="92"/>
  <c r="V37" i="92" s="1"/>
  <c r="S37" i="92"/>
  <c r="R37" i="92"/>
  <c r="J37" i="92"/>
  <c r="I37" i="92"/>
  <c r="U36" i="92"/>
  <c r="V36" i="92" s="1"/>
  <c r="S36" i="92"/>
  <c r="R36" i="92"/>
  <c r="J36" i="92"/>
  <c r="I36" i="92"/>
  <c r="W36" i="92" s="1"/>
  <c r="U35" i="92"/>
  <c r="V35" i="92" s="1"/>
  <c r="S35" i="92"/>
  <c r="R35" i="92"/>
  <c r="J35" i="92"/>
  <c r="I35" i="92"/>
  <c r="U34" i="92"/>
  <c r="V34" i="92" s="1"/>
  <c r="S34" i="92"/>
  <c r="R34" i="92"/>
  <c r="J34" i="92"/>
  <c r="I34" i="92"/>
  <c r="W34" i="92" s="1"/>
  <c r="W33" i="92"/>
  <c r="U33" i="92"/>
  <c r="V33" i="92" s="1"/>
  <c r="S33" i="92"/>
  <c r="R33" i="92"/>
  <c r="J33" i="92"/>
  <c r="I33" i="92"/>
  <c r="U32" i="92"/>
  <c r="V32" i="92" s="1"/>
  <c r="S32" i="92"/>
  <c r="R32" i="92"/>
  <c r="J32" i="92"/>
  <c r="I32" i="92"/>
  <c r="W32" i="92" s="1"/>
  <c r="U31" i="92"/>
  <c r="V31" i="92" s="1"/>
  <c r="S31" i="92"/>
  <c r="R31" i="92"/>
  <c r="J31" i="92"/>
  <c r="I31" i="92"/>
  <c r="W31" i="92" s="1"/>
  <c r="U30" i="92"/>
  <c r="V30" i="92" s="1"/>
  <c r="S30" i="92"/>
  <c r="R30" i="92"/>
  <c r="J30" i="92"/>
  <c r="I30" i="92"/>
  <c r="W30" i="92" s="1"/>
  <c r="U29" i="92"/>
  <c r="V29" i="92" s="1"/>
  <c r="S29" i="92"/>
  <c r="R29" i="92"/>
  <c r="J29" i="92"/>
  <c r="I29" i="92"/>
  <c r="W29" i="92" s="1"/>
  <c r="U28" i="92"/>
  <c r="V28" i="92" s="1"/>
  <c r="S28" i="92"/>
  <c r="R28" i="92"/>
  <c r="J28" i="92"/>
  <c r="I28" i="92"/>
  <c r="W28" i="92" s="1"/>
  <c r="U27" i="92"/>
  <c r="V27" i="92" s="1"/>
  <c r="S27" i="92"/>
  <c r="R27" i="92"/>
  <c r="J27" i="92"/>
  <c r="I27" i="92"/>
  <c r="W27" i="92" s="1"/>
  <c r="BE26" i="92"/>
  <c r="U26" i="92"/>
  <c r="V26" i="92" s="1"/>
  <c r="S26" i="92"/>
  <c r="R26" i="92"/>
  <c r="J26" i="92"/>
  <c r="I26" i="92"/>
  <c r="W26" i="92" s="1"/>
  <c r="U25" i="92"/>
  <c r="V25" i="92" s="1"/>
  <c r="S25" i="92"/>
  <c r="R25" i="92"/>
  <c r="J25" i="92"/>
  <c r="I25" i="92"/>
  <c r="U24" i="92"/>
  <c r="V24" i="92" s="1"/>
  <c r="S24" i="92"/>
  <c r="R24" i="92"/>
  <c r="J24" i="92"/>
  <c r="I24" i="92"/>
  <c r="W24" i="92" s="1"/>
  <c r="U23" i="92"/>
  <c r="V23" i="92" s="1"/>
  <c r="S23" i="92"/>
  <c r="R23" i="92"/>
  <c r="J23" i="92"/>
  <c r="I23" i="92"/>
  <c r="U22" i="92"/>
  <c r="V22" i="92" s="1"/>
  <c r="S22" i="92"/>
  <c r="R22" i="92"/>
  <c r="J22" i="92"/>
  <c r="I22" i="92"/>
  <c r="W22" i="92" s="1"/>
  <c r="U21" i="92"/>
  <c r="V21" i="92" s="1"/>
  <c r="S21" i="92"/>
  <c r="R21" i="92"/>
  <c r="J21" i="92"/>
  <c r="I21" i="92"/>
  <c r="U20" i="92"/>
  <c r="V20" i="92" s="1"/>
  <c r="S20" i="92"/>
  <c r="R20" i="92"/>
  <c r="J20" i="92"/>
  <c r="I20" i="92"/>
  <c r="W20" i="92" s="1"/>
  <c r="U19" i="92"/>
  <c r="V19" i="92" s="1"/>
  <c r="S19" i="92"/>
  <c r="R19" i="92"/>
  <c r="J19" i="92"/>
  <c r="W19" i="92" s="1"/>
  <c r="I19" i="92"/>
  <c r="U18" i="92"/>
  <c r="V18" i="92" s="1"/>
  <c r="S18" i="92"/>
  <c r="R18" i="92"/>
  <c r="J18" i="92"/>
  <c r="I18" i="92"/>
  <c r="W18" i="92" s="1"/>
  <c r="U17" i="92"/>
  <c r="V17" i="92" s="1"/>
  <c r="S17" i="92"/>
  <c r="R17" i="92"/>
  <c r="J17" i="92"/>
  <c r="I17" i="92"/>
  <c r="U16" i="92"/>
  <c r="V16" i="92" s="1"/>
  <c r="S16" i="92"/>
  <c r="R16" i="92"/>
  <c r="J16" i="92"/>
  <c r="I16" i="92"/>
  <c r="W16" i="92" s="1"/>
  <c r="U15" i="92"/>
  <c r="V15" i="92" s="1"/>
  <c r="S15" i="92"/>
  <c r="R15" i="92"/>
  <c r="J15" i="92"/>
  <c r="W15" i="92" s="1"/>
  <c r="I15" i="92"/>
  <c r="U14" i="92"/>
  <c r="V14" i="92" s="1"/>
  <c r="S14" i="92"/>
  <c r="R14" i="92"/>
  <c r="J14" i="92"/>
  <c r="I14" i="92"/>
  <c r="W14" i="92" s="1"/>
  <c r="U13" i="92"/>
  <c r="V13" i="92" s="1"/>
  <c r="S13" i="92"/>
  <c r="R13" i="92"/>
  <c r="J13" i="92"/>
  <c r="I13" i="92"/>
  <c r="U12" i="92"/>
  <c r="V12" i="92" s="1"/>
  <c r="S12" i="92"/>
  <c r="R12" i="92"/>
  <c r="J12" i="92"/>
  <c r="I12" i="92"/>
  <c r="U11" i="92"/>
  <c r="V11" i="92" s="1"/>
  <c r="S11" i="92"/>
  <c r="R11" i="92"/>
  <c r="J11" i="92"/>
  <c r="I11" i="92"/>
  <c r="U10" i="92"/>
  <c r="V10" i="92" s="1"/>
  <c r="S10" i="92"/>
  <c r="R10" i="92"/>
  <c r="J10" i="92"/>
  <c r="I10" i="92"/>
  <c r="W10" i="92" s="1"/>
  <c r="A10" i="92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U9" i="92"/>
  <c r="V9" i="92" s="1"/>
  <c r="S9" i="92"/>
  <c r="R9" i="92"/>
  <c r="J9" i="92"/>
  <c r="I9" i="92"/>
  <c r="A9" i="92"/>
  <c r="U8" i="92"/>
  <c r="S8" i="92"/>
  <c r="R8" i="92"/>
  <c r="J8" i="92"/>
  <c r="I8" i="92"/>
  <c r="Q60" i="91"/>
  <c r="P60" i="91"/>
  <c r="O60" i="91"/>
  <c r="N60" i="91"/>
  <c r="M60" i="91"/>
  <c r="L60" i="91"/>
  <c r="H60" i="91"/>
  <c r="G60" i="91"/>
  <c r="E60" i="91"/>
  <c r="D60" i="91"/>
  <c r="C60" i="91"/>
  <c r="S59" i="91"/>
  <c r="R59" i="91"/>
  <c r="J59" i="91"/>
  <c r="I59" i="91"/>
  <c r="S58" i="91"/>
  <c r="R58" i="91"/>
  <c r="J58" i="91"/>
  <c r="I58" i="91"/>
  <c r="S57" i="91"/>
  <c r="R57" i="91"/>
  <c r="J57" i="91"/>
  <c r="I57" i="91"/>
  <c r="S56" i="91"/>
  <c r="R56" i="91"/>
  <c r="J56" i="91"/>
  <c r="I56" i="91"/>
  <c r="S55" i="91"/>
  <c r="R55" i="91"/>
  <c r="J55" i="91"/>
  <c r="I55" i="91"/>
  <c r="U54" i="91"/>
  <c r="V54" i="91" s="1"/>
  <c r="S54" i="91"/>
  <c r="R54" i="91"/>
  <c r="J54" i="91"/>
  <c r="I54" i="91"/>
  <c r="U53" i="91"/>
  <c r="V53" i="91" s="1"/>
  <c r="S53" i="91"/>
  <c r="R53" i="91"/>
  <c r="J53" i="91"/>
  <c r="I53" i="91"/>
  <c r="U52" i="91"/>
  <c r="V52" i="91" s="1"/>
  <c r="S52" i="91"/>
  <c r="R52" i="91"/>
  <c r="J52" i="91"/>
  <c r="I52" i="91"/>
  <c r="W52" i="91" s="1"/>
  <c r="U51" i="91"/>
  <c r="V51" i="91" s="1"/>
  <c r="S51" i="91"/>
  <c r="R51" i="91"/>
  <c r="J51" i="91"/>
  <c r="I51" i="91"/>
  <c r="U50" i="91"/>
  <c r="V50" i="91" s="1"/>
  <c r="S50" i="91"/>
  <c r="R50" i="91"/>
  <c r="J50" i="91"/>
  <c r="I50" i="91"/>
  <c r="U49" i="91"/>
  <c r="V49" i="91" s="1"/>
  <c r="S49" i="91"/>
  <c r="R49" i="91"/>
  <c r="J49" i="91"/>
  <c r="I49" i="91"/>
  <c r="W49" i="91" s="1"/>
  <c r="U48" i="91"/>
  <c r="V48" i="91" s="1"/>
  <c r="S48" i="91"/>
  <c r="R48" i="91"/>
  <c r="J48" i="91"/>
  <c r="I48" i="91"/>
  <c r="U47" i="91"/>
  <c r="V47" i="91" s="1"/>
  <c r="S47" i="91"/>
  <c r="R47" i="91"/>
  <c r="J47" i="91"/>
  <c r="I47" i="91"/>
  <c r="U46" i="91"/>
  <c r="V46" i="91" s="1"/>
  <c r="S46" i="91"/>
  <c r="R46" i="91"/>
  <c r="J46" i="91"/>
  <c r="I46" i="91"/>
  <c r="W46" i="91" s="1"/>
  <c r="S45" i="91"/>
  <c r="R45" i="91"/>
  <c r="J45" i="91"/>
  <c r="I45" i="91"/>
  <c r="U44" i="91"/>
  <c r="V44" i="91" s="1"/>
  <c r="S44" i="91"/>
  <c r="R44" i="91"/>
  <c r="J44" i="91"/>
  <c r="I44" i="91"/>
  <c r="S43" i="91"/>
  <c r="R43" i="91"/>
  <c r="J43" i="91"/>
  <c r="I43" i="91"/>
  <c r="U42" i="91"/>
  <c r="V42" i="91" s="1"/>
  <c r="S42" i="91"/>
  <c r="R42" i="91"/>
  <c r="J42" i="91"/>
  <c r="I42" i="91"/>
  <c r="W42" i="91" s="1"/>
  <c r="U41" i="91"/>
  <c r="V41" i="91" s="1"/>
  <c r="S41" i="91"/>
  <c r="R41" i="91"/>
  <c r="J41" i="91"/>
  <c r="I41" i="91"/>
  <c r="W40" i="91"/>
  <c r="V40" i="91"/>
  <c r="U40" i="91"/>
  <c r="S40" i="91"/>
  <c r="R40" i="91"/>
  <c r="J40" i="91"/>
  <c r="I40" i="91"/>
  <c r="U39" i="91"/>
  <c r="V39" i="91" s="1"/>
  <c r="S39" i="91"/>
  <c r="R39" i="91"/>
  <c r="J39" i="91"/>
  <c r="I39" i="91"/>
  <c r="U38" i="91"/>
  <c r="V38" i="91" s="1"/>
  <c r="S38" i="91"/>
  <c r="R38" i="91"/>
  <c r="J38" i="91"/>
  <c r="I38" i="91"/>
  <c r="U37" i="91"/>
  <c r="V37" i="91" s="1"/>
  <c r="S37" i="91"/>
  <c r="R37" i="91"/>
  <c r="J37" i="91"/>
  <c r="I37" i="91"/>
  <c r="W37" i="91" s="1"/>
  <c r="W36" i="91"/>
  <c r="U36" i="91"/>
  <c r="V36" i="91" s="1"/>
  <c r="S36" i="91"/>
  <c r="R36" i="91"/>
  <c r="J36" i="91"/>
  <c r="I36" i="91"/>
  <c r="U35" i="91"/>
  <c r="V35" i="91" s="1"/>
  <c r="S35" i="91"/>
  <c r="R35" i="91"/>
  <c r="J35" i="91"/>
  <c r="I35" i="91"/>
  <c r="W35" i="91" s="1"/>
  <c r="U34" i="91"/>
  <c r="V34" i="91" s="1"/>
  <c r="S34" i="91"/>
  <c r="R34" i="91"/>
  <c r="J34" i="91"/>
  <c r="I34" i="91"/>
  <c r="W34" i="91" s="1"/>
  <c r="W33" i="91"/>
  <c r="U33" i="91"/>
  <c r="V33" i="91" s="1"/>
  <c r="S33" i="91"/>
  <c r="R33" i="91"/>
  <c r="J33" i="91"/>
  <c r="I33" i="91"/>
  <c r="U32" i="91"/>
  <c r="V32" i="91" s="1"/>
  <c r="S32" i="91"/>
  <c r="R32" i="91"/>
  <c r="J32" i="91"/>
  <c r="I32" i="91"/>
  <c r="W32" i="91" s="1"/>
  <c r="U31" i="91"/>
  <c r="V31" i="91" s="1"/>
  <c r="S31" i="91"/>
  <c r="R31" i="91"/>
  <c r="J31" i="91"/>
  <c r="I31" i="91"/>
  <c r="V30" i="91"/>
  <c r="U30" i="91"/>
  <c r="S30" i="91"/>
  <c r="R30" i="91"/>
  <c r="J30" i="91"/>
  <c r="I30" i="91"/>
  <c r="W30" i="91" s="1"/>
  <c r="U29" i="91"/>
  <c r="V29" i="91" s="1"/>
  <c r="S29" i="91"/>
  <c r="R29" i="91"/>
  <c r="J29" i="91"/>
  <c r="I29" i="91"/>
  <c r="W28" i="91"/>
  <c r="U28" i="91"/>
  <c r="V28" i="91" s="1"/>
  <c r="S28" i="91"/>
  <c r="R28" i="91"/>
  <c r="J28" i="91"/>
  <c r="I28" i="91"/>
  <c r="U27" i="91"/>
  <c r="V27" i="91" s="1"/>
  <c r="S27" i="91"/>
  <c r="R27" i="91"/>
  <c r="J27" i="91"/>
  <c r="I27" i="91"/>
  <c r="W27" i="91" s="1"/>
  <c r="BE26" i="91"/>
  <c r="U26" i="91"/>
  <c r="V26" i="91" s="1"/>
  <c r="S26" i="91"/>
  <c r="R26" i="91"/>
  <c r="J26" i="91"/>
  <c r="I26" i="91"/>
  <c r="U25" i="91"/>
  <c r="V25" i="91" s="1"/>
  <c r="S25" i="91"/>
  <c r="R25" i="91"/>
  <c r="J25" i="91"/>
  <c r="I25" i="91"/>
  <c r="U24" i="91"/>
  <c r="V24" i="91" s="1"/>
  <c r="S24" i="91"/>
  <c r="R24" i="91"/>
  <c r="J24" i="91"/>
  <c r="I24" i="91"/>
  <c r="W24" i="91" s="1"/>
  <c r="V23" i="91"/>
  <c r="U23" i="91"/>
  <c r="S23" i="91"/>
  <c r="R23" i="91"/>
  <c r="J23" i="91"/>
  <c r="I23" i="91"/>
  <c r="V22" i="91"/>
  <c r="U22" i="91"/>
  <c r="S22" i="91"/>
  <c r="R22" i="91"/>
  <c r="J22" i="91"/>
  <c r="I22" i="91"/>
  <c r="W22" i="91" s="1"/>
  <c r="U21" i="91"/>
  <c r="V21" i="91" s="1"/>
  <c r="S21" i="91"/>
  <c r="R21" i="91"/>
  <c r="J21" i="91"/>
  <c r="I21" i="91"/>
  <c r="U20" i="91"/>
  <c r="V20" i="91" s="1"/>
  <c r="S20" i="91"/>
  <c r="R20" i="91"/>
  <c r="J20" i="91"/>
  <c r="I20" i="91"/>
  <c r="W20" i="91" s="1"/>
  <c r="U19" i="91"/>
  <c r="V19" i="91" s="1"/>
  <c r="S19" i="91"/>
  <c r="R19" i="91"/>
  <c r="J19" i="91"/>
  <c r="I19" i="91"/>
  <c r="W19" i="91" s="1"/>
  <c r="V18" i="91"/>
  <c r="U18" i="91"/>
  <c r="S18" i="91"/>
  <c r="R18" i="91"/>
  <c r="J18" i="91"/>
  <c r="I18" i="91"/>
  <c r="W18" i="91" s="1"/>
  <c r="V17" i="91"/>
  <c r="U17" i="91"/>
  <c r="S17" i="91"/>
  <c r="R17" i="91"/>
  <c r="J17" i="91"/>
  <c r="I17" i="91"/>
  <c r="W17" i="91" s="1"/>
  <c r="U16" i="91"/>
  <c r="V16" i="91" s="1"/>
  <c r="S16" i="91"/>
  <c r="R16" i="91"/>
  <c r="J16" i="91"/>
  <c r="W16" i="91" s="1"/>
  <c r="I16" i="91"/>
  <c r="U15" i="91"/>
  <c r="V15" i="91" s="1"/>
  <c r="S15" i="91"/>
  <c r="R15" i="91"/>
  <c r="J15" i="91"/>
  <c r="I15" i="91"/>
  <c r="W15" i="91" s="1"/>
  <c r="U14" i="91"/>
  <c r="V14" i="91" s="1"/>
  <c r="S14" i="91"/>
  <c r="R14" i="91"/>
  <c r="J14" i="91"/>
  <c r="I14" i="91"/>
  <c r="W14" i="91" s="1"/>
  <c r="U13" i="91"/>
  <c r="V13" i="91" s="1"/>
  <c r="S13" i="91"/>
  <c r="R13" i="91"/>
  <c r="J13" i="91"/>
  <c r="I13" i="91"/>
  <c r="U12" i="91"/>
  <c r="V12" i="91" s="1"/>
  <c r="S12" i="91"/>
  <c r="R12" i="91"/>
  <c r="J12" i="91"/>
  <c r="I12" i="91"/>
  <c r="W12" i="91" s="1"/>
  <c r="V11" i="91"/>
  <c r="U11" i="91"/>
  <c r="S11" i="91"/>
  <c r="R11" i="91"/>
  <c r="J11" i="91"/>
  <c r="I11" i="91"/>
  <c r="U10" i="91"/>
  <c r="V10" i="91" s="1"/>
  <c r="S10" i="91"/>
  <c r="R10" i="91"/>
  <c r="J10" i="91"/>
  <c r="I10" i="91"/>
  <c r="W10" i="91" s="1"/>
  <c r="U9" i="91"/>
  <c r="V9" i="91" s="1"/>
  <c r="S9" i="91"/>
  <c r="R9" i="91"/>
  <c r="J9" i="91"/>
  <c r="I9" i="91"/>
  <c r="W9" i="91" s="1"/>
  <c r="A9" i="9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U8" i="91"/>
  <c r="S8" i="91"/>
  <c r="R8" i="91"/>
  <c r="J8" i="91"/>
  <c r="I8" i="91"/>
  <c r="W60" i="94" l="1"/>
  <c r="W44" i="93"/>
  <c r="W35" i="93"/>
  <c r="W26" i="93"/>
  <c r="W24" i="93"/>
  <c r="W22" i="93"/>
  <c r="W20" i="93"/>
  <c r="W18" i="93"/>
  <c r="W14" i="93"/>
  <c r="S60" i="93"/>
  <c r="W12" i="93"/>
  <c r="R60" i="93"/>
  <c r="U60" i="93"/>
  <c r="W10" i="93"/>
  <c r="I60" i="93"/>
  <c r="W47" i="92"/>
  <c r="W35" i="92"/>
  <c r="W8" i="92"/>
  <c r="W54" i="92"/>
  <c r="W17" i="92"/>
  <c r="W51" i="92"/>
  <c r="W21" i="92"/>
  <c r="W49" i="92"/>
  <c r="W12" i="92"/>
  <c r="W53" i="92"/>
  <c r="W50" i="92"/>
  <c r="W21" i="91"/>
  <c r="W29" i="91"/>
  <c r="W11" i="91"/>
  <c r="W50" i="91"/>
  <c r="W25" i="91"/>
  <c r="W47" i="91"/>
  <c r="W53" i="91"/>
  <c r="W39" i="91"/>
  <c r="W23" i="91"/>
  <c r="W31" i="91"/>
  <c r="W51" i="91"/>
  <c r="W54" i="91"/>
  <c r="W52" i="92"/>
  <c r="W48" i="92"/>
  <c r="W44" i="92"/>
  <c r="W41" i="92"/>
  <c r="J60" i="92"/>
  <c r="W38" i="92"/>
  <c r="R60" i="92"/>
  <c r="W25" i="92"/>
  <c r="W23" i="92"/>
  <c r="W13" i="92"/>
  <c r="U60" i="92"/>
  <c r="W11" i="92"/>
  <c r="W9" i="92"/>
  <c r="S60" i="92"/>
  <c r="W48" i="91"/>
  <c r="W44" i="91"/>
  <c r="W41" i="91"/>
  <c r="W38" i="91"/>
  <c r="W26" i="91"/>
  <c r="S60" i="91"/>
  <c r="U60" i="91"/>
  <c r="W13" i="91"/>
  <c r="J60" i="91"/>
  <c r="I60" i="91"/>
  <c r="R60" i="91"/>
  <c r="W8" i="91"/>
  <c r="J60" i="93"/>
  <c r="V8" i="93"/>
  <c r="V60" i="93" s="1"/>
  <c r="I60" i="92"/>
  <c r="V8" i="92"/>
  <c r="V60" i="92" s="1"/>
  <c r="V8" i="91"/>
  <c r="V60" i="91" s="1"/>
  <c r="W60" i="93" l="1"/>
  <c r="W60" i="91"/>
  <c r="W60" i="92"/>
  <c r="BE26" i="89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F60" i="76" l="1"/>
  <c r="Q60" i="76"/>
  <c r="P60" i="76"/>
  <c r="O60" i="76"/>
  <c r="N60" i="76"/>
  <c r="M60" i="76"/>
  <c r="L60" i="76"/>
  <c r="H60" i="76"/>
  <c r="G60" i="76"/>
  <c r="E60" i="76"/>
  <c r="D60" i="76"/>
  <c r="C60" i="76"/>
  <c r="S59" i="76"/>
  <c r="R59" i="76"/>
  <c r="J59" i="76"/>
  <c r="I59" i="76"/>
  <c r="S58" i="76"/>
  <c r="R58" i="76"/>
  <c r="J58" i="76"/>
  <c r="I58" i="76"/>
  <c r="S57" i="76"/>
  <c r="R57" i="76"/>
  <c r="J57" i="76"/>
  <c r="I57" i="76"/>
  <c r="S56" i="76"/>
  <c r="R56" i="76"/>
  <c r="J56" i="76"/>
  <c r="I56" i="76"/>
  <c r="S55" i="76"/>
  <c r="R55" i="76"/>
  <c r="J55" i="76"/>
  <c r="I55" i="76"/>
  <c r="S54" i="76"/>
  <c r="R54" i="76"/>
  <c r="J54" i="76"/>
  <c r="I54" i="76"/>
  <c r="S53" i="76"/>
  <c r="R53" i="76"/>
  <c r="J53" i="76"/>
  <c r="I53" i="76"/>
  <c r="S52" i="76"/>
  <c r="R52" i="76"/>
  <c r="J52" i="76"/>
  <c r="I52" i="76"/>
  <c r="S51" i="76"/>
  <c r="R51" i="76"/>
  <c r="J51" i="76"/>
  <c r="I51" i="76"/>
  <c r="S50" i="76"/>
  <c r="R50" i="76"/>
  <c r="J50" i="76"/>
  <c r="I50" i="76"/>
  <c r="S49" i="76"/>
  <c r="R49" i="76"/>
  <c r="J49" i="76"/>
  <c r="I49" i="76"/>
  <c r="S48" i="76"/>
  <c r="R48" i="76"/>
  <c r="J48" i="76"/>
  <c r="I48" i="76"/>
  <c r="S47" i="76"/>
  <c r="R47" i="76"/>
  <c r="J47" i="76"/>
  <c r="I47" i="76"/>
  <c r="S46" i="76"/>
  <c r="R46" i="76"/>
  <c r="J46" i="76"/>
  <c r="I46" i="76"/>
  <c r="S45" i="76"/>
  <c r="R45" i="76"/>
  <c r="J45" i="76"/>
  <c r="I45" i="76"/>
  <c r="S44" i="76"/>
  <c r="R44" i="76"/>
  <c r="J44" i="76"/>
  <c r="I44" i="76"/>
  <c r="S43" i="76"/>
  <c r="R43" i="76"/>
  <c r="J43" i="76"/>
  <c r="I43" i="76"/>
  <c r="S42" i="76"/>
  <c r="R42" i="76"/>
  <c r="J42" i="76"/>
  <c r="I42" i="76"/>
  <c r="S41" i="76"/>
  <c r="R41" i="76"/>
  <c r="J41" i="76"/>
  <c r="I41" i="76"/>
  <c r="S40" i="76"/>
  <c r="R40" i="76"/>
  <c r="J40" i="76"/>
  <c r="I40" i="76"/>
  <c r="S39" i="76"/>
  <c r="R39" i="76"/>
  <c r="J39" i="76"/>
  <c r="I39" i="76"/>
  <c r="S38" i="76"/>
  <c r="R38" i="76"/>
  <c r="J38" i="76"/>
  <c r="I38" i="76"/>
  <c r="S37" i="76"/>
  <c r="R37" i="76"/>
  <c r="J37" i="76"/>
  <c r="I37" i="76"/>
  <c r="S36" i="76"/>
  <c r="R36" i="76"/>
  <c r="J36" i="76"/>
  <c r="I36" i="76"/>
  <c r="S35" i="76"/>
  <c r="R35" i="76"/>
  <c r="J35" i="76"/>
  <c r="I35" i="76"/>
  <c r="S34" i="76"/>
  <c r="R34" i="76"/>
  <c r="J34" i="76"/>
  <c r="I34" i="76"/>
  <c r="S33" i="76"/>
  <c r="R33" i="76"/>
  <c r="J33" i="76"/>
  <c r="I33" i="76"/>
  <c r="S32" i="76"/>
  <c r="R32" i="76"/>
  <c r="J32" i="76"/>
  <c r="I32" i="76"/>
  <c r="S31" i="76"/>
  <c r="R31" i="76"/>
  <c r="J31" i="76"/>
  <c r="I31" i="76"/>
  <c r="S30" i="76"/>
  <c r="R30" i="76"/>
  <c r="J30" i="76"/>
  <c r="I30" i="76"/>
  <c r="S29" i="76"/>
  <c r="R29" i="76"/>
  <c r="J29" i="76"/>
  <c r="I29" i="76"/>
  <c r="S28" i="76"/>
  <c r="R28" i="76"/>
  <c r="J28" i="76"/>
  <c r="I28" i="76"/>
  <c r="S27" i="76"/>
  <c r="R27" i="76"/>
  <c r="J27" i="76"/>
  <c r="I27" i="76"/>
  <c r="BC26" i="76"/>
  <c r="S26" i="76"/>
  <c r="R26" i="76"/>
  <c r="J26" i="76"/>
  <c r="I26" i="76"/>
  <c r="S25" i="76"/>
  <c r="R25" i="76"/>
  <c r="J25" i="76"/>
  <c r="I25" i="76"/>
  <c r="S24" i="76"/>
  <c r="R24" i="76"/>
  <c r="J24" i="76"/>
  <c r="I24" i="76"/>
  <c r="S23" i="76"/>
  <c r="R23" i="76"/>
  <c r="J23" i="76"/>
  <c r="I23" i="76"/>
  <c r="S22" i="76"/>
  <c r="R22" i="76"/>
  <c r="J22" i="76"/>
  <c r="I22" i="76"/>
  <c r="S21" i="76"/>
  <c r="R21" i="76"/>
  <c r="J21" i="76"/>
  <c r="I21" i="76"/>
  <c r="S20" i="76"/>
  <c r="R20" i="76"/>
  <c r="J20" i="76"/>
  <c r="I20" i="76"/>
  <c r="S19" i="76"/>
  <c r="R19" i="76"/>
  <c r="J19" i="76"/>
  <c r="I19" i="76"/>
  <c r="S18" i="76"/>
  <c r="R18" i="76"/>
  <c r="J18" i="76"/>
  <c r="I18" i="76"/>
  <c r="S17" i="76"/>
  <c r="R17" i="76"/>
  <c r="J17" i="76"/>
  <c r="I17" i="76"/>
  <c r="S16" i="76"/>
  <c r="R16" i="76"/>
  <c r="J16" i="76"/>
  <c r="I16" i="76"/>
  <c r="S15" i="76"/>
  <c r="R15" i="76"/>
  <c r="J15" i="76"/>
  <c r="I15" i="76"/>
  <c r="S14" i="76"/>
  <c r="R14" i="76"/>
  <c r="J14" i="76"/>
  <c r="I14" i="76"/>
  <c r="S13" i="76"/>
  <c r="R13" i="76"/>
  <c r="J13" i="76"/>
  <c r="I13" i="76"/>
  <c r="S12" i="76"/>
  <c r="R12" i="76"/>
  <c r="J12" i="76"/>
  <c r="I12" i="76"/>
  <c r="S11" i="76"/>
  <c r="S60" i="76" s="1"/>
  <c r="R11" i="76"/>
  <c r="J11" i="76"/>
  <c r="I11" i="76"/>
  <c r="S10" i="76"/>
  <c r="R10" i="76"/>
  <c r="J10" i="76"/>
  <c r="I10" i="76"/>
  <c r="S9" i="76"/>
  <c r="R9" i="76"/>
  <c r="J9" i="76"/>
  <c r="I9" i="76"/>
  <c r="A9" i="76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S8" i="76"/>
  <c r="R8" i="76"/>
  <c r="R60" i="76" s="1"/>
  <c r="J8" i="76"/>
  <c r="J60" i="76" s="1"/>
  <c r="I8" i="76"/>
  <c r="I60" i="7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4932A53C-A4EE-4067-8491-75517AC05C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A259C58-A20D-40B5-9242-339189C8FF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13BC1B1-0382-4DBC-9B0B-D75D33E789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96C3D1C-6F29-40F3-90F9-F1468E0676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BD93DB1-FEA0-4ABE-89FF-40C35CFFB4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4E32A6E-C9D2-48CE-9A6B-F8B6674297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52E2C869-51F4-4DBF-BB71-17295BD175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75858918-B481-4BD9-A822-F5D2C09D88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7D03BFD-72B1-4ACC-BFCA-402F000C3F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51370760-45DE-4990-B7D9-B05FAC41B2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363A9AF1-D2D1-488B-B2AA-68DBFE71FB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95E873B-B4FE-406E-8636-AC1C79D801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7B92613-E2CE-4532-AFA4-6FD99B843C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9F0AF7B-2601-4B51-AE82-914C50742E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BAB533F9-3325-4863-9A2B-0F5B6FD6FF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286417F-C385-440F-A262-9AB5207CB9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2502BB1-4DEB-4776-890B-153599080D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F5568FC-08E9-4837-9C64-2FDB0E9F27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1329A7A-5050-4421-942D-F5FEAF9A57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EB2B452-E134-4101-B9AA-EEF74B8A83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DCCBA941-3F55-489C-B3C4-1FCAB656EA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A7E7E3D-DE30-42E5-B00C-DE280631C9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DC7499D7-1B48-423A-A9D8-818F529489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2B494F3-E934-4A9A-A447-22DB39C8B4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170C058B-8350-4471-A978-92F601916B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96D918D7-52AF-4E0C-A0C0-4012872DBF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5196823-A26C-4DB3-B0EC-6F083149CD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A537B39-7426-40BC-AB01-961FFD7B7AC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0B5B564E-A454-4368-85DF-24B6A10268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6EEC8D02-40A4-48C9-9A39-4FB511AE4C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1B722A75-C2E9-4B04-96FB-A4A5FD41FF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7DF64EB-0D92-46F5-A429-0FA522B430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51D88DA-2D36-4523-B8B1-DD76CE5E64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29E93FB-D8E8-4DD3-90E0-2F936A44AA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BB26612-BFCD-46A8-9735-F39EA4B108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D471CBD0-ABFE-4D27-A880-78E662EF74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642556F-1505-4AB0-A3D3-B21E498881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817088D-110E-43ED-83BA-6C14892072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603662B-90C8-48BA-BB32-570F2E6FF6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FBA208B-667A-4DFE-9BEB-9852BCB649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C8731DAC-278B-4ECB-8803-58888DD927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E3D6CE63-E136-4BE4-890E-2BF1B8C99F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2D224DA-940C-4862-99DE-1DFE26366B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81FEE1C-4AC9-4C2B-8F1C-97C93A6F52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235EA12-54F7-41A2-A362-4430967AD2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387BDF1-5FA4-45C1-94DF-EFC576E50C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D051C4C4-795B-491C-BBDA-1C562E0D3C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9F84387-98A1-4A60-A18C-F1306BE9EA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CC18E23-3D77-4DC5-A5D8-90BF6624E9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3B7FD2E-2D80-4D38-8B0D-3EC8E7DA74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A63857AD-A53C-4E51-A7EC-D51CF6CBEC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0CCB658-4B40-424D-993B-BA6D18C73D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0801EAE7-426D-4BD5-ACF4-572F8D4A21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8A1E9F6-8428-485B-BF3F-7B9F4740C2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5F799CAF-2B67-4EB2-828F-404DC48047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098893D2-0CAD-411B-991E-6CF1CA4A11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B41A8F9E-C86D-40AD-AEF9-720E849F21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353E956-1AD6-4767-917E-3D605B3C32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F6561053-6715-4689-B62C-DC3A3ABACC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EF342051-EBDA-4D20-8395-A9F970E681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360C286-8937-43F1-BCB3-2F4FB07607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31BDC443-C14B-409A-A20F-88592E300E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B616A17-14A3-4A83-8149-0645DF9729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BA90273-9E44-4400-B5AE-2CF1846DEF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CCBE107-AD09-4820-B7C8-26D9CCB80E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A551E92-23BC-4A86-B1D8-E000023D5F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<sst xmlns="http://schemas.openxmlformats.org/spreadsheetml/2006/main" count="2541" uniqueCount="82">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</sst>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167" fontId="3" fillId="0" borderId="32" xfId="3" applyNumberFormat="1" applyFont="1" applyFill="1" applyBorder="1" applyAlignment="1">
      <alignment vertical="center"/>
    </xf>
    <xf numFmtId="167" fontId="3" fillId="0" borderId="34" xfId="3" applyNumberFormat="1" applyFont="1" applyBorder="1" applyAlignment="1">
      <alignment vertical="center"/>
    </xf>
    <xf numFmtId="167" fontId="3" fillId="0" borderId="33" xfId="3" applyNumberFormat="1" applyFont="1" applyFill="1" applyBorder="1" applyAlignment="1">
      <alignment vertical="center"/>
    </xf>
    <xf numFmtId="167" fontId="2" fillId="0" borderId="34" xfId="3" applyNumberFormat="1" applyFont="1" applyBorder="1" applyAlignment="1">
      <alignment vertical="center"/>
    </xf>
    <xf numFmtId="167" fontId="3" fillId="0" borderId="37" xfId="3" applyNumberFormat="1" applyFont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44" xfId="3" applyNumberFormat="1" applyFont="1" applyFill="1" applyBorder="1" applyAlignment="1">
      <alignment vertical="center"/>
    </xf>
    <xf numFmtId="167" fontId="2" fillId="0" borderId="47" xfId="3" applyNumberFormat="1" applyFont="1" applyFill="1" applyBorder="1" applyAlignment="1">
      <alignment vertical="center"/>
    </xf>
    <xf numFmtId="0" fontId="3" fillId="0" borderId="39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52" xfId="3" applyNumberFormat="1" applyFont="1" applyFill="1" applyBorder="1" applyAlignment="1">
      <alignment vertical="center"/>
    </xf>
    <xf numFmtId="167" fontId="2" fillId="0" borderId="52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53" xfId="1" applyFont="1" applyBorder="1" applyAlignment="1">
      <alignment horizontal="center" vertical="center"/>
    </xf>
    <xf numFmtId="167" fontId="2" fillId="0" borderId="42" xfId="3" applyNumberFormat="1" applyFont="1" applyBorder="1" applyAlignment="1">
      <alignment vertical="center"/>
    </xf>
    <xf numFmtId="167" fontId="2" fillId="2" borderId="55" xfId="3" applyNumberFormat="1" applyFont="1" applyFill="1" applyBorder="1" applyAlignment="1">
      <alignment vertical="center"/>
    </xf>
    <xf numFmtId="167" fontId="2" fillId="0" borderId="55" xfId="3" applyNumberFormat="1" applyFont="1" applyBorder="1" applyAlignment="1">
      <alignment vertical="center"/>
    </xf>
    <xf numFmtId="167" fontId="2" fillId="0" borderId="43" xfId="3" applyNumberFormat="1" applyFont="1" applyBorder="1" applyAlignment="1">
      <alignment vertical="center"/>
    </xf>
    <xf numFmtId="0" fontId="2" fillId="0" borderId="56" xfId="1" applyFont="1" applyBorder="1" applyAlignment="1">
      <alignment horizontal="center" vertical="center"/>
    </xf>
    <xf numFmtId="0" fontId="5" fillId="0" borderId="51" xfId="1" applyFont="1" applyBorder="1" applyAlignment="1">
      <alignment horizontal="center" vertical="center"/>
    </xf>
    <xf numFmtId="3" fontId="3" fillId="0" borderId="44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43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5" xfId="3" applyNumberFormat="1" applyFont="1" applyFill="1" applyBorder="1" applyAlignment="1">
      <alignment vertical="center"/>
    </xf>
    <xf numFmtId="3" fontId="3" fillId="0" borderId="31" xfId="3" applyNumberFormat="1" applyFont="1" applyFill="1" applyBorder="1" applyAlignment="1">
      <alignment vertical="center"/>
    </xf>
    <xf numFmtId="3" fontId="3" fillId="0" borderId="46" xfId="3" applyNumberFormat="1" applyFont="1" applyFill="1" applyBorder="1" applyAlignment="1">
      <alignment vertical="center"/>
    </xf>
    <xf numFmtId="3" fontId="3" fillId="0" borderId="57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0" borderId="60" xfId="3" applyNumberFormat="1" applyFont="1" applyFill="1" applyBorder="1" applyAlignment="1">
      <alignment vertical="center"/>
    </xf>
    <xf numFmtId="167" fontId="3" fillId="0" borderId="58" xfId="3" applyNumberFormat="1" applyFont="1" applyFill="1" applyBorder="1" applyAlignment="1">
      <alignment vertical="center"/>
    </xf>
    <xf numFmtId="0" fontId="5" fillId="0" borderId="59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3" fontId="2" fillId="0" borderId="47" xfId="3" applyNumberFormat="1" applyFont="1" applyFill="1" applyBorder="1" applyAlignment="1">
      <alignment vertical="center"/>
    </xf>
    <xf numFmtId="3" fontId="3" fillId="0" borderId="61" xfId="3" applyNumberFormat="1" applyFont="1" applyFill="1" applyBorder="1" applyAlignment="1">
      <alignment vertical="center"/>
    </xf>
    <xf numFmtId="0" fontId="2" fillId="0" borderId="58" xfId="1" applyFont="1" applyBorder="1" applyAlignment="1">
      <alignment horizontal="center" vertical="center" wrapText="1"/>
    </xf>
    <xf numFmtId="167" fontId="3" fillId="0" borderId="61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167" fontId="2" fillId="0" borderId="50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62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3" fontId="3" fillId="0" borderId="65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70" xfId="3" applyNumberFormat="1" applyFont="1" applyFill="1" applyBorder="1" applyAlignment="1">
      <alignment vertical="center"/>
    </xf>
    <xf numFmtId="3" fontId="3" fillId="0" borderId="69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8" xfId="3" applyNumberFormat="1" applyFont="1" applyFill="1" applyBorder="1" applyAlignment="1">
      <alignment vertical="center"/>
    </xf>
    <xf numFmtId="0" fontId="3" fillId="0" borderId="73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40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40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8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59" xfId="3" applyNumberFormat="1" applyFont="1" applyFill="1" applyBorder="1" applyAlignment="1">
      <alignment vertical="center"/>
    </xf>
    <xf numFmtId="3" fontId="3" fillId="3" borderId="60" xfId="3" applyNumberFormat="1" applyFont="1" applyFill="1" applyBorder="1" applyAlignment="1">
      <alignment vertical="center"/>
    </xf>
    <xf numFmtId="167" fontId="3" fillId="3" borderId="44" xfId="3" applyNumberFormat="1" applyFont="1" applyFill="1" applyBorder="1" applyAlignment="1">
      <alignment vertical="center"/>
    </xf>
    <xf numFmtId="3" fontId="3" fillId="3" borderId="44" xfId="3" applyNumberFormat="1" applyFont="1" applyFill="1" applyBorder="1" applyAlignment="1">
      <alignment vertical="center"/>
    </xf>
    <xf numFmtId="3" fontId="3" fillId="3" borderId="35" xfId="3" applyNumberFormat="1" applyFont="1" applyFill="1" applyBorder="1" applyAlignment="1">
      <alignment vertical="center"/>
    </xf>
    <xf numFmtId="3" fontId="3" fillId="3" borderId="54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6" xfId="3" applyNumberFormat="1" applyFont="1" applyFill="1" applyBorder="1" applyAlignment="1">
      <alignment vertical="center"/>
    </xf>
    <xf numFmtId="3" fontId="3" fillId="4" borderId="67" xfId="3" applyNumberFormat="1" applyFont="1" applyFill="1" applyBorder="1" applyAlignment="1">
      <alignment vertical="center"/>
    </xf>
    <xf numFmtId="3" fontId="3" fillId="4" borderId="72" xfId="3" applyNumberFormat="1" applyFont="1" applyFill="1" applyBorder="1" applyAlignment="1">
      <alignment vertical="center"/>
    </xf>
    <xf numFmtId="3" fontId="3" fillId="4" borderId="71" xfId="3" applyNumberFormat="1" applyFont="1" applyFill="1" applyBorder="1" applyAlignment="1">
      <alignment vertical="center"/>
    </xf>
    <xf numFmtId="167" fontId="3" fillId="3" borderId="48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6" xfId="3" applyNumberFormat="1" applyFont="1" applyFill="1" applyBorder="1" applyAlignment="1">
      <alignment vertical="center"/>
    </xf>
    <xf numFmtId="167" fontId="3" fillId="3" borderId="68" xfId="3" applyNumberFormat="1" applyFont="1" applyFill="1" applyBorder="1" applyAlignment="1">
      <alignment vertical="center"/>
    </xf>
    <xf numFmtId="167" fontId="3" fillId="3" borderId="34" xfId="3" applyNumberFormat="1" applyFont="1" applyFill="1" applyBorder="1" applyAlignment="1">
      <alignment vertical="center"/>
    </xf>
    <xf numFmtId="167" fontId="3" fillId="3" borderId="62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74" xfId="1" applyFont="1" applyBorder="1" applyAlignment="1">
      <alignment vertical="center"/>
    </xf>
    <xf numFmtId="3" fontId="3" fillId="0" borderId="54" xfId="3" applyNumberFormat="1" applyFont="1" applyFill="1" applyBorder="1" applyAlignment="1">
      <alignment vertical="center"/>
    </xf>
    <xf numFmtId="3" fontId="3" fillId="0" borderId="33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3" fontId="3" fillId="0" borderId="35" xfId="3" applyNumberFormat="1" applyFont="1" applyFill="1" applyBorder="1" applyAlignment="1">
      <alignment vertical="center"/>
    </xf>
    <xf numFmtId="3" fontId="3" fillId="4" borderId="76" xfId="3" applyNumberFormat="1" applyFont="1" applyFill="1" applyBorder="1" applyAlignment="1">
      <alignment vertical="center"/>
    </xf>
    <xf numFmtId="0" fontId="2" fillId="0" borderId="77" xfId="1" applyFont="1" applyBorder="1" applyAlignment="1">
      <alignment vertical="center"/>
    </xf>
    <xf numFmtId="3" fontId="3" fillId="3" borderId="77" xfId="3" applyNumberFormat="1" applyFont="1" applyFill="1" applyBorder="1" applyAlignment="1">
      <alignment vertical="center"/>
    </xf>
    <xf numFmtId="3" fontId="3" fillId="3" borderId="78" xfId="3" applyNumberFormat="1" applyFont="1" applyFill="1" applyBorder="1" applyAlignment="1">
      <alignment vertical="center"/>
    </xf>
    <xf numFmtId="3" fontId="3" fillId="3" borderId="79" xfId="3" applyNumberFormat="1" applyFont="1" applyFill="1" applyBorder="1" applyAlignment="1">
      <alignment vertical="center"/>
    </xf>
    <xf numFmtId="3" fontId="3" fillId="0" borderId="79" xfId="3" applyNumberFormat="1" applyFont="1" applyFill="1" applyBorder="1" applyAlignment="1">
      <alignment vertical="center"/>
    </xf>
    <xf numFmtId="3" fontId="3" fillId="0" borderId="80" xfId="3" applyNumberFormat="1" applyFont="1" applyFill="1" applyBorder="1" applyAlignment="1">
      <alignment vertical="center"/>
    </xf>
    <xf numFmtId="3" fontId="3" fillId="0" borderId="81" xfId="3" applyNumberFormat="1" applyFont="1" applyFill="1" applyBorder="1" applyAlignment="1">
      <alignment vertical="center"/>
    </xf>
    <xf numFmtId="3" fontId="3" fillId="0" borderId="82" xfId="3" applyNumberFormat="1" applyFont="1" applyFill="1" applyBorder="1" applyAlignment="1">
      <alignment vertical="center"/>
    </xf>
    <xf numFmtId="167" fontId="3" fillId="0" borderId="83" xfId="3" applyNumberFormat="1" applyFont="1" applyBorder="1" applyAlignment="1">
      <alignment vertical="center"/>
    </xf>
    <xf numFmtId="3" fontId="3" fillId="3" borderId="84" xfId="3" applyNumberFormat="1" applyFont="1" applyFill="1" applyBorder="1" applyAlignment="1">
      <alignment vertical="center"/>
    </xf>
    <xf numFmtId="3" fontId="3" fillId="3" borderId="81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4" borderId="86" xfId="3" applyNumberFormat="1" applyFont="1" applyFill="1" applyBorder="1" applyAlignment="1">
      <alignment vertical="center"/>
    </xf>
    <xf numFmtId="167" fontId="3" fillId="3" borderId="77" xfId="3" applyNumberFormat="1" applyFont="1" applyFill="1" applyBorder="1" applyAlignment="1">
      <alignment vertical="center"/>
    </xf>
    <xf numFmtId="167" fontId="3" fillId="3" borderId="79" xfId="3" applyNumberFormat="1" applyFont="1" applyFill="1" applyBorder="1" applyAlignment="1">
      <alignment vertical="center"/>
    </xf>
    <xf numFmtId="167" fontId="3" fillId="0" borderId="82" xfId="3" applyNumberFormat="1" applyFont="1" applyFill="1" applyBorder="1" applyAlignment="1">
      <alignment vertical="center"/>
    </xf>
    <xf numFmtId="3" fontId="3" fillId="0" borderId="87" xfId="3" applyNumberFormat="1" applyFont="1" applyFill="1" applyBorder="1" applyAlignment="1">
      <alignment vertical="center"/>
    </xf>
    <xf numFmtId="0" fontId="2" fillId="0" borderId="88" xfId="1" applyFont="1" applyBorder="1" applyAlignment="1">
      <alignment vertical="center"/>
    </xf>
    <xf numFmtId="3" fontId="3" fillId="3" borderId="88" xfId="3" applyNumberFormat="1" applyFont="1" applyFill="1" applyBorder="1" applyAlignment="1">
      <alignment vertical="center"/>
    </xf>
    <xf numFmtId="3" fontId="3" fillId="3" borderId="89" xfId="3" applyNumberFormat="1" applyFont="1" applyFill="1" applyBorder="1" applyAlignment="1">
      <alignment vertical="center"/>
    </xf>
    <xf numFmtId="3" fontId="3" fillId="3" borderId="90" xfId="3" applyNumberFormat="1" applyFont="1" applyFill="1" applyBorder="1" applyAlignment="1">
      <alignment vertical="center"/>
    </xf>
    <xf numFmtId="3" fontId="3" fillId="0" borderId="90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3" fontId="3" fillId="0" borderId="92" xfId="3" applyNumberFormat="1" applyFont="1" applyFill="1" applyBorder="1" applyAlignment="1">
      <alignment vertical="center"/>
    </xf>
    <xf numFmtId="167" fontId="3" fillId="0" borderId="93" xfId="3" applyNumberFormat="1" applyFont="1" applyBorder="1" applyAlignment="1">
      <alignment vertical="center"/>
    </xf>
    <xf numFmtId="3" fontId="3" fillId="3" borderId="91" xfId="3" applyNumberFormat="1" applyFont="1" applyFill="1" applyBorder="1" applyAlignment="1">
      <alignment vertical="center"/>
    </xf>
    <xf numFmtId="3" fontId="3" fillId="0" borderId="94" xfId="3" applyNumberFormat="1" applyFont="1" applyFill="1" applyBorder="1" applyAlignment="1">
      <alignment vertical="center"/>
    </xf>
    <xf numFmtId="3" fontId="3" fillId="4" borderId="95" xfId="3" applyNumberFormat="1" applyFont="1" applyFill="1" applyBorder="1" applyAlignment="1">
      <alignment vertical="center"/>
    </xf>
    <xf numFmtId="167" fontId="3" fillId="3" borderId="88" xfId="3" applyNumberFormat="1" applyFont="1" applyFill="1" applyBorder="1" applyAlignment="1">
      <alignment vertical="center"/>
    </xf>
    <xf numFmtId="167" fontId="3" fillId="3" borderId="90" xfId="3" applyNumberFormat="1" applyFont="1" applyFill="1" applyBorder="1" applyAlignment="1">
      <alignment vertical="center"/>
    </xf>
    <xf numFmtId="167" fontId="3" fillId="3" borderId="93" xfId="3" applyNumberFormat="1" applyFont="1" applyFill="1" applyBorder="1" applyAlignment="1">
      <alignment vertical="center"/>
    </xf>
    <xf numFmtId="167" fontId="3" fillId="0" borderId="92" xfId="3" applyNumberFormat="1" applyFont="1" applyFill="1" applyBorder="1" applyAlignment="1">
      <alignment vertical="center"/>
    </xf>
    <xf numFmtId="3" fontId="3" fillId="0" borderId="96" xfId="3" applyNumberFormat="1" applyFont="1" applyFill="1" applyBorder="1" applyAlignment="1">
      <alignment vertical="center"/>
    </xf>
    <xf numFmtId="3" fontId="3" fillId="0" borderId="97" xfId="3" applyNumberFormat="1" applyFont="1" applyFill="1" applyBorder="1" applyAlignment="1">
      <alignment vertical="center"/>
    </xf>
    <xf numFmtId="3" fontId="3" fillId="4" borderId="98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3" fillId="3" borderId="30" xfId="3" applyNumberFormat="1" applyFont="1" applyFill="1" applyBorder="1" applyAlignment="1">
      <alignment vertical="center"/>
    </xf>
    <xf numFmtId="3" fontId="3" fillId="3" borderId="41" xfId="3" applyNumberFormat="1" applyFont="1" applyFill="1" applyBorder="1" applyAlignment="1">
      <alignment vertical="center"/>
    </xf>
    <xf numFmtId="3" fontId="3" fillId="3" borderId="31" xfId="3" applyNumberFormat="1" applyFont="1" applyFill="1" applyBorder="1" applyAlignment="1">
      <alignment vertical="center"/>
    </xf>
    <xf numFmtId="3" fontId="3" fillId="3" borderId="46" xfId="3" applyNumberFormat="1" applyFont="1" applyFill="1" applyBorder="1" applyAlignment="1">
      <alignment vertical="center"/>
    </xf>
    <xf numFmtId="167" fontId="3" fillId="3" borderId="3" xfId="3" applyNumberFormat="1" applyFont="1" applyFill="1" applyBorder="1" applyAlignment="1">
      <alignment vertical="center"/>
    </xf>
    <xf numFmtId="167" fontId="3" fillId="3" borderId="0" xfId="3" applyNumberFormat="1" applyFont="1" applyFill="1" applyAlignment="1">
      <alignment vertical="center"/>
    </xf>
    <xf numFmtId="3" fontId="3" fillId="3" borderId="3" xfId="3" applyNumberFormat="1" applyFont="1" applyFill="1" applyBorder="1" applyAlignment="1">
      <alignment vertical="center"/>
    </xf>
    <xf numFmtId="167" fontId="2" fillId="3" borderId="34" xfId="3" applyNumberFormat="1" applyFont="1" applyFill="1" applyBorder="1" applyAlignment="1">
      <alignment vertical="center"/>
    </xf>
    <xf numFmtId="167" fontId="2" fillId="3" borderId="0" xfId="3" applyNumberFormat="1" applyFont="1" applyFill="1" applyAlignment="1">
      <alignment vertical="center"/>
    </xf>
    <xf numFmtId="167" fontId="3" fillId="3" borderId="37" xfId="3" applyNumberFormat="1" applyFont="1" applyFill="1" applyBorder="1" applyAlignment="1">
      <alignment vertical="center"/>
    </xf>
    <xf numFmtId="167" fontId="3" fillId="3" borderId="30" xfId="3" applyNumberFormat="1" applyFont="1" applyFill="1" applyBorder="1" applyAlignment="1">
      <alignment vertical="center"/>
    </xf>
    <xf numFmtId="0" fontId="3" fillId="0" borderId="0" xfId="1" applyFont="1" applyBorder="1" applyAlignment="1">
      <alignment vertical="center"/>
    </xf>
    <xf numFmtId="167" fontId="2" fillId="5" borderId="50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I9" sqref="I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/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115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/>
      <c r="J8" s="80"/>
      <c r="K8" s="41"/>
      <c r="L8" s="121"/>
      <c r="M8" s="121"/>
      <c r="N8" s="121"/>
      <c r="O8" s="121"/>
      <c r="P8" s="121"/>
      <c r="Q8" s="129"/>
      <c r="R8" s="92"/>
      <c r="S8" s="133"/>
      <c r="T8" s="41"/>
      <c r="U8" s="116"/>
      <c r="V8" s="139"/>
      <c r="W8" s="138"/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0" t="s">
        <v>49</v>
      </c>
      <c r="C9" s="122"/>
      <c r="D9" s="123"/>
      <c r="E9" s="124"/>
      <c r="F9" s="124"/>
      <c r="G9" s="81"/>
      <c r="H9" s="82"/>
      <c r="I9" s="81"/>
      <c r="J9" s="103"/>
      <c r="K9" s="53"/>
      <c r="L9" s="130"/>
      <c r="M9" s="130"/>
      <c r="N9" s="130"/>
      <c r="O9" s="130"/>
      <c r="P9" s="130"/>
      <c r="Q9" s="131"/>
      <c r="R9" s="107"/>
      <c r="S9" s="134"/>
      <c r="T9" s="53"/>
      <c r="U9" s="140"/>
      <c r="V9" s="141"/>
      <c r="W9" s="142"/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19"/>
      <c r="D10" s="120"/>
      <c r="E10" s="121"/>
      <c r="F10" s="121"/>
      <c r="G10" s="79"/>
      <c r="H10" s="76"/>
      <c r="I10" s="76"/>
      <c r="J10" s="104"/>
      <c r="K10" s="41"/>
      <c r="L10" s="121"/>
      <c r="M10" s="121"/>
      <c r="N10" s="121"/>
      <c r="O10" s="121"/>
      <c r="P10" s="121"/>
      <c r="Q10" s="129"/>
      <c r="R10" s="108"/>
      <c r="S10" s="135"/>
      <c r="T10" s="41"/>
      <c r="U10" s="116"/>
      <c r="V10" s="143"/>
      <c r="W10" s="138"/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19"/>
      <c r="D11" s="120"/>
      <c r="E11" s="121"/>
      <c r="F11" s="121"/>
      <c r="G11" s="79"/>
      <c r="H11" s="76"/>
      <c r="I11" s="76"/>
      <c r="J11" s="80"/>
      <c r="K11" s="41"/>
      <c r="L11" s="121"/>
      <c r="M11" s="121"/>
      <c r="N11" s="121"/>
      <c r="O11" s="121"/>
      <c r="P11" s="121"/>
      <c r="Q11" s="129"/>
      <c r="R11" s="92"/>
      <c r="S11" s="133"/>
      <c r="T11" s="41"/>
      <c r="U11" s="116"/>
      <c r="V11" s="139"/>
      <c r="W11" s="138"/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19"/>
      <c r="D12" s="120"/>
      <c r="E12" s="121"/>
      <c r="F12" s="121"/>
      <c r="G12" s="79"/>
      <c r="H12" s="76"/>
      <c r="I12" s="76"/>
      <c r="J12" s="80"/>
      <c r="K12" s="41"/>
      <c r="L12" s="121"/>
      <c r="M12" s="121"/>
      <c r="N12" s="121"/>
      <c r="O12" s="121"/>
      <c r="P12" s="121"/>
      <c r="Q12" s="129"/>
      <c r="R12" s="92"/>
      <c r="S12" s="133"/>
      <c r="T12" s="41"/>
      <c r="U12" s="116"/>
      <c r="V12" s="139"/>
      <c r="W12" s="138"/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0" t="s">
        <v>44</v>
      </c>
      <c r="C13" s="122"/>
      <c r="D13" s="123"/>
      <c r="E13" s="124"/>
      <c r="F13" s="124"/>
      <c r="G13" s="81"/>
      <c r="H13" s="82"/>
      <c r="I13" s="85"/>
      <c r="J13" s="103"/>
      <c r="K13" s="55"/>
      <c r="L13" s="130"/>
      <c r="M13" s="130"/>
      <c r="N13" s="130"/>
      <c r="O13" s="130"/>
      <c r="P13" s="130"/>
      <c r="Q13" s="131"/>
      <c r="R13" s="106"/>
      <c r="S13" s="134"/>
      <c r="T13" s="55"/>
      <c r="U13" s="140"/>
      <c r="V13" s="144"/>
      <c r="W13" s="142"/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19"/>
      <c r="D14" s="120"/>
      <c r="E14" s="121"/>
      <c r="F14" s="121"/>
      <c r="G14" s="79"/>
      <c r="H14" s="76"/>
      <c r="I14" s="102"/>
      <c r="J14" s="104"/>
      <c r="K14" s="41"/>
      <c r="L14" s="121"/>
      <c r="M14" s="121"/>
      <c r="N14" s="121"/>
      <c r="O14" s="121"/>
      <c r="P14" s="121"/>
      <c r="Q14" s="129"/>
      <c r="R14" s="105"/>
      <c r="S14" s="135"/>
      <c r="T14" s="41"/>
      <c r="U14" s="116"/>
      <c r="V14" s="118"/>
      <c r="W14" s="138"/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19"/>
      <c r="D15" s="120"/>
      <c r="E15" s="121"/>
      <c r="F15" s="121"/>
      <c r="G15" s="79"/>
      <c r="H15" s="76"/>
      <c r="I15" s="76"/>
      <c r="J15" s="80"/>
      <c r="K15" s="41"/>
      <c r="L15" s="121"/>
      <c r="M15" s="121"/>
      <c r="N15" s="121"/>
      <c r="O15" s="121"/>
      <c r="P15" s="121"/>
      <c r="Q15" s="129"/>
      <c r="R15" s="92"/>
      <c r="S15" s="133"/>
      <c r="T15" s="41"/>
      <c r="U15" s="116"/>
      <c r="V15" s="139"/>
      <c r="W15" s="138"/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19"/>
      <c r="D16" s="120"/>
      <c r="E16" s="121"/>
      <c r="F16" s="121"/>
      <c r="G16" s="79"/>
      <c r="H16" s="76"/>
      <c r="I16" s="76"/>
      <c r="J16" s="80"/>
      <c r="K16" s="41"/>
      <c r="L16" s="121"/>
      <c r="M16" s="121"/>
      <c r="N16" s="121"/>
      <c r="O16" s="121"/>
      <c r="P16" s="121"/>
      <c r="Q16" s="129"/>
      <c r="R16" s="92"/>
      <c r="S16" s="133"/>
      <c r="T16" s="41"/>
      <c r="U16" s="116"/>
      <c r="V16" s="139"/>
      <c r="W16" s="138"/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19"/>
      <c r="D17" s="120"/>
      <c r="E17" s="121"/>
      <c r="F17" s="121"/>
      <c r="G17" s="79"/>
      <c r="H17" s="76"/>
      <c r="I17" s="76"/>
      <c r="J17" s="80"/>
      <c r="K17" s="41"/>
      <c r="L17" s="121"/>
      <c r="M17" s="121"/>
      <c r="N17" s="121"/>
      <c r="O17" s="121"/>
      <c r="P17" s="121"/>
      <c r="Q17" s="129"/>
      <c r="R17" s="92"/>
      <c r="S17" s="133"/>
      <c r="T17" s="41"/>
      <c r="U17" s="116"/>
      <c r="V17" s="139"/>
      <c r="W17" s="138"/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19"/>
      <c r="D18" s="120"/>
      <c r="E18" s="121"/>
      <c r="F18" s="121"/>
      <c r="G18" s="79"/>
      <c r="H18" s="76"/>
      <c r="I18" s="76"/>
      <c r="J18" s="80"/>
      <c r="K18" s="41"/>
      <c r="L18" s="121"/>
      <c r="M18" s="121"/>
      <c r="N18" s="121"/>
      <c r="O18" s="121"/>
      <c r="P18" s="121"/>
      <c r="Q18" s="129"/>
      <c r="R18" s="92"/>
      <c r="S18" s="133"/>
      <c r="T18" s="41"/>
      <c r="U18" s="116"/>
      <c r="V18" s="139"/>
      <c r="W18" s="138"/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19"/>
      <c r="D19" s="120"/>
      <c r="E19" s="121"/>
      <c r="F19" s="121"/>
      <c r="G19" s="79"/>
      <c r="H19" s="76"/>
      <c r="I19" s="76"/>
      <c r="J19" s="80"/>
      <c r="K19" s="41"/>
      <c r="L19" s="121"/>
      <c r="M19" s="121"/>
      <c r="N19" s="121"/>
      <c r="O19" s="121"/>
      <c r="P19" s="121"/>
      <c r="Q19" s="129"/>
      <c r="R19" s="92"/>
      <c r="S19" s="133"/>
      <c r="T19" s="41"/>
      <c r="U19" s="116"/>
      <c r="V19" s="139"/>
      <c r="W19" s="138"/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19"/>
      <c r="D20" s="120"/>
      <c r="E20" s="121"/>
      <c r="F20" s="121"/>
      <c r="G20" s="79"/>
      <c r="H20" s="76"/>
      <c r="I20" s="76"/>
      <c r="J20" s="80"/>
      <c r="K20" s="41"/>
      <c r="L20" s="121"/>
      <c r="M20" s="121"/>
      <c r="N20" s="121"/>
      <c r="O20" s="121"/>
      <c r="P20" s="121"/>
      <c r="Q20" s="129"/>
      <c r="R20" s="92"/>
      <c r="S20" s="133"/>
      <c r="T20" s="41"/>
      <c r="U20" s="116"/>
      <c r="V20" s="139"/>
      <c r="W20" s="138"/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19"/>
      <c r="D21" s="120"/>
      <c r="E21" s="121"/>
      <c r="F21" s="121"/>
      <c r="G21" s="79"/>
      <c r="H21" s="76"/>
      <c r="I21" s="76"/>
      <c r="J21" s="80"/>
      <c r="K21" s="41"/>
      <c r="L21" s="121"/>
      <c r="M21" s="121"/>
      <c r="N21" s="121"/>
      <c r="O21" s="121"/>
      <c r="P21" s="121"/>
      <c r="Q21" s="129"/>
      <c r="R21" s="92"/>
      <c r="S21" s="133"/>
      <c r="T21" s="41"/>
      <c r="U21" s="116"/>
      <c r="V21" s="139"/>
      <c r="W21" s="138"/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19"/>
      <c r="D22" s="120"/>
      <c r="E22" s="121"/>
      <c r="F22" s="121"/>
      <c r="G22" s="79"/>
      <c r="H22" s="76"/>
      <c r="I22" s="76"/>
      <c r="J22" s="80"/>
      <c r="K22" s="41"/>
      <c r="L22" s="121"/>
      <c r="M22" s="121"/>
      <c r="N22" s="121"/>
      <c r="O22" s="121"/>
      <c r="P22" s="121"/>
      <c r="Q22" s="129"/>
      <c r="R22" s="92"/>
      <c r="S22" s="133"/>
      <c r="T22" s="41"/>
      <c r="U22" s="116"/>
      <c r="V22" s="139"/>
      <c r="W22" s="138"/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19"/>
      <c r="D23" s="120"/>
      <c r="E23" s="121"/>
      <c r="F23" s="121"/>
      <c r="G23" s="79"/>
      <c r="H23" s="76"/>
      <c r="I23" s="76"/>
      <c r="J23" s="80"/>
      <c r="K23" s="42"/>
      <c r="L23" s="121"/>
      <c r="M23" s="121"/>
      <c r="N23" s="121"/>
      <c r="O23" s="121"/>
      <c r="P23" s="121"/>
      <c r="Q23" s="129"/>
      <c r="R23" s="92"/>
      <c r="S23" s="133"/>
      <c r="T23" s="42"/>
      <c r="U23" s="116"/>
      <c r="V23" s="139"/>
      <c r="W23" s="138"/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19"/>
      <c r="D24" s="120"/>
      <c r="E24" s="121"/>
      <c r="F24" s="121"/>
      <c r="G24" s="79"/>
      <c r="H24" s="76"/>
      <c r="I24" s="76"/>
      <c r="J24" s="80"/>
      <c r="K24" s="42"/>
      <c r="L24" s="121"/>
      <c r="M24" s="121"/>
      <c r="N24" s="121"/>
      <c r="O24" s="121"/>
      <c r="P24" s="121"/>
      <c r="Q24" s="129"/>
      <c r="R24" s="92"/>
      <c r="S24" s="133"/>
      <c r="T24" s="42"/>
      <c r="U24" s="116"/>
      <c r="V24" s="139"/>
      <c r="W24" s="138"/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19"/>
      <c r="D25" s="120"/>
      <c r="E25" s="121"/>
      <c r="F25" s="121"/>
      <c r="G25" s="79"/>
      <c r="H25" s="76"/>
      <c r="I25" s="76"/>
      <c r="J25" s="80"/>
      <c r="K25" s="41"/>
      <c r="L25" s="121"/>
      <c r="M25" s="121"/>
      <c r="N25" s="121"/>
      <c r="O25" s="121"/>
      <c r="P25" s="121"/>
      <c r="Q25" s="129"/>
      <c r="R25" s="92"/>
      <c r="S25" s="133"/>
      <c r="T25" s="41"/>
      <c r="U25" s="116"/>
      <c r="V25" s="139"/>
      <c r="W25" s="138"/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19"/>
      <c r="D26" s="120"/>
      <c r="E26" s="121"/>
      <c r="F26" s="121"/>
      <c r="G26" s="79"/>
      <c r="H26" s="76"/>
      <c r="I26" s="76"/>
      <c r="J26" s="80"/>
      <c r="K26" s="41"/>
      <c r="L26" s="121"/>
      <c r="M26" s="121"/>
      <c r="N26" s="121"/>
      <c r="O26" s="121"/>
      <c r="P26" s="121"/>
      <c r="Q26" s="129"/>
      <c r="R26" s="92"/>
      <c r="S26" s="133"/>
      <c r="T26" s="41"/>
      <c r="U26" s="116"/>
      <c r="V26" s="139"/>
      <c r="W26" s="138"/>
      <c r="X26" s="27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19"/>
      <c r="D27" s="120"/>
      <c r="E27" s="121"/>
      <c r="F27" s="121"/>
      <c r="G27" s="79"/>
      <c r="H27" s="76"/>
      <c r="I27" s="76"/>
      <c r="J27" s="80"/>
      <c r="K27" s="42"/>
      <c r="L27" s="121"/>
      <c r="M27" s="121"/>
      <c r="N27" s="121"/>
      <c r="O27" s="121"/>
      <c r="P27" s="121"/>
      <c r="Q27" s="129"/>
      <c r="R27" s="92"/>
      <c r="S27" s="133"/>
      <c r="T27" s="42"/>
      <c r="U27" s="116"/>
      <c r="V27" s="139"/>
      <c r="W27" s="138"/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19"/>
      <c r="D28" s="120"/>
      <c r="E28" s="121"/>
      <c r="F28" s="121"/>
      <c r="G28" s="79"/>
      <c r="H28" s="76"/>
      <c r="I28" s="76"/>
      <c r="J28" s="80"/>
      <c r="K28" s="42"/>
      <c r="L28" s="121"/>
      <c r="M28" s="121"/>
      <c r="N28" s="121"/>
      <c r="O28" s="121"/>
      <c r="P28" s="121"/>
      <c r="Q28" s="129"/>
      <c r="R28" s="92"/>
      <c r="S28" s="133"/>
      <c r="T28" s="42"/>
      <c r="U28" s="116"/>
      <c r="V28" s="139"/>
      <c r="W28" s="138"/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19"/>
      <c r="D29" s="120"/>
      <c r="E29" s="121"/>
      <c r="F29" s="121"/>
      <c r="G29" s="79"/>
      <c r="H29" s="76"/>
      <c r="I29" s="76"/>
      <c r="J29" s="80"/>
      <c r="K29" s="42"/>
      <c r="L29" s="121"/>
      <c r="M29" s="121"/>
      <c r="N29" s="121"/>
      <c r="O29" s="121"/>
      <c r="P29" s="121"/>
      <c r="Q29" s="129"/>
      <c r="R29" s="92"/>
      <c r="S29" s="133"/>
      <c r="T29" s="42"/>
      <c r="U29" s="116"/>
      <c r="V29" s="139"/>
      <c r="W29" s="138"/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19"/>
      <c r="D30" s="120"/>
      <c r="E30" s="121"/>
      <c r="F30" s="121"/>
      <c r="G30" s="79"/>
      <c r="H30" s="76"/>
      <c r="I30" s="76"/>
      <c r="J30" s="80"/>
      <c r="K30" s="41"/>
      <c r="L30" s="121"/>
      <c r="M30" s="121"/>
      <c r="N30" s="121"/>
      <c r="O30" s="121"/>
      <c r="P30" s="121"/>
      <c r="Q30" s="129"/>
      <c r="R30" s="92"/>
      <c r="S30" s="133"/>
      <c r="T30" s="41"/>
      <c r="U30" s="116"/>
      <c r="V30" s="139"/>
      <c r="W30" s="138"/>
      <c r="X30" s="27"/>
    </row>
    <row r="31" spans="1:60" ht="19.5" thickBot="1" x14ac:dyDescent="0.3">
      <c r="A31" s="3">
        <f t="shared" si="0"/>
        <v>24</v>
      </c>
      <c r="B31" s="13" t="s">
        <v>29</v>
      </c>
      <c r="C31" s="119"/>
      <c r="D31" s="120"/>
      <c r="E31" s="121"/>
      <c r="F31" s="121"/>
      <c r="G31" s="79"/>
      <c r="H31" s="76"/>
      <c r="I31" s="76"/>
      <c r="J31" s="80"/>
      <c r="K31" s="41"/>
      <c r="L31" s="121"/>
      <c r="M31" s="121"/>
      <c r="N31" s="121"/>
      <c r="O31" s="121"/>
      <c r="P31" s="121"/>
      <c r="Q31" s="129"/>
      <c r="R31" s="92"/>
      <c r="S31" s="133"/>
      <c r="T31" s="41"/>
      <c r="U31" s="116"/>
      <c r="V31" s="139"/>
      <c r="W31" s="138"/>
      <c r="X31" s="27"/>
    </row>
    <row r="32" spans="1:60" ht="19.5" thickBot="1" x14ac:dyDescent="0.3">
      <c r="A32" s="3">
        <f t="shared" si="0"/>
        <v>25</v>
      </c>
      <c r="B32" s="13" t="s">
        <v>26</v>
      </c>
      <c r="C32" s="119"/>
      <c r="D32" s="120"/>
      <c r="E32" s="121"/>
      <c r="F32" s="121"/>
      <c r="G32" s="79"/>
      <c r="H32" s="76"/>
      <c r="I32" s="76"/>
      <c r="J32" s="80"/>
      <c r="K32" s="41"/>
      <c r="L32" s="121"/>
      <c r="M32" s="121"/>
      <c r="N32" s="121"/>
      <c r="O32" s="121"/>
      <c r="P32" s="121"/>
      <c r="Q32" s="129"/>
      <c r="R32" s="92"/>
      <c r="S32" s="133"/>
      <c r="T32" s="41"/>
      <c r="U32" s="116"/>
      <c r="V32" s="139"/>
      <c r="W32" s="138"/>
      <c r="X32" s="27"/>
    </row>
    <row r="33" spans="1:26" ht="19.5" thickBot="1" x14ac:dyDescent="0.3">
      <c r="A33" s="3">
        <f t="shared" si="0"/>
        <v>26</v>
      </c>
      <c r="B33" s="13" t="s">
        <v>28</v>
      </c>
      <c r="C33" s="119"/>
      <c r="D33" s="120"/>
      <c r="E33" s="121"/>
      <c r="F33" s="121"/>
      <c r="G33" s="79"/>
      <c r="H33" s="76"/>
      <c r="I33" s="76"/>
      <c r="J33" s="80"/>
      <c r="K33" s="41"/>
      <c r="L33" s="121"/>
      <c r="M33" s="121"/>
      <c r="N33" s="121"/>
      <c r="O33" s="121"/>
      <c r="P33" s="121"/>
      <c r="Q33" s="129"/>
      <c r="R33" s="92"/>
      <c r="S33" s="133"/>
      <c r="T33" s="41"/>
      <c r="U33" s="116"/>
      <c r="V33" s="139"/>
      <c r="W33" s="138"/>
      <c r="X33" s="27"/>
    </row>
    <row r="34" spans="1:26" ht="19.5" thickBot="1" x14ac:dyDescent="0.3">
      <c r="A34" s="3">
        <f t="shared" si="0"/>
        <v>27</v>
      </c>
      <c r="B34" s="13" t="s">
        <v>30</v>
      </c>
      <c r="C34" s="119"/>
      <c r="D34" s="120"/>
      <c r="E34" s="121"/>
      <c r="F34" s="121"/>
      <c r="G34" s="79"/>
      <c r="H34" s="76"/>
      <c r="I34" s="76"/>
      <c r="J34" s="80"/>
      <c r="K34" s="41"/>
      <c r="L34" s="121"/>
      <c r="M34" s="121"/>
      <c r="N34" s="121"/>
      <c r="O34" s="121"/>
      <c r="P34" s="121"/>
      <c r="Q34" s="129"/>
      <c r="R34" s="92"/>
      <c r="S34" s="133"/>
      <c r="T34" s="41"/>
      <c r="U34" s="116"/>
      <c r="V34" s="139"/>
      <c r="W34" s="138"/>
      <c r="X34" s="27"/>
    </row>
    <row r="35" spans="1:26" ht="19.5" thickBot="1" x14ac:dyDescent="0.3">
      <c r="A35" s="3">
        <f t="shared" si="0"/>
        <v>28</v>
      </c>
      <c r="B35" s="13" t="s">
        <v>31</v>
      </c>
      <c r="C35" s="119"/>
      <c r="D35" s="120"/>
      <c r="E35" s="121"/>
      <c r="F35" s="121"/>
      <c r="G35" s="79"/>
      <c r="H35" s="76"/>
      <c r="I35" s="76"/>
      <c r="J35" s="80"/>
      <c r="K35" s="41"/>
      <c r="L35" s="121"/>
      <c r="M35" s="121"/>
      <c r="N35" s="121"/>
      <c r="O35" s="121"/>
      <c r="P35" s="121"/>
      <c r="Q35" s="129"/>
      <c r="R35" s="92"/>
      <c r="S35" s="133"/>
      <c r="T35" s="41"/>
      <c r="U35" s="116"/>
      <c r="V35" s="139"/>
      <c r="W35" s="138"/>
      <c r="X35" s="27"/>
    </row>
    <row r="36" spans="1:26" ht="18.75" hidden="1" customHeight="1" x14ac:dyDescent="0.3">
      <c r="A36" s="3">
        <f t="shared" si="0"/>
        <v>29</v>
      </c>
      <c r="B36" s="13" t="s">
        <v>39</v>
      </c>
      <c r="C36" s="119"/>
      <c r="D36" s="120"/>
      <c r="E36" s="121"/>
      <c r="F36" s="121"/>
      <c r="G36" s="79"/>
      <c r="H36" s="76"/>
      <c r="I36" s="76"/>
      <c r="J36" s="80"/>
      <c r="K36" s="41"/>
      <c r="L36" s="121"/>
      <c r="M36" s="121"/>
      <c r="N36" s="121"/>
      <c r="O36" s="121"/>
      <c r="P36" s="121"/>
      <c r="Q36" s="129"/>
      <c r="R36" s="92"/>
      <c r="S36" s="133"/>
      <c r="T36" s="41"/>
      <c r="U36" s="116"/>
      <c r="V36" s="139"/>
      <c r="W36" s="138"/>
      <c r="X36" s="27"/>
    </row>
    <row r="37" spans="1:26" ht="18.75" customHeight="1" thickBot="1" x14ac:dyDescent="0.3">
      <c r="A37" s="3">
        <f t="shared" si="0"/>
        <v>30</v>
      </c>
      <c r="B37" s="13" t="s">
        <v>32</v>
      </c>
      <c r="C37" s="119"/>
      <c r="D37" s="120"/>
      <c r="E37" s="121"/>
      <c r="F37" s="121"/>
      <c r="G37" s="79"/>
      <c r="H37" s="76"/>
      <c r="I37" s="76"/>
      <c r="J37" s="80"/>
      <c r="K37" s="41"/>
      <c r="L37" s="121"/>
      <c r="M37" s="121"/>
      <c r="N37" s="121"/>
      <c r="O37" s="121"/>
      <c r="P37" s="121"/>
      <c r="Q37" s="129"/>
      <c r="R37" s="92"/>
      <c r="S37" s="133"/>
      <c r="T37" s="41"/>
      <c r="U37" s="116"/>
      <c r="V37" s="139"/>
      <c r="W37" s="138"/>
      <c r="X37" s="27"/>
    </row>
    <row r="38" spans="1:26" ht="19.5" thickBot="1" x14ac:dyDescent="0.3">
      <c r="A38" s="3">
        <f t="shared" si="0"/>
        <v>31</v>
      </c>
      <c r="B38" s="147" t="s">
        <v>33</v>
      </c>
      <c r="C38" s="122"/>
      <c r="D38" s="123"/>
      <c r="E38" s="124"/>
      <c r="F38" s="124"/>
      <c r="G38" s="81"/>
      <c r="H38" s="82"/>
      <c r="I38" s="148"/>
      <c r="J38" s="149"/>
      <c r="K38" s="53"/>
      <c r="L38" s="130"/>
      <c r="M38" s="130"/>
      <c r="N38" s="130"/>
      <c r="O38" s="130"/>
      <c r="P38" s="130"/>
      <c r="Q38" s="131"/>
      <c r="R38" s="106"/>
      <c r="S38" s="134"/>
      <c r="T38" s="53"/>
      <c r="U38" s="140"/>
      <c r="V38" s="144"/>
      <c r="W38" s="142"/>
      <c r="X38" s="54"/>
    </row>
    <row r="39" spans="1:26" ht="19.5" thickBot="1" x14ac:dyDescent="0.3">
      <c r="A39" s="3">
        <f t="shared" si="0"/>
        <v>32</v>
      </c>
      <c r="B39" s="10" t="s">
        <v>34</v>
      </c>
      <c r="C39" s="119"/>
      <c r="D39" s="120"/>
      <c r="E39" s="121"/>
      <c r="F39" s="121"/>
      <c r="G39" s="79"/>
      <c r="H39" s="76"/>
      <c r="I39" s="79"/>
      <c r="J39" s="80"/>
      <c r="K39" s="41"/>
      <c r="L39" s="121"/>
      <c r="M39" s="121"/>
      <c r="N39" s="121"/>
      <c r="O39" s="121"/>
      <c r="P39" s="121"/>
      <c r="Q39" s="129"/>
      <c r="R39" s="105"/>
      <c r="S39" s="135"/>
      <c r="T39" s="41"/>
      <c r="U39" s="116"/>
      <c r="V39" s="118"/>
      <c r="W39" s="138"/>
      <c r="X39" s="27"/>
    </row>
    <row r="40" spans="1:26" ht="19.5" thickBot="1" x14ac:dyDescent="0.3">
      <c r="A40" s="3">
        <f t="shared" si="0"/>
        <v>33</v>
      </c>
      <c r="B40" s="86" t="s">
        <v>76</v>
      </c>
      <c r="C40" s="125"/>
      <c r="D40" s="126"/>
      <c r="E40" s="127"/>
      <c r="F40" s="127"/>
      <c r="G40" s="87"/>
      <c r="H40" s="85"/>
      <c r="I40" s="76"/>
      <c r="J40" s="80"/>
      <c r="K40" s="41"/>
      <c r="L40" s="121"/>
      <c r="M40" s="121"/>
      <c r="N40" s="121"/>
      <c r="O40" s="121"/>
      <c r="P40" s="121"/>
      <c r="Q40" s="129"/>
      <c r="R40" s="92"/>
      <c r="S40" s="133"/>
      <c r="T40" s="41"/>
      <c r="U40" s="145"/>
      <c r="V40" s="139"/>
      <c r="W40" s="146"/>
      <c r="X40" s="101"/>
    </row>
    <row r="41" spans="1:26" ht="19.5" thickBot="1" x14ac:dyDescent="0.3">
      <c r="A41" s="3">
        <f t="shared" si="0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/>
      <c r="J41" s="161"/>
      <c r="K41" s="162"/>
      <c r="L41" s="163"/>
      <c r="M41" s="163"/>
      <c r="N41" s="163"/>
      <c r="O41" s="163"/>
      <c r="P41" s="163"/>
      <c r="Q41" s="164"/>
      <c r="R41" s="165"/>
      <c r="S41" s="166"/>
      <c r="T41" s="162"/>
      <c r="U41" s="167"/>
      <c r="V41" s="168"/>
      <c r="W41" s="168"/>
      <c r="X41" s="169"/>
    </row>
    <row r="42" spans="1:26" ht="19.5" thickBot="1" x14ac:dyDescent="0.3">
      <c r="A42" s="3">
        <f t="shared" si="0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/>
      <c r="J42" s="177"/>
      <c r="K42" s="178"/>
      <c r="L42" s="174"/>
      <c r="M42" s="174"/>
      <c r="N42" s="174"/>
      <c r="O42" s="174"/>
      <c r="P42" s="174"/>
      <c r="Q42" s="179"/>
      <c r="R42" s="180"/>
      <c r="S42" s="181"/>
      <c r="T42" s="178"/>
      <c r="U42" s="182"/>
      <c r="V42" s="183"/>
      <c r="W42" s="184"/>
      <c r="X42" s="185"/>
    </row>
    <row r="43" spans="1:26" ht="18.75" hidden="1" customHeight="1" x14ac:dyDescent="0.3">
      <c r="A43" s="3">
        <f t="shared" si="0"/>
        <v>36</v>
      </c>
      <c r="B43" s="10" t="s">
        <v>43</v>
      </c>
      <c r="C43" s="119"/>
      <c r="D43" s="120"/>
      <c r="E43" s="121"/>
      <c r="F43" s="121"/>
      <c r="G43" s="79"/>
      <c r="H43" s="76"/>
      <c r="I43" s="76"/>
      <c r="J43" s="103"/>
      <c r="K43" s="41"/>
      <c r="L43" s="121"/>
      <c r="M43" s="121"/>
      <c r="N43" s="121"/>
      <c r="O43" s="121"/>
      <c r="P43" s="121"/>
      <c r="Q43" s="129"/>
      <c r="R43" s="170"/>
      <c r="S43" s="136"/>
      <c r="T43" s="41"/>
      <c r="U43" s="116"/>
      <c r="V43" s="118"/>
      <c r="W43" s="138"/>
      <c r="X43" s="27"/>
    </row>
    <row r="44" spans="1:26" ht="19.5" thickBot="1" x14ac:dyDescent="0.3">
      <c r="A44" s="3">
        <f t="shared" si="0"/>
        <v>37</v>
      </c>
      <c r="B44" s="50" t="s">
        <v>37</v>
      </c>
      <c r="C44" s="122"/>
      <c r="D44" s="123"/>
      <c r="E44" s="124"/>
      <c r="F44" s="124"/>
      <c r="G44" s="81"/>
      <c r="H44" s="82"/>
      <c r="I44" s="76"/>
      <c r="J44" s="186"/>
      <c r="K44" s="53"/>
      <c r="L44" s="130"/>
      <c r="M44" s="130"/>
      <c r="N44" s="130"/>
      <c r="O44" s="130"/>
      <c r="P44" s="130"/>
      <c r="Q44" s="131"/>
      <c r="R44" s="187"/>
      <c r="S44" s="188"/>
      <c r="T44" s="53"/>
      <c r="U44" s="140"/>
      <c r="V44" s="139"/>
      <c r="W44" s="142"/>
      <c r="X44" s="54"/>
      <c r="Z44" s="47"/>
    </row>
    <row r="45" spans="1:26" ht="18.75" hidden="1" customHeight="1" x14ac:dyDescent="0.3">
      <c r="A45" s="3">
        <f t="shared" si="0"/>
        <v>38</v>
      </c>
      <c r="B45" s="10" t="s">
        <v>45</v>
      </c>
      <c r="C45" s="119"/>
      <c r="D45" s="120"/>
      <c r="E45" s="121"/>
      <c r="F45" s="121"/>
      <c r="G45" s="79"/>
      <c r="H45" s="76"/>
      <c r="I45" s="85"/>
      <c r="J45" s="80"/>
      <c r="K45" s="41"/>
      <c r="L45" s="121"/>
      <c r="M45" s="121"/>
      <c r="N45" s="121"/>
      <c r="O45" s="121"/>
      <c r="P45" s="121"/>
      <c r="Q45" s="129"/>
      <c r="R45" s="105"/>
      <c r="S45" s="136"/>
      <c r="T45" s="41"/>
      <c r="U45" s="116"/>
      <c r="V45" s="141"/>
      <c r="W45" s="138"/>
      <c r="X45" s="27"/>
    </row>
    <row r="46" spans="1:26" ht="19.5" thickBot="1" x14ac:dyDescent="0.3">
      <c r="A46" s="3">
        <f t="shared" si="0"/>
        <v>39</v>
      </c>
      <c r="B46" s="13" t="s">
        <v>38</v>
      </c>
      <c r="C46" s="119"/>
      <c r="D46" s="120"/>
      <c r="E46" s="121"/>
      <c r="F46" s="121"/>
      <c r="G46" s="79"/>
      <c r="H46" s="76"/>
      <c r="I46" s="102"/>
      <c r="J46" s="80"/>
      <c r="K46" s="41"/>
      <c r="L46" s="121"/>
      <c r="M46" s="121"/>
      <c r="N46" s="121"/>
      <c r="O46" s="121"/>
      <c r="P46" s="121"/>
      <c r="Q46" s="129"/>
      <c r="R46" s="92"/>
      <c r="S46" s="137"/>
      <c r="T46" s="41"/>
      <c r="U46" s="116"/>
      <c r="V46" s="143"/>
      <c r="W46" s="138"/>
      <c r="X46" s="27"/>
    </row>
    <row r="47" spans="1:26" ht="19.5" thickBot="1" x14ac:dyDescent="0.3">
      <c r="A47" s="3">
        <f t="shared" si="0"/>
        <v>40</v>
      </c>
      <c r="B47" s="13" t="s">
        <v>71</v>
      </c>
      <c r="C47" s="119"/>
      <c r="D47" s="120"/>
      <c r="E47" s="121"/>
      <c r="F47" s="121"/>
      <c r="G47" s="79"/>
      <c r="H47" s="76"/>
      <c r="I47" s="76"/>
      <c r="J47" s="80"/>
      <c r="K47" s="41"/>
      <c r="L47" s="121"/>
      <c r="M47" s="121"/>
      <c r="N47" s="121"/>
      <c r="O47" s="121"/>
      <c r="P47" s="121"/>
      <c r="Q47" s="129"/>
      <c r="R47" s="92"/>
      <c r="S47" s="133"/>
      <c r="T47" s="41"/>
      <c r="U47" s="116"/>
      <c r="V47" s="139"/>
      <c r="W47" s="138"/>
      <c r="X47" s="27"/>
    </row>
    <row r="48" spans="1:26" ht="19.5" thickBot="1" x14ac:dyDescent="0.3">
      <c r="A48" s="3">
        <f t="shared" si="0"/>
        <v>41</v>
      </c>
      <c r="B48" s="50" t="s">
        <v>39</v>
      </c>
      <c r="C48" s="150"/>
      <c r="D48" s="151"/>
      <c r="E48" s="130"/>
      <c r="F48" s="130"/>
      <c r="G48" s="152"/>
      <c r="H48" s="148"/>
      <c r="I48" s="148"/>
      <c r="J48" s="149"/>
      <c r="K48" s="53"/>
      <c r="L48" s="130"/>
      <c r="M48" s="130"/>
      <c r="N48" s="130"/>
      <c r="O48" s="130"/>
      <c r="P48" s="130"/>
      <c r="Q48" s="131"/>
      <c r="R48" s="106"/>
      <c r="S48" s="153"/>
      <c r="T48" s="53"/>
      <c r="U48" s="140"/>
      <c r="V48" s="144"/>
      <c r="W48" s="142"/>
      <c r="X48" s="54"/>
    </row>
    <row r="49" spans="1:24" ht="19.5" thickBot="1" x14ac:dyDescent="0.3">
      <c r="A49" s="3">
        <f t="shared" si="0"/>
        <v>42</v>
      </c>
      <c r="B49" s="10" t="s">
        <v>72</v>
      </c>
      <c r="C49" s="119"/>
      <c r="D49" s="120"/>
      <c r="E49" s="121"/>
      <c r="F49" s="121"/>
      <c r="G49" s="79"/>
      <c r="H49" s="76"/>
      <c r="I49" s="76"/>
      <c r="J49" s="80"/>
      <c r="K49" s="41"/>
      <c r="L49" s="121"/>
      <c r="M49" s="121"/>
      <c r="N49" s="121"/>
      <c r="O49" s="121"/>
      <c r="P49" s="121"/>
      <c r="Q49" s="129"/>
      <c r="R49" s="105"/>
      <c r="S49" s="135"/>
      <c r="T49" s="41"/>
      <c r="U49" s="116"/>
      <c r="V49" s="118"/>
      <c r="W49" s="138"/>
      <c r="X49" s="27"/>
    </row>
    <row r="50" spans="1:24" ht="19.5" thickBot="1" x14ac:dyDescent="0.3">
      <c r="A50" s="3">
        <f t="shared" si="0"/>
        <v>43</v>
      </c>
      <c r="B50" s="13" t="s">
        <v>40</v>
      </c>
      <c r="C50" s="119"/>
      <c r="D50" s="120"/>
      <c r="E50" s="121"/>
      <c r="F50" s="121"/>
      <c r="G50" s="79"/>
      <c r="H50" s="76"/>
      <c r="I50" s="76"/>
      <c r="J50" s="80"/>
      <c r="K50" s="41"/>
      <c r="L50" s="121"/>
      <c r="M50" s="121"/>
      <c r="N50" s="121"/>
      <c r="O50" s="121"/>
      <c r="P50" s="121"/>
      <c r="Q50" s="129"/>
      <c r="R50" s="92"/>
      <c r="S50" s="133"/>
      <c r="T50" s="41"/>
      <c r="U50" s="116"/>
      <c r="V50" s="139"/>
      <c r="W50" s="138"/>
      <c r="X50" s="27"/>
    </row>
    <row r="51" spans="1:24" ht="19.5" thickBot="1" x14ac:dyDescent="0.3">
      <c r="A51" s="3">
        <f t="shared" si="0"/>
        <v>44</v>
      </c>
      <c r="B51" s="13" t="s">
        <v>73</v>
      </c>
      <c r="C51" s="119"/>
      <c r="D51" s="120"/>
      <c r="E51" s="121"/>
      <c r="F51" s="121"/>
      <c r="G51" s="79"/>
      <c r="H51" s="76"/>
      <c r="I51" s="76"/>
      <c r="J51" s="80"/>
      <c r="K51" s="41"/>
      <c r="L51" s="121"/>
      <c r="M51" s="121"/>
      <c r="N51" s="121"/>
      <c r="O51" s="121"/>
      <c r="P51" s="121"/>
      <c r="Q51" s="129"/>
      <c r="R51" s="92"/>
      <c r="S51" s="133"/>
      <c r="T51" s="41"/>
      <c r="U51" s="116"/>
      <c r="V51" s="139"/>
      <c r="W51" s="138"/>
      <c r="X51" s="27"/>
    </row>
    <row r="52" spans="1:24" ht="19.5" thickBot="1" x14ac:dyDescent="0.3">
      <c r="A52" s="3">
        <f t="shared" si="0"/>
        <v>45</v>
      </c>
      <c r="B52" s="50" t="s">
        <v>41</v>
      </c>
      <c r="C52" s="150"/>
      <c r="D52" s="151"/>
      <c r="E52" s="130"/>
      <c r="F52" s="130"/>
      <c r="G52" s="152"/>
      <c r="H52" s="148"/>
      <c r="I52" s="148"/>
      <c r="J52" s="149"/>
      <c r="K52" s="53"/>
      <c r="L52" s="130"/>
      <c r="M52" s="130"/>
      <c r="N52" s="130"/>
      <c r="O52" s="130"/>
      <c r="P52" s="130"/>
      <c r="Q52" s="131"/>
      <c r="R52" s="106"/>
      <c r="S52" s="153"/>
      <c r="T52" s="53"/>
      <c r="U52" s="140"/>
      <c r="V52" s="144"/>
      <c r="W52" s="142"/>
      <c r="X52" s="54"/>
    </row>
    <row r="53" spans="1:24" ht="19.5" thickBot="1" x14ac:dyDescent="0.3">
      <c r="A53" s="3">
        <f t="shared" si="0"/>
        <v>46</v>
      </c>
      <c r="B53" s="10" t="s">
        <v>42</v>
      </c>
      <c r="C53" s="119"/>
      <c r="D53" s="120"/>
      <c r="E53" s="121"/>
      <c r="F53" s="121"/>
      <c r="G53" s="79"/>
      <c r="H53" s="76"/>
      <c r="I53" s="76"/>
      <c r="J53" s="80"/>
      <c r="K53" s="41"/>
      <c r="L53" s="121"/>
      <c r="M53" s="121"/>
      <c r="N53" s="121"/>
      <c r="O53" s="121"/>
      <c r="P53" s="121"/>
      <c r="Q53" s="129"/>
      <c r="R53" s="105"/>
      <c r="S53" s="135"/>
      <c r="T53" s="41"/>
      <c r="U53" s="116"/>
      <c r="V53" s="118"/>
      <c r="W53" s="138"/>
      <c r="X53" s="27"/>
    </row>
    <row r="54" spans="1:24" ht="19.5" thickBot="1" x14ac:dyDescent="0.3">
      <c r="A54" s="3">
        <f t="shared" si="0"/>
        <v>47</v>
      </c>
      <c r="B54" s="13" t="s">
        <v>78</v>
      </c>
      <c r="C54" s="119"/>
      <c r="D54" s="120"/>
      <c r="E54" s="121"/>
      <c r="F54" s="121"/>
      <c r="G54" s="79"/>
      <c r="H54" s="76"/>
      <c r="I54" s="76"/>
      <c r="J54" s="80"/>
      <c r="K54" s="41"/>
      <c r="L54" s="121"/>
      <c r="M54" s="121"/>
      <c r="N54" s="121"/>
      <c r="O54" s="121"/>
      <c r="P54" s="121"/>
      <c r="Q54" s="129"/>
      <c r="R54" s="92"/>
      <c r="S54" s="133"/>
      <c r="T54" s="41"/>
      <c r="U54" s="116"/>
      <c r="V54" s="139"/>
      <c r="W54" s="138"/>
      <c r="X54" s="27"/>
    </row>
    <row r="55" spans="1:24" ht="19.5" thickBot="1" x14ac:dyDescent="0.3">
      <c r="A55" s="3">
        <f t="shared" si="0"/>
        <v>48</v>
      </c>
      <c r="B55" s="13"/>
      <c r="C55" s="119"/>
      <c r="D55" s="120"/>
      <c r="E55" s="121"/>
      <c r="F55" s="121"/>
      <c r="G55" s="79"/>
      <c r="H55" s="76"/>
      <c r="I55" s="76"/>
      <c r="J55" s="80"/>
      <c r="K55" s="41"/>
      <c r="L55" s="121"/>
      <c r="M55" s="121"/>
      <c r="N55" s="121"/>
      <c r="O55" s="121"/>
      <c r="P55" s="121"/>
      <c r="Q55" s="129"/>
      <c r="R55" s="92"/>
      <c r="S55" s="133"/>
      <c r="T55" s="41"/>
      <c r="U55" s="116"/>
      <c r="V55" s="139"/>
      <c r="W55" s="138"/>
      <c r="X55" s="27"/>
    </row>
    <row r="56" spans="1:24" ht="19.5" thickBot="1" x14ac:dyDescent="0.3">
      <c r="A56" s="3">
        <f t="shared" si="0"/>
        <v>49</v>
      </c>
      <c r="B56" s="13"/>
      <c r="C56" s="119"/>
      <c r="D56" s="120"/>
      <c r="E56" s="121"/>
      <c r="F56" s="121"/>
      <c r="G56" s="79"/>
      <c r="H56" s="76"/>
      <c r="I56" s="76"/>
      <c r="J56" s="80"/>
      <c r="K56" s="41"/>
      <c r="L56" s="121"/>
      <c r="M56" s="121"/>
      <c r="N56" s="121"/>
      <c r="O56" s="121"/>
      <c r="P56" s="121"/>
      <c r="Q56" s="129"/>
      <c r="R56" s="92"/>
      <c r="S56" s="133"/>
      <c r="T56" s="41"/>
      <c r="U56" s="116"/>
      <c r="V56" s="139"/>
      <c r="W56" s="138"/>
      <c r="X56" s="27"/>
    </row>
    <row r="57" spans="1:24" ht="19.5" thickBot="1" x14ac:dyDescent="0.3">
      <c r="A57" s="3">
        <f t="shared" si="0"/>
        <v>50</v>
      </c>
      <c r="B57" s="13"/>
      <c r="C57" s="119"/>
      <c r="D57" s="120"/>
      <c r="E57" s="121"/>
      <c r="F57" s="121"/>
      <c r="G57" s="79"/>
      <c r="H57" s="76"/>
      <c r="I57" s="76"/>
      <c r="J57" s="80"/>
      <c r="K57" s="41"/>
      <c r="L57" s="121"/>
      <c r="M57" s="121"/>
      <c r="N57" s="121"/>
      <c r="O57" s="121"/>
      <c r="P57" s="121"/>
      <c r="Q57" s="129"/>
      <c r="R57" s="92"/>
      <c r="S57" s="133"/>
      <c r="T57" s="41"/>
      <c r="U57" s="116"/>
      <c r="V57" s="139"/>
      <c r="W57" s="138"/>
      <c r="X57" s="27"/>
    </row>
    <row r="58" spans="1:24" ht="19.5" thickBot="1" x14ac:dyDescent="0.3">
      <c r="A58" s="3">
        <f t="shared" si="0"/>
        <v>51</v>
      </c>
      <c r="B58" s="13"/>
      <c r="C58" s="119"/>
      <c r="D58" s="120"/>
      <c r="E58" s="121"/>
      <c r="F58" s="121"/>
      <c r="G58" s="79"/>
      <c r="H58" s="76"/>
      <c r="I58" s="76"/>
      <c r="J58" s="80"/>
      <c r="K58" s="41"/>
      <c r="L58" s="121"/>
      <c r="M58" s="121"/>
      <c r="N58" s="121"/>
      <c r="O58" s="121"/>
      <c r="P58" s="121"/>
      <c r="Q58" s="129"/>
      <c r="R58" s="92"/>
      <c r="S58" s="133"/>
      <c r="T58" s="41"/>
      <c r="U58" s="116"/>
      <c r="V58" s="139"/>
      <c r="W58" s="138"/>
      <c r="X58" s="27"/>
    </row>
    <row r="59" spans="1:24" ht="19.5" thickBot="1" x14ac:dyDescent="0.3">
      <c r="A59" s="3">
        <f t="shared" si="0"/>
        <v>52</v>
      </c>
      <c r="B59" s="13"/>
      <c r="C59" s="119"/>
      <c r="D59" s="120"/>
      <c r="E59" s="121"/>
      <c r="F59" s="121"/>
      <c r="G59" s="79"/>
      <c r="H59" s="76"/>
      <c r="I59" s="76"/>
      <c r="J59" s="80"/>
      <c r="K59" s="41"/>
      <c r="L59" s="121"/>
      <c r="M59" s="121"/>
      <c r="N59" s="121"/>
      <c r="O59" s="121"/>
      <c r="P59" s="121"/>
      <c r="Q59" s="129"/>
      <c r="R59" s="92"/>
      <c r="S59" s="133"/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/>
      <c r="D60" s="57"/>
      <c r="E60" s="44"/>
      <c r="F60" s="44"/>
      <c r="G60" s="28"/>
      <c r="H60" s="59"/>
      <c r="I60" s="59"/>
      <c r="J60" s="45"/>
      <c r="K60" s="46"/>
      <c r="L60" s="77"/>
      <c r="M60" s="77"/>
      <c r="N60" s="77"/>
      <c r="O60" s="77"/>
      <c r="P60" s="77"/>
      <c r="Q60" s="78"/>
      <c r="R60" s="91"/>
      <c r="S60" s="90"/>
      <c r="T60" s="46"/>
      <c r="U60" s="43"/>
      <c r="V60" s="111"/>
      <c r="W60" s="99"/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13" t="s">
        <v>3</v>
      </c>
      <c r="D69" s="114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28F5-B2C7-476D-AD3B-024025A55A62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43">
        <v>46058</v>
      </c>
      <c r="Q1" s="244"/>
      <c r="R1" s="244"/>
      <c r="S1" s="244"/>
      <c r="T1" s="244"/>
      <c r="U1" s="244"/>
      <c r="V1" s="245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60"/>
    </row>
    <row r="5" spans="1:58" s="3" customFormat="1" ht="38.25" thickBot="1" x14ac:dyDescent="0.3">
      <c r="A5" s="49"/>
      <c r="B5" s="246"/>
      <c r="C5" s="247"/>
      <c r="D5" s="248"/>
      <c r="E5" s="48" t="s">
        <v>8</v>
      </c>
      <c r="F5" s="97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96"/>
      <c r="T6" s="197"/>
      <c r="U6" s="116"/>
      <c r="V6" s="27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96"/>
      <c r="T7" s="197"/>
      <c r="U7" s="116"/>
      <c r="V7" s="27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98">
        <f t="shared" si="1"/>
        <v>0</v>
      </c>
      <c r="T8" s="197"/>
      <c r="U8" s="116"/>
      <c r="V8" s="27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0" t="s">
        <v>49</v>
      </c>
      <c r="C9" s="122"/>
      <c r="D9" s="123"/>
      <c r="E9" s="124"/>
      <c r="F9" s="124"/>
      <c r="G9" s="81"/>
      <c r="H9" s="82"/>
      <c r="I9" s="76">
        <f t="shared" ref="I9:J59" si="3">C9-G9</f>
        <v>0</v>
      </c>
      <c r="J9" s="80">
        <f t="shared" si="0"/>
        <v>0</v>
      </c>
      <c r="K9" s="53"/>
      <c r="L9" s="130"/>
      <c r="M9" s="130"/>
      <c r="N9" s="130"/>
      <c r="O9" s="130"/>
      <c r="P9" s="130"/>
      <c r="Q9" s="131"/>
      <c r="R9" s="92">
        <f t="shared" si="1"/>
        <v>0</v>
      </c>
      <c r="S9" s="198">
        <f t="shared" si="1"/>
        <v>0</v>
      </c>
      <c r="T9" s="142"/>
      <c r="U9" s="140"/>
      <c r="V9" s="54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3"/>
        <v>0</v>
      </c>
      <c r="J10" s="80">
        <f t="shared" si="0"/>
        <v>0</v>
      </c>
      <c r="K10" s="41"/>
      <c r="L10" s="121"/>
      <c r="M10" s="121"/>
      <c r="N10" s="121"/>
      <c r="O10" s="121"/>
      <c r="P10" s="121"/>
      <c r="Q10" s="129"/>
      <c r="R10" s="92">
        <f t="shared" si="1"/>
        <v>0</v>
      </c>
      <c r="S10" s="198">
        <f t="shared" si="1"/>
        <v>0</v>
      </c>
      <c r="T10" s="197"/>
      <c r="U10" s="116"/>
      <c r="V10" s="27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3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98">
        <f t="shared" si="1"/>
        <v>0</v>
      </c>
      <c r="T11" s="197"/>
      <c r="U11" s="116"/>
      <c r="V11" s="27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3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98">
        <f t="shared" si="1"/>
        <v>0</v>
      </c>
      <c r="T12" s="197"/>
      <c r="U12" s="116"/>
      <c r="V12" s="27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0" t="s">
        <v>44</v>
      </c>
      <c r="C13" s="122"/>
      <c r="D13" s="123"/>
      <c r="E13" s="124"/>
      <c r="F13" s="124"/>
      <c r="G13" s="81"/>
      <c r="H13" s="82"/>
      <c r="I13" s="76">
        <f t="shared" si="3"/>
        <v>0</v>
      </c>
      <c r="J13" s="80">
        <f>D13-H13</f>
        <v>0</v>
      </c>
      <c r="K13" s="55"/>
      <c r="L13" s="130"/>
      <c r="M13" s="130"/>
      <c r="N13" s="130"/>
      <c r="O13" s="130"/>
      <c r="P13" s="130"/>
      <c r="Q13" s="131"/>
      <c r="R13" s="92">
        <f>L13+N13+P13</f>
        <v>0</v>
      </c>
      <c r="S13" s="198">
        <f>M13+O13+Q13</f>
        <v>0</v>
      </c>
      <c r="T13" s="199"/>
      <c r="U13" s="140"/>
      <c r="V13" s="54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19"/>
      <c r="D14" s="120"/>
      <c r="E14" s="121"/>
      <c r="F14" s="121"/>
      <c r="G14" s="79"/>
      <c r="H14" s="76"/>
      <c r="I14" s="76">
        <f t="shared" si="3"/>
        <v>0</v>
      </c>
      <c r="J14" s="80">
        <f t="shared" si="3"/>
        <v>0</v>
      </c>
      <c r="K14" s="41"/>
      <c r="L14" s="121"/>
      <c r="M14" s="121"/>
      <c r="N14" s="121"/>
      <c r="O14" s="121"/>
      <c r="P14" s="121"/>
      <c r="Q14" s="129"/>
      <c r="R14" s="92">
        <f t="shared" ref="R14:S59" si="4">L14+N14+P14</f>
        <v>0</v>
      </c>
      <c r="S14" s="198">
        <f t="shared" si="4"/>
        <v>0</v>
      </c>
      <c r="T14" s="197"/>
      <c r="U14" s="116"/>
      <c r="V14" s="27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3"/>
        <v>0</v>
      </c>
      <c r="J15" s="80">
        <f t="shared" si="3"/>
        <v>0</v>
      </c>
      <c r="K15" s="41"/>
      <c r="L15" s="121"/>
      <c r="M15" s="121"/>
      <c r="N15" s="121"/>
      <c r="O15" s="121"/>
      <c r="P15" s="121"/>
      <c r="Q15" s="129"/>
      <c r="R15" s="92">
        <f t="shared" si="4"/>
        <v>0</v>
      </c>
      <c r="S15" s="198">
        <f t="shared" si="4"/>
        <v>0</v>
      </c>
      <c r="T15" s="197"/>
      <c r="U15" s="116"/>
      <c r="V15" s="27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3"/>
        <v>0</v>
      </c>
      <c r="J16" s="80">
        <f t="shared" si="3"/>
        <v>0</v>
      </c>
      <c r="K16" s="41"/>
      <c r="L16" s="121"/>
      <c r="M16" s="121"/>
      <c r="N16" s="121"/>
      <c r="O16" s="121"/>
      <c r="P16" s="121"/>
      <c r="Q16" s="129"/>
      <c r="R16" s="92">
        <f t="shared" si="4"/>
        <v>0</v>
      </c>
      <c r="S16" s="198">
        <f t="shared" si="4"/>
        <v>0</v>
      </c>
      <c r="T16" s="197"/>
      <c r="U16" s="116"/>
      <c r="V16" s="27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3"/>
        <v>0</v>
      </c>
      <c r="J17" s="80">
        <f t="shared" si="3"/>
        <v>0</v>
      </c>
      <c r="K17" s="41"/>
      <c r="L17" s="121"/>
      <c r="M17" s="121"/>
      <c r="N17" s="121"/>
      <c r="O17" s="121"/>
      <c r="P17" s="121"/>
      <c r="Q17" s="129"/>
      <c r="R17" s="92">
        <f t="shared" si="4"/>
        <v>0</v>
      </c>
      <c r="S17" s="198">
        <f t="shared" si="4"/>
        <v>0</v>
      </c>
      <c r="T17" s="197"/>
      <c r="U17" s="116"/>
      <c r="V17" s="27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3"/>
        <v>0</v>
      </c>
      <c r="J18" s="80">
        <f t="shared" si="3"/>
        <v>0</v>
      </c>
      <c r="K18" s="41"/>
      <c r="L18" s="121"/>
      <c r="M18" s="121"/>
      <c r="N18" s="121"/>
      <c r="O18" s="121"/>
      <c r="P18" s="121"/>
      <c r="Q18" s="129"/>
      <c r="R18" s="92">
        <f t="shared" si="4"/>
        <v>0</v>
      </c>
      <c r="S18" s="198">
        <f t="shared" si="4"/>
        <v>0</v>
      </c>
      <c r="T18" s="197"/>
      <c r="U18" s="116"/>
      <c r="V18" s="27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3"/>
        <v>0</v>
      </c>
      <c r="J19" s="80">
        <f t="shared" si="3"/>
        <v>0</v>
      </c>
      <c r="K19" s="41"/>
      <c r="L19" s="121"/>
      <c r="M19" s="121"/>
      <c r="N19" s="121"/>
      <c r="O19" s="121"/>
      <c r="P19" s="121"/>
      <c r="Q19" s="129"/>
      <c r="R19" s="92">
        <f t="shared" si="4"/>
        <v>0</v>
      </c>
      <c r="S19" s="198">
        <f t="shared" si="4"/>
        <v>0</v>
      </c>
      <c r="T19" s="197"/>
      <c r="U19" s="116"/>
      <c r="V19" s="27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3"/>
        <v>0</v>
      </c>
      <c r="J20" s="80">
        <f t="shared" si="3"/>
        <v>0</v>
      </c>
      <c r="K20" s="41"/>
      <c r="L20" s="121"/>
      <c r="M20" s="121"/>
      <c r="N20" s="121"/>
      <c r="O20" s="121"/>
      <c r="P20" s="121"/>
      <c r="Q20" s="129"/>
      <c r="R20" s="92">
        <f t="shared" si="4"/>
        <v>0</v>
      </c>
      <c r="S20" s="198">
        <f t="shared" si="4"/>
        <v>0</v>
      </c>
      <c r="T20" s="197"/>
      <c r="U20" s="116"/>
      <c r="V20" s="27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3"/>
        <v>0</v>
      </c>
      <c r="J21" s="80">
        <f t="shared" si="3"/>
        <v>0</v>
      </c>
      <c r="K21" s="41"/>
      <c r="L21" s="121"/>
      <c r="M21" s="121"/>
      <c r="N21" s="121"/>
      <c r="O21" s="121"/>
      <c r="P21" s="121"/>
      <c r="Q21" s="129"/>
      <c r="R21" s="92">
        <f t="shared" si="4"/>
        <v>0</v>
      </c>
      <c r="S21" s="198">
        <f t="shared" si="4"/>
        <v>0</v>
      </c>
      <c r="T21" s="197"/>
      <c r="U21" s="116"/>
      <c r="V21" s="27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3"/>
        <v>0</v>
      </c>
      <c r="J22" s="80">
        <f t="shared" si="3"/>
        <v>0</v>
      </c>
      <c r="K22" s="41"/>
      <c r="L22" s="121"/>
      <c r="M22" s="121"/>
      <c r="N22" s="121"/>
      <c r="O22" s="121"/>
      <c r="P22" s="121"/>
      <c r="Q22" s="129"/>
      <c r="R22" s="92">
        <f t="shared" si="4"/>
        <v>0</v>
      </c>
      <c r="S22" s="198">
        <f t="shared" si="4"/>
        <v>0</v>
      </c>
      <c r="T22" s="197"/>
      <c r="U22" s="116"/>
      <c r="V22" s="27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3"/>
        <v>0</v>
      </c>
      <c r="J23" s="80">
        <f t="shared" si="3"/>
        <v>0</v>
      </c>
      <c r="K23" s="42"/>
      <c r="L23" s="121"/>
      <c r="M23" s="121"/>
      <c r="N23" s="121"/>
      <c r="O23" s="121"/>
      <c r="P23" s="121"/>
      <c r="Q23" s="129"/>
      <c r="R23" s="92">
        <f t="shared" si="4"/>
        <v>0</v>
      </c>
      <c r="S23" s="198">
        <f t="shared" si="4"/>
        <v>0</v>
      </c>
      <c r="T23" s="200"/>
      <c r="U23" s="116"/>
      <c r="V23" s="27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3"/>
        <v>0</v>
      </c>
      <c r="J24" s="80">
        <f t="shared" si="3"/>
        <v>0</v>
      </c>
      <c r="K24" s="42"/>
      <c r="L24" s="121"/>
      <c r="M24" s="121"/>
      <c r="N24" s="121"/>
      <c r="O24" s="121"/>
      <c r="P24" s="121"/>
      <c r="Q24" s="129"/>
      <c r="R24" s="92">
        <f t="shared" si="4"/>
        <v>0</v>
      </c>
      <c r="S24" s="198">
        <f t="shared" si="4"/>
        <v>0</v>
      </c>
      <c r="T24" s="200"/>
      <c r="U24" s="116"/>
      <c r="V24" s="27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3"/>
        <v>0</v>
      </c>
      <c r="J25" s="80">
        <f t="shared" si="3"/>
        <v>0</v>
      </c>
      <c r="K25" s="41"/>
      <c r="L25" s="121"/>
      <c r="M25" s="121"/>
      <c r="N25" s="121"/>
      <c r="O25" s="121"/>
      <c r="P25" s="121"/>
      <c r="Q25" s="129"/>
      <c r="R25" s="92">
        <f t="shared" si="4"/>
        <v>0</v>
      </c>
      <c r="S25" s="198">
        <f t="shared" si="4"/>
        <v>0</v>
      </c>
      <c r="T25" s="197"/>
      <c r="U25" s="116"/>
      <c r="V25" s="27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3"/>
        <v>0</v>
      </c>
      <c r="J26" s="80">
        <f t="shared" si="3"/>
        <v>0</v>
      </c>
      <c r="K26" s="41"/>
      <c r="L26" s="121"/>
      <c r="M26" s="121"/>
      <c r="N26" s="121"/>
      <c r="O26" s="121"/>
      <c r="P26" s="121"/>
      <c r="Q26" s="129"/>
      <c r="R26" s="92">
        <f t="shared" si="4"/>
        <v>0</v>
      </c>
      <c r="S26" s="198">
        <f t="shared" si="4"/>
        <v>0</v>
      </c>
      <c r="T26" s="197"/>
      <c r="U26" s="116"/>
      <c r="V26" s="27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3"/>
        <v>0</v>
      </c>
      <c r="J27" s="80">
        <f t="shared" si="3"/>
        <v>0</v>
      </c>
      <c r="K27" s="42"/>
      <c r="L27" s="121"/>
      <c r="M27" s="121"/>
      <c r="N27" s="121"/>
      <c r="O27" s="121"/>
      <c r="P27" s="121"/>
      <c r="Q27" s="129"/>
      <c r="R27" s="92">
        <f t="shared" si="4"/>
        <v>0</v>
      </c>
      <c r="S27" s="198">
        <f t="shared" si="4"/>
        <v>0</v>
      </c>
      <c r="T27" s="200"/>
      <c r="U27" s="116"/>
      <c r="V27" s="27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3"/>
        <v>0</v>
      </c>
      <c r="J28" s="80">
        <f t="shared" si="3"/>
        <v>0</v>
      </c>
      <c r="K28" s="42"/>
      <c r="L28" s="121"/>
      <c r="M28" s="121"/>
      <c r="N28" s="121"/>
      <c r="O28" s="121"/>
      <c r="P28" s="121"/>
      <c r="Q28" s="129"/>
      <c r="R28" s="92">
        <f t="shared" si="4"/>
        <v>0</v>
      </c>
      <c r="S28" s="198">
        <f t="shared" si="4"/>
        <v>0</v>
      </c>
      <c r="T28" s="200"/>
      <c r="U28" s="116"/>
      <c r="V28" s="27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3"/>
        <v>0</v>
      </c>
      <c r="J29" s="80">
        <f t="shared" si="3"/>
        <v>0</v>
      </c>
      <c r="K29" s="42"/>
      <c r="L29" s="121"/>
      <c r="M29" s="121"/>
      <c r="N29" s="121"/>
      <c r="O29" s="121"/>
      <c r="P29" s="121"/>
      <c r="Q29" s="129"/>
      <c r="R29" s="92">
        <f t="shared" si="4"/>
        <v>0</v>
      </c>
      <c r="S29" s="198">
        <f t="shared" si="4"/>
        <v>0</v>
      </c>
      <c r="T29" s="200"/>
      <c r="U29" s="116"/>
      <c r="V29" s="27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3"/>
        <v>0</v>
      </c>
      <c r="J30" s="80">
        <f t="shared" si="3"/>
        <v>0</v>
      </c>
      <c r="K30" s="41"/>
      <c r="L30" s="121"/>
      <c r="M30" s="121"/>
      <c r="N30" s="121"/>
      <c r="O30" s="121"/>
      <c r="P30" s="121"/>
      <c r="Q30" s="129"/>
      <c r="R30" s="92">
        <f t="shared" si="4"/>
        <v>0</v>
      </c>
      <c r="S30" s="198">
        <f t="shared" si="4"/>
        <v>0</v>
      </c>
      <c r="T30" s="197"/>
      <c r="U30" s="116"/>
      <c r="V30" s="27"/>
    </row>
    <row r="31" spans="1:58" ht="19.5" thickBot="1" x14ac:dyDescent="0.3">
      <c r="A31" s="3">
        <f t="shared" si="2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3"/>
        <v>0</v>
      </c>
      <c r="J31" s="80">
        <f t="shared" si="3"/>
        <v>0</v>
      </c>
      <c r="K31" s="41"/>
      <c r="L31" s="121"/>
      <c r="M31" s="121"/>
      <c r="N31" s="121"/>
      <c r="O31" s="121"/>
      <c r="P31" s="121"/>
      <c r="Q31" s="129"/>
      <c r="R31" s="92">
        <f t="shared" si="4"/>
        <v>0</v>
      </c>
      <c r="S31" s="198">
        <f t="shared" si="4"/>
        <v>0</v>
      </c>
      <c r="T31" s="197"/>
      <c r="U31" s="116"/>
      <c r="V31" s="27"/>
    </row>
    <row r="32" spans="1:58" ht="19.5" thickBot="1" x14ac:dyDescent="0.3">
      <c r="A32" s="3">
        <f t="shared" si="2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3"/>
        <v>0</v>
      </c>
      <c r="J32" s="80">
        <f t="shared" si="3"/>
        <v>0</v>
      </c>
      <c r="K32" s="41"/>
      <c r="L32" s="121"/>
      <c r="M32" s="121"/>
      <c r="N32" s="121"/>
      <c r="O32" s="121"/>
      <c r="P32" s="121"/>
      <c r="Q32" s="129"/>
      <c r="R32" s="92">
        <f t="shared" si="4"/>
        <v>0</v>
      </c>
      <c r="S32" s="198">
        <f t="shared" si="4"/>
        <v>0</v>
      </c>
      <c r="T32" s="197"/>
      <c r="U32" s="116"/>
      <c r="V32" s="27"/>
    </row>
    <row r="33" spans="1:24" ht="19.5" thickBot="1" x14ac:dyDescent="0.3">
      <c r="A33" s="3">
        <f t="shared" si="2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3"/>
        <v>0</v>
      </c>
      <c r="J33" s="80">
        <f t="shared" si="3"/>
        <v>0</v>
      </c>
      <c r="K33" s="41"/>
      <c r="L33" s="121"/>
      <c r="M33" s="121"/>
      <c r="N33" s="121"/>
      <c r="O33" s="121"/>
      <c r="P33" s="121"/>
      <c r="Q33" s="129"/>
      <c r="R33" s="92">
        <f t="shared" si="4"/>
        <v>0</v>
      </c>
      <c r="S33" s="198">
        <f t="shared" si="4"/>
        <v>0</v>
      </c>
      <c r="T33" s="197"/>
      <c r="U33" s="116"/>
      <c r="V33" s="27"/>
    </row>
    <row r="34" spans="1:24" ht="19.5" thickBot="1" x14ac:dyDescent="0.3">
      <c r="A34" s="3">
        <f t="shared" si="2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3"/>
        <v>0</v>
      </c>
      <c r="J34" s="80">
        <f t="shared" si="3"/>
        <v>0</v>
      </c>
      <c r="K34" s="41"/>
      <c r="L34" s="121"/>
      <c r="M34" s="121"/>
      <c r="N34" s="121"/>
      <c r="O34" s="121"/>
      <c r="P34" s="121"/>
      <c r="Q34" s="129"/>
      <c r="R34" s="92">
        <f t="shared" si="4"/>
        <v>0</v>
      </c>
      <c r="S34" s="198">
        <f t="shared" si="4"/>
        <v>0</v>
      </c>
      <c r="T34" s="197"/>
      <c r="U34" s="116"/>
      <c r="V34" s="27"/>
    </row>
    <row r="35" spans="1:24" ht="19.5" thickBot="1" x14ac:dyDescent="0.3">
      <c r="A35" s="3">
        <f t="shared" si="2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3"/>
        <v>0</v>
      </c>
      <c r="J35" s="80">
        <f t="shared" si="3"/>
        <v>0</v>
      </c>
      <c r="K35" s="41"/>
      <c r="L35" s="121"/>
      <c r="M35" s="121"/>
      <c r="N35" s="121"/>
      <c r="O35" s="121"/>
      <c r="P35" s="121"/>
      <c r="Q35" s="129"/>
      <c r="R35" s="92">
        <f t="shared" si="4"/>
        <v>0</v>
      </c>
      <c r="S35" s="198">
        <f t="shared" si="4"/>
        <v>0</v>
      </c>
      <c r="T35" s="197"/>
      <c r="U35" s="116"/>
      <c r="V35" s="27"/>
    </row>
    <row r="36" spans="1:24" ht="18.75" hidden="1" customHeight="1" x14ac:dyDescent="0.25">
      <c r="A36" s="3">
        <f t="shared" si="2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3"/>
        <v>0</v>
      </c>
      <c r="J36" s="80">
        <f t="shared" si="3"/>
        <v>0</v>
      </c>
      <c r="K36" s="41"/>
      <c r="L36" s="121"/>
      <c r="M36" s="121"/>
      <c r="N36" s="121"/>
      <c r="O36" s="121"/>
      <c r="P36" s="121"/>
      <c r="Q36" s="129"/>
      <c r="R36" s="92">
        <f t="shared" si="4"/>
        <v>0</v>
      </c>
      <c r="S36" s="198">
        <f t="shared" si="4"/>
        <v>0</v>
      </c>
      <c r="T36" s="197"/>
      <c r="U36" s="116"/>
      <c r="V36" s="27"/>
    </row>
    <row r="37" spans="1:24" ht="18.75" customHeight="1" thickBot="1" x14ac:dyDescent="0.3">
      <c r="A37" s="3">
        <f t="shared" si="2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3"/>
        <v>0</v>
      </c>
      <c r="J37" s="80">
        <f t="shared" si="3"/>
        <v>0</v>
      </c>
      <c r="K37" s="41"/>
      <c r="L37" s="121"/>
      <c r="M37" s="121"/>
      <c r="N37" s="121"/>
      <c r="O37" s="121"/>
      <c r="P37" s="121"/>
      <c r="Q37" s="129"/>
      <c r="R37" s="92">
        <f t="shared" si="4"/>
        <v>0</v>
      </c>
      <c r="S37" s="198">
        <f t="shared" si="4"/>
        <v>0</v>
      </c>
      <c r="T37" s="197"/>
      <c r="U37" s="116"/>
      <c r="V37" s="27"/>
    </row>
    <row r="38" spans="1:24" ht="19.5" thickBot="1" x14ac:dyDescent="0.3">
      <c r="A38" s="3">
        <f t="shared" si="2"/>
        <v>31</v>
      </c>
      <c r="B38" s="50" t="s">
        <v>33</v>
      </c>
      <c r="C38" s="122"/>
      <c r="D38" s="123"/>
      <c r="E38" s="124"/>
      <c r="F38" s="124"/>
      <c r="G38" s="81"/>
      <c r="H38" s="82"/>
      <c r="I38" s="76">
        <f t="shared" si="3"/>
        <v>0</v>
      </c>
      <c r="J38" s="80">
        <f t="shared" si="3"/>
        <v>0</v>
      </c>
      <c r="K38" s="53"/>
      <c r="L38" s="130"/>
      <c r="M38" s="130"/>
      <c r="N38" s="130"/>
      <c r="O38" s="130"/>
      <c r="P38" s="130"/>
      <c r="Q38" s="131"/>
      <c r="R38" s="92">
        <f t="shared" si="4"/>
        <v>0</v>
      </c>
      <c r="S38" s="198">
        <f t="shared" si="4"/>
        <v>0</v>
      </c>
      <c r="T38" s="142"/>
      <c r="U38" s="140"/>
      <c r="V38" s="54"/>
    </row>
    <row r="39" spans="1:24" ht="19.5" thickBot="1" x14ac:dyDescent="0.3">
      <c r="A39" s="3">
        <f t="shared" si="2"/>
        <v>32</v>
      </c>
      <c r="B39" s="10" t="s">
        <v>34</v>
      </c>
      <c r="C39" s="119"/>
      <c r="D39" s="120"/>
      <c r="E39" s="121"/>
      <c r="F39" s="121"/>
      <c r="G39" s="79"/>
      <c r="H39" s="76"/>
      <c r="I39" s="76">
        <f t="shared" si="3"/>
        <v>0</v>
      </c>
      <c r="J39" s="80">
        <f t="shared" si="3"/>
        <v>0</v>
      </c>
      <c r="K39" s="41"/>
      <c r="L39" s="121"/>
      <c r="M39" s="121"/>
      <c r="N39" s="121"/>
      <c r="O39" s="121"/>
      <c r="P39" s="121"/>
      <c r="Q39" s="129"/>
      <c r="R39" s="92">
        <f t="shared" si="4"/>
        <v>0</v>
      </c>
      <c r="S39" s="198">
        <f t="shared" si="4"/>
        <v>0</v>
      </c>
      <c r="T39" s="197"/>
      <c r="U39" s="116"/>
      <c r="V39" s="27"/>
    </row>
    <row r="40" spans="1:24" ht="19.5" thickBot="1" x14ac:dyDescent="0.3">
      <c r="A40" s="3">
        <f t="shared" si="2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3"/>
        <v>0</v>
      </c>
      <c r="J40" s="80">
        <f t="shared" si="3"/>
        <v>0</v>
      </c>
      <c r="K40" s="41"/>
      <c r="L40" s="121"/>
      <c r="M40" s="121"/>
      <c r="N40" s="121"/>
      <c r="O40" s="121"/>
      <c r="P40" s="121"/>
      <c r="Q40" s="129"/>
      <c r="R40" s="92">
        <f t="shared" si="4"/>
        <v>0</v>
      </c>
      <c r="S40" s="198">
        <f t="shared" si="4"/>
        <v>0</v>
      </c>
      <c r="T40" s="197"/>
      <c r="U40" s="145"/>
      <c r="V40" s="88"/>
    </row>
    <row r="41" spans="1:24" ht="19.5" thickBot="1" x14ac:dyDescent="0.3">
      <c r="A41" s="3">
        <f t="shared" si="2"/>
        <v>34</v>
      </c>
      <c r="B41" s="50" t="s">
        <v>35</v>
      </c>
      <c r="C41" s="122"/>
      <c r="D41" s="123"/>
      <c r="E41" s="124"/>
      <c r="F41" s="124">
        <v>20</v>
      </c>
      <c r="G41" s="81">
        <v>10</v>
      </c>
      <c r="H41" s="82"/>
      <c r="I41" s="76">
        <f t="shared" si="3"/>
        <v>-10</v>
      </c>
      <c r="J41" s="80">
        <f t="shared" si="3"/>
        <v>0</v>
      </c>
      <c r="K41" s="53"/>
      <c r="L41" s="121">
        <v>10</v>
      </c>
      <c r="M41" s="121"/>
      <c r="N41" s="121"/>
      <c r="O41" s="121"/>
      <c r="P41" s="121"/>
      <c r="Q41" s="129"/>
      <c r="R41" s="92">
        <f t="shared" si="4"/>
        <v>10</v>
      </c>
      <c r="S41" s="198">
        <f t="shared" si="4"/>
        <v>0</v>
      </c>
      <c r="T41" s="142"/>
      <c r="U41" s="140"/>
      <c r="V41" s="54"/>
    </row>
    <row r="42" spans="1:24" ht="19.5" thickBot="1" x14ac:dyDescent="0.3">
      <c r="A42" s="3">
        <f t="shared" si="2"/>
        <v>35</v>
      </c>
      <c r="B42" s="51" t="s">
        <v>36</v>
      </c>
      <c r="C42" s="192"/>
      <c r="D42" s="193"/>
      <c r="E42" s="194"/>
      <c r="F42" s="194"/>
      <c r="G42" s="83"/>
      <c r="H42" s="84"/>
      <c r="I42" s="76">
        <f t="shared" si="3"/>
        <v>0</v>
      </c>
      <c r="J42" s="80">
        <f t="shared" si="3"/>
        <v>0</v>
      </c>
      <c r="K42" s="56"/>
      <c r="L42" s="194"/>
      <c r="M42" s="194"/>
      <c r="N42" s="194"/>
      <c r="O42" s="194"/>
      <c r="P42" s="194"/>
      <c r="Q42" s="195"/>
      <c r="R42" s="92">
        <f t="shared" si="4"/>
        <v>0</v>
      </c>
      <c r="S42" s="198">
        <f t="shared" si="4"/>
        <v>0</v>
      </c>
      <c r="T42" s="201"/>
      <c r="U42" s="202"/>
      <c r="V42" s="52"/>
    </row>
    <row r="43" spans="1:24" ht="18.75" hidden="1" customHeight="1" x14ac:dyDescent="0.25">
      <c r="A43" s="3">
        <f t="shared" si="2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3"/>
        <v>0</v>
      </c>
      <c r="J43" s="80">
        <f t="shared" si="3"/>
        <v>0</v>
      </c>
      <c r="K43" s="41"/>
      <c r="L43" s="121"/>
      <c r="M43" s="121"/>
      <c r="N43" s="121"/>
      <c r="O43" s="121"/>
      <c r="P43" s="121"/>
      <c r="Q43" s="129"/>
      <c r="R43" s="92">
        <f t="shared" si="4"/>
        <v>0</v>
      </c>
      <c r="S43" s="198">
        <f t="shared" si="4"/>
        <v>0</v>
      </c>
      <c r="T43" s="197"/>
      <c r="U43" s="116"/>
      <c r="V43" s="27"/>
    </row>
    <row r="44" spans="1:24" ht="19.5" thickBot="1" x14ac:dyDescent="0.3">
      <c r="A44" s="3">
        <f t="shared" si="2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 t="shared" si="3"/>
        <v>0</v>
      </c>
      <c r="J44" s="80">
        <f t="shared" si="3"/>
        <v>0</v>
      </c>
      <c r="K44" s="53"/>
      <c r="L44" s="130"/>
      <c r="M44" s="130"/>
      <c r="N44" s="130"/>
      <c r="O44" s="130"/>
      <c r="P44" s="130"/>
      <c r="Q44" s="131"/>
      <c r="R44" s="92">
        <f t="shared" si="4"/>
        <v>0</v>
      </c>
      <c r="S44" s="198">
        <f t="shared" si="4"/>
        <v>0</v>
      </c>
      <c r="T44" s="142"/>
      <c r="U44" s="140"/>
      <c r="V44" s="54"/>
      <c r="X44" s="47"/>
    </row>
    <row r="45" spans="1:24" ht="18.75" hidden="1" customHeight="1" x14ac:dyDescent="0.25">
      <c r="A45" s="3">
        <f t="shared" si="2"/>
        <v>38</v>
      </c>
      <c r="B45" s="10" t="s">
        <v>45</v>
      </c>
      <c r="C45" s="119"/>
      <c r="D45" s="120"/>
      <c r="E45" s="121"/>
      <c r="F45" s="121"/>
      <c r="G45" s="79"/>
      <c r="H45" s="76"/>
      <c r="I45" s="76">
        <f t="shared" si="3"/>
        <v>0</v>
      </c>
      <c r="J45" s="80">
        <f t="shared" si="3"/>
        <v>0</v>
      </c>
      <c r="K45" s="41"/>
      <c r="L45" s="121"/>
      <c r="M45" s="121"/>
      <c r="N45" s="121"/>
      <c r="O45" s="121"/>
      <c r="P45" s="121"/>
      <c r="Q45" s="129"/>
      <c r="R45" s="92">
        <f t="shared" si="4"/>
        <v>0</v>
      </c>
      <c r="S45" s="198">
        <f t="shared" si="4"/>
        <v>0</v>
      </c>
      <c r="T45" s="197"/>
      <c r="U45" s="116"/>
      <c r="V45" s="27"/>
    </row>
    <row r="46" spans="1:24" ht="19.5" thickBot="1" x14ac:dyDescent="0.3">
      <c r="A46" s="3">
        <f t="shared" si="2"/>
        <v>39</v>
      </c>
      <c r="B46" s="13" t="s">
        <v>38</v>
      </c>
      <c r="C46" s="119"/>
      <c r="D46" s="120"/>
      <c r="E46" s="121"/>
      <c r="F46" s="121"/>
      <c r="G46" s="79"/>
      <c r="H46" s="76"/>
      <c r="I46" s="76">
        <f t="shared" si="3"/>
        <v>0</v>
      </c>
      <c r="J46" s="80">
        <f t="shared" si="3"/>
        <v>0</v>
      </c>
      <c r="K46" s="41"/>
      <c r="L46" s="121"/>
      <c r="M46" s="121"/>
      <c r="N46" s="121"/>
      <c r="O46" s="121"/>
      <c r="P46" s="121"/>
      <c r="Q46" s="129"/>
      <c r="R46" s="92">
        <f t="shared" si="4"/>
        <v>0</v>
      </c>
      <c r="S46" s="198">
        <f t="shared" si="4"/>
        <v>0</v>
      </c>
      <c r="T46" s="197"/>
      <c r="U46" s="116"/>
      <c r="V46" s="27"/>
    </row>
    <row r="47" spans="1:24" ht="19.5" thickBot="1" x14ac:dyDescent="0.3">
      <c r="A47" s="3">
        <f t="shared" si="2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3"/>
        <v>0</v>
      </c>
      <c r="J47" s="80">
        <f t="shared" si="3"/>
        <v>0</v>
      </c>
      <c r="K47" s="41"/>
      <c r="L47" s="121"/>
      <c r="M47" s="121"/>
      <c r="N47" s="121"/>
      <c r="O47" s="121"/>
      <c r="P47" s="121"/>
      <c r="Q47" s="129"/>
      <c r="R47" s="92">
        <f t="shared" si="4"/>
        <v>0</v>
      </c>
      <c r="S47" s="198">
        <f t="shared" si="4"/>
        <v>0</v>
      </c>
      <c r="T47" s="197"/>
      <c r="U47" s="116"/>
      <c r="V47" s="27"/>
    </row>
    <row r="48" spans="1:24" ht="19.5" thickBot="1" x14ac:dyDescent="0.3">
      <c r="A48" s="3">
        <f t="shared" si="2"/>
        <v>41</v>
      </c>
      <c r="B48" s="13" t="s">
        <v>39</v>
      </c>
      <c r="C48" s="119"/>
      <c r="D48" s="120"/>
      <c r="E48" s="121"/>
      <c r="F48" s="121"/>
      <c r="G48" s="79"/>
      <c r="H48" s="76"/>
      <c r="I48" s="76">
        <f t="shared" si="3"/>
        <v>0</v>
      </c>
      <c r="J48" s="80">
        <f t="shared" si="3"/>
        <v>0</v>
      </c>
      <c r="K48" s="41"/>
      <c r="L48" s="121"/>
      <c r="M48" s="121"/>
      <c r="N48" s="121"/>
      <c r="O48" s="121"/>
      <c r="P48" s="121"/>
      <c r="Q48" s="129"/>
      <c r="R48" s="92">
        <f t="shared" si="4"/>
        <v>0</v>
      </c>
      <c r="S48" s="198">
        <f t="shared" si="4"/>
        <v>0</v>
      </c>
      <c r="T48" s="197"/>
      <c r="U48" s="116"/>
      <c r="V48" s="27"/>
    </row>
    <row r="49" spans="1:22" ht="19.5" thickBot="1" x14ac:dyDescent="0.3">
      <c r="A49" s="3">
        <f t="shared" si="2"/>
        <v>42</v>
      </c>
      <c r="B49" s="13" t="s">
        <v>72</v>
      </c>
      <c r="C49" s="119"/>
      <c r="D49" s="120"/>
      <c r="E49" s="121"/>
      <c r="F49" s="121"/>
      <c r="G49" s="79"/>
      <c r="H49" s="76"/>
      <c r="I49" s="76">
        <f t="shared" si="3"/>
        <v>0</v>
      </c>
      <c r="J49" s="80">
        <f t="shared" si="3"/>
        <v>0</v>
      </c>
      <c r="K49" s="41"/>
      <c r="L49" s="121"/>
      <c r="M49" s="121"/>
      <c r="N49" s="121"/>
      <c r="O49" s="121"/>
      <c r="P49" s="121"/>
      <c r="Q49" s="129"/>
      <c r="R49" s="92">
        <f t="shared" si="4"/>
        <v>0</v>
      </c>
      <c r="S49" s="198">
        <f t="shared" si="4"/>
        <v>0</v>
      </c>
      <c r="T49" s="197"/>
      <c r="U49" s="116"/>
      <c r="V49" s="27"/>
    </row>
    <row r="50" spans="1:22" ht="19.5" thickBot="1" x14ac:dyDescent="0.3">
      <c r="A50" s="3">
        <f t="shared" si="2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3"/>
        <v>0</v>
      </c>
      <c r="J50" s="80">
        <f t="shared" si="3"/>
        <v>0</v>
      </c>
      <c r="K50" s="41"/>
      <c r="L50" s="121"/>
      <c r="M50" s="121"/>
      <c r="N50" s="121"/>
      <c r="O50" s="121"/>
      <c r="P50" s="121"/>
      <c r="Q50" s="129"/>
      <c r="R50" s="92">
        <f t="shared" si="4"/>
        <v>0</v>
      </c>
      <c r="S50" s="198">
        <f t="shared" si="4"/>
        <v>0</v>
      </c>
      <c r="T50" s="197"/>
      <c r="U50" s="116"/>
      <c r="V50" s="27"/>
    </row>
    <row r="51" spans="1:22" ht="19.5" thickBot="1" x14ac:dyDescent="0.3">
      <c r="A51" s="3">
        <f t="shared" si="2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3"/>
        <v>0</v>
      </c>
      <c r="J51" s="80">
        <f t="shared" si="3"/>
        <v>0</v>
      </c>
      <c r="K51" s="41"/>
      <c r="L51" s="121"/>
      <c r="M51" s="121"/>
      <c r="N51" s="121"/>
      <c r="O51" s="121"/>
      <c r="P51" s="121"/>
      <c r="Q51" s="129"/>
      <c r="R51" s="92">
        <f t="shared" si="4"/>
        <v>0</v>
      </c>
      <c r="S51" s="198">
        <f t="shared" si="4"/>
        <v>0</v>
      </c>
      <c r="T51" s="197"/>
      <c r="U51" s="116"/>
      <c r="V51" s="27"/>
    </row>
    <row r="52" spans="1:22" ht="19.5" thickBot="1" x14ac:dyDescent="0.3">
      <c r="A52" s="3">
        <f t="shared" si="2"/>
        <v>45</v>
      </c>
      <c r="B52" s="13" t="s">
        <v>41</v>
      </c>
      <c r="C52" s="119"/>
      <c r="D52" s="120"/>
      <c r="E52" s="121"/>
      <c r="F52" s="121"/>
      <c r="G52" s="79"/>
      <c r="H52" s="76"/>
      <c r="I52" s="76">
        <f t="shared" si="3"/>
        <v>0</v>
      </c>
      <c r="J52" s="80">
        <f t="shared" si="3"/>
        <v>0</v>
      </c>
      <c r="K52" s="41"/>
      <c r="L52" s="121"/>
      <c r="M52" s="121"/>
      <c r="N52" s="121"/>
      <c r="O52" s="121"/>
      <c r="P52" s="121"/>
      <c r="Q52" s="129"/>
      <c r="R52" s="92">
        <f t="shared" si="4"/>
        <v>0</v>
      </c>
      <c r="S52" s="198">
        <f t="shared" si="4"/>
        <v>0</v>
      </c>
      <c r="T52" s="197"/>
      <c r="U52" s="116"/>
      <c r="V52" s="27"/>
    </row>
    <row r="53" spans="1:22" ht="19.5" thickBot="1" x14ac:dyDescent="0.3">
      <c r="A53" s="3">
        <f t="shared" si="2"/>
        <v>46</v>
      </c>
      <c r="B53" s="13" t="s">
        <v>42</v>
      </c>
      <c r="C53" s="119"/>
      <c r="D53" s="120"/>
      <c r="E53" s="121"/>
      <c r="F53" s="121"/>
      <c r="G53" s="79"/>
      <c r="H53" s="76"/>
      <c r="I53" s="76">
        <f t="shared" si="3"/>
        <v>0</v>
      </c>
      <c r="J53" s="80">
        <f t="shared" si="3"/>
        <v>0</v>
      </c>
      <c r="K53" s="41"/>
      <c r="L53" s="121"/>
      <c r="M53" s="121"/>
      <c r="N53" s="121"/>
      <c r="O53" s="121"/>
      <c r="P53" s="121"/>
      <c r="Q53" s="129"/>
      <c r="R53" s="92">
        <f t="shared" si="4"/>
        <v>0</v>
      </c>
      <c r="S53" s="198">
        <f t="shared" si="4"/>
        <v>0</v>
      </c>
      <c r="T53" s="197"/>
      <c r="U53" s="116"/>
      <c r="V53" s="27"/>
    </row>
    <row r="54" spans="1:22" ht="19.5" thickBot="1" x14ac:dyDescent="0.3">
      <c r="A54" s="3">
        <f t="shared" si="2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3"/>
        <v>0</v>
      </c>
      <c r="J54" s="80">
        <f t="shared" si="3"/>
        <v>0</v>
      </c>
      <c r="K54" s="41"/>
      <c r="L54" s="121"/>
      <c r="M54" s="121"/>
      <c r="N54" s="121"/>
      <c r="O54" s="121"/>
      <c r="P54" s="121"/>
      <c r="Q54" s="129"/>
      <c r="R54" s="92">
        <f t="shared" si="4"/>
        <v>0</v>
      </c>
      <c r="S54" s="198">
        <f t="shared" si="4"/>
        <v>0</v>
      </c>
      <c r="T54" s="197"/>
      <c r="U54" s="116"/>
      <c r="V54" s="27"/>
    </row>
    <row r="55" spans="1:22" ht="19.5" thickBot="1" x14ac:dyDescent="0.3">
      <c r="A55" s="3">
        <f t="shared" si="2"/>
        <v>48</v>
      </c>
      <c r="B55" s="13"/>
      <c r="C55" s="119"/>
      <c r="D55" s="120"/>
      <c r="E55" s="121"/>
      <c r="F55" s="121"/>
      <c r="G55" s="79"/>
      <c r="H55" s="76"/>
      <c r="I55" s="76">
        <f t="shared" si="3"/>
        <v>0</v>
      </c>
      <c r="J55" s="80">
        <f t="shared" si="3"/>
        <v>0</v>
      </c>
      <c r="K55" s="41"/>
      <c r="L55" s="121"/>
      <c r="M55" s="121"/>
      <c r="N55" s="121"/>
      <c r="O55" s="121"/>
      <c r="P55" s="121"/>
      <c r="Q55" s="129"/>
      <c r="R55" s="92">
        <f t="shared" si="4"/>
        <v>0</v>
      </c>
      <c r="S55" s="198">
        <f t="shared" si="4"/>
        <v>0</v>
      </c>
      <c r="T55" s="197"/>
      <c r="U55" s="116"/>
      <c r="V55" s="27"/>
    </row>
    <row r="56" spans="1:22" ht="19.5" thickBot="1" x14ac:dyDescent="0.3">
      <c r="A56" s="3">
        <f t="shared" si="2"/>
        <v>49</v>
      </c>
      <c r="B56" s="13"/>
      <c r="C56" s="119"/>
      <c r="D56" s="120"/>
      <c r="E56" s="121"/>
      <c r="F56" s="121"/>
      <c r="G56" s="79"/>
      <c r="H56" s="76"/>
      <c r="I56" s="76">
        <f t="shared" si="3"/>
        <v>0</v>
      </c>
      <c r="J56" s="80">
        <f t="shared" si="3"/>
        <v>0</v>
      </c>
      <c r="K56" s="41"/>
      <c r="L56" s="121"/>
      <c r="M56" s="121"/>
      <c r="N56" s="121"/>
      <c r="O56" s="121"/>
      <c r="P56" s="121"/>
      <c r="Q56" s="129"/>
      <c r="R56" s="92">
        <f t="shared" si="4"/>
        <v>0</v>
      </c>
      <c r="S56" s="198">
        <f t="shared" si="4"/>
        <v>0</v>
      </c>
      <c r="T56" s="197"/>
      <c r="U56" s="116"/>
      <c r="V56" s="27"/>
    </row>
    <row r="57" spans="1:22" ht="19.5" thickBot="1" x14ac:dyDescent="0.3">
      <c r="A57" s="3">
        <f t="shared" si="2"/>
        <v>50</v>
      </c>
      <c r="B57" s="13"/>
      <c r="C57" s="119"/>
      <c r="D57" s="120"/>
      <c r="E57" s="121"/>
      <c r="F57" s="121"/>
      <c r="G57" s="79"/>
      <c r="H57" s="76"/>
      <c r="I57" s="76">
        <f t="shared" si="3"/>
        <v>0</v>
      </c>
      <c r="J57" s="80">
        <f t="shared" si="3"/>
        <v>0</v>
      </c>
      <c r="K57" s="41"/>
      <c r="L57" s="121"/>
      <c r="M57" s="121"/>
      <c r="N57" s="121"/>
      <c r="O57" s="121"/>
      <c r="P57" s="121"/>
      <c r="Q57" s="129"/>
      <c r="R57" s="92">
        <f t="shared" si="4"/>
        <v>0</v>
      </c>
      <c r="S57" s="198">
        <f t="shared" si="4"/>
        <v>0</v>
      </c>
      <c r="T57" s="197"/>
      <c r="U57" s="116"/>
      <c r="V57" s="27"/>
    </row>
    <row r="58" spans="1:22" ht="19.5" thickBot="1" x14ac:dyDescent="0.3">
      <c r="A58" s="3">
        <f t="shared" si="2"/>
        <v>51</v>
      </c>
      <c r="B58" s="13"/>
      <c r="C58" s="119"/>
      <c r="D58" s="120"/>
      <c r="E58" s="121"/>
      <c r="F58" s="121"/>
      <c r="G58" s="79"/>
      <c r="H58" s="76"/>
      <c r="I58" s="76">
        <f t="shared" si="3"/>
        <v>0</v>
      </c>
      <c r="J58" s="80">
        <f t="shared" si="3"/>
        <v>0</v>
      </c>
      <c r="K58" s="41"/>
      <c r="L58" s="121"/>
      <c r="M58" s="121"/>
      <c r="N58" s="121"/>
      <c r="O58" s="121"/>
      <c r="P58" s="121"/>
      <c r="Q58" s="129"/>
      <c r="R58" s="92">
        <f t="shared" si="4"/>
        <v>0</v>
      </c>
      <c r="S58" s="198">
        <f t="shared" si="4"/>
        <v>0</v>
      </c>
      <c r="T58" s="197"/>
      <c r="U58" s="116"/>
      <c r="V58" s="27"/>
    </row>
    <row r="59" spans="1:22" ht="19.5" thickBot="1" x14ac:dyDescent="0.3">
      <c r="A59" s="3">
        <f t="shared" si="2"/>
        <v>52</v>
      </c>
      <c r="B59" s="13"/>
      <c r="C59" s="119"/>
      <c r="D59" s="120"/>
      <c r="E59" s="121"/>
      <c r="F59" s="121"/>
      <c r="G59" s="79"/>
      <c r="H59" s="76"/>
      <c r="I59" s="76">
        <f t="shared" si="3"/>
        <v>0</v>
      </c>
      <c r="J59" s="80">
        <f t="shared" si="3"/>
        <v>0</v>
      </c>
      <c r="K59" s="41"/>
      <c r="L59" s="121"/>
      <c r="M59" s="121"/>
      <c r="N59" s="121"/>
      <c r="O59" s="121"/>
      <c r="P59" s="121"/>
      <c r="Q59" s="129"/>
      <c r="R59" s="92">
        <f t="shared" si="4"/>
        <v>0</v>
      </c>
      <c r="S59" s="198">
        <f t="shared" si="4"/>
        <v>0</v>
      </c>
      <c r="T59" s="197"/>
      <c r="U59" s="116"/>
      <c r="V59" s="27"/>
    </row>
    <row r="60" spans="1:22" s="1" customFormat="1" ht="19.5" thickBot="1" x14ac:dyDescent="0.3">
      <c r="B60" s="15" t="s">
        <v>13</v>
      </c>
      <c r="C60" s="43">
        <f t="shared" ref="C60:J60" si="5">SUM(C8:C59)</f>
        <v>0</v>
      </c>
      <c r="D60" s="57">
        <f t="shared" si="5"/>
        <v>0</v>
      </c>
      <c r="E60" s="44">
        <f t="shared" si="5"/>
        <v>0</v>
      </c>
      <c r="F60" s="28">
        <f t="shared" si="5"/>
        <v>20</v>
      </c>
      <c r="G60" s="28">
        <f t="shared" si="5"/>
        <v>10</v>
      </c>
      <c r="H60" s="59">
        <f t="shared" si="5"/>
        <v>0</v>
      </c>
      <c r="I60" s="59">
        <f t="shared" si="5"/>
        <v>-10</v>
      </c>
      <c r="J60" s="45">
        <f t="shared" si="5"/>
        <v>0</v>
      </c>
      <c r="K60" s="46"/>
      <c r="L60" s="77">
        <f t="shared" ref="L60:S60" si="6">SUM(L8:L59)</f>
        <v>10</v>
      </c>
      <c r="M60" s="77">
        <f t="shared" si="6"/>
        <v>0</v>
      </c>
      <c r="N60" s="77">
        <f t="shared" si="6"/>
        <v>0</v>
      </c>
      <c r="O60" s="77">
        <f t="shared" si="6"/>
        <v>0</v>
      </c>
      <c r="P60" s="77">
        <f t="shared" si="6"/>
        <v>0</v>
      </c>
      <c r="Q60" s="78">
        <f t="shared" si="6"/>
        <v>0</v>
      </c>
      <c r="R60" s="91">
        <f t="shared" si="6"/>
        <v>10</v>
      </c>
      <c r="S60" s="90">
        <f t="shared" si="6"/>
        <v>0</v>
      </c>
      <c r="T60" s="46"/>
      <c r="U60" s="43"/>
      <c r="V60" s="45"/>
    </row>
    <row r="61" spans="1:22" ht="19.5" thickBot="1" x14ac:dyDescent="0.3"/>
    <row r="62" spans="1:22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2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2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2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2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2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2" ht="19.5" thickBot="1" x14ac:dyDescent="0.3"/>
    <row r="69" spans="2:22" ht="113.25" thickBot="1" x14ac:dyDescent="0.3">
      <c r="B69" s="17" t="s">
        <v>53</v>
      </c>
      <c r="C69" s="95" t="s">
        <v>3</v>
      </c>
      <c r="D69" s="96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8" t="s">
        <v>55</v>
      </c>
      <c r="V69" s="95" t="s">
        <v>56</v>
      </c>
    </row>
    <row r="70" spans="2:22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V70" s="22"/>
    </row>
    <row r="71" spans="2:22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V71" s="22"/>
    </row>
    <row r="72" spans="2:22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V72" s="22"/>
    </row>
    <row r="73" spans="2:22" ht="11.25" customHeight="1" x14ac:dyDescent="0.25"/>
    <row r="74" spans="2:22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V74" s="22"/>
    </row>
    <row r="75" spans="2:22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V75" s="22"/>
    </row>
    <row r="76" spans="2:22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V76" s="22"/>
    </row>
    <row r="77" spans="2:22" ht="11.25" customHeight="1" x14ac:dyDescent="0.25"/>
    <row r="78" spans="2:22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V78" s="22"/>
    </row>
    <row r="79" spans="2:22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V79" s="22"/>
    </row>
    <row r="80" spans="2:22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V80" s="22"/>
    </row>
    <row r="81" spans="2:22" ht="11.25" customHeight="1" x14ac:dyDescent="0.25"/>
    <row r="82" spans="2:22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V82" s="22"/>
    </row>
    <row r="83" spans="2:22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V83" s="22"/>
    </row>
    <row r="84" spans="2:22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V84" s="22"/>
    </row>
    <row r="85" spans="2:22" ht="11.25" customHeight="1" x14ac:dyDescent="0.25"/>
    <row r="86" spans="2:22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V86" s="22"/>
    </row>
    <row r="87" spans="2:22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V87" s="22"/>
    </row>
    <row r="88" spans="2:22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V88" s="22"/>
    </row>
    <row r="90" spans="2:22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V90" s="22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C1E0-EAFE-43DC-8333-CFEC58F7C5E8}">
  <sheetPr>
    <pageSetUpPr fitToPage="1"/>
  </sheetPr>
  <dimension ref="A1:BH91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46083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191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68</v>
      </c>
      <c r="D8" s="120">
        <v>21</v>
      </c>
      <c r="E8" s="121"/>
      <c r="F8" s="121"/>
      <c r="G8" s="79">
        <v>1</v>
      </c>
      <c r="H8" s="76"/>
      <c r="I8" s="76">
        <f>C8-G8</f>
        <v>67</v>
      </c>
      <c r="J8" s="80">
        <f t="shared" ref="J8:J12" si="0">D8-H8</f>
        <v>21</v>
      </c>
      <c r="K8" s="41"/>
      <c r="L8" s="121">
        <v>1</v>
      </c>
      <c r="M8" s="121"/>
      <c r="N8" s="121"/>
      <c r="O8" s="121"/>
      <c r="P8" s="121"/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1629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103</v>
      </c>
      <c r="D9" s="123"/>
      <c r="E9" s="124"/>
      <c r="F9" s="124"/>
      <c r="G9" s="81">
        <v>1</v>
      </c>
      <c r="H9" s="82"/>
      <c r="I9" s="81">
        <f t="shared" ref="I9:J59" si="4">C9-G9</f>
        <v>102</v>
      </c>
      <c r="J9" s="103">
        <f t="shared" si="0"/>
        <v>0</v>
      </c>
      <c r="K9" s="53"/>
      <c r="L9" s="130">
        <v>1</v>
      </c>
      <c r="M9" s="130"/>
      <c r="N9" s="130"/>
      <c r="O9" s="130"/>
      <c r="P9" s="130"/>
      <c r="Q9" s="131"/>
      <c r="R9" s="107">
        <f t="shared" si="1"/>
        <v>1</v>
      </c>
      <c r="S9" s="134">
        <f t="shared" si="1"/>
        <v>0</v>
      </c>
      <c r="T9" s="53"/>
      <c r="U9" s="140">
        <f>L9*24+N9*24+P9*24</f>
        <v>24</v>
      </c>
      <c r="V9" s="141">
        <f>U9/24</f>
        <v>1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82</v>
      </c>
      <c r="D10" s="120"/>
      <c r="E10" s="121"/>
      <c r="F10" s="121"/>
      <c r="G10" s="79">
        <v>2</v>
      </c>
      <c r="H10" s="76"/>
      <c r="I10" s="76">
        <f t="shared" si="4"/>
        <v>80</v>
      </c>
      <c r="J10" s="104">
        <f t="shared" si="0"/>
        <v>0</v>
      </c>
      <c r="K10" s="41"/>
      <c r="L10" s="121"/>
      <c r="M10" s="121"/>
      <c r="N10" s="121">
        <v>2</v>
      </c>
      <c r="O10" s="121"/>
      <c r="P10" s="121"/>
      <c r="Q10" s="129"/>
      <c r="R10" s="108">
        <f t="shared" si="1"/>
        <v>2</v>
      </c>
      <c r="S10" s="135">
        <f t="shared" si="1"/>
        <v>0</v>
      </c>
      <c r="T10" s="41"/>
      <c r="U10" s="116">
        <f>L10*24+N10*24+P10*24</f>
        <v>48</v>
      </c>
      <c r="V10" s="143">
        <f>U10/24</f>
        <v>2</v>
      </c>
      <c r="W10" s="138">
        <f t="shared" si="2"/>
        <v>1920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41</v>
      </c>
      <c r="D11" s="120"/>
      <c r="E11" s="121"/>
      <c r="F11" s="121"/>
      <c r="G11" s="79">
        <v>1</v>
      </c>
      <c r="H11" s="76"/>
      <c r="I11" s="76">
        <f t="shared" si="4"/>
        <v>40</v>
      </c>
      <c r="J11" s="80">
        <f t="shared" si="0"/>
        <v>0</v>
      </c>
      <c r="K11" s="41"/>
      <c r="L11" s="121">
        <v>1</v>
      </c>
      <c r="M11" s="121"/>
      <c r="N11" s="121"/>
      <c r="O11" s="121"/>
      <c r="P11" s="121"/>
      <c r="Q11" s="129"/>
      <c r="R11" s="92">
        <f t="shared" si="1"/>
        <v>1</v>
      </c>
      <c r="S11" s="133">
        <f t="shared" si="1"/>
        <v>0</v>
      </c>
      <c r="T11" s="41"/>
      <c r="U11" s="116">
        <f>L11*24+N11*24+P11*24</f>
        <v>24</v>
      </c>
      <c r="V11" s="139">
        <f>U11/24</f>
        <v>1</v>
      </c>
      <c r="W11" s="138">
        <f t="shared" si="2"/>
        <v>960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4050</v>
      </c>
      <c r="D13" s="123">
        <v>11</v>
      </c>
      <c r="E13" s="124"/>
      <c r="F13" s="124"/>
      <c r="G13" s="81">
        <v>27</v>
      </c>
      <c r="H13" s="82">
        <v>16</v>
      </c>
      <c r="I13" s="85">
        <f t="shared" si="4"/>
        <v>4023</v>
      </c>
      <c r="J13" s="103">
        <f>D13-H13</f>
        <v>-5</v>
      </c>
      <c r="K13" s="55"/>
      <c r="L13" s="130">
        <v>6</v>
      </c>
      <c r="M13" s="130">
        <v>5</v>
      </c>
      <c r="N13" s="130">
        <v>9</v>
      </c>
      <c r="O13" s="130">
        <v>3</v>
      </c>
      <c r="P13" s="130">
        <v>12</v>
      </c>
      <c r="Q13" s="131">
        <v>3</v>
      </c>
      <c r="R13" s="106">
        <f>L13+N13+P13</f>
        <v>27</v>
      </c>
      <c r="S13" s="134">
        <f>M13+O13+Q13</f>
        <v>11</v>
      </c>
      <c r="T13" s="55"/>
      <c r="U13" s="140">
        <f>L13*24+N13*24+P13*24</f>
        <v>648</v>
      </c>
      <c r="V13" s="144">
        <f t="shared" si="6"/>
        <v>27</v>
      </c>
      <c r="W13" s="142">
        <f>I13*24+J13</f>
        <v>96547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47</v>
      </c>
      <c r="D24" s="120"/>
      <c r="E24" s="121"/>
      <c r="F24" s="121"/>
      <c r="G24" s="79"/>
      <c r="H24" s="76"/>
      <c r="I24" s="76">
        <f t="shared" si="4"/>
        <v>47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1128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125</v>
      </c>
      <c r="D26" s="120">
        <v>11</v>
      </c>
      <c r="E26" s="121"/>
      <c r="F26" s="121"/>
      <c r="G26" s="79"/>
      <c r="H26" s="76"/>
      <c r="I26" s="76">
        <f t="shared" si="4"/>
        <v>125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3011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20</v>
      </c>
      <c r="D27" s="120"/>
      <c r="E27" s="121"/>
      <c r="F27" s="121"/>
      <c r="G27" s="79"/>
      <c r="H27" s="76"/>
      <c r="I27" s="76">
        <f t="shared" si="4"/>
        <v>20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480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107</v>
      </c>
      <c r="D29" s="120"/>
      <c r="E29" s="121"/>
      <c r="F29" s="121"/>
      <c r="G29" s="79">
        <v>4</v>
      </c>
      <c r="H29" s="76"/>
      <c r="I29" s="76">
        <f t="shared" si="4"/>
        <v>103</v>
      </c>
      <c r="J29" s="80">
        <f t="shared" si="4"/>
        <v>0</v>
      </c>
      <c r="K29" s="42"/>
      <c r="L29" s="121">
        <v>2</v>
      </c>
      <c r="M29" s="121"/>
      <c r="N29" s="121"/>
      <c r="O29" s="121"/>
      <c r="P29" s="121">
        <v>2</v>
      </c>
      <c r="Q29" s="129"/>
      <c r="R29" s="92">
        <f t="shared" si="7"/>
        <v>4</v>
      </c>
      <c r="S29" s="133">
        <f t="shared" si="7"/>
        <v>0</v>
      </c>
      <c r="T29" s="42"/>
      <c r="U29" s="116">
        <f t="shared" si="5"/>
        <v>96</v>
      </c>
      <c r="V29" s="139">
        <f t="shared" si="6"/>
        <v>4</v>
      </c>
      <c r="W29" s="138">
        <f t="shared" si="8"/>
        <v>2472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17</v>
      </c>
      <c r="D32" s="120"/>
      <c r="E32" s="121"/>
      <c r="F32" s="121"/>
      <c r="G32" s="79">
        <v>1</v>
      </c>
      <c r="H32" s="76"/>
      <c r="I32" s="76">
        <f t="shared" si="4"/>
        <v>16</v>
      </c>
      <c r="J32" s="80">
        <f t="shared" si="4"/>
        <v>0</v>
      </c>
      <c r="K32" s="41"/>
      <c r="L32" s="121"/>
      <c r="M32" s="121"/>
      <c r="N32" s="121">
        <v>1</v>
      </c>
      <c r="O32" s="121"/>
      <c r="P32" s="121"/>
      <c r="Q32" s="129"/>
      <c r="R32" s="92">
        <f t="shared" si="7"/>
        <v>1</v>
      </c>
      <c r="S32" s="133">
        <f t="shared" si="7"/>
        <v>0</v>
      </c>
      <c r="T32" s="41"/>
      <c r="U32" s="116">
        <f t="shared" si="5"/>
        <v>24</v>
      </c>
      <c r="V32" s="139">
        <f t="shared" si="6"/>
        <v>1</v>
      </c>
      <c r="W32" s="138">
        <f t="shared" si="8"/>
        <v>384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>
        <v>3</v>
      </c>
      <c r="D34" s="120"/>
      <c r="E34" s="121"/>
      <c r="F34" s="121"/>
      <c r="G34" s="79"/>
      <c r="H34" s="76"/>
      <c r="I34" s="76">
        <f t="shared" si="4"/>
        <v>3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72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159</v>
      </c>
      <c r="D35" s="120">
        <v>5</v>
      </c>
      <c r="E35" s="121"/>
      <c r="F35" s="121"/>
      <c r="G35" s="79">
        <v>13</v>
      </c>
      <c r="H35" s="76">
        <v>12</v>
      </c>
      <c r="I35" s="76">
        <f t="shared" si="4"/>
        <v>146</v>
      </c>
      <c r="J35" s="80">
        <f t="shared" si="4"/>
        <v>-7</v>
      </c>
      <c r="K35" s="41"/>
      <c r="L35" s="121">
        <v>2</v>
      </c>
      <c r="M35" s="121"/>
      <c r="N35" s="121">
        <v>10</v>
      </c>
      <c r="O35" s="121">
        <v>12</v>
      </c>
      <c r="P35" s="121">
        <v>1</v>
      </c>
      <c r="Q35" s="129"/>
      <c r="R35" s="92">
        <f t="shared" si="7"/>
        <v>13</v>
      </c>
      <c r="S35" s="133">
        <f t="shared" si="7"/>
        <v>12</v>
      </c>
      <c r="T35" s="41"/>
      <c r="U35" s="116">
        <f t="shared" si="5"/>
        <v>312</v>
      </c>
      <c r="V35" s="139">
        <f t="shared" si="6"/>
        <v>13</v>
      </c>
      <c r="W35" s="138">
        <f t="shared" si="8"/>
        <v>3497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4751</v>
      </c>
      <c r="D38" s="123">
        <v>2</v>
      </c>
      <c r="E38" s="124"/>
      <c r="F38" s="124"/>
      <c r="G38" s="81">
        <v>115</v>
      </c>
      <c r="H38" s="82"/>
      <c r="I38" s="148">
        <f t="shared" si="4"/>
        <v>4636</v>
      </c>
      <c r="J38" s="149">
        <f t="shared" si="4"/>
        <v>2</v>
      </c>
      <c r="K38" s="53"/>
      <c r="L38" s="130">
        <v>18</v>
      </c>
      <c r="M38" s="130"/>
      <c r="N38" s="130">
        <v>40</v>
      </c>
      <c r="O38" s="130"/>
      <c r="P38" s="130">
        <v>57</v>
      </c>
      <c r="Q38" s="131"/>
      <c r="R38" s="106">
        <f t="shared" si="7"/>
        <v>115</v>
      </c>
      <c r="S38" s="134">
        <f t="shared" si="7"/>
        <v>0</v>
      </c>
      <c r="T38" s="53"/>
      <c r="U38" s="140">
        <f>L38*6+N38*6+P38*6</f>
        <v>690</v>
      </c>
      <c r="V38" s="144">
        <f>U38/6</f>
        <v>115</v>
      </c>
      <c r="W38" s="142">
        <f>I38*6+J38</f>
        <v>27818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19</v>
      </c>
      <c r="D39" s="120"/>
      <c r="E39" s="121"/>
      <c r="F39" s="121"/>
      <c r="G39" s="79"/>
      <c r="H39" s="76"/>
      <c r="I39" s="79">
        <f t="shared" si="4"/>
        <v>19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456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560</v>
      </c>
      <c r="D41" s="156">
        <v>12</v>
      </c>
      <c r="E41" s="157"/>
      <c r="F41" s="157"/>
      <c r="G41" s="158">
        <v>1</v>
      </c>
      <c r="H41" s="159">
        <v>12</v>
      </c>
      <c r="I41" s="160">
        <f t="shared" si="4"/>
        <v>559</v>
      </c>
      <c r="J41" s="161">
        <f t="shared" si="4"/>
        <v>0</v>
      </c>
      <c r="K41" s="162"/>
      <c r="L41" s="163">
        <v>1</v>
      </c>
      <c r="M41" s="163"/>
      <c r="N41" s="163"/>
      <c r="O41" s="163">
        <v>12</v>
      </c>
      <c r="P41" s="163"/>
      <c r="Q41" s="164"/>
      <c r="R41" s="165">
        <f t="shared" si="7"/>
        <v>1</v>
      </c>
      <c r="S41" s="166">
        <f t="shared" si="7"/>
        <v>12</v>
      </c>
      <c r="T41" s="162"/>
      <c r="U41" s="167">
        <f t="shared" si="9"/>
        <v>24</v>
      </c>
      <c r="V41" s="168">
        <f t="shared" si="6"/>
        <v>1</v>
      </c>
      <c r="W41" s="168">
        <f t="shared" si="10"/>
        <v>13416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1507</v>
      </c>
      <c r="D42" s="173"/>
      <c r="E42" s="174"/>
      <c r="F42" s="174"/>
      <c r="G42" s="175">
        <v>22</v>
      </c>
      <c r="H42" s="176"/>
      <c r="I42" s="175">
        <f t="shared" si="4"/>
        <v>1485</v>
      </c>
      <c r="J42" s="177">
        <f t="shared" si="4"/>
        <v>0</v>
      </c>
      <c r="K42" s="178"/>
      <c r="L42" s="174">
        <v>12</v>
      </c>
      <c r="M42" s="174"/>
      <c r="N42" s="174">
        <v>1</v>
      </c>
      <c r="O42" s="174"/>
      <c r="P42" s="174">
        <v>9</v>
      </c>
      <c r="Q42" s="179"/>
      <c r="R42" s="180">
        <f t="shared" si="7"/>
        <v>22</v>
      </c>
      <c r="S42" s="181">
        <f t="shared" si="7"/>
        <v>0</v>
      </c>
      <c r="T42" s="178"/>
      <c r="U42" s="182">
        <f>L42*12+N42*12+P42*12</f>
        <v>264</v>
      </c>
      <c r="V42" s="183">
        <f>U42/12</f>
        <v>22</v>
      </c>
      <c r="W42" s="184">
        <f>I42*12+J42</f>
        <v>17820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34716</v>
      </c>
      <c r="D44" s="123">
        <v>4</v>
      </c>
      <c r="E44" s="124"/>
      <c r="F44" s="124"/>
      <c r="G44" s="81">
        <v>925</v>
      </c>
      <c r="H44" s="82"/>
      <c r="I44" s="76">
        <f>C44+E44-G44</f>
        <v>33791</v>
      </c>
      <c r="J44" s="186">
        <f t="shared" si="4"/>
        <v>4</v>
      </c>
      <c r="K44" s="53"/>
      <c r="L44" s="130">
        <v>308</v>
      </c>
      <c r="M44" s="130"/>
      <c r="N44" s="130">
        <v>351</v>
      </c>
      <c r="O44" s="130"/>
      <c r="P44" s="130">
        <v>266</v>
      </c>
      <c r="Q44" s="131"/>
      <c r="R44" s="187">
        <f t="shared" si="7"/>
        <v>925</v>
      </c>
      <c r="S44" s="188">
        <f t="shared" si="7"/>
        <v>0</v>
      </c>
      <c r="T44" s="53"/>
      <c r="U44" s="140">
        <f>L44*6+N44*6+P44*6</f>
        <v>5550</v>
      </c>
      <c r="V44" s="139">
        <f>U44/6</f>
        <v>925</v>
      </c>
      <c r="W44" s="142">
        <f>I44*6+J44</f>
        <v>202750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>
        <v>4</v>
      </c>
      <c r="D47" s="120"/>
      <c r="E47" s="121"/>
      <c r="F47" s="121"/>
      <c r="G47" s="79"/>
      <c r="H47" s="76"/>
      <c r="I47" s="76">
        <f t="shared" si="4"/>
        <v>4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2355</v>
      </c>
      <c r="D48" s="151">
        <v>4</v>
      </c>
      <c r="E48" s="130"/>
      <c r="F48" s="130"/>
      <c r="G48" s="152"/>
      <c r="H48" s="148"/>
      <c r="I48" s="148">
        <f t="shared" si="4"/>
        <v>2355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14134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7</v>
      </c>
      <c r="D54" s="120"/>
      <c r="E54" s="121"/>
      <c r="F54" s="121"/>
      <c r="G54" s="79">
        <v>1</v>
      </c>
      <c r="H54" s="76"/>
      <c r="I54" s="76">
        <f t="shared" si="4"/>
        <v>6</v>
      </c>
      <c r="J54" s="80">
        <f t="shared" si="4"/>
        <v>0</v>
      </c>
      <c r="K54" s="41"/>
      <c r="L54" s="121"/>
      <c r="M54" s="121"/>
      <c r="N54" s="121"/>
      <c r="O54" s="121"/>
      <c r="P54" s="121">
        <v>1</v>
      </c>
      <c r="Q54" s="129"/>
      <c r="R54" s="92">
        <f t="shared" si="7"/>
        <v>1</v>
      </c>
      <c r="S54" s="133">
        <f t="shared" si="7"/>
        <v>0</v>
      </c>
      <c r="T54" s="41"/>
      <c r="U54" s="116">
        <f t="shared" si="17"/>
        <v>24</v>
      </c>
      <c r="V54" s="139">
        <f t="shared" si="18"/>
        <v>1</v>
      </c>
      <c r="W54" s="138">
        <f t="shared" si="19"/>
        <v>144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48888</v>
      </c>
      <c r="D60" s="57">
        <f>SUM(D8:D59)</f>
        <v>70</v>
      </c>
      <c r="E60" s="44">
        <f>SUM(E8:E59)</f>
        <v>0</v>
      </c>
      <c r="F60" s="44"/>
      <c r="G60" s="28">
        <f>SUM(G8:G59)</f>
        <v>1114</v>
      </c>
      <c r="H60" s="59">
        <f>SUM(H8:H59)</f>
        <v>40</v>
      </c>
      <c r="I60" s="59">
        <f>SUM(I8:I59)</f>
        <v>47774</v>
      </c>
      <c r="J60" s="45">
        <f>SUM(J8:J59)</f>
        <v>30</v>
      </c>
      <c r="K60" s="46"/>
      <c r="L60" s="77">
        <f t="shared" ref="L60:S60" si="20">SUM(L8:L59)</f>
        <v>352</v>
      </c>
      <c r="M60" s="77">
        <f t="shared" si="20"/>
        <v>5</v>
      </c>
      <c r="N60" s="77">
        <f t="shared" si="20"/>
        <v>414</v>
      </c>
      <c r="O60" s="77">
        <f t="shared" si="20"/>
        <v>27</v>
      </c>
      <c r="P60" s="77">
        <f t="shared" si="20"/>
        <v>348</v>
      </c>
      <c r="Q60" s="78">
        <f t="shared" si="20"/>
        <v>3</v>
      </c>
      <c r="R60" s="91">
        <f t="shared" si="20"/>
        <v>1114</v>
      </c>
      <c r="S60" s="90">
        <f t="shared" si="20"/>
        <v>35</v>
      </c>
      <c r="T60" s="46"/>
      <c r="U60" s="43">
        <f>SUM(U8:U59)</f>
        <v>7752</v>
      </c>
      <c r="V60" s="111">
        <f>SUM(V8:V59)</f>
        <v>1114</v>
      </c>
      <c r="W60" s="204">
        <f>SUM(W8:W59)</f>
        <v>394098</v>
      </c>
      <c r="X60" s="45"/>
    </row>
    <row r="61" spans="1:24" x14ac:dyDescent="0.25">
      <c r="V61" s="112"/>
    </row>
    <row r="62" spans="1:24" ht="19.5" thickBot="1" x14ac:dyDescent="0.3">
      <c r="V62" s="203"/>
    </row>
    <row r="63" spans="1:24" ht="18.75" customHeight="1" x14ac:dyDescent="0.25">
      <c r="G63" s="238" t="s">
        <v>65</v>
      </c>
      <c r="H63" s="60"/>
      <c r="I63" s="60"/>
      <c r="J63" s="23" t="s">
        <v>66</v>
      </c>
      <c r="L63" s="30"/>
      <c r="M63" s="65"/>
      <c r="N63" s="31"/>
      <c r="O63" s="31"/>
      <c r="P63" s="31"/>
      <c r="Q63" s="70"/>
      <c r="R63" s="70"/>
      <c r="S63" s="32"/>
    </row>
    <row r="64" spans="1:24" x14ac:dyDescent="0.25">
      <c r="G64" s="239"/>
      <c r="H64" s="61"/>
      <c r="I64" s="61"/>
      <c r="J64" s="24" t="s">
        <v>51</v>
      </c>
      <c r="L64" s="33"/>
      <c r="M64" s="66"/>
      <c r="N64" s="34"/>
      <c r="O64" s="34"/>
      <c r="P64" s="34"/>
      <c r="Q64" s="71"/>
      <c r="R64" s="71"/>
      <c r="S64" s="35"/>
    </row>
    <row r="65" spans="2:24" x14ac:dyDescent="0.25">
      <c r="G65" s="240"/>
      <c r="H65" s="62"/>
      <c r="I65" s="62"/>
      <c r="J65" s="24" t="s">
        <v>52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 t="s">
        <v>64</v>
      </c>
      <c r="H66" s="63"/>
      <c r="I66" s="63"/>
      <c r="J66" s="24" t="s">
        <v>66</v>
      </c>
      <c r="L66" s="36"/>
      <c r="M66" s="67"/>
      <c r="N66" s="37"/>
      <c r="O66" s="37"/>
      <c r="P66" s="37"/>
      <c r="Q66" s="72"/>
      <c r="R66" s="72"/>
      <c r="S66" s="38"/>
    </row>
    <row r="67" spans="2:24" x14ac:dyDescent="0.25">
      <c r="G67" s="241"/>
      <c r="H67" s="63"/>
      <c r="I67" s="63"/>
      <c r="J67" s="24" t="s">
        <v>51</v>
      </c>
      <c r="L67" s="33"/>
      <c r="M67" s="66"/>
      <c r="N67" s="34"/>
      <c r="O67" s="34"/>
      <c r="P67" s="34"/>
      <c r="Q67" s="71"/>
      <c r="R67" s="71"/>
      <c r="S67" s="35"/>
    </row>
    <row r="68" spans="2:24" ht="19.5" thickBot="1" x14ac:dyDescent="0.3">
      <c r="G68" s="242"/>
      <c r="H68" s="64"/>
      <c r="I68" s="64"/>
      <c r="J68" s="25" t="s">
        <v>52</v>
      </c>
      <c r="L68" s="39"/>
      <c r="M68" s="68"/>
      <c r="N68" s="40"/>
      <c r="O68" s="40"/>
      <c r="P68" s="40"/>
      <c r="Q68" s="73"/>
      <c r="R68" s="73"/>
      <c r="S68" s="29"/>
    </row>
    <row r="69" spans="2:24" ht="19.5" thickBot="1" x14ac:dyDescent="0.3"/>
    <row r="70" spans="2:24" ht="49.5" customHeight="1" thickBot="1" x14ac:dyDescent="0.3">
      <c r="B70" s="17" t="s">
        <v>53</v>
      </c>
      <c r="C70" s="189" t="s">
        <v>3</v>
      </c>
      <c r="D70" s="190"/>
      <c r="E70" s="18" t="s">
        <v>54</v>
      </c>
      <c r="L70" s="19" t="s">
        <v>10</v>
      </c>
      <c r="M70" s="69"/>
      <c r="N70" s="20" t="s">
        <v>11</v>
      </c>
      <c r="O70" s="20"/>
      <c r="P70" s="20" t="s">
        <v>12</v>
      </c>
      <c r="Q70" s="74"/>
      <c r="R70" s="74"/>
      <c r="S70" s="109" t="s">
        <v>55</v>
      </c>
      <c r="X70" s="110" t="s">
        <v>56</v>
      </c>
    </row>
    <row r="71" spans="2:24" x14ac:dyDescent="0.25">
      <c r="B71" s="21" t="s">
        <v>31</v>
      </c>
      <c r="C71" s="11"/>
      <c r="D71" s="11"/>
      <c r="E71" s="22"/>
      <c r="L71" s="11"/>
      <c r="M71" s="11"/>
      <c r="N71" s="11"/>
      <c r="O71" s="11"/>
      <c r="P71" s="11"/>
      <c r="Q71" s="11"/>
      <c r="R71" s="11"/>
      <c r="S71" s="11"/>
      <c r="X71" s="22"/>
    </row>
    <row r="72" spans="2:24" x14ac:dyDescent="0.25">
      <c r="B72" s="16" t="s">
        <v>57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x14ac:dyDescent="0.25">
      <c r="B73" s="16" t="s">
        <v>58</v>
      </c>
      <c r="C73" s="11"/>
      <c r="D73" s="11"/>
      <c r="E73" s="22"/>
      <c r="L73" s="22"/>
      <c r="M73" s="22"/>
      <c r="N73" s="22"/>
      <c r="O73" s="22"/>
      <c r="P73" s="22"/>
      <c r="Q73" s="22"/>
      <c r="R73" s="22"/>
      <c r="S73" s="22"/>
      <c r="X73" s="22"/>
    </row>
    <row r="74" spans="2:24" ht="11.25" customHeight="1" x14ac:dyDescent="0.25"/>
    <row r="75" spans="2:24" x14ac:dyDescent="0.25">
      <c r="B75" s="16" t="s">
        <v>59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57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x14ac:dyDescent="0.25">
      <c r="B77" s="16" t="s">
        <v>58</v>
      </c>
      <c r="C77" s="22"/>
      <c r="D77" s="22"/>
      <c r="E77" s="22"/>
      <c r="L77" s="22"/>
      <c r="M77" s="22"/>
      <c r="N77" s="22"/>
      <c r="O77" s="22"/>
      <c r="P77" s="22"/>
      <c r="Q77" s="22"/>
      <c r="R77" s="22"/>
      <c r="S77" s="22"/>
      <c r="X77" s="22"/>
    </row>
    <row r="78" spans="2:24" ht="11.25" customHeight="1" x14ac:dyDescent="0.25"/>
    <row r="79" spans="2:24" x14ac:dyDescent="0.25">
      <c r="B79" s="16" t="s">
        <v>60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57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x14ac:dyDescent="0.25">
      <c r="B81" s="16" t="s">
        <v>58</v>
      </c>
      <c r="C81" s="22"/>
      <c r="D81" s="22"/>
      <c r="E81" s="22"/>
      <c r="L81" s="22"/>
      <c r="M81" s="22"/>
      <c r="N81" s="22"/>
      <c r="O81" s="22"/>
      <c r="P81" s="22"/>
      <c r="Q81" s="22"/>
      <c r="R81" s="22"/>
      <c r="S81" s="22"/>
      <c r="X81" s="22"/>
    </row>
    <row r="82" spans="2:24" ht="11.25" customHeight="1" x14ac:dyDescent="0.25"/>
    <row r="83" spans="2:24" x14ac:dyDescent="0.25">
      <c r="B83" s="16" t="s">
        <v>61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57</v>
      </c>
      <c r="C84" s="22"/>
      <c r="D84" s="22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x14ac:dyDescent="0.25">
      <c r="B85" s="16" t="s">
        <v>58</v>
      </c>
      <c r="C85" s="11"/>
      <c r="D85" s="11"/>
      <c r="E85" s="22"/>
      <c r="L85" s="22"/>
      <c r="M85" s="22"/>
      <c r="N85" s="22"/>
      <c r="O85" s="22"/>
      <c r="P85" s="22"/>
      <c r="Q85" s="22"/>
      <c r="R85" s="22"/>
      <c r="S85" s="22"/>
      <c r="X85" s="22"/>
    </row>
    <row r="86" spans="2:24" ht="11.25" customHeight="1" x14ac:dyDescent="0.25"/>
    <row r="87" spans="2:24" x14ac:dyDescent="0.25">
      <c r="B87" s="16" t="s">
        <v>62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57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89" spans="2:24" x14ac:dyDescent="0.25">
      <c r="B89" s="16" t="s">
        <v>58</v>
      </c>
      <c r="C89" s="22"/>
      <c r="D89" s="22"/>
      <c r="E89" s="22"/>
      <c r="L89" s="22"/>
      <c r="M89" s="22"/>
      <c r="N89" s="22"/>
      <c r="O89" s="22"/>
      <c r="P89" s="22"/>
      <c r="Q89" s="22"/>
      <c r="R89" s="22"/>
      <c r="S89" s="22"/>
      <c r="X89" s="22"/>
    </row>
    <row r="91" spans="2:24" x14ac:dyDescent="0.25">
      <c r="B91" s="16" t="s">
        <v>63</v>
      </c>
      <c r="C91" s="22"/>
      <c r="D91" s="22"/>
      <c r="E91" s="22"/>
      <c r="L91" s="22"/>
      <c r="M91" s="22"/>
      <c r="N91" s="22"/>
      <c r="O91" s="22"/>
      <c r="P91" s="22"/>
      <c r="Q91" s="22"/>
      <c r="R91" s="22"/>
      <c r="S91" s="22"/>
      <c r="X91" s="22"/>
    </row>
  </sheetData>
  <mergeCells count="12">
    <mergeCell ref="G63:G65"/>
    <mergeCell ref="G66:G68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4647-763D-4F06-8122-C3689A2C10F0}">
  <sheetPr>
    <pageSetUpPr fitToPage="1"/>
  </sheetPr>
  <dimension ref="A1:BH90"/>
  <sheetViews>
    <sheetView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46084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191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67</v>
      </c>
      <c r="D8" s="120">
        <v>21</v>
      </c>
      <c r="E8" s="121"/>
      <c r="F8" s="121"/>
      <c r="G8" s="79">
        <v>1</v>
      </c>
      <c r="H8" s="76"/>
      <c r="I8" s="76">
        <f>C8-G8</f>
        <v>66</v>
      </c>
      <c r="J8" s="80">
        <f t="shared" ref="J8:J12" si="0">D8-H8</f>
        <v>21</v>
      </c>
      <c r="K8" s="41"/>
      <c r="L8" s="121"/>
      <c r="M8" s="121"/>
      <c r="N8" s="121"/>
      <c r="O8" s="121"/>
      <c r="P8" s="121">
        <v>1</v>
      </c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1605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/>
      <c r="H9" s="82"/>
      <c r="I9" s="81">
        <f t="shared" ref="I9:J59" si="4">C9-G9</f>
        <v>102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80</v>
      </c>
      <c r="D10" s="120"/>
      <c r="E10" s="121"/>
      <c r="F10" s="121"/>
      <c r="G10" s="79">
        <v>4</v>
      </c>
      <c r="H10" s="76"/>
      <c r="I10" s="76">
        <f t="shared" si="4"/>
        <v>76</v>
      </c>
      <c r="J10" s="104">
        <f t="shared" si="0"/>
        <v>0</v>
      </c>
      <c r="K10" s="41"/>
      <c r="L10" s="121">
        <v>1</v>
      </c>
      <c r="M10" s="121"/>
      <c r="N10" s="121">
        <v>2</v>
      </c>
      <c r="O10" s="121"/>
      <c r="P10" s="121">
        <v>1</v>
      </c>
      <c r="Q10" s="129"/>
      <c r="R10" s="108">
        <f t="shared" si="1"/>
        <v>4</v>
      </c>
      <c r="S10" s="135">
        <f t="shared" si="1"/>
        <v>0</v>
      </c>
      <c r="T10" s="41"/>
      <c r="U10" s="116">
        <f>L10*24+N10*24+P10*24</f>
        <v>96</v>
      </c>
      <c r="V10" s="143">
        <f>U10/24</f>
        <v>4</v>
      </c>
      <c r="W10" s="138">
        <f t="shared" si="2"/>
        <v>1824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40</v>
      </c>
      <c r="D11" s="120"/>
      <c r="E11" s="121"/>
      <c r="F11" s="121"/>
      <c r="G11" s="79">
        <v>1</v>
      </c>
      <c r="H11" s="76"/>
      <c r="I11" s="76">
        <f t="shared" si="4"/>
        <v>39</v>
      </c>
      <c r="J11" s="80">
        <f t="shared" si="0"/>
        <v>0</v>
      </c>
      <c r="K11" s="41"/>
      <c r="L11" s="121">
        <v>1</v>
      </c>
      <c r="M11" s="121"/>
      <c r="N11" s="121"/>
      <c r="O11" s="121"/>
      <c r="P11" s="121"/>
      <c r="Q11" s="129"/>
      <c r="R11" s="92">
        <f t="shared" si="1"/>
        <v>1</v>
      </c>
      <c r="S11" s="133">
        <f t="shared" si="1"/>
        <v>0</v>
      </c>
      <c r="T11" s="41"/>
      <c r="U11" s="116">
        <f>L11*24+N11*24+P11*24</f>
        <v>24</v>
      </c>
      <c r="V11" s="139">
        <f>U11/24</f>
        <v>1</v>
      </c>
      <c r="W11" s="138">
        <f t="shared" si="2"/>
        <v>936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4022</v>
      </c>
      <c r="D13" s="123">
        <v>19</v>
      </c>
      <c r="E13" s="124"/>
      <c r="F13" s="124"/>
      <c r="G13" s="81">
        <v>22</v>
      </c>
      <c r="H13" s="82">
        <v>23</v>
      </c>
      <c r="I13" s="85">
        <f t="shared" si="4"/>
        <v>4000</v>
      </c>
      <c r="J13" s="103">
        <f>D13-H13</f>
        <v>-4</v>
      </c>
      <c r="K13" s="55"/>
      <c r="L13" s="130"/>
      <c r="M13" s="130">
        <v>9</v>
      </c>
      <c r="N13" s="130">
        <v>7</v>
      </c>
      <c r="O13" s="130">
        <v>14</v>
      </c>
      <c r="P13" s="130">
        <v>15</v>
      </c>
      <c r="Q13" s="131"/>
      <c r="R13" s="106">
        <f>L13+N13+P13</f>
        <v>22</v>
      </c>
      <c r="S13" s="134">
        <f>M13+O13+Q13</f>
        <v>23</v>
      </c>
      <c r="T13" s="55"/>
      <c r="U13" s="140">
        <f>L13*24+N13*24+P13*24</f>
        <v>528</v>
      </c>
      <c r="V13" s="144">
        <f t="shared" si="6"/>
        <v>22</v>
      </c>
      <c r="W13" s="142">
        <f>I13*24+J13</f>
        <v>95996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47</v>
      </c>
      <c r="D24" s="120"/>
      <c r="E24" s="121"/>
      <c r="F24" s="121"/>
      <c r="G24" s="79"/>
      <c r="H24" s="76"/>
      <c r="I24" s="76">
        <f t="shared" si="4"/>
        <v>47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1128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125</v>
      </c>
      <c r="D26" s="120">
        <v>11</v>
      </c>
      <c r="E26" s="121"/>
      <c r="F26" s="121"/>
      <c r="G26" s="79"/>
      <c r="H26" s="76"/>
      <c r="I26" s="76">
        <f t="shared" si="4"/>
        <v>125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3011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20</v>
      </c>
      <c r="D27" s="120"/>
      <c r="E27" s="121"/>
      <c r="F27" s="121"/>
      <c r="G27" s="79"/>
      <c r="H27" s="76"/>
      <c r="I27" s="76">
        <f t="shared" si="4"/>
        <v>20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480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103</v>
      </c>
      <c r="D29" s="120"/>
      <c r="E29" s="121"/>
      <c r="F29" s="121"/>
      <c r="G29" s="79">
        <v>3</v>
      </c>
      <c r="H29" s="76"/>
      <c r="I29" s="76">
        <f t="shared" si="4"/>
        <v>100</v>
      </c>
      <c r="J29" s="80">
        <f t="shared" si="4"/>
        <v>0</v>
      </c>
      <c r="K29" s="42"/>
      <c r="L29" s="121"/>
      <c r="M29" s="121"/>
      <c r="N29" s="121"/>
      <c r="O29" s="121"/>
      <c r="P29" s="121">
        <v>3</v>
      </c>
      <c r="Q29" s="129"/>
      <c r="R29" s="92">
        <f t="shared" si="7"/>
        <v>3</v>
      </c>
      <c r="S29" s="133">
        <f t="shared" si="7"/>
        <v>0</v>
      </c>
      <c r="T29" s="42"/>
      <c r="U29" s="116">
        <f t="shared" si="5"/>
        <v>72</v>
      </c>
      <c r="V29" s="139">
        <f t="shared" si="6"/>
        <v>3</v>
      </c>
      <c r="W29" s="138">
        <f t="shared" si="8"/>
        <v>2400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16</v>
      </c>
      <c r="D32" s="120"/>
      <c r="E32" s="121"/>
      <c r="F32" s="121"/>
      <c r="G32" s="79">
        <v>1</v>
      </c>
      <c r="H32" s="76"/>
      <c r="I32" s="76">
        <f t="shared" si="4"/>
        <v>15</v>
      </c>
      <c r="J32" s="80">
        <f t="shared" si="4"/>
        <v>0</v>
      </c>
      <c r="K32" s="41"/>
      <c r="L32" s="121"/>
      <c r="M32" s="121"/>
      <c r="N32" s="121">
        <v>1</v>
      </c>
      <c r="O32" s="121"/>
      <c r="P32" s="121"/>
      <c r="Q32" s="129"/>
      <c r="R32" s="92">
        <f t="shared" si="7"/>
        <v>1</v>
      </c>
      <c r="S32" s="133">
        <f t="shared" si="7"/>
        <v>0</v>
      </c>
      <c r="T32" s="41"/>
      <c r="U32" s="116">
        <f t="shared" si="5"/>
        <v>24</v>
      </c>
      <c r="V32" s="139">
        <f t="shared" si="6"/>
        <v>1</v>
      </c>
      <c r="W32" s="138">
        <f t="shared" si="8"/>
        <v>360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>
        <v>3</v>
      </c>
      <c r="D34" s="120"/>
      <c r="E34" s="121"/>
      <c r="F34" s="121"/>
      <c r="G34" s="79"/>
      <c r="H34" s="76"/>
      <c r="I34" s="76">
        <f t="shared" si="4"/>
        <v>3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72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145</v>
      </c>
      <c r="D35" s="120">
        <v>17</v>
      </c>
      <c r="E35" s="121"/>
      <c r="F35" s="121"/>
      <c r="G35" s="79"/>
      <c r="H35" s="76"/>
      <c r="I35" s="76">
        <f t="shared" si="4"/>
        <v>145</v>
      </c>
      <c r="J35" s="80">
        <f t="shared" si="4"/>
        <v>17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3497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4636</v>
      </c>
      <c r="D38" s="123">
        <v>2</v>
      </c>
      <c r="E38" s="124"/>
      <c r="F38" s="124"/>
      <c r="G38" s="81">
        <v>138</v>
      </c>
      <c r="H38" s="82"/>
      <c r="I38" s="148">
        <f t="shared" si="4"/>
        <v>4498</v>
      </c>
      <c r="J38" s="149">
        <f t="shared" si="4"/>
        <v>2</v>
      </c>
      <c r="K38" s="53"/>
      <c r="L38" s="130">
        <v>31</v>
      </c>
      <c r="M38" s="130"/>
      <c r="N38" s="130">
        <v>71</v>
      </c>
      <c r="O38" s="130"/>
      <c r="P38" s="130">
        <v>36</v>
      </c>
      <c r="Q38" s="131"/>
      <c r="R38" s="106">
        <f t="shared" si="7"/>
        <v>138</v>
      </c>
      <c r="S38" s="134">
        <f t="shared" si="7"/>
        <v>0</v>
      </c>
      <c r="T38" s="53"/>
      <c r="U38" s="140">
        <f>L38*6+N38*6+P38*6</f>
        <v>828</v>
      </c>
      <c r="V38" s="144">
        <f>U38/6</f>
        <v>138</v>
      </c>
      <c r="W38" s="142">
        <f>I38*6+J38</f>
        <v>26990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19</v>
      </c>
      <c r="D39" s="120"/>
      <c r="E39" s="121"/>
      <c r="F39" s="121"/>
      <c r="G39" s="79"/>
      <c r="H39" s="76"/>
      <c r="I39" s="79">
        <f t="shared" si="4"/>
        <v>19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456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559</v>
      </c>
      <c r="D41" s="156"/>
      <c r="E41" s="157"/>
      <c r="F41" s="157"/>
      <c r="G41" s="158">
        <v>1</v>
      </c>
      <c r="H41" s="159"/>
      <c r="I41" s="160">
        <f t="shared" si="4"/>
        <v>558</v>
      </c>
      <c r="J41" s="161">
        <f t="shared" si="4"/>
        <v>0</v>
      </c>
      <c r="K41" s="162"/>
      <c r="L41" s="163"/>
      <c r="M41" s="163"/>
      <c r="N41" s="163"/>
      <c r="O41" s="163"/>
      <c r="P41" s="163">
        <v>1</v>
      </c>
      <c r="Q41" s="164"/>
      <c r="R41" s="165">
        <f t="shared" si="7"/>
        <v>1</v>
      </c>
      <c r="S41" s="166">
        <f t="shared" si="7"/>
        <v>0</v>
      </c>
      <c r="T41" s="162"/>
      <c r="U41" s="167">
        <f t="shared" si="9"/>
        <v>24</v>
      </c>
      <c r="V41" s="168">
        <f t="shared" si="6"/>
        <v>1</v>
      </c>
      <c r="W41" s="168">
        <f t="shared" si="10"/>
        <v>13392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1485</v>
      </c>
      <c r="D42" s="173"/>
      <c r="E42" s="174"/>
      <c r="F42" s="174"/>
      <c r="G42" s="175">
        <v>29</v>
      </c>
      <c r="H42" s="176"/>
      <c r="I42" s="175">
        <f t="shared" si="4"/>
        <v>1456</v>
      </c>
      <c r="J42" s="177">
        <f t="shared" si="4"/>
        <v>0</v>
      </c>
      <c r="K42" s="178"/>
      <c r="L42" s="174">
        <v>7</v>
      </c>
      <c r="M42" s="174"/>
      <c r="N42" s="174">
        <v>2</v>
      </c>
      <c r="O42" s="174"/>
      <c r="P42" s="174">
        <v>20</v>
      </c>
      <c r="Q42" s="179"/>
      <c r="R42" s="180">
        <f t="shared" si="7"/>
        <v>29</v>
      </c>
      <c r="S42" s="181">
        <f t="shared" si="7"/>
        <v>0</v>
      </c>
      <c r="T42" s="178"/>
      <c r="U42" s="182">
        <f>L42*12+N42*12+P42*12</f>
        <v>348</v>
      </c>
      <c r="V42" s="183">
        <f>U42/12</f>
        <v>29</v>
      </c>
      <c r="W42" s="184">
        <f>I42*12+J42</f>
        <v>17472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33791</v>
      </c>
      <c r="D44" s="123">
        <v>4</v>
      </c>
      <c r="E44" s="124"/>
      <c r="F44" s="124"/>
      <c r="G44" s="81">
        <v>897</v>
      </c>
      <c r="H44" s="82"/>
      <c r="I44" s="76">
        <f>C44+E44-G44</f>
        <v>32894</v>
      </c>
      <c r="J44" s="186">
        <f t="shared" si="4"/>
        <v>4</v>
      </c>
      <c r="K44" s="53"/>
      <c r="L44" s="130">
        <v>382</v>
      </c>
      <c r="M44" s="130"/>
      <c r="N44" s="130">
        <v>224</v>
      </c>
      <c r="O44" s="130"/>
      <c r="P44" s="130">
        <v>291</v>
      </c>
      <c r="Q44" s="131"/>
      <c r="R44" s="187">
        <f t="shared" si="7"/>
        <v>897</v>
      </c>
      <c r="S44" s="188">
        <f t="shared" si="7"/>
        <v>0</v>
      </c>
      <c r="T44" s="53"/>
      <c r="U44" s="140">
        <f>L44*6+N44*6+P44*6</f>
        <v>5382</v>
      </c>
      <c r="V44" s="139">
        <f>U44/6</f>
        <v>897</v>
      </c>
      <c r="W44" s="142">
        <f>I44*6+J44</f>
        <v>197368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>
        <v>4</v>
      </c>
      <c r="D47" s="120"/>
      <c r="E47" s="121"/>
      <c r="F47" s="121"/>
      <c r="G47" s="79"/>
      <c r="H47" s="76"/>
      <c r="I47" s="76">
        <f t="shared" si="4"/>
        <v>4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2355</v>
      </c>
      <c r="D48" s="151">
        <v>4</v>
      </c>
      <c r="E48" s="130"/>
      <c r="F48" s="130"/>
      <c r="G48" s="152">
        <v>3</v>
      </c>
      <c r="H48" s="148"/>
      <c r="I48" s="148">
        <f t="shared" si="4"/>
        <v>2352</v>
      </c>
      <c r="J48" s="149">
        <f t="shared" si="4"/>
        <v>4</v>
      </c>
      <c r="K48" s="53"/>
      <c r="L48" s="130">
        <v>3</v>
      </c>
      <c r="M48" s="130"/>
      <c r="N48" s="130"/>
      <c r="O48" s="130"/>
      <c r="P48" s="130"/>
      <c r="Q48" s="131"/>
      <c r="R48" s="106">
        <f t="shared" si="7"/>
        <v>3</v>
      </c>
      <c r="S48" s="153">
        <f t="shared" si="7"/>
        <v>0</v>
      </c>
      <c r="T48" s="53"/>
      <c r="U48" s="140">
        <f>L48*6+N48*6+P48*6</f>
        <v>18</v>
      </c>
      <c r="V48" s="144">
        <f>U48/6</f>
        <v>3</v>
      </c>
      <c r="W48" s="142">
        <f>I48*6+J48</f>
        <v>14116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6</v>
      </c>
      <c r="D54" s="120"/>
      <c r="E54" s="121"/>
      <c r="F54" s="121"/>
      <c r="G54" s="79"/>
      <c r="H54" s="76"/>
      <c r="I54" s="76">
        <f t="shared" si="4"/>
        <v>6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144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47772</v>
      </c>
      <c r="D60" s="57">
        <f>SUM(D8:D59)</f>
        <v>78</v>
      </c>
      <c r="E60" s="44">
        <f>SUM(E8:E59)</f>
        <v>0</v>
      </c>
      <c r="F60" s="44"/>
      <c r="G60" s="28">
        <f>SUM(G8:G59)</f>
        <v>1100</v>
      </c>
      <c r="H60" s="59">
        <f>SUM(H8:H59)</f>
        <v>23</v>
      </c>
      <c r="I60" s="59">
        <f>SUM(I8:I59)</f>
        <v>46672</v>
      </c>
      <c r="J60" s="45">
        <f>SUM(J8:J59)</f>
        <v>55</v>
      </c>
      <c r="K60" s="46"/>
      <c r="L60" s="77">
        <f t="shared" ref="L60:S60" si="20">SUM(L8:L59)</f>
        <v>425</v>
      </c>
      <c r="M60" s="77">
        <f t="shared" si="20"/>
        <v>9</v>
      </c>
      <c r="N60" s="77">
        <f t="shared" si="20"/>
        <v>307</v>
      </c>
      <c r="O60" s="77">
        <f t="shared" si="20"/>
        <v>14</v>
      </c>
      <c r="P60" s="77">
        <f t="shared" si="20"/>
        <v>368</v>
      </c>
      <c r="Q60" s="78">
        <f t="shared" si="20"/>
        <v>0</v>
      </c>
      <c r="R60" s="91">
        <f t="shared" si="20"/>
        <v>1100</v>
      </c>
      <c r="S60" s="90">
        <f t="shared" si="20"/>
        <v>23</v>
      </c>
      <c r="T60" s="46"/>
      <c r="U60" s="43">
        <f>SUM(U8:U59)</f>
        <v>7368</v>
      </c>
      <c r="V60" s="111">
        <f>SUM(V8:V59)</f>
        <v>1100</v>
      </c>
      <c r="W60" s="204">
        <f>SUM(W8:W59)</f>
        <v>386707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761-5F28-4007-8E21-DF989CFDFD6A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46085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191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66</v>
      </c>
      <c r="D8" s="120">
        <v>21</v>
      </c>
      <c r="E8" s="121"/>
      <c r="F8" s="121"/>
      <c r="G8" s="79"/>
      <c r="H8" s="76"/>
      <c r="I8" s="76">
        <f>C8-G8</f>
        <v>66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1605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/>
      <c r="H9" s="82"/>
      <c r="I9" s="81">
        <f t="shared" ref="I9:J59" si="4">C9-G9</f>
        <v>102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76</v>
      </c>
      <c r="D10" s="120"/>
      <c r="E10" s="121"/>
      <c r="F10" s="121"/>
      <c r="G10" s="79">
        <v>8</v>
      </c>
      <c r="H10" s="76"/>
      <c r="I10" s="76">
        <f t="shared" si="4"/>
        <v>68</v>
      </c>
      <c r="J10" s="104">
        <f t="shared" si="0"/>
        <v>0</v>
      </c>
      <c r="K10" s="41"/>
      <c r="L10" s="121"/>
      <c r="M10" s="121"/>
      <c r="N10" s="121"/>
      <c r="O10" s="121"/>
      <c r="P10" s="121">
        <v>8</v>
      </c>
      <c r="Q10" s="129"/>
      <c r="R10" s="108">
        <f t="shared" si="1"/>
        <v>8</v>
      </c>
      <c r="S10" s="135">
        <f t="shared" si="1"/>
        <v>0</v>
      </c>
      <c r="T10" s="41"/>
      <c r="U10" s="116">
        <f>L10*24+N10*24+P10*24</f>
        <v>192</v>
      </c>
      <c r="V10" s="143">
        <f>U10/24</f>
        <v>8</v>
      </c>
      <c r="W10" s="138">
        <f t="shared" si="2"/>
        <v>1632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39</v>
      </c>
      <c r="D11" s="120"/>
      <c r="E11" s="121"/>
      <c r="F11" s="121"/>
      <c r="G11" s="79">
        <v>3</v>
      </c>
      <c r="H11" s="76"/>
      <c r="I11" s="76">
        <f t="shared" si="4"/>
        <v>36</v>
      </c>
      <c r="J11" s="80">
        <f t="shared" si="0"/>
        <v>0</v>
      </c>
      <c r="K11" s="41"/>
      <c r="L11" s="121"/>
      <c r="M11" s="121"/>
      <c r="N11" s="121">
        <v>2</v>
      </c>
      <c r="O11" s="121"/>
      <c r="P11" s="121">
        <v>1</v>
      </c>
      <c r="Q11" s="129"/>
      <c r="R11" s="92">
        <f t="shared" si="1"/>
        <v>3</v>
      </c>
      <c r="S11" s="133">
        <f t="shared" si="1"/>
        <v>0</v>
      </c>
      <c r="T11" s="41"/>
      <c r="U11" s="116">
        <f>L11*24+N11*24+P11*24</f>
        <v>72</v>
      </c>
      <c r="V11" s="139">
        <f>U11/24</f>
        <v>3</v>
      </c>
      <c r="W11" s="138">
        <f t="shared" si="2"/>
        <v>864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3999</v>
      </c>
      <c r="D13" s="123">
        <v>20</v>
      </c>
      <c r="E13" s="124"/>
      <c r="F13" s="124"/>
      <c r="G13" s="81">
        <v>40</v>
      </c>
      <c r="H13" s="82">
        <v>26</v>
      </c>
      <c r="I13" s="85">
        <f t="shared" si="4"/>
        <v>3959</v>
      </c>
      <c r="J13" s="103">
        <f>D13-H13</f>
        <v>-6</v>
      </c>
      <c r="K13" s="55"/>
      <c r="L13" s="130">
        <v>18</v>
      </c>
      <c r="M13" s="130">
        <v>14</v>
      </c>
      <c r="N13" s="130">
        <v>14</v>
      </c>
      <c r="O13" s="130">
        <v>5</v>
      </c>
      <c r="P13" s="130">
        <v>8</v>
      </c>
      <c r="Q13" s="131">
        <v>7</v>
      </c>
      <c r="R13" s="106">
        <f>L13+N13+P13</f>
        <v>40</v>
      </c>
      <c r="S13" s="134">
        <f>M13+O13+Q13</f>
        <v>26</v>
      </c>
      <c r="T13" s="55"/>
      <c r="U13" s="140">
        <f>L13*24+N13*24+P13*24</f>
        <v>960</v>
      </c>
      <c r="V13" s="144">
        <f t="shared" si="6"/>
        <v>40</v>
      </c>
      <c r="W13" s="142">
        <f>I13*24+J13</f>
        <v>95010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47</v>
      </c>
      <c r="D24" s="120"/>
      <c r="E24" s="121"/>
      <c r="F24" s="121"/>
      <c r="G24" s="79"/>
      <c r="H24" s="76"/>
      <c r="I24" s="76">
        <f t="shared" si="4"/>
        <v>47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1128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125</v>
      </c>
      <c r="D26" s="120">
        <v>11</v>
      </c>
      <c r="E26" s="121"/>
      <c r="F26" s="121"/>
      <c r="G26" s="79">
        <v>2</v>
      </c>
      <c r="H26" s="76"/>
      <c r="I26" s="76">
        <f t="shared" si="4"/>
        <v>123</v>
      </c>
      <c r="J26" s="80">
        <f t="shared" si="4"/>
        <v>11</v>
      </c>
      <c r="K26" s="41"/>
      <c r="L26" s="121">
        <v>2</v>
      </c>
      <c r="M26" s="121"/>
      <c r="N26" s="121"/>
      <c r="O26" s="121"/>
      <c r="P26" s="121"/>
      <c r="Q26" s="129"/>
      <c r="R26" s="92">
        <f t="shared" si="7"/>
        <v>2</v>
      </c>
      <c r="S26" s="133">
        <f t="shared" si="7"/>
        <v>0</v>
      </c>
      <c r="T26" s="41"/>
      <c r="U26" s="116">
        <f t="shared" si="5"/>
        <v>48</v>
      </c>
      <c r="V26" s="139">
        <f t="shared" si="6"/>
        <v>2</v>
      </c>
      <c r="W26" s="138">
        <f t="shared" si="8"/>
        <v>2963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20</v>
      </c>
      <c r="D27" s="120"/>
      <c r="E27" s="121"/>
      <c r="F27" s="121"/>
      <c r="G27" s="79"/>
      <c r="H27" s="76"/>
      <c r="I27" s="76">
        <f t="shared" si="4"/>
        <v>20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480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100</v>
      </c>
      <c r="D29" s="120"/>
      <c r="E29" s="121"/>
      <c r="F29" s="121"/>
      <c r="G29" s="79">
        <v>3</v>
      </c>
      <c r="H29" s="76"/>
      <c r="I29" s="76">
        <f t="shared" si="4"/>
        <v>97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2328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15</v>
      </c>
      <c r="D32" s="120"/>
      <c r="E32" s="121"/>
      <c r="F32" s="121"/>
      <c r="G32" s="79"/>
      <c r="H32" s="76"/>
      <c r="I32" s="76">
        <f t="shared" si="4"/>
        <v>15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360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>
        <v>3</v>
      </c>
      <c r="D34" s="120"/>
      <c r="E34" s="121"/>
      <c r="F34" s="121"/>
      <c r="G34" s="79"/>
      <c r="H34" s="76"/>
      <c r="I34" s="76">
        <f t="shared" si="4"/>
        <v>3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72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145</v>
      </c>
      <c r="D35" s="120">
        <v>17</v>
      </c>
      <c r="E35" s="121"/>
      <c r="F35" s="121"/>
      <c r="G35" s="79">
        <v>10</v>
      </c>
      <c r="H35" s="76"/>
      <c r="I35" s="76">
        <f t="shared" si="4"/>
        <v>135</v>
      </c>
      <c r="J35" s="80">
        <f t="shared" si="4"/>
        <v>17</v>
      </c>
      <c r="K35" s="41"/>
      <c r="L35" s="121">
        <v>10</v>
      </c>
      <c r="M35" s="121"/>
      <c r="N35" s="121"/>
      <c r="O35" s="121"/>
      <c r="P35" s="121"/>
      <c r="Q35" s="129"/>
      <c r="R35" s="92">
        <f t="shared" si="7"/>
        <v>10</v>
      </c>
      <c r="S35" s="133">
        <f t="shared" si="7"/>
        <v>0</v>
      </c>
      <c r="T35" s="41"/>
      <c r="U35" s="116">
        <f t="shared" si="5"/>
        <v>240</v>
      </c>
      <c r="V35" s="139">
        <f t="shared" si="6"/>
        <v>10</v>
      </c>
      <c r="W35" s="138">
        <f t="shared" si="8"/>
        <v>3257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4498</v>
      </c>
      <c r="D38" s="123">
        <v>2</v>
      </c>
      <c r="E38" s="124"/>
      <c r="F38" s="124"/>
      <c r="G38" s="81">
        <v>146</v>
      </c>
      <c r="H38" s="82"/>
      <c r="I38" s="148">
        <f t="shared" si="4"/>
        <v>4352</v>
      </c>
      <c r="J38" s="149">
        <f t="shared" si="4"/>
        <v>2</v>
      </c>
      <c r="K38" s="53"/>
      <c r="L38" s="130">
        <v>117</v>
      </c>
      <c r="M38" s="130"/>
      <c r="N38" s="130"/>
      <c r="O38" s="130"/>
      <c r="P38" s="130">
        <v>29</v>
      </c>
      <c r="Q38" s="131"/>
      <c r="R38" s="106">
        <f t="shared" si="7"/>
        <v>146</v>
      </c>
      <c r="S38" s="134">
        <f t="shared" si="7"/>
        <v>0</v>
      </c>
      <c r="T38" s="53"/>
      <c r="U38" s="140">
        <f>L38*6+N38*6+P38*6</f>
        <v>876</v>
      </c>
      <c r="V38" s="144">
        <f>U38/6</f>
        <v>146</v>
      </c>
      <c r="W38" s="142">
        <f>I38*6+J38</f>
        <v>26114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19</v>
      </c>
      <c r="D39" s="120"/>
      <c r="E39" s="121"/>
      <c r="F39" s="121"/>
      <c r="G39" s="79">
        <v>1</v>
      </c>
      <c r="H39" s="76"/>
      <c r="I39" s="79">
        <f t="shared" si="4"/>
        <v>18</v>
      </c>
      <c r="J39" s="80">
        <f t="shared" si="4"/>
        <v>0</v>
      </c>
      <c r="K39" s="41"/>
      <c r="L39" s="121"/>
      <c r="M39" s="121"/>
      <c r="N39" s="121"/>
      <c r="O39" s="121"/>
      <c r="P39" s="121">
        <v>1</v>
      </c>
      <c r="Q39" s="129"/>
      <c r="R39" s="105">
        <f t="shared" si="7"/>
        <v>1</v>
      </c>
      <c r="S39" s="135">
        <f t="shared" si="7"/>
        <v>0</v>
      </c>
      <c r="T39" s="41"/>
      <c r="U39" s="116">
        <f t="shared" ref="U39:U41" si="9">L39*24+N39*24+P39*24</f>
        <v>24</v>
      </c>
      <c r="V39" s="118">
        <f t="shared" si="6"/>
        <v>1</v>
      </c>
      <c r="W39" s="138">
        <f t="shared" ref="W39:W41" si="10">I39*24+J39</f>
        <v>432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558</v>
      </c>
      <c r="D41" s="156"/>
      <c r="E41" s="157"/>
      <c r="F41" s="157"/>
      <c r="G41" s="158"/>
      <c r="H41" s="159"/>
      <c r="I41" s="160">
        <f t="shared" si="4"/>
        <v>558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13392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1456</v>
      </c>
      <c r="D42" s="173"/>
      <c r="E42" s="174"/>
      <c r="F42" s="174"/>
      <c r="G42" s="175">
        <v>6</v>
      </c>
      <c r="H42" s="176"/>
      <c r="I42" s="175">
        <f t="shared" si="4"/>
        <v>1450</v>
      </c>
      <c r="J42" s="177">
        <f t="shared" si="4"/>
        <v>0</v>
      </c>
      <c r="K42" s="178"/>
      <c r="L42" s="174">
        <v>6</v>
      </c>
      <c r="M42" s="174"/>
      <c r="N42" s="174"/>
      <c r="O42" s="174"/>
      <c r="P42" s="174"/>
      <c r="Q42" s="179"/>
      <c r="R42" s="180">
        <f t="shared" si="7"/>
        <v>6</v>
      </c>
      <c r="S42" s="181">
        <f t="shared" si="7"/>
        <v>0</v>
      </c>
      <c r="T42" s="178"/>
      <c r="U42" s="182">
        <f>L42*12+N42*12+P42*12</f>
        <v>72</v>
      </c>
      <c r="V42" s="183">
        <f>U42/12</f>
        <v>6</v>
      </c>
      <c r="W42" s="184">
        <f>I42*12+J42</f>
        <v>17400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32894</v>
      </c>
      <c r="D44" s="123">
        <v>4</v>
      </c>
      <c r="E44" s="124"/>
      <c r="F44" s="124"/>
      <c r="G44" s="81">
        <v>955</v>
      </c>
      <c r="H44" s="82"/>
      <c r="I44" s="76">
        <f>C44+E44-G44</f>
        <v>31939</v>
      </c>
      <c r="J44" s="186">
        <f t="shared" si="4"/>
        <v>4</v>
      </c>
      <c r="K44" s="53"/>
      <c r="L44" s="130">
        <v>359</v>
      </c>
      <c r="M44" s="130"/>
      <c r="N44" s="130">
        <v>326</v>
      </c>
      <c r="O44" s="130"/>
      <c r="P44" s="130">
        <v>270</v>
      </c>
      <c r="Q44" s="131"/>
      <c r="R44" s="187">
        <f t="shared" si="7"/>
        <v>955</v>
      </c>
      <c r="S44" s="188">
        <f t="shared" si="7"/>
        <v>0</v>
      </c>
      <c r="T44" s="53"/>
      <c r="U44" s="140">
        <f>L44*6+N44*6+P44*6</f>
        <v>5730</v>
      </c>
      <c r="V44" s="139">
        <f>U44/6</f>
        <v>955</v>
      </c>
      <c r="W44" s="142">
        <f>I44*6+J44</f>
        <v>191638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>
        <v>4</v>
      </c>
      <c r="D47" s="120"/>
      <c r="E47" s="121"/>
      <c r="F47" s="121"/>
      <c r="G47" s="79"/>
      <c r="H47" s="76"/>
      <c r="I47" s="76">
        <f t="shared" si="4"/>
        <v>4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2352</v>
      </c>
      <c r="D48" s="151">
        <v>4</v>
      </c>
      <c r="E48" s="130"/>
      <c r="F48" s="130"/>
      <c r="G48" s="152">
        <v>3</v>
      </c>
      <c r="H48" s="148"/>
      <c r="I48" s="148">
        <f t="shared" si="4"/>
        <v>2349</v>
      </c>
      <c r="J48" s="149">
        <f t="shared" si="4"/>
        <v>4</v>
      </c>
      <c r="K48" s="53"/>
      <c r="L48" s="130">
        <v>3</v>
      </c>
      <c r="M48" s="130"/>
      <c r="N48" s="130"/>
      <c r="O48" s="130"/>
      <c r="P48" s="130"/>
      <c r="Q48" s="131"/>
      <c r="R48" s="106">
        <f t="shared" si="7"/>
        <v>3</v>
      </c>
      <c r="S48" s="153">
        <f t="shared" si="7"/>
        <v>0</v>
      </c>
      <c r="T48" s="53"/>
      <c r="U48" s="140">
        <f>L48*6+N48*6+P48*6</f>
        <v>18</v>
      </c>
      <c r="V48" s="144">
        <f>U48/6</f>
        <v>3</v>
      </c>
      <c r="W48" s="142">
        <f>I48*6+J48</f>
        <v>14098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6</v>
      </c>
      <c r="D54" s="120"/>
      <c r="E54" s="121"/>
      <c r="F54" s="121"/>
      <c r="G54" s="79"/>
      <c r="H54" s="76"/>
      <c r="I54" s="76">
        <f t="shared" si="4"/>
        <v>6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144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46671</v>
      </c>
      <c r="D60" s="57">
        <f>SUM(D8:D59)</f>
        <v>79</v>
      </c>
      <c r="E60" s="44">
        <f>SUM(E8:E59)</f>
        <v>0</v>
      </c>
      <c r="F60" s="44"/>
      <c r="G60" s="28">
        <f>SUM(G8:G59)</f>
        <v>1177</v>
      </c>
      <c r="H60" s="59">
        <f>SUM(H8:H59)</f>
        <v>26</v>
      </c>
      <c r="I60" s="59">
        <f>SUM(I8:I59)</f>
        <v>45494</v>
      </c>
      <c r="J60" s="45">
        <f>SUM(J8:J59)</f>
        <v>53</v>
      </c>
      <c r="K60" s="46"/>
      <c r="L60" s="77">
        <f t="shared" ref="L60:S60" si="20">SUM(L8:L59)</f>
        <v>515</v>
      </c>
      <c r="M60" s="77">
        <f t="shared" si="20"/>
        <v>14</v>
      </c>
      <c r="N60" s="77">
        <f t="shared" si="20"/>
        <v>342</v>
      </c>
      <c r="O60" s="77">
        <f t="shared" si="20"/>
        <v>5</v>
      </c>
      <c r="P60" s="77">
        <f t="shared" si="20"/>
        <v>317</v>
      </c>
      <c r="Q60" s="78">
        <f t="shared" si="20"/>
        <v>7</v>
      </c>
      <c r="R60" s="91">
        <f t="shared" si="20"/>
        <v>1174</v>
      </c>
      <c r="S60" s="90">
        <f t="shared" si="20"/>
        <v>26</v>
      </c>
      <c r="T60" s="46"/>
      <c r="U60" s="43">
        <f>SUM(U8:U59)</f>
        <v>8232</v>
      </c>
      <c r="V60" s="111">
        <f>SUM(V8:V59)</f>
        <v>1174</v>
      </c>
      <c r="W60" s="204">
        <f>SUM(W8:W59)</f>
        <v>378377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F64C-9CBB-404D-8082-999D1B2E0E47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46086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07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66</v>
      </c>
      <c r="D8" s="120">
        <v>21</v>
      </c>
      <c r="E8" s="121"/>
      <c r="F8" s="121"/>
      <c r="G8" s="79"/>
      <c r="H8" s="76"/>
      <c r="I8" s="76">
        <f>C8-G8</f>
        <v>66</v>
      </c>
      <c r="J8" s="80">
        <f t="shared" ref="J8:J12" si="0">D8-H8</f>
        <v>21</v>
      </c>
      <c r="K8" s="41"/>
      <c r="L8" s="121"/>
      <c r="M8" s="121"/>
      <c r="N8" s="121"/>
      <c r="O8" s="121"/>
      <c r="P8" s="121">
        <v>1</v>
      </c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1605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/>
      <c r="H9" s="82"/>
      <c r="I9" s="81">
        <f t="shared" ref="I9:J59" si="4">C9-G9</f>
        <v>102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68</v>
      </c>
      <c r="D10" s="120"/>
      <c r="E10" s="121"/>
      <c r="F10" s="121"/>
      <c r="G10" s="79">
        <v>17</v>
      </c>
      <c r="H10" s="76"/>
      <c r="I10" s="76">
        <f t="shared" si="4"/>
        <v>51</v>
      </c>
      <c r="J10" s="104">
        <f t="shared" si="0"/>
        <v>0</v>
      </c>
      <c r="K10" s="41"/>
      <c r="L10" s="121"/>
      <c r="M10" s="121"/>
      <c r="N10" s="121">
        <v>17</v>
      </c>
      <c r="O10" s="121"/>
      <c r="P10" s="121"/>
      <c r="Q10" s="129"/>
      <c r="R10" s="108">
        <f t="shared" si="1"/>
        <v>17</v>
      </c>
      <c r="S10" s="135">
        <f t="shared" si="1"/>
        <v>0</v>
      </c>
      <c r="T10" s="41"/>
      <c r="U10" s="116">
        <f>L10*24+N10*24+P10*24</f>
        <v>408</v>
      </c>
      <c r="V10" s="143">
        <f>U10/24</f>
        <v>17</v>
      </c>
      <c r="W10" s="138">
        <f t="shared" si="2"/>
        <v>1224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36</v>
      </c>
      <c r="D11" s="120"/>
      <c r="E11" s="121"/>
      <c r="F11" s="121"/>
      <c r="G11" s="79">
        <v>13</v>
      </c>
      <c r="H11" s="76"/>
      <c r="I11" s="76">
        <f t="shared" si="4"/>
        <v>23</v>
      </c>
      <c r="J11" s="80">
        <f t="shared" si="0"/>
        <v>0</v>
      </c>
      <c r="K11" s="41"/>
      <c r="L11" s="121"/>
      <c r="M11" s="121"/>
      <c r="N11" s="121">
        <v>13</v>
      </c>
      <c r="O11" s="121"/>
      <c r="P11" s="121"/>
      <c r="Q11" s="129"/>
      <c r="R11" s="92">
        <f t="shared" si="1"/>
        <v>13</v>
      </c>
      <c r="S11" s="133">
        <f t="shared" si="1"/>
        <v>0</v>
      </c>
      <c r="T11" s="41"/>
      <c r="U11" s="116">
        <f>L11*24+N11*24+P11*24</f>
        <v>312</v>
      </c>
      <c r="V11" s="139">
        <f>U11/24</f>
        <v>13</v>
      </c>
      <c r="W11" s="138">
        <f t="shared" si="2"/>
        <v>552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3958</v>
      </c>
      <c r="D13" s="123">
        <v>18</v>
      </c>
      <c r="E13" s="124"/>
      <c r="F13" s="124"/>
      <c r="G13" s="81">
        <v>17</v>
      </c>
      <c r="H13" s="82"/>
      <c r="I13" s="85">
        <f t="shared" si="4"/>
        <v>3941</v>
      </c>
      <c r="J13" s="103">
        <f>D13-H13</f>
        <v>18</v>
      </c>
      <c r="K13" s="55"/>
      <c r="L13" s="130">
        <v>10</v>
      </c>
      <c r="M13" s="130"/>
      <c r="N13" s="130">
        <v>7</v>
      </c>
      <c r="O13" s="130"/>
      <c r="P13" s="130"/>
      <c r="Q13" s="131"/>
      <c r="R13" s="106">
        <f>L13+N13+P13</f>
        <v>17</v>
      </c>
      <c r="S13" s="134">
        <f>M13+O13+Q13</f>
        <v>0</v>
      </c>
      <c r="T13" s="55"/>
      <c r="U13" s="140">
        <f>L13*24+N13*24+P13*24</f>
        <v>408</v>
      </c>
      <c r="V13" s="144">
        <f t="shared" si="6"/>
        <v>17</v>
      </c>
      <c r="W13" s="142">
        <f>I13*24+J13</f>
        <v>94602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47</v>
      </c>
      <c r="D24" s="120"/>
      <c r="E24" s="121"/>
      <c r="F24" s="121"/>
      <c r="G24" s="79">
        <v>2</v>
      </c>
      <c r="H24" s="76"/>
      <c r="I24" s="76">
        <f t="shared" si="4"/>
        <v>45</v>
      </c>
      <c r="J24" s="80">
        <f t="shared" si="4"/>
        <v>0</v>
      </c>
      <c r="K24" s="42"/>
      <c r="L24" s="121">
        <v>2</v>
      </c>
      <c r="M24" s="121"/>
      <c r="N24" s="121"/>
      <c r="O24" s="121"/>
      <c r="P24" s="121"/>
      <c r="Q24" s="129"/>
      <c r="R24" s="92">
        <f t="shared" si="7"/>
        <v>2</v>
      </c>
      <c r="S24" s="133">
        <f t="shared" si="7"/>
        <v>0</v>
      </c>
      <c r="T24" s="42"/>
      <c r="U24" s="116">
        <f t="shared" si="5"/>
        <v>48</v>
      </c>
      <c r="V24" s="139">
        <f t="shared" si="6"/>
        <v>2</v>
      </c>
      <c r="W24" s="138">
        <f t="shared" si="8"/>
        <v>1080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123</v>
      </c>
      <c r="D26" s="120">
        <v>11</v>
      </c>
      <c r="E26" s="121"/>
      <c r="F26" s="121"/>
      <c r="G26" s="79">
        <v>1</v>
      </c>
      <c r="H26" s="76"/>
      <c r="I26" s="76">
        <f t="shared" si="4"/>
        <v>122</v>
      </c>
      <c r="J26" s="80">
        <f t="shared" si="4"/>
        <v>11</v>
      </c>
      <c r="K26" s="41"/>
      <c r="L26" s="121">
        <v>1</v>
      </c>
      <c r="M26" s="121"/>
      <c r="N26" s="121"/>
      <c r="O26" s="121"/>
      <c r="P26" s="121"/>
      <c r="Q26" s="129"/>
      <c r="R26" s="92">
        <f t="shared" si="7"/>
        <v>1</v>
      </c>
      <c r="S26" s="133">
        <f t="shared" si="7"/>
        <v>0</v>
      </c>
      <c r="T26" s="41"/>
      <c r="U26" s="116">
        <f t="shared" si="5"/>
        <v>24</v>
      </c>
      <c r="V26" s="139">
        <f t="shared" si="6"/>
        <v>1</v>
      </c>
      <c r="W26" s="138">
        <f t="shared" si="8"/>
        <v>2939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20</v>
      </c>
      <c r="D27" s="120"/>
      <c r="E27" s="121"/>
      <c r="F27" s="121"/>
      <c r="G27" s="79">
        <v>4</v>
      </c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>
        <v>4</v>
      </c>
      <c r="O27" s="121"/>
      <c r="P27" s="121"/>
      <c r="Q27" s="129"/>
      <c r="R27" s="92">
        <f t="shared" si="7"/>
        <v>4</v>
      </c>
      <c r="S27" s="133">
        <f t="shared" si="7"/>
        <v>0</v>
      </c>
      <c r="T27" s="42"/>
      <c r="U27" s="116">
        <f t="shared" si="5"/>
        <v>96</v>
      </c>
      <c r="V27" s="139">
        <f t="shared" si="6"/>
        <v>4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97</v>
      </c>
      <c r="D29" s="120"/>
      <c r="E29" s="121"/>
      <c r="F29" s="121"/>
      <c r="G29" s="79">
        <v>2</v>
      </c>
      <c r="H29" s="76"/>
      <c r="I29" s="76">
        <f t="shared" si="4"/>
        <v>95</v>
      </c>
      <c r="J29" s="80">
        <f t="shared" si="4"/>
        <v>0</v>
      </c>
      <c r="K29" s="42"/>
      <c r="L29" s="121"/>
      <c r="M29" s="121"/>
      <c r="N29" s="121">
        <v>2</v>
      </c>
      <c r="O29" s="121"/>
      <c r="P29" s="121"/>
      <c r="Q29" s="129"/>
      <c r="R29" s="92">
        <f t="shared" si="7"/>
        <v>2</v>
      </c>
      <c r="S29" s="133">
        <f t="shared" si="7"/>
        <v>0</v>
      </c>
      <c r="T29" s="42"/>
      <c r="U29" s="116">
        <f t="shared" si="5"/>
        <v>48</v>
      </c>
      <c r="V29" s="139">
        <f t="shared" si="6"/>
        <v>2</v>
      </c>
      <c r="W29" s="138">
        <f t="shared" si="8"/>
        <v>2280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15</v>
      </c>
      <c r="D32" s="120"/>
      <c r="E32" s="121"/>
      <c r="F32" s="121"/>
      <c r="G32" s="79">
        <v>11</v>
      </c>
      <c r="H32" s="76"/>
      <c r="I32" s="76">
        <f t="shared" si="4"/>
        <v>4</v>
      </c>
      <c r="J32" s="80">
        <f t="shared" si="4"/>
        <v>0</v>
      </c>
      <c r="K32" s="41"/>
      <c r="L32" s="121"/>
      <c r="M32" s="121"/>
      <c r="N32" s="121">
        <v>11</v>
      </c>
      <c r="O32" s="121"/>
      <c r="P32" s="121"/>
      <c r="Q32" s="129"/>
      <c r="R32" s="92">
        <f t="shared" si="7"/>
        <v>11</v>
      </c>
      <c r="S32" s="133">
        <f t="shared" si="7"/>
        <v>0</v>
      </c>
      <c r="T32" s="41"/>
      <c r="U32" s="116">
        <f t="shared" si="5"/>
        <v>264</v>
      </c>
      <c r="V32" s="139">
        <f t="shared" si="6"/>
        <v>11</v>
      </c>
      <c r="W32" s="138">
        <f t="shared" si="8"/>
        <v>96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>
        <v>3</v>
      </c>
      <c r="D34" s="120"/>
      <c r="E34" s="121"/>
      <c r="F34" s="121"/>
      <c r="G34" s="79">
        <v>3</v>
      </c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>
        <v>3</v>
      </c>
      <c r="O34" s="121"/>
      <c r="P34" s="121"/>
      <c r="Q34" s="129"/>
      <c r="R34" s="92">
        <f t="shared" si="7"/>
        <v>3</v>
      </c>
      <c r="S34" s="133">
        <f t="shared" si="7"/>
        <v>0</v>
      </c>
      <c r="T34" s="41"/>
      <c r="U34" s="116">
        <f t="shared" si="5"/>
        <v>72</v>
      </c>
      <c r="V34" s="139">
        <f t="shared" si="6"/>
        <v>3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135</v>
      </c>
      <c r="D35" s="120">
        <v>17</v>
      </c>
      <c r="E35" s="121"/>
      <c r="F35" s="121"/>
      <c r="G35" s="79"/>
      <c r="H35" s="76"/>
      <c r="I35" s="76">
        <f t="shared" si="4"/>
        <v>135</v>
      </c>
      <c r="J35" s="80">
        <f t="shared" si="4"/>
        <v>17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3257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4352</v>
      </c>
      <c r="D38" s="123">
        <v>2</v>
      </c>
      <c r="E38" s="124"/>
      <c r="F38" s="124"/>
      <c r="G38" s="81">
        <v>34</v>
      </c>
      <c r="H38" s="82"/>
      <c r="I38" s="148">
        <f t="shared" si="4"/>
        <v>4318</v>
      </c>
      <c r="J38" s="149">
        <f t="shared" si="4"/>
        <v>2</v>
      </c>
      <c r="K38" s="53"/>
      <c r="L38" s="130">
        <v>10</v>
      </c>
      <c r="M38" s="130"/>
      <c r="N38" s="130">
        <v>24</v>
      </c>
      <c r="O38" s="130"/>
      <c r="P38" s="130"/>
      <c r="Q38" s="131"/>
      <c r="R38" s="106">
        <f t="shared" si="7"/>
        <v>34</v>
      </c>
      <c r="S38" s="134">
        <f t="shared" si="7"/>
        <v>0</v>
      </c>
      <c r="T38" s="53"/>
      <c r="U38" s="140">
        <f>L38*6+N38*6+P38*6</f>
        <v>204</v>
      </c>
      <c r="V38" s="144">
        <f>U38/6</f>
        <v>34</v>
      </c>
      <c r="W38" s="142">
        <f>I38*6+J38</f>
        <v>25910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18</v>
      </c>
      <c r="D39" s="120"/>
      <c r="E39" s="121"/>
      <c r="F39" s="121"/>
      <c r="G39" s="79">
        <v>6</v>
      </c>
      <c r="H39" s="76"/>
      <c r="I39" s="79">
        <f t="shared" si="4"/>
        <v>12</v>
      </c>
      <c r="J39" s="80">
        <f t="shared" si="4"/>
        <v>0</v>
      </c>
      <c r="K39" s="41"/>
      <c r="L39" s="121"/>
      <c r="M39" s="121"/>
      <c r="N39" s="121">
        <v>6</v>
      </c>
      <c r="O39" s="121"/>
      <c r="P39" s="121"/>
      <c r="Q39" s="129"/>
      <c r="R39" s="105">
        <f t="shared" si="7"/>
        <v>6</v>
      </c>
      <c r="S39" s="135">
        <f t="shared" si="7"/>
        <v>0</v>
      </c>
      <c r="T39" s="41"/>
      <c r="U39" s="116">
        <f t="shared" ref="U39:U41" si="9">L39*24+N39*24+P39*24</f>
        <v>144</v>
      </c>
      <c r="V39" s="118">
        <f t="shared" si="6"/>
        <v>6</v>
      </c>
      <c r="W39" s="138">
        <f t="shared" ref="W39:W41" si="10">I39*24+J39</f>
        <v>288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558</v>
      </c>
      <c r="D41" s="156"/>
      <c r="E41" s="157"/>
      <c r="F41" s="157"/>
      <c r="G41" s="158"/>
      <c r="H41" s="159"/>
      <c r="I41" s="160">
        <f t="shared" si="4"/>
        <v>558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13392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1450</v>
      </c>
      <c r="D42" s="173"/>
      <c r="E42" s="174"/>
      <c r="F42" s="174"/>
      <c r="G42" s="175">
        <v>1</v>
      </c>
      <c r="H42" s="176"/>
      <c r="I42" s="175">
        <f t="shared" si="4"/>
        <v>1449</v>
      </c>
      <c r="J42" s="177">
        <f t="shared" si="4"/>
        <v>0</v>
      </c>
      <c r="K42" s="178"/>
      <c r="L42" s="174"/>
      <c r="M42" s="174"/>
      <c r="N42" s="174">
        <v>1</v>
      </c>
      <c r="O42" s="174"/>
      <c r="P42" s="174"/>
      <c r="Q42" s="179"/>
      <c r="R42" s="180">
        <f t="shared" si="7"/>
        <v>1</v>
      </c>
      <c r="S42" s="181">
        <f t="shared" si="7"/>
        <v>0</v>
      </c>
      <c r="T42" s="178"/>
      <c r="U42" s="182">
        <f>L42*12+N42*12+P42*12</f>
        <v>12</v>
      </c>
      <c r="V42" s="183">
        <f>U42/12</f>
        <v>1</v>
      </c>
      <c r="W42" s="184">
        <f>I42*12+J42</f>
        <v>17388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31939</v>
      </c>
      <c r="D44" s="123">
        <v>4</v>
      </c>
      <c r="E44" s="124"/>
      <c r="F44" s="124"/>
      <c r="G44" s="81">
        <v>623</v>
      </c>
      <c r="H44" s="82"/>
      <c r="I44" s="76">
        <f>C44+E44-G44</f>
        <v>31316</v>
      </c>
      <c r="J44" s="186">
        <f t="shared" si="4"/>
        <v>4</v>
      </c>
      <c r="K44" s="53"/>
      <c r="L44" s="130">
        <v>377</v>
      </c>
      <c r="M44" s="130"/>
      <c r="N44" s="130">
        <v>246</v>
      </c>
      <c r="O44" s="130"/>
      <c r="P44" s="130"/>
      <c r="Q44" s="131"/>
      <c r="R44" s="187">
        <f t="shared" si="7"/>
        <v>623</v>
      </c>
      <c r="S44" s="188">
        <f t="shared" si="7"/>
        <v>0</v>
      </c>
      <c r="T44" s="53"/>
      <c r="U44" s="140">
        <f>L44*6+N44*6+P44*6</f>
        <v>3738</v>
      </c>
      <c r="V44" s="139">
        <f>U44/6</f>
        <v>623</v>
      </c>
      <c r="W44" s="142">
        <f>I44*6+J44</f>
        <v>187900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>
        <v>4</v>
      </c>
      <c r="D47" s="120"/>
      <c r="E47" s="121"/>
      <c r="F47" s="121"/>
      <c r="G47" s="79">
        <v>4</v>
      </c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>
        <v>4</v>
      </c>
      <c r="O47" s="121"/>
      <c r="P47" s="121"/>
      <c r="Q47" s="129"/>
      <c r="R47" s="92">
        <f t="shared" si="7"/>
        <v>4</v>
      </c>
      <c r="S47" s="133">
        <f t="shared" si="7"/>
        <v>0</v>
      </c>
      <c r="T47" s="41"/>
      <c r="U47" s="116">
        <f t="shared" si="11"/>
        <v>96</v>
      </c>
      <c r="V47" s="139">
        <f t="shared" si="12"/>
        <v>4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2349</v>
      </c>
      <c r="D48" s="151">
        <v>4</v>
      </c>
      <c r="E48" s="130"/>
      <c r="F48" s="130"/>
      <c r="G48" s="152"/>
      <c r="H48" s="148"/>
      <c r="I48" s="148">
        <f t="shared" si="4"/>
        <v>2349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14098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6</v>
      </c>
      <c r="D54" s="120"/>
      <c r="E54" s="121"/>
      <c r="F54" s="121"/>
      <c r="G54" s="79">
        <v>1</v>
      </c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>
        <v>1</v>
      </c>
      <c r="O54" s="121"/>
      <c r="P54" s="121"/>
      <c r="Q54" s="129"/>
      <c r="R54" s="92">
        <f t="shared" si="7"/>
        <v>1</v>
      </c>
      <c r="S54" s="133">
        <f t="shared" si="7"/>
        <v>0</v>
      </c>
      <c r="T54" s="41"/>
      <c r="U54" s="116">
        <f t="shared" si="17"/>
        <v>24</v>
      </c>
      <c r="V54" s="139">
        <f t="shared" si="18"/>
        <v>1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45493</v>
      </c>
      <c r="D60" s="57">
        <f>SUM(D8:D59)</f>
        <v>77</v>
      </c>
      <c r="E60" s="44">
        <f>SUM(E8:E59)</f>
        <v>0</v>
      </c>
      <c r="F60" s="44"/>
      <c r="G60" s="28">
        <f>SUM(G8:G59)</f>
        <v>739</v>
      </c>
      <c r="H60" s="59">
        <f>SUM(H8:H59)</f>
        <v>0</v>
      </c>
      <c r="I60" s="59">
        <f>SUM(I8:I59)</f>
        <v>44754</v>
      </c>
      <c r="J60" s="45">
        <f>SUM(J8:J59)</f>
        <v>77</v>
      </c>
      <c r="K60" s="46"/>
      <c r="L60" s="77">
        <f t="shared" ref="L60:S60" si="20">SUM(L8:L59)</f>
        <v>400</v>
      </c>
      <c r="M60" s="77">
        <f t="shared" si="20"/>
        <v>0</v>
      </c>
      <c r="N60" s="77">
        <f t="shared" si="20"/>
        <v>339</v>
      </c>
      <c r="O60" s="77">
        <f t="shared" si="20"/>
        <v>0</v>
      </c>
      <c r="P60" s="77">
        <f t="shared" si="20"/>
        <v>1</v>
      </c>
      <c r="Q60" s="78">
        <f t="shared" si="20"/>
        <v>0</v>
      </c>
      <c r="R60" s="91">
        <f t="shared" si="20"/>
        <v>740</v>
      </c>
      <c r="S60" s="90">
        <f t="shared" si="20"/>
        <v>0</v>
      </c>
      <c r="T60" s="46"/>
      <c r="U60" s="43">
        <f>SUM(U8:U59)</f>
        <v>5922</v>
      </c>
      <c r="V60" s="111">
        <f>SUM(V8:V59)</f>
        <v>740</v>
      </c>
      <c r="W60" s="204">
        <f>SUM(W8:W59)</f>
        <v>372479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5" t="s">
        <v>3</v>
      </c>
      <c r="D69" s="206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6B4F-BBDA-4848-8850-351661DB2A38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46087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0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66</v>
      </c>
      <c r="D8" s="120">
        <v>21</v>
      </c>
      <c r="E8" s="121"/>
      <c r="F8" s="121"/>
      <c r="G8" s="79"/>
      <c r="H8" s="76"/>
      <c r="I8" s="76">
        <f>C8-G8</f>
        <v>66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1605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/>
      <c r="H9" s="82"/>
      <c r="I9" s="81">
        <f t="shared" ref="I9:J59" si="4">C9-G9</f>
        <v>102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51</v>
      </c>
      <c r="D10" s="120"/>
      <c r="E10" s="121"/>
      <c r="F10" s="121"/>
      <c r="G10" s="79"/>
      <c r="H10" s="76"/>
      <c r="I10" s="76">
        <f t="shared" si="4"/>
        <v>51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1224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23</v>
      </c>
      <c r="D11" s="120"/>
      <c r="E11" s="121"/>
      <c r="F11" s="121"/>
      <c r="G11" s="79"/>
      <c r="H11" s="76"/>
      <c r="I11" s="76">
        <f t="shared" si="4"/>
        <v>23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552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3941</v>
      </c>
      <c r="D13" s="123">
        <v>18</v>
      </c>
      <c r="E13" s="124"/>
      <c r="F13" s="124"/>
      <c r="G13" s="81">
        <v>13</v>
      </c>
      <c r="H13" s="82">
        <v>13</v>
      </c>
      <c r="I13" s="85">
        <f t="shared" si="4"/>
        <v>3928</v>
      </c>
      <c r="J13" s="103">
        <f>D13-H13</f>
        <v>5</v>
      </c>
      <c r="K13" s="55"/>
      <c r="L13" s="130"/>
      <c r="M13" s="130"/>
      <c r="N13" s="130"/>
      <c r="O13" s="130"/>
      <c r="P13" s="130">
        <v>13</v>
      </c>
      <c r="Q13" s="131">
        <v>13</v>
      </c>
      <c r="R13" s="106">
        <f>L13+N13+P13</f>
        <v>13</v>
      </c>
      <c r="S13" s="134">
        <f>M13+O13+Q13</f>
        <v>13</v>
      </c>
      <c r="T13" s="55"/>
      <c r="U13" s="140">
        <f>L13*24+N13*24+P13*24</f>
        <v>312</v>
      </c>
      <c r="V13" s="144">
        <f t="shared" si="6"/>
        <v>13</v>
      </c>
      <c r="W13" s="142">
        <f>I13*24+J13</f>
        <v>94277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45</v>
      </c>
      <c r="D24" s="120"/>
      <c r="E24" s="121"/>
      <c r="F24" s="121"/>
      <c r="G24" s="79"/>
      <c r="H24" s="76"/>
      <c r="I24" s="76">
        <f t="shared" si="4"/>
        <v>45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1080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122</v>
      </c>
      <c r="D26" s="120">
        <v>11</v>
      </c>
      <c r="E26" s="121"/>
      <c r="F26" s="121"/>
      <c r="G26" s="79"/>
      <c r="H26" s="76"/>
      <c r="I26" s="76">
        <f t="shared" si="4"/>
        <v>122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2939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95</v>
      </c>
      <c r="D29" s="120"/>
      <c r="E29" s="121"/>
      <c r="F29" s="121"/>
      <c r="G29" s="79"/>
      <c r="H29" s="76"/>
      <c r="I29" s="76">
        <f t="shared" si="4"/>
        <v>95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2280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4</v>
      </c>
      <c r="D32" s="120"/>
      <c r="E32" s="121"/>
      <c r="F32" s="121"/>
      <c r="G32" s="79"/>
      <c r="H32" s="76"/>
      <c r="I32" s="76">
        <f t="shared" si="4"/>
        <v>4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96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135</v>
      </c>
      <c r="D35" s="120">
        <v>17</v>
      </c>
      <c r="E35" s="121"/>
      <c r="F35" s="121"/>
      <c r="G35" s="79"/>
      <c r="H35" s="76"/>
      <c r="I35" s="76">
        <f t="shared" si="4"/>
        <v>135</v>
      </c>
      <c r="J35" s="80">
        <f t="shared" si="4"/>
        <v>17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3257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4318</v>
      </c>
      <c r="D38" s="123">
        <v>2</v>
      </c>
      <c r="E38" s="124"/>
      <c r="F38" s="124"/>
      <c r="G38" s="81">
        <v>111</v>
      </c>
      <c r="H38" s="82"/>
      <c r="I38" s="148">
        <f t="shared" si="4"/>
        <v>4207</v>
      </c>
      <c r="J38" s="149">
        <f t="shared" si="4"/>
        <v>2</v>
      </c>
      <c r="K38" s="53"/>
      <c r="L38" s="130"/>
      <c r="M38" s="130"/>
      <c r="N38" s="130"/>
      <c r="O38" s="130"/>
      <c r="P38" s="130">
        <v>111</v>
      </c>
      <c r="Q38" s="131"/>
      <c r="R38" s="106">
        <f t="shared" si="7"/>
        <v>111</v>
      </c>
      <c r="S38" s="134">
        <f t="shared" si="7"/>
        <v>0</v>
      </c>
      <c r="T38" s="53"/>
      <c r="U38" s="140">
        <f>L38*6+N38*6+P38*6</f>
        <v>666</v>
      </c>
      <c r="V38" s="144">
        <f>U38/6</f>
        <v>111</v>
      </c>
      <c r="W38" s="142">
        <f>I38*6+J38</f>
        <v>25244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12</v>
      </c>
      <c r="D39" s="120"/>
      <c r="E39" s="121"/>
      <c r="F39" s="121"/>
      <c r="G39" s="79"/>
      <c r="H39" s="76"/>
      <c r="I39" s="79">
        <f t="shared" si="4"/>
        <v>12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288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558</v>
      </c>
      <c r="D41" s="156"/>
      <c r="E41" s="157"/>
      <c r="F41" s="157"/>
      <c r="G41" s="158"/>
      <c r="H41" s="159"/>
      <c r="I41" s="160">
        <f t="shared" si="4"/>
        <v>558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13392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1449</v>
      </c>
      <c r="D42" s="173"/>
      <c r="E42" s="174"/>
      <c r="F42" s="174"/>
      <c r="G42" s="175">
        <v>10</v>
      </c>
      <c r="H42" s="176"/>
      <c r="I42" s="175">
        <f t="shared" si="4"/>
        <v>1439</v>
      </c>
      <c r="J42" s="177">
        <f t="shared" si="4"/>
        <v>0</v>
      </c>
      <c r="K42" s="178"/>
      <c r="L42" s="174"/>
      <c r="M42" s="174"/>
      <c r="N42" s="174"/>
      <c r="O42" s="174"/>
      <c r="P42" s="174">
        <v>10</v>
      </c>
      <c r="Q42" s="179"/>
      <c r="R42" s="180">
        <f t="shared" si="7"/>
        <v>10</v>
      </c>
      <c r="S42" s="181">
        <f t="shared" si="7"/>
        <v>0</v>
      </c>
      <c r="T42" s="178"/>
      <c r="U42" s="182">
        <f>L42*12+N42*12+P42*12</f>
        <v>120</v>
      </c>
      <c r="V42" s="183">
        <f>U42/12</f>
        <v>10</v>
      </c>
      <c r="W42" s="184">
        <f>I42*12+J42</f>
        <v>17268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31316</v>
      </c>
      <c r="D44" s="123">
        <v>4</v>
      </c>
      <c r="E44" s="124"/>
      <c r="F44" s="124"/>
      <c r="G44" s="81">
        <v>355</v>
      </c>
      <c r="H44" s="82"/>
      <c r="I44" s="76">
        <f>C44+E44-G44</f>
        <v>30961</v>
      </c>
      <c r="J44" s="186">
        <f t="shared" si="4"/>
        <v>4</v>
      </c>
      <c r="K44" s="53"/>
      <c r="L44" s="130"/>
      <c r="M44" s="130"/>
      <c r="N44" s="130"/>
      <c r="O44" s="130"/>
      <c r="P44" s="130">
        <v>355</v>
      </c>
      <c r="Q44" s="131"/>
      <c r="R44" s="187">
        <f t="shared" si="7"/>
        <v>355</v>
      </c>
      <c r="S44" s="188">
        <f t="shared" si="7"/>
        <v>0</v>
      </c>
      <c r="T44" s="53"/>
      <c r="U44" s="140">
        <f>L44*6+N44*6+P44*6</f>
        <v>2130</v>
      </c>
      <c r="V44" s="139">
        <f>U44/6</f>
        <v>355</v>
      </c>
      <c r="W44" s="142">
        <f>I44*6+J44</f>
        <v>185770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f>2349</f>
        <v>2349</v>
      </c>
      <c r="D48" s="151">
        <v>4</v>
      </c>
      <c r="E48" s="130"/>
      <c r="F48" s="130"/>
      <c r="G48" s="152"/>
      <c r="H48" s="148"/>
      <c r="I48" s="148">
        <f t="shared" si="4"/>
        <v>2349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14098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44754</v>
      </c>
      <c r="D60" s="57">
        <f>SUM(D8:D59)</f>
        <v>77</v>
      </c>
      <c r="E60" s="44">
        <f>SUM(E8:E59)</f>
        <v>0</v>
      </c>
      <c r="F60" s="44"/>
      <c r="G60" s="28">
        <f>SUM(G8:G59)</f>
        <v>489</v>
      </c>
      <c r="H60" s="59">
        <f>SUM(H8:H59)</f>
        <v>13</v>
      </c>
      <c r="I60" s="59">
        <f>SUM(I8:I59)</f>
        <v>44265</v>
      </c>
      <c r="J60" s="45">
        <f>SUM(J8:J59)</f>
        <v>64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489</v>
      </c>
      <c r="Q60" s="78">
        <f t="shared" si="20"/>
        <v>13</v>
      </c>
      <c r="R60" s="91">
        <f t="shared" si="20"/>
        <v>489</v>
      </c>
      <c r="S60" s="90">
        <f t="shared" si="20"/>
        <v>13</v>
      </c>
      <c r="T60" s="46"/>
      <c r="U60" s="43">
        <f>SUM(U8:U59)</f>
        <v>3228</v>
      </c>
      <c r="V60" s="111">
        <f>SUM(V8:V59)</f>
        <v>489</v>
      </c>
      <c r="W60" s="204">
        <f>SUM(W8:W59)</f>
        <v>369238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8" t="s">
        <v>3</v>
      </c>
      <c r="D69" s="209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D743-CA9C-4AAC-8035-6E5856B3D30E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46088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3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66</v>
      </c>
      <c r="D8" s="120">
        <v>21</v>
      </c>
      <c r="E8" s="121"/>
      <c r="F8" s="121"/>
      <c r="G8" s="79"/>
      <c r="H8" s="76"/>
      <c r="I8" s="76">
        <f>C8-G8</f>
        <v>66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1605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/>
      <c r="H9" s="82"/>
      <c r="I9" s="81">
        <f t="shared" ref="I9:J59" si="4">C9-G9</f>
        <v>102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51</v>
      </c>
      <c r="D10" s="120"/>
      <c r="E10" s="121"/>
      <c r="F10" s="121"/>
      <c r="G10" s="79">
        <v>18</v>
      </c>
      <c r="H10" s="76"/>
      <c r="I10" s="76">
        <f t="shared" si="4"/>
        <v>33</v>
      </c>
      <c r="J10" s="104">
        <f t="shared" si="0"/>
        <v>0</v>
      </c>
      <c r="K10" s="41"/>
      <c r="L10" s="121">
        <v>2</v>
      </c>
      <c r="M10" s="121"/>
      <c r="N10" s="121">
        <v>1</v>
      </c>
      <c r="O10" s="121"/>
      <c r="P10" s="121">
        <v>15</v>
      </c>
      <c r="Q10" s="129"/>
      <c r="R10" s="108">
        <f t="shared" si="1"/>
        <v>18</v>
      </c>
      <c r="S10" s="135">
        <f t="shared" si="1"/>
        <v>0</v>
      </c>
      <c r="T10" s="41"/>
      <c r="U10" s="116">
        <f>L10*24+N10*24+P10*24</f>
        <v>432</v>
      </c>
      <c r="V10" s="143">
        <f>U10/24</f>
        <v>18</v>
      </c>
      <c r="W10" s="138">
        <f t="shared" si="2"/>
        <v>792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23</v>
      </c>
      <c r="D11" s="120"/>
      <c r="E11" s="121"/>
      <c r="F11" s="121"/>
      <c r="G11" s="79">
        <v>16</v>
      </c>
      <c r="H11" s="76"/>
      <c r="I11" s="76">
        <f t="shared" si="4"/>
        <v>7</v>
      </c>
      <c r="J11" s="80">
        <f t="shared" si="0"/>
        <v>0</v>
      </c>
      <c r="K11" s="41"/>
      <c r="L11" s="121">
        <v>1</v>
      </c>
      <c r="M11" s="121"/>
      <c r="N11" s="121"/>
      <c r="O11" s="121"/>
      <c r="P11" s="121">
        <v>15</v>
      </c>
      <c r="Q11" s="129"/>
      <c r="R11" s="92">
        <f t="shared" si="1"/>
        <v>16</v>
      </c>
      <c r="S11" s="133">
        <f t="shared" si="1"/>
        <v>0</v>
      </c>
      <c r="T11" s="41"/>
      <c r="U11" s="116">
        <f>L11*24+N11*24+P11*24</f>
        <v>384</v>
      </c>
      <c r="V11" s="139">
        <f>U11/24</f>
        <v>16</v>
      </c>
      <c r="W11" s="138">
        <f t="shared" si="2"/>
        <v>168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3928</v>
      </c>
      <c r="D13" s="123">
        <v>5</v>
      </c>
      <c r="E13" s="124"/>
      <c r="F13" s="124"/>
      <c r="G13" s="81">
        <v>30</v>
      </c>
      <c r="H13" s="82"/>
      <c r="I13" s="85">
        <f t="shared" si="4"/>
        <v>3898</v>
      </c>
      <c r="J13" s="103">
        <f>D13-H13</f>
        <v>5</v>
      </c>
      <c r="K13" s="55"/>
      <c r="L13" s="130">
        <v>1</v>
      </c>
      <c r="M13" s="130"/>
      <c r="N13" s="130">
        <v>10</v>
      </c>
      <c r="O13" s="130"/>
      <c r="P13" s="130">
        <v>19</v>
      </c>
      <c r="Q13" s="131"/>
      <c r="R13" s="106">
        <f>L13+N13+P13</f>
        <v>30</v>
      </c>
      <c r="S13" s="134">
        <f>M13+O13+Q13</f>
        <v>0</v>
      </c>
      <c r="T13" s="55"/>
      <c r="U13" s="140">
        <f>L13*24+N13*24+P13*24</f>
        <v>720</v>
      </c>
      <c r="V13" s="144">
        <f t="shared" si="6"/>
        <v>30</v>
      </c>
      <c r="W13" s="142">
        <f>I13*24+J13</f>
        <v>93557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45</v>
      </c>
      <c r="D24" s="120"/>
      <c r="E24" s="121"/>
      <c r="F24" s="121"/>
      <c r="G24" s="79">
        <v>3</v>
      </c>
      <c r="H24" s="76"/>
      <c r="I24" s="76">
        <f t="shared" si="4"/>
        <v>42</v>
      </c>
      <c r="J24" s="80">
        <f t="shared" si="4"/>
        <v>0</v>
      </c>
      <c r="K24" s="42"/>
      <c r="L24" s="121">
        <v>2</v>
      </c>
      <c r="M24" s="121"/>
      <c r="N24" s="121"/>
      <c r="O24" s="121"/>
      <c r="P24" s="121">
        <v>1</v>
      </c>
      <c r="Q24" s="129"/>
      <c r="R24" s="92">
        <f t="shared" si="7"/>
        <v>3</v>
      </c>
      <c r="S24" s="133">
        <f t="shared" si="7"/>
        <v>0</v>
      </c>
      <c r="T24" s="42"/>
      <c r="U24" s="116">
        <f t="shared" si="5"/>
        <v>72</v>
      </c>
      <c r="V24" s="139">
        <f t="shared" si="6"/>
        <v>3</v>
      </c>
      <c r="W24" s="138">
        <f t="shared" si="8"/>
        <v>1008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122</v>
      </c>
      <c r="D26" s="120">
        <v>11</v>
      </c>
      <c r="E26" s="121"/>
      <c r="F26" s="121"/>
      <c r="G26" s="79">
        <v>2</v>
      </c>
      <c r="H26" s="76"/>
      <c r="I26" s="76">
        <f t="shared" si="4"/>
        <v>120</v>
      </c>
      <c r="J26" s="80">
        <f t="shared" si="4"/>
        <v>11</v>
      </c>
      <c r="K26" s="41"/>
      <c r="L26" s="121">
        <v>2</v>
      </c>
      <c r="M26" s="121"/>
      <c r="N26" s="121"/>
      <c r="O26" s="121"/>
      <c r="P26" s="121"/>
      <c r="Q26" s="129"/>
      <c r="R26" s="92">
        <f t="shared" si="7"/>
        <v>2</v>
      </c>
      <c r="S26" s="133">
        <f t="shared" si="7"/>
        <v>0</v>
      </c>
      <c r="T26" s="41"/>
      <c r="U26" s="116">
        <f t="shared" si="5"/>
        <v>48</v>
      </c>
      <c r="V26" s="139">
        <f t="shared" si="6"/>
        <v>2</v>
      </c>
      <c r="W26" s="138">
        <f t="shared" si="8"/>
        <v>2891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95</v>
      </c>
      <c r="D29" s="120"/>
      <c r="E29" s="121"/>
      <c r="F29" s="121"/>
      <c r="G29" s="79">
        <v>5</v>
      </c>
      <c r="H29" s="76"/>
      <c r="I29" s="76">
        <f t="shared" si="4"/>
        <v>90</v>
      </c>
      <c r="J29" s="80">
        <f t="shared" si="4"/>
        <v>0</v>
      </c>
      <c r="K29" s="42"/>
      <c r="L29" s="121">
        <v>1</v>
      </c>
      <c r="M29" s="121"/>
      <c r="N29" s="121">
        <v>2</v>
      </c>
      <c r="O29" s="121"/>
      <c r="P29" s="121">
        <v>2</v>
      </c>
      <c r="Q29" s="129"/>
      <c r="R29" s="92">
        <f t="shared" si="7"/>
        <v>5</v>
      </c>
      <c r="S29" s="133">
        <f t="shared" si="7"/>
        <v>0</v>
      </c>
      <c r="T29" s="42"/>
      <c r="U29" s="116">
        <f t="shared" si="5"/>
        <v>120</v>
      </c>
      <c r="V29" s="139">
        <f t="shared" si="6"/>
        <v>5</v>
      </c>
      <c r="W29" s="138">
        <f t="shared" si="8"/>
        <v>2160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4</v>
      </c>
      <c r="D32" s="120"/>
      <c r="E32" s="121"/>
      <c r="F32" s="121"/>
      <c r="G32" s="79">
        <v>2</v>
      </c>
      <c r="H32" s="76"/>
      <c r="I32" s="76">
        <f t="shared" si="4"/>
        <v>2</v>
      </c>
      <c r="J32" s="80">
        <f t="shared" si="4"/>
        <v>0</v>
      </c>
      <c r="K32" s="41"/>
      <c r="L32" s="121"/>
      <c r="M32" s="121"/>
      <c r="N32" s="121"/>
      <c r="O32" s="121"/>
      <c r="P32" s="121">
        <v>2</v>
      </c>
      <c r="Q32" s="129"/>
      <c r="R32" s="92">
        <f t="shared" si="7"/>
        <v>2</v>
      </c>
      <c r="S32" s="133">
        <f t="shared" si="7"/>
        <v>0</v>
      </c>
      <c r="T32" s="41"/>
      <c r="U32" s="116">
        <f t="shared" si="5"/>
        <v>48</v>
      </c>
      <c r="V32" s="139">
        <f t="shared" si="6"/>
        <v>2</v>
      </c>
      <c r="W32" s="138">
        <f t="shared" si="8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135</v>
      </c>
      <c r="D35" s="120">
        <v>17</v>
      </c>
      <c r="E35" s="121"/>
      <c r="F35" s="121"/>
      <c r="G35" s="79"/>
      <c r="H35" s="76"/>
      <c r="I35" s="76">
        <f t="shared" si="4"/>
        <v>135</v>
      </c>
      <c r="J35" s="80">
        <f t="shared" si="4"/>
        <v>17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3257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4207</v>
      </c>
      <c r="D38" s="123">
        <v>2</v>
      </c>
      <c r="E38" s="124"/>
      <c r="F38" s="124"/>
      <c r="G38" s="81">
        <v>144</v>
      </c>
      <c r="H38" s="82"/>
      <c r="I38" s="148">
        <f t="shared" si="4"/>
        <v>4063</v>
      </c>
      <c r="J38" s="149">
        <f t="shared" si="4"/>
        <v>2</v>
      </c>
      <c r="K38" s="53"/>
      <c r="L38" s="130">
        <v>17</v>
      </c>
      <c r="M38" s="130"/>
      <c r="N38" s="130">
        <v>68</v>
      </c>
      <c r="O38" s="130"/>
      <c r="P38" s="130">
        <v>59</v>
      </c>
      <c r="Q38" s="131"/>
      <c r="R38" s="106">
        <f t="shared" si="7"/>
        <v>144</v>
      </c>
      <c r="S38" s="134">
        <f t="shared" si="7"/>
        <v>0</v>
      </c>
      <c r="T38" s="53"/>
      <c r="U38" s="140">
        <f>L38*6+N38*6+P38*6</f>
        <v>864</v>
      </c>
      <c r="V38" s="144">
        <f>U38/6</f>
        <v>144</v>
      </c>
      <c r="W38" s="142">
        <f>I38*6+J38</f>
        <v>24380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12</v>
      </c>
      <c r="D39" s="120"/>
      <c r="E39" s="121"/>
      <c r="F39" s="121"/>
      <c r="G39" s="79"/>
      <c r="H39" s="76"/>
      <c r="I39" s="79">
        <f t="shared" si="4"/>
        <v>12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288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558</v>
      </c>
      <c r="D41" s="156"/>
      <c r="E41" s="157"/>
      <c r="F41" s="157"/>
      <c r="G41" s="158">
        <v>50</v>
      </c>
      <c r="H41" s="159"/>
      <c r="I41" s="160">
        <f t="shared" si="4"/>
        <v>508</v>
      </c>
      <c r="J41" s="161">
        <f t="shared" si="4"/>
        <v>0</v>
      </c>
      <c r="K41" s="162"/>
      <c r="L41" s="163">
        <v>50</v>
      </c>
      <c r="M41" s="163"/>
      <c r="N41" s="163"/>
      <c r="O41" s="163"/>
      <c r="P41" s="163"/>
      <c r="Q41" s="164"/>
      <c r="R41" s="165">
        <f t="shared" si="7"/>
        <v>50</v>
      </c>
      <c r="S41" s="166">
        <f t="shared" si="7"/>
        <v>0</v>
      </c>
      <c r="T41" s="162"/>
      <c r="U41" s="167">
        <f t="shared" si="9"/>
        <v>1200</v>
      </c>
      <c r="V41" s="168">
        <f t="shared" si="6"/>
        <v>50</v>
      </c>
      <c r="W41" s="168">
        <f t="shared" si="10"/>
        <v>12192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1439</v>
      </c>
      <c r="D42" s="173"/>
      <c r="E42" s="174"/>
      <c r="F42" s="174"/>
      <c r="G42" s="175">
        <v>16</v>
      </c>
      <c r="H42" s="176"/>
      <c r="I42" s="175">
        <f t="shared" si="4"/>
        <v>1423</v>
      </c>
      <c r="J42" s="177">
        <f t="shared" si="4"/>
        <v>0</v>
      </c>
      <c r="K42" s="178"/>
      <c r="L42" s="174"/>
      <c r="M42" s="174"/>
      <c r="N42" s="174">
        <v>4</v>
      </c>
      <c r="O42" s="174"/>
      <c r="P42" s="174">
        <v>12</v>
      </c>
      <c r="Q42" s="179"/>
      <c r="R42" s="180">
        <f t="shared" si="7"/>
        <v>16</v>
      </c>
      <c r="S42" s="181">
        <f t="shared" si="7"/>
        <v>0</v>
      </c>
      <c r="T42" s="178"/>
      <c r="U42" s="182">
        <f>L42*12+N42*12+P42*12</f>
        <v>192</v>
      </c>
      <c r="V42" s="183">
        <f>U42/12</f>
        <v>16</v>
      </c>
      <c r="W42" s="184">
        <f>I42*12+J42</f>
        <v>17076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30961</v>
      </c>
      <c r="D44" s="123">
        <v>4</v>
      </c>
      <c r="E44" s="124"/>
      <c r="F44" s="124"/>
      <c r="G44" s="81">
        <v>1136</v>
      </c>
      <c r="H44" s="82"/>
      <c r="I44" s="76">
        <f>C44+E44-G44</f>
        <v>29825</v>
      </c>
      <c r="J44" s="186">
        <f t="shared" si="4"/>
        <v>4</v>
      </c>
      <c r="K44" s="53"/>
      <c r="L44" s="130">
        <v>319</v>
      </c>
      <c r="M44" s="130"/>
      <c r="N44" s="130">
        <v>385</v>
      </c>
      <c r="O44" s="130"/>
      <c r="P44" s="130">
        <v>432</v>
      </c>
      <c r="Q44" s="131"/>
      <c r="R44" s="187">
        <f t="shared" si="7"/>
        <v>1136</v>
      </c>
      <c r="S44" s="188">
        <f t="shared" si="7"/>
        <v>0</v>
      </c>
      <c r="T44" s="53"/>
      <c r="U44" s="140">
        <f>L44*6+N44*6+P44*6</f>
        <v>6816</v>
      </c>
      <c r="V44" s="139">
        <f>U44/6</f>
        <v>1136</v>
      </c>
      <c r="W44" s="142">
        <f>I44*6+J44</f>
        <v>178954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2349</v>
      </c>
      <c r="D48" s="151">
        <v>4</v>
      </c>
      <c r="E48" s="130"/>
      <c r="F48" s="130"/>
      <c r="G48" s="152">
        <v>1</v>
      </c>
      <c r="H48" s="148"/>
      <c r="I48" s="148">
        <f t="shared" si="4"/>
        <v>2348</v>
      </c>
      <c r="J48" s="149">
        <f t="shared" si="4"/>
        <v>4</v>
      </c>
      <c r="K48" s="53"/>
      <c r="L48" s="130">
        <v>1</v>
      </c>
      <c r="M48" s="130"/>
      <c r="N48" s="130"/>
      <c r="O48" s="130"/>
      <c r="P48" s="130"/>
      <c r="Q48" s="131"/>
      <c r="R48" s="106">
        <f t="shared" si="7"/>
        <v>1</v>
      </c>
      <c r="S48" s="153">
        <f t="shared" si="7"/>
        <v>0</v>
      </c>
      <c r="T48" s="53"/>
      <c r="U48" s="140">
        <f>L48*6+N48*6+P48*6</f>
        <v>6</v>
      </c>
      <c r="V48" s="144">
        <f>U48/6</f>
        <v>1</v>
      </c>
      <c r="W48" s="142">
        <f>I48*6+J48</f>
        <v>14092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44265</v>
      </c>
      <c r="D60" s="57">
        <f>SUM(D8:D59)</f>
        <v>64</v>
      </c>
      <c r="E60" s="44">
        <f>SUM(E8:E59)</f>
        <v>0</v>
      </c>
      <c r="F60" s="44"/>
      <c r="G60" s="28">
        <f>SUM(G8:G59)</f>
        <v>1423</v>
      </c>
      <c r="H60" s="59">
        <f>SUM(H8:H59)</f>
        <v>0</v>
      </c>
      <c r="I60" s="59">
        <f>SUM(I8:I59)</f>
        <v>42842</v>
      </c>
      <c r="J60" s="45">
        <f>SUM(J8:J59)</f>
        <v>64</v>
      </c>
      <c r="K60" s="46"/>
      <c r="L60" s="77">
        <f t="shared" ref="L60:S60" si="20">SUM(L8:L59)</f>
        <v>396</v>
      </c>
      <c r="M60" s="77">
        <f t="shared" si="20"/>
        <v>0</v>
      </c>
      <c r="N60" s="77">
        <f t="shared" si="20"/>
        <v>470</v>
      </c>
      <c r="O60" s="77">
        <f t="shared" si="20"/>
        <v>0</v>
      </c>
      <c r="P60" s="77">
        <f t="shared" si="20"/>
        <v>557</v>
      </c>
      <c r="Q60" s="78">
        <f t="shared" si="20"/>
        <v>0</v>
      </c>
      <c r="R60" s="91">
        <f t="shared" si="20"/>
        <v>1423</v>
      </c>
      <c r="S60" s="90">
        <f t="shared" si="20"/>
        <v>0</v>
      </c>
      <c r="T60" s="46"/>
      <c r="U60" s="43">
        <f>SUM(U8:U59)</f>
        <v>10902</v>
      </c>
      <c r="V60" s="111">
        <f>SUM(V8:V59)</f>
        <v>1423</v>
      </c>
      <c r="W60" s="204">
        <f>SUM(W8:W59)</f>
        <v>358336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1" t="s">
        <v>3</v>
      </c>
      <c r="D69" s="212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B190-FADE-4B77-A489-9A6036655427}">
  <sheetPr>
    <pageSetUpPr fitToPage="1"/>
  </sheetPr>
  <dimension ref="A1:BH90"/>
  <sheetViews>
    <sheetView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46090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3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66</v>
      </c>
      <c r="D8" s="120">
        <v>21</v>
      </c>
      <c r="E8" s="121"/>
      <c r="F8" s="121"/>
      <c r="G8" s="79">
        <v>1</v>
      </c>
      <c r="H8" s="76"/>
      <c r="I8" s="76">
        <f>C8-G8</f>
        <v>65</v>
      </c>
      <c r="J8" s="80">
        <f t="shared" ref="J8:J12" si="0">D8-H8</f>
        <v>21</v>
      </c>
      <c r="K8" s="41"/>
      <c r="L8" s="121">
        <v>1</v>
      </c>
      <c r="M8" s="121"/>
      <c r="N8" s="121"/>
      <c r="O8" s="121"/>
      <c r="P8" s="121"/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1581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/>
      <c r="H9" s="82"/>
      <c r="I9" s="81">
        <f t="shared" ref="I9:J59" si="4">C9-G9</f>
        <v>102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2448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33</v>
      </c>
      <c r="D10" s="120"/>
      <c r="E10" s="121"/>
      <c r="F10" s="121"/>
      <c r="G10" s="79"/>
      <c r="H10" s="76"/>
      <c r="I10" s="76">
        <f t="shared" si="4"/>
        <v>33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792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7</v>
      </c>
      <c r="D11" s="120"/>
      <c r="E11" s="121"/>
      <c r="F11" s="121"/>
      <c r="G11" s="79"/>
      <c r="H11" s="76"/>
      <c r="I11" s="76">
        <f t="shared" si="4"/>
        <v>7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168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3898</v>
      </c>
      <c r="D13" s="123">
        <v>5</v>
      </c>
      <c r="E13" s="124"/>
      <c r="F13" s="124"/>
      <c r="G13" s="81">
        <v>55</v>
      </c>
      <c r="H13" s="82">
        <v>13</v>
      </c>
      <c r="I13" s="85">
        <f t="shared" si="4"/>
        <v>3843</v>
      </c>
      <c r="J13" s="103">
        <f>D13-H13</f>
        <v>-8</v>
      </c>
      <c r="K13" s="55"/>
      <c r="L13" s="130">
        <v>20</v>
      </c>
      <c r="M13" s="130">
        <v>5</v>
      </c>
      <c r="N13" s="130">
        <v>20</v>
      </c>
      <c r="O13" s="130">
        <v>8</v>
      </c>
      <c r="P13" s="130">
        <v>15</v>
      </c>
      <c r="Q13" s="131"/>
      <c r="R13" s="106">
        <f>L13+N13+P13</f>
        <v>55</v>
      </c>
      <c r="S13" s="134">
        <f>M13+O13+Q13</f>
        <v>13</v>
      </c>
      <c r="T13" s="55"/>
      <c r="U13" s="140">
        <f>L13*24+N13*24+P13*24</f>
        <v>1320</v>
      </c>
      <c r="V13" s="144">
        <f t="shared" si="6"/>
        <v>55</v>
      </c>
      <c r="W13" s="142">
        <f>I13*24+J13</f>
        <v>92224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42</v>
      </c>
      <c r="D24" s="120"/>
      <c r="E24" s="121"/>
      <c r="F24" s="121"/>
      <c r="G24" s="79">
        <v>3</v>
      </c>
      <c r="H24" s="76"/>
      <c r="I24" s="76">
        <f t="shared" si="4"/>
        <v>39</v>
      </c>
      <c r="J24" s="80">
        <f t="shared" si="4"/>
        <v>0</v>
      </c>
      <c r="K24" s="42"/>
      <c r="L24" s="121">
        <v>2</v>
      </c>
      <c r="M24" s="121"/>
      <c r="N24" s="121"/>
      <c r="O24" s="121"/>
      <c r="P24" s="121">
        <v>1</v>
      </c>
      <c r="Q24" s="129"/>
      <c r="R24" s="92">
        <f t="shared" si="7"/>
        <v>3</v>
      </c>
      <c r="S24" s="133">
        <f t="shared" si="7"/>
        <v>0</v>
      </c>
      <c r="T24" s="42"/>
      <c r="U24" s="116">
        <f t="shared" si="5"/>
        <v>72</v>
      </c>
      <c r="V24" s="139">
        <f t="shared" si="6"/>
        <v>3</v>
      </c>
      <c r="W24" s="138">
        <f t="shared" si="8"/>
        <v>936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120</v>
      </c>
      <c r="D26" s="120">
        <v>11</v>
      </c>
      <c r="E26" s="121"/>
      <c r="F26" s="121"/>
      <c r="G26" s="79"/>
      <c r="H26" s="76"/>
      <c r="I26" s="76">
        <f t="shared" si="4"/>
        <v>120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2891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90</v>
      </c>
      <c r="D29" s="120"/>
      <c r="E29" s="121"/>
      <c r="F29" s="121"/>
      <c r="G29" s="79">
        <v>3</v>
      </c>
      <c r="H29" s="76"/>
      <c r="I29" s="76">
        <f t="shared" si="4"/>
        <v>87</v>
      </c>
      <c r="J29" s="80">
        <f t="shared" si="4"/>
        <v>0</v>
      </c>
      <c r="K29" s="42"/>
      <c r="L29" s="121">
        <v>1</v>
      </c>
      <c r="M29" s="121"/>
      <c r="N29" s="121"/>
      <c r="O29" s="121"/>
      <c r="P29" s="121">
        <v>2</v>
      </c>
      <c r="Q29" s="129"/>
      <c r="R29" s="92">
        <f t="shared" si="7"/>
        <v>3</v>
      </c>
      <c r="S29" s="133">
        <f t="shared" si="7"/>
        <v>0</v>
      </c>
      <c r="T29" s="42"/>
      <c r="U29" s="116">
        <f t="shared" si="5"/>
        <v>72</v>
      </c>
      <c r="V29" s="139">
        <f t="shared" si="6"/>
        <v>3</v>
      </c>
      <c r="W29" s="138">
        <f t="shared" si="8"/>
        <v>2088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2</v>
      </c>
      <c r="D32" s="120"/>
      <c r="E32" s="121"/>
      <c r="F32" s="121"/>
      <c r="G32" s="79"/>
      <c r="H32" s="76"/>
      <c r="I32" s="76">
        <f t="shared" si="4"/>
        <v>2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135</v>
      </c>
      <c r="D35" s="120">
        <v>17</v>
      </c>
      <c r="E35" s="121"/>
      <c r="F35" s="121"/>
      <c r="G35" s="79">
        <v>1</v>
      </c>
      <c r="H35" s="76">
        <v>12</v>
      </c>
      <c r="I35" s="76">
        <f t="shared" si="4"/>
        <v>134</v>
      </c>
      <c r="J35" s="80">
        <f t="shared" si="4"/>
        <v>5</v>
      </c>
      <c r="K35" s="41"/>
      <c r="L35" s="121">
        <v>1</v>
      </c>
      <c r="M35" s="121">
        <v>12</v>
      </c>
      <c r="N35" s="121"/>
      <c r="O35" s="121"/>
      <c r="P35" s="121"/>
      <c r="Q35" s="129"/>
      <c r="R35" s="92">
        <f t="shared" si="7"/>
        <v>1</v>
      </c>
      <c r="S35" s="133">
        <f t="shared" si="7"/>
        <v>12</v>
      </c>
      <c r="T35" s="41"/>
      <c r="U35" s="116">
        <f t="shared" si="5"/>
        <v>24</v>
      </c>
      <c r="V35" s="139">
        <f t="shared" si="6"/>
        <v>1</v>
      </c>
      <c r="W35" s="138">
        <f t="shared" si="8"/>
        <v>3221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4063</v>
      </c>
      <c r="D38" s="123">
        <v>2</v>
      </c>
      <c r="E38" s="124"/>
      <c r="F38" s="124"/>
      <c r="G38" s="81">
        <v>248</v>
      </c>
      <c r="H38" s="82"/>
      <c r="I38" s="148">
        <f t="shared" si="4"/>
        <v>3815</v>
      </c>
      <c r="J38" s="149">
        <f t="shared" si="4"/>
        <v>2</v>
      </c>
      <c r="K38" s="53"/>
      <c r="L38" s="130">
        <v>67</v>
      </c>
      <c r="M38" s="130"/>
      <c r="N38" s="130">
        <v>118</v>
      </c>
      <c r="O38" s="130"/>
      <c r="P38" s="130">
        <v>63</v>
      </c>
      <c r="Q38" s="131"/>
      <c r="R38" s="106">
        <f t="shared" si="7"/>
        <v>248</v>
      </c>
      <c r="S38" s="134">
        <f t="shared" si="7"/>
        <v>0</v>
      </c>
      <c r="T38" s="53"/>
      <c r="U38" s="140">
        <f>L38*6+N38*6+P38*6</f>
        <v>1488</v>
      </c>
      <c r="V38" s="144">
        <f>U38/6</f>
        <v>248</v>
      </c>
      <c r="W38" s="142">
        <f>I38*6+J38</f>
        <v>22892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12</v>
      </c>
      <c r="D39" s="120"/>
      <c r="E39" s="121"/>
      <c r="F39" s="121"/>
      <c r="G39" s="79"/>
      <c r="H39" s="76"/>
      <c r="I39" s="79">
        <f t="shared" si="4"/>
        <v>12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288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508</v>
      </c>
      <c r="D41" s="156"/>
      <c r="E41" s="157"/>
      <c r="F41" s="157"/>
      <c r="G41" s="158">
        <v>1</v>
      </c>
      <c r="H41" s="159"/>
      <c r="I41" s="160">
        <f t="shared" si="4"/>
        <v>507</v>
      </c>
      <c r="J41" s="161">
        <f t="shared" si="4"/>
        <v>0</v>
      </c>
      <c r="K41" s="162"/>
      <c r="L41" s="163"/>
      <c r="M41" s="163"/>
      <c r="N41" s="163"/>
      <c r="O41" s="163"/>
      <c r="P41" s="163">
        <v>1</v>
      </c>
      <c r="Q41" s="164"/>
      <c r="R41" s="165">
        <f t="shared" si="7"/>
        <v>1</v>
      </c>
      <c r="S41" s="166">
        <f t="shared" si="7"/>
        <v>0</v>
      </c>
      <c r="T41" s="162"/>
      <c r="U41" s="167">
        <f t="shared" si="9"/>
        <v>24</v>
      </c>
      <c r="V41" s="168">
        <f t="shared" si="6"/>
        <v>1</v>
      </c>
      <c r="W41" s="168">
        <f t="shared" si="10"/>
        <v>12168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1422</v>
      </c>
      <c r="D42" s="173">
        <v>9</v>
      </c>
      <c r="E42" s="174"/>
      <c r="F42" s="174"/>
      <c r="G42" s="175">
        <v>67</v>
      </c>
      <c r="H42" s="176"/>
      <c r="I42" s="175">
        <f t="shared" si="4"/>
        <v>1355</v>
      </c>
      <c r="J42" s="177">
        <f t="shared" si="4"/>
        <v>9</v>
      </c>
      <c r="K42" s="178"/>
      <c r="L42" s="174">
        <v>55</v>
      </c>
      <c r="M42" s="174"/>
      <c r="N42" s="174">
        <v>1</v>
      </c>
      <c r="O42" s="174"/>
      <c r="P42" s="174">
        <v>11</v>
      </c>
      <c r="Q42" s="179"/>
      <c r="R42" s="180">
        <f t="shared" si="7"/>
        <v>67</v>
      </c>
      <c r="S42" s="181">
        <f t="shared" si="7"/>
        <v>0</v>
      </c>
      <c r="T42" s="178"/>
      <c r="U42" s="182">
        <f>L42*12+N42*12+P42*12</f>
        <v>804</v>
      </c>
      <c r="V42" s="183">
        <f>U42/12</f>
        <v>67</v>
      </c>
      <c r="W42" s="184">
        <f>I42*12+J42</f>
        <v>16269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29825</v>
      </c>
      <c r="D44" s="123">
        <v>3</v>
      </c>
      <c r="E44" s="124"/>
      <c r="F44" s="124"/>
      <c r="G44" s="81">
        <v>1465</v>
      </c>
      <c r="H44" s="82"/>
      <c r="I44" s="76">
        <f>C44+E44-G44</f>
        <v>28360</v>
      </c>
      <c r="J44" s="186">
        <f t="shared" si="4"/>
        <v>3</v>
      </c>
      <c r="K44" s="53"/>
      <c r="L44" s="130">
        <v>558</v>
      </c>
      <c r="M44" s="130"/>
      <c r="N44" s="130">
        <v>538</v>
      </c>
      <c r="O44" s="130"/>
      <c r="P44" s="130">
        <v>369</v>
      </c>
      <c r="Q44" s="131"/>
      <c r="R44" s="187">
        <f t="shared" si="7"/>
        <v>1465</v>
      </c>
      <c r="S44" s="188">
        <f t="shared" si="7"/>
        <v>0</v>
      </c>
      <c r="T44" s="53"/>
      <c r="U44" s="140">
        <f>L44*6+N44*6+P44*6</f>
        <v>8790</v>
      </c>
      <c r="V44" s="139">
        <f>U44/6</f>
        <v>1465</v>
      </c>
      <c r="W44" s="142">
        <f>I44*6+J44</f>
        <v>170163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2348</v>
      </c>
      <c r="D48" s="151">
        <v>4</v>
      </c>
      <c r="E48" s="130"/>
      <c r="F48" s="130"/>
      <c r="G48" s="152"/>
      <c r="H48" s="148"/>
      <c r="I48" s="148">
        <f t="shared" si="4"/>
        <v>2348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14092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42841</v>
      </c>
      <c r="D60" s="57">
        <f>SUM(D8:D59)</f>
        <v>72</v>
      </c>
      <c r="E60" s="44">
        <f>SUM(E8:E59)</f>
        <v>0</v>
      </c>
      <c r="F60" s="44"/>
      <c r="G60" s="28">
        <f>SUM(G8:G59)</f>
        <v>1844</v>
      </c>
      <c r="H60" s="59">
        <f>SUM(H8:H59)</f>
        <v>25</v>
      </c>
      <c r="I60" s="59">
        <f>SUM(I8:I59)</f>
        <v>40997</v>
      </c>
      <c r="J60" s="45">
        <f>SUM(J8:J59)</f>
        <v>47</v>
      </c>
      <c r="K60" s="46"/>
      <c r="L60" s="77">
        <f t="shared" ref="L60:S60" si="20">SUM(L8:L59)</f>
        <v>705</v>
      </c>
      <c r="M60" s="77">
        <f t="shared" si="20"/>
        <v>17</v>
      </c>
      <c r="N60" s="77">
        <f t="shared" si="20"/>
        <v>677</v>
      </c>
      <c r="O60" s="77">
        <f t="shared" si="20"/>
        <v>8</v>
      </c>
      <c r="P60" s="77">
        <f t="shared" si="20"/>
        <v>462</v>
      </c>
      <c r="Q60" s="78">
        <f t="shared" si="20"/>
        <v>0</v>
      </c>
      <c r="R60" s="91">
        <f t="shared" si="20"/>
        <v>1844</v>
      </c>
      <c r="S60" s="90">
        <f t="shared" si="20"/>
        <v>25</v>
      </c>
      <c r="T60" s="46"/>
      <c r="U60" s="43">
        <f>SUM(U8:U59)</f>
        <v>12618</v>
      </c>
      <c r="V60" s="111">
        <f>SUM(V8:V59)</f>
        <v>1844</v>
      </c>
      <c r="W60" s="204">
        <f>SUM(W8:W59)</f>
        <v>345689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1" t="s">
        <v>3</v>
      </c>
      <c r="D69" s="212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9D48-D6D6-479F-B839-87AFD04FE0ED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46091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6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65</v>
      </c>
      <c r="D8" s="120">
        <v>21</v>
      </c>
      <c r="E8" s="121"/>
      <c r="F8" s="121"/>
      <c r="G8" s="79">
        <v>1</v>
      </c>
      <c r="H8" s="76"/>
      <c r="I8" s="76">
        <f>C8-G8</f>
        <v>64</v>
      </c>
      <c r="J8" s="80">
        <f t="shared" ref="J8:J12" si="0">D8-H8</f>
        <v>21</v>
      </c>
      <c r="K8" s="41"/>
      <c r="L8" s="121"/>
      <c r="M8" s="121"/>
      <c r="N8" s="121"/>
      <c r="O8" s="121"/>
      <c r="P8" s="121">
        <v>1</v>
      </c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1557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102</v>
      </c>
      <c r="D9" s="123"/>
      <c r="E9" s="124"/>
      <c r="F9" s="124"/>
      <c r="G9" s="81">
        <v>2</v>
      </c>
      <c r="H9" s="82"/>
      <c r="I9" s="81">
        <f t="shared" ref="I9:J59" si="4">C9-G9</f>
        <v>100</v>
      </c>
      <c r="J9" s="103">
        <f t="shared" si="0"/>
        <v>0</v>
      </c>
      <c r="K9" s="53"/>
      <c r="L9" s="130"/>
      <c r="M9" s="130"/>
      <c r="N9" s="130"/>
      <c r="O9" s="130"/>
      <c r="P9" s="130">
        <v>2</v>
      </c>
      <c r="Q9" s="131"/>
      <c r="R9" s="107">
        <f t="shared" si="1"/>
        <v>2</v>
      </c>
      <c r="S9" s="134">
        <f t="shared" si="1"/>
        <v>0</v>
      </c>
      <c r="T9" s="53"/>
      <c r="U9" s="140">
        <f>L9*24+N9*24+P9*24</f>
        <v>48</v>
      </c>
      <c r="V9" s="141">
        <f>U9/24</f>
        <v>2</v>
      </c>
      <c r="W9" s="142">
        <f t="shared" si="2"/>
        <v>2400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33</v>
      </c>
      <c r="D10" s="120"/>
      <c r="E10" s="121"/>
      <c r="F10" s="121"/>
      <c r="G10" s="79">
        <v>1</v>
      </c>
      <c r="H10" s="76"/>
      <c r="I10" s="76">
        <f t="shared" si="4"/>
        <v>32</v>
      </c>
      <c r="J10" s="104">
        <f t="shared" si="0"/>
        <v>0</v>
      </c>
      <c r="K10" s="41"/>
      <c r="L10" s="121">
        <v>1</v>
      </c>
      <c r="M10" s="121"/>
      <c r="N10" s="121"/>
      <c r="O10" s="121"/>
      <c r="P10" s="121"/>
      <c r="Q10" s="129"/>
      <c r="R10" s="108">
        <f t="shared" si="1"/>
        <v>1</v>
      </c>
      <c r="S10" s="135">
        <f t="shared" si="1"/>
        <v>0</v>
      </c>
      <c r="T10" s="41"/>
      <c r="U10" s="116">
        <f>L10*24+N10*24+P10*24</f>
        <v>24</v>
      </c>
      <c r="V10" s="143">
        <f>U10/24</f>
        <v>1</v>
      </c>
      <c r="W10" s="138">
        <f t="shared" si="2"/>
        <v>768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7</v>
      </c>
      <c r="D11" s="120"/>
      <c r="E11" s="121"/>
      <c r="F11" s="121"/>
      <c r="G11" s="79">
        <v>1</v>
      </c>
      <c r="H11" s="76"/>
      <c r="I11" s="76">
        <f t="shared" si="4"/>
        <v>6</v>
      </c>
      <c r="J11" s="80">
        <f t="shared" si="0"/>
        <v>0</v>
      </c>
      <c r="K11" s="41"/>
      <c r="L11" s="121">
        <v>1</v>
      </c>
      <c r="M11" s="121"/>
      <c r="N11" s="121"/>
      <c r="O11" s="121"/>
      <c r="P11" s="121"/>
      <c r="Q11" s="129"/>
      <c r="R11" s="92">
        <f t="shared" si="1"/>
        <v>1</v>
      </c>
      <c r="S11" s="133">
        <f t="shared" si="1"/>
        <v>0</v>
      </c>
      <c r="T11" s="41"/>
      <c r="U11" s="116">
        <f>L11*24+N11*24+P11*24</f>
        <v>24</v>
      </c>
      <c r="V11" s="139">
        <f>U11/24</f>
        <v>1</v>
      </c>
      <c r="W11" s="138">
        <f t="shared" si="2"/>
        <v>144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3842</v>
      </c>
      <c r="D13" s="123">
        <v>16</v>
      </c>
      <c r="E13" s="124"/>
      <c r="F13" s="124"/>
      <c r="G13" s="81">
        <v>30</v>
      </c>
      <c r="H13" s="82">
        <v>32</v>
      </c>
      <c r="I13" s="85">
        <f t="shared" si="4"/>
        <v>3812</v>
      </c>
      <c r="J13" s="103">
        <f>D13-H13</f>
        <v>-16</v>
      </c>
      <c r="K13" s="55"/>
      <c r="L13" s="130">
        <v>5</v>
      </c>
      <c r="M13" s="130">
        <v>6</v>
      </c>
      <c r="N13" s="130">
        <v>11</v>
      </c>
      <c r="O13" s="130">
        <v>6</v>
      </c>
      <c r="P13" s="130">
        <v>14</v>
      </c>
      <c r="Q13" s="131">
        <v>20</v>
      </c>
      <c r="R13" s="106">
        <f>L13+N13+P13</f>
        <v>30</v>
      </c>
      <c r="S13" s="134">
        <f>M13+O13+Q13</f>
        <v>32</v>
      </c>
      <c r="T13" s="55"/>
      <c r="U13" s="140">
        <f>L13*24+N13*24+P13*24</f>
        <v>720</v>
      </c>
      <c r="V13" s="144">
        <f t="shared" si="6"/>
        <v>30</v>
      </c>
      <c r="W13" s="142">
        <f>I13*24+J13</f>
        <v>91472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39</v>
      </c>
      <c r="D24" s="120"/>
      <c r="E24" s="121"/>
      <c r="F24" s="121"/>
      <c r="G24" s="79"/>
      <c r="H24" s="76">
        <v>5</v>
      </c>
      <c r="I24" s="76">
        <f t="shared" si="4"/>
        <v>39</v>
      </c>
      <c r="J24" s="80">
        <f t="shared" si="4"/>
        <v>-5</v>
      </c>
      <c r="K24" s="42"/>
      <c r="L24" s="121"/>
      <c r="M24" s="121"/>
      <c r="N24" s="121"/>
      <c r="O24" s="121">
        <v>5</v>
      </c>
      <c r="P24" s="121"/>
      <c r="Q24" s="129"/>
      <c r="R24" s="92">
        <f t="shared" si="7"/>
        <v>0</v>
      </c>
      <c r="S24" s="133">
        <f t="shared" si="7"/>
        <v>5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120</v>
      </c>
      <c r="D26" s="120">
        <v>11</v>
      </c>
      <c r="E26" s="121"/>
      <c r="F26" s="121"/>
      <c r="G26" s="79"/>
      <c r="H26" s="76"/>
      <c r="I26" s="76">
        <f t="shared" si="4"/>
        <v>120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2891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87</v>
      </c>
      <c r="D29" s="120"/>
      <c r="E29" s="121"/>
      <c r="F29" s="121"/>
      <c r="G29" s="79">
        <v>2</v>
      </c>
      <c r="H29" s="76"/>
      <c r="I29" s="76">
        <f t="shared" si="4"/>
        <v>85</v>
      </c>
      <c r="J29" s="80">
        <f t="shared" si="4"/>
        <v>0</v>
      </c>
      <c r="K29" s="42"/>
      <c r="L29" s="121"/>
      <c r="M29" s="121"/>
      <c r="N29" s="121"/>
      <c r="O29" s="121"/>
      <c r="P29" s="121">
        <v>2</v>
      </c>
      <c r="Q29" s="129"/>
      <c r="R29" s="92">
        <f t="shared" si="7"/>
        <v>2</v>
      </c>
      <c r="S29" s="133">
        <f t="shared" si="7"/>
        <v>0</v>
      </c>
      <c r="T29" s="42"/>
      <c r="U29" s="116">
        <f t="shared" si="5"/>
        <v>48</v>
      </c>
      <c r="V29" s="139">
        <f t="shared" si="6"/>
        <v>2</v>
      </c>
      <c r="W29" s="138">
        <f t="shared" si="8"/>
        <v>2040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/>
      <c r="H30" s="76"/>
      <c r="I30" s="76">
        <f t="shared" si="4"/>
        <v>10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240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/>
      <c r="H31" s="76"/>
      <c r="I31" s="76">
        <f t="shared" si="4"/>
        <v>60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1440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2</v>
      </c>
      <c r="D32" s="120"/>
      <c r="E32" s="121"/>
      <c r="F32" s="121"/>
      <c r="G32" s="79">
        <v>1</v>
      </c>
      <c r="H32" s="76"/>
      <c r="I32" s="76">
        <f t="shared" si="4"/>
        <v>1</v>
      </c>
      <c r="J32" s="80">
        <f t="shared" si="4"/>
        <v>0</v>
      </c>
      <c r="K32" s="41"/>
      <c r="L32" s="121">
        <v>1</v>
      </c>
      <c r="M32" s="121"/>
      <c r="N32" s="121"/>
      <c r="O32" s="121"/>
      <c r="P32" s="121"/>
      <c r="Q32" s="129"/>
      <c r="R32" s="92">
        <f t="shared" si="7"/>
        <v>1</v>
      </c>
      <c r="S32" s="133">
        <f t="shared" si="7"/>
        <v>0</v>
      </c>
      <c r="T32" s="41"/>
      <c r="U32" s="116">
        <f t="shared" si="5"/>
        <v>24</v>
      </c>
      <c r="V32" s="139">
        <f t="shared" si="6"/>
        <v>1</v>
      </c>
      <c r="W32" s="138">
        <f t="shared" si="8"/>
        <v>24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134</v>
      </c>
      <c r="D35" s="120">
        <v>5</v>
      </c>
      <c r="E35" s="121"/>
      <c r="F35" s="121"/>
      <c r="G35" s="79">
        <v>2</v>
      </c>
      <c r="H35" s="76"/>
      <c r="I35" s="76">
        <f t="shared" si="4"/>
        <v>132</v>
      </c>
      <c r="J35" s="80">
        <f t="shared" si="4"/>
        <v>5</v>
      </c>
      <c r="K35" s="41"/>
      <c r="L35" s="121"/>
      <c r="M35" s="121"/>
      <c r="N35" s="121"/>
      <c r="O35" s="121"/>
      <c r="P35" s="121">
        <v>2</v>
      </c>
      <c r="Q35" s="129"/>
      <c r="R35" s="92">
        <f t="shared" si="7"/>
        <v>2</v>
      </c>
      <c r="S35" s="133">
        <f t="shared" si="7"/>
        <v>0</v>
      </c>
      <c r="T35" s="41"/>
      <c r="U35" s="116">
        <f t="shared" si="5"/>
        <v>48</v>
      </c>
      <c r="V35" s="139">
        <f t="shared" si="6"/>
        <v>2</v>
      </c>
      <c r="W35" s="138">
        <f t="shared" si="8"/>
        <v>3173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3815</v>
      </c>
      <c r="D38" s="123">
        <v>2</v>
      </c>
      <c r="E38" s="124"/>
      <c r="F38" s="124"/>
      <c r="G38" s="81">
        <v>70</v>
      </c>
      <c r="H38" s="82"/>
      <c r="I38" s="148">
        <f t="shared" si="4"/>
        <v>3745</v>
      </c>
      <c r="J38" s="149">
        <f t="shared" si="4"/>
        <v>2</v>
      </c>
      <c r="K38" s="53"/>
      <c r="L38" s="130">
        <v>20</v>
      </c>
      <c r="M38" s="130"/>
      <c r="N38" s="130">
        <v>29</v>
      </c>
      <c r="O38" s="130"/>
      <c r="P38" s="130">
        <v>21</v>
      </c>
      <c r="Q38" s="131"/>
      <c r="R38" s="106">
        <f t="shared" si="7"/>
        <v>70</v>
      </c>
      <c r="S38" s="134">
        <f t="shared" si="7"/>
        <v>0</v>
      </c>
      <c r="T38" s="53"/>
      <c r="U38" s="140">
        <f>L38*6+N38*6+P38*6</f>
        <v>420</v>
      </c>
      <c r="V38" s="144">
        <f>U38/6</f>
        <v>70</v>
      </c>
      <c r="W38" s="142">
        <f>I38*6+J38</f>
        <v>22472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12</v>
      </c>
      <c r="D39" s="120"/>
      <c r="E39" s="121"/>
      <c r="F39" s="121"/>
      <c r="G39" s="79"/>
      <c r="H39" s="76"/>
      <c r="I39" s="79">
        <f t="shared" si="4"/>
        <v>12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288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507</v>
      </c>
      <c r="D41" s="156"/>
      <c r="E41" s="157"/>
      <c r="F41" s="157"/>
      <c r="G41" s="158">
        <v>1</v>
      </c>
      <c r="H41" s="159"/>
      <c r="I41" s="160">
        <f t="shared" si="4"/>
        <v>506</v>
      </c>
      <c r="J41" s="161">
        <f t="shared" si="4"/>
        <v>0</v>
      </c>
      <c r="K41" s="162"/>
      <c r="L41" s="163"/>
      <c r="M41" s="163"/>
      <c r="N41" s="163"/>
      <c r="O41" s="163"/>
      <c r="P41" s="163">
        <v>1</v>
      </c>
      <c r="Q41" s="164"/>
      <c r="R41" s="165">
        <f t="shared" si="7"/>
        <v>1</v>
      </c>
      <c r="S41" s="166">
        <f t="shared" si="7"/>
        <v>0</v>
      </c>
      <c r="T41" s="162"/>
      <c r="U41" s="167">
        <f t="shared" si="9"/>
        <v>24</v>
      </c>
      <c r="V41" s="168">
        <f t="shared" si="6"/>
        <v>1</v>
      </c>
      <c r="W41" s="168">
        <f t="shared" si="10"/>
        <v>12144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1355</v>
      </c>
      <c r="D42" s="173">
        <v>9</v>
      </c>
      <c r="E42" s="174"/>
      <c r="F42" s="174"/>
      <c r="G42" s="175">
        <v>14</v>
      </c>
      <c r="H42" s="176"/>
      <c r="I42" s="175">
        <f t="shared" si="4"/>
        <v>1341</v>
      </c>
      <c r="J42" s="177">
        <f t="shared" si="4"/>
        <v>9</v>
      </c>
      <c r="K42" s="178"/>
      <c r="L42" s="174">
        <v>3</v>
      </c>
      <c r="M42" s="174"/>
      <c r="N42" s="174">
        <v>6</v>
      </c>
      <c r="O42" s="174"/>
      <c r="P42" s="174">
        <v>5</v>
      </c>
      <c r="Q42" s="179"/>
      <c r="R42" s="180">
        <f t="shared" si="7"/>
        <v>14</v>
      </c>
      <c r="S42" s="181">
        <f t="shared" si="7"/>
        <v>0</v>
      </c>
      <c r="T42" s="178"/>
      <c r="U42" s="182">
        <f>L42*12+N42*12+P42*12</f>
        <v>168</v>
      </c>
      <c r="V42" s="183">
        <f>U42/12</f>
        <v>14</v>
      </c>
      <c r="W42" s="184">
        <f>I42*12+J42</f>
        <v>16101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28360</v>
      </c>
      <c r="D44" s="123">
        <v>3</v>
      </c>
      <c r="E44" s="124"/>
      <c r="F44" s="124"/>
      <c r="G44" s="81">
        <v>964</v>
      </c>
      <c r="H44" s="82"/>
      <c r="I44" s="76">
        <f>C44+E44-G44</f>
        <v>27396</v>
      </c>
      <c r="J44" s="186">
        <f t="shared" si="4"/>
        <v>3</v>
      </c>
      <c r="K44" s="53"/>
      <c r="L44" s="130">
        <v>324</v>
      </c>
      <c r="M44" s="130"/>
      <c r="N44" s="130">
        <v>311</v>
      </c>
      <c r="O44" s="130"/>
      <c r="P44" s="130">
        <v>329</v>
      </c>
      <c r="Q44" s="131"/>
      <c r="R44" s="187">
        <f t="shared" si="7"/>
        <v>964</v>
      </c>
      <c r="S44" s="188">
        <f t="shared" si="7"/>
        <v>0</v>
      </c>
      <c r="T44" s="53"/>
      <c r="U44" s="140">
        <f>L44*6+N44*6+P44*6</f>
        <v>5784</v>
      </c>
      <c r="V44" s="139">
        <f>U44/6</f>
        <v>964</v>
      </c>
      <c r="W44" s="142">
        <f>I44*6+J44</f>
        <v>164379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2348</v>
      </c>
      <c r="D48" s="151">
        <v>4</v>
      </c>
      <c r="E48" s="130"/>
      <c r="F48" s="130"/>
      <c r="G48" s="152"/>
      <c r="H48" s="148"/>
      <c r="I48" s="148">
        <f t="shared" si="4"/>
        <v>2348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14092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40996</v>
      </c>
      <c r="D60" s="57">
        <f>SUM(D8:D59)</f>
        <v>71</v>
      </c>
      <c r="E60" s="44">
        <f>SUM(E8:E59)</f>
        <v>0</v>
      </c>
      <c r="F60" s="44"/>
      <c r="G60" s="28">
        <f>SUM(G8:G59)</f>
        <v>1089</v>
      </c>
      <c r="H60" s="59">
        <f>SUM(H8:H59)</f>
        <v>37</v>
      </c>
      <c r="I60" s="59">
        <f>SUM(I8:I59)</f>
        <v>39907</v>
      </c>
      <c r="J60" s="45">
        <f>SUM(J8:J59)</f>
        <v>34</v>
      </c>
      <c r="K60" s="46"/>
      <c r="L60" s="77">
        <f t="shared" ref="L60:S60" si="20">SUM(L8:L59)</f>
        <v>355</v>
      </c>
      <c r="M60" s="77">
        <f t="shared" si="20"/>
        <v>6</v>
      </c>
      <c r="N60" s="77">
        <f t="shared" si="20"/>
        <v>357</v>
      </c>
      <c r="O60" s="77">
        <f t="shared" si="20"/>
        <v>11</v>
      </c>
      <c r="P60" s="77">
        <f t="shared" si="20"/>
        <v>377</v>
      </c>
      <c r="Q60" s="78">
        <f t="shared" si="20"/>
        <v>20</v>
      </c>
      <c r="R60" s="91">
        <f t="shared" si="20"/>
        <v>1089</v>
      </c>
      <c r="S60" s="90">
        <f t="shared" si="20"/>
        <v>37</v>
      </c>
      <c r="T60" s="46"/>
      <c r="U60" s="43">
        <f>SUM(U8:U59)</f>
        <v>7356</v>
      </c>
      <c r="V60" s="111">
        <f>SUM(V8:V59)</f>
        <v>1089</v>
      </c>
      <c r="W60" s="204">
        <f>SUM(W8:W59)</f>
        <v>338296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4" t="s">
        <v>3</v>
      </c>
      <c r="D69" s="215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CFFB-6E56-48E6-BDE7-6AC770AC0671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46092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9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64</v>
      </c>
      <c r="D8" s="120">
        <v>21</v>
      </c>
      <c r="E8" s="121"/>
      <c r="F8" s="121"/>
      <c r="G8" s="79">
        <v>1</v>
      </c>
      <c r="H8" s="76"/>
      <c r="I8" s="76">
        <f>C8-G8</f>
        <v>63</v>
      </c>
      <c r="J8" s="80">
        <f t="shared" ref="J8:J12" si="0">D8-H8</f>
        <v>21</v>
      </c>
      <c r="K8" s="41"/>
      <c r="L8" s="121">
        <v>1</v>
      </c>
      <c r="M8" s="121"/>
      <c r="N8" s="121"/>
      <c r="O8" s="121"/>
      <c r="P8" s="121"/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1533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100</v>
      </c>
      <c r="D9" s="123"/>
      <c r="E9" s="124"/>
      <c r="F9" s="124"/>
      <c r="G9" s="81"/>
      <c r="H9" s="82"/>
      <c r="I9" s="81">
        <f t="shared" ref="I9:J59" si="4">C9-G9</f>
        <v>100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2400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32</v>
      </c>
      <c r="D10" s="120"/>
      <c r="E10" s="121"/>
      <c r="F10" s="121"/>
      <c r="G10" s="79">
        <v>1</v>
      </c>
      <c r="H10" s="76"/>
      <c r="I10" s="76">
        <f t="shared" si="4"/>
        <v>31</v>
      </c>
      <c r="J10" s="104">
        <f t="shared" si="0"/>
        <v>0</v>
      </c>
      <c r="K10" s="41"/>
      <c r="L10" s="121"/>
      <c r="M10" s="121"/>
      <c r="N10" s="121"/>
      <c r="O10" s="121"/>
      <c r="P10" s="121">
        <v>1</v>
      </c>
      <c r="Q10" s="129"/>
      <c r="R10" s="108">
        <f t="shared" si="1"/>
        <v>1</v>
      </c>
      <c r="S10" s="135">
        <f t="shared" si="1"/>
        <v>0</v>
      </c>
      <c r="T10" s="41"/>
      <c r="U10" s="116">
        <f>L10*24+N10*24+P10*24</f>
        <v>24</v>
      </c>
      <c r="V10" s="143">
        <f>U10/24</f>
        <v>1</v>
      </c>
      <c r="W10" s="138">
        <f t="shared" si="2"/>
        <v>744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6</v>
      </c>
      <c r="D11" s="120"/>
      <c r="E11" s="121"/>
      <c r="F11" s="121"/>
      <c r="G11" s="79">
        <v>2</v>
      </c>
      <c r="H11" s="76"/>
      <c r="I11" s="76">
        <f t="shared" si="4"/>
        <v>4</v>
      </c>
      <c r="J11" s="80">
        <f t="shared" si="0"/>
        <v>0</v>
      </c>
      <c r="K11" s="41"/>
      <c r="L11" s="121">
        <v>1</v>
      </c>
      <c r="M11" s="121"/>
      <c r="N11" s="121"/>
      <c r="O11" s="121"/>
      <c r="P11" s="121">
        <v>1</v>
      </c>
      <c r="Q11" s="129"/>
      <c r="R11" s="92">
        <f t="shared" si="1"/>
        <v>2</v>
      </c>
      <c r="S11" s="133">
        <f t="shared" si="1"/>
        <v>0</v>
      </c>
      <c r="T11" s="41"/>
      <c r="U11" s="116">
        <f>L11*24+N11*24+P11*24</f>
        <v>48</v>
      </c>
      <c r="V11" s="139">
        <f>U11/24</f>
        <v>2</v>
      </c>
      <c r="W11" s="138">
        <f t="shared" si="2"/>
        <v>96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3811</v>
      </c>
      <c r="D13" s="123">
        <v>8</v>
      </c>
      <c r="E13" s="124"/>
      <c r="F13" s="124"/>
      <c r="G13" s="81">
        <v>36</v>
      </c>
      <c r="H13" s="82">
        <v>42</v>
      </c>
      <c r="I13" s="85">
        <f t="shared" si="4"/>
        <v>3775</v>
      </c>
      <c r="J13" s="103">
        <f>D13-H13</f>
        <v>-34</v>
      </c>
      <c r="K13" s="55"/>
      <c r="L13" s="130">
        <v>15</v>
      </c>
      <c r="M13" s="130">
        <v>21</v>
      </c>
      <c r="N13" s="130">
        <v>10</v>
      </c>
      <c r="O13" s="130">
        <v>7</v>
      </c>
      <c r="P13" s="130">
        <v>11</v>
      </c>
      <c r="Q13" s="131">
        <v>14</v>
      </c>
      <c r="R13" s="106">
        <f>L13+N13+P13</f>
        <v>36</v>
      </c>
      <c r="S13" s="134">
        <f>M13+O13+Q13</f>
        <v>42</v>
      </c>
      <c r="T13" s="55"/>
      <c r="U13" s="140">
        <f>L13*24+N13*24+P13*24</f>
        <v>864</v>
      </c>
      <c r="V13" s="144">
        <f t="shared" si="6"/>
        <v>36</v>
      </c>
      <c r="W13" s="142">
        <f>I13*24+J13</f>
        <v>90566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120</v>
      </c>
      <c r="D26" s="120">
        <v>11</v>
      </c>
      <c r="E26" s="121"/>
      <c r="F26" s="121"/>
      <c r="G26" s="79"/>
      <c r="H26" s="76"/>
      <c r="I26" s="76">
        <f t="shared" si="4"/>
        <v>120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2891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85</v>
      </c>
      <c r="D29" s="120"/>
      <c r="E29" s="121"/>
      <c r="F29" s="121"/>
      <c r="G29" s="79">
        <v>1</v>
      </c>
      <c r="H29" s="76"/>
      <c r="I29" s="76">
        <f t="shared" si="4"/>
        <v>84</v>
      </c>
      <c r="J29" s="80">
        <f t="shared" si="4"/>
        <v>0</v>
      </c>
      <c r="K29" s="42"/>
      <c r="L29" s="121"/>
      <c r="M29" s="121"/>
      <c r="N29" s="121"/>
      <c r="O29" s="121"/>
      <c r="P29" s="121">
        <v>1</v>
      </c>
      <c r="Q29" s="129"/>
      <c r="R29" s="92">
        <f t="shared" si="7"/>
        <v>1</v>
      </c>
      <c r="S29" s="133">
        <f t="shared" si="7"/>
        <v>0</v>
      </c>
      <c r="T29" s="42"/>
      <c r="U29" s="116">
        <f t="shared" si="5"/>
        <v>24</v>
      </c>
      <c r="V29" s="139">
        <f t="shared" si="6"/>
        <v>1</v>
      </c>
      <c r="W29" s="138">
        <f t="shared" si="8"/>
        <v>2016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10</v>
      </c>
      <c r="D30" s="120"/>
      <c r="E30" s="121"/>
      <c r="F30" s="121"/>
      <c r="G30" s="79">
        <v>2</v>
      </c>
      <c r="H30" s="76"/>
      <c r="I30" s="76">
        <f t="shared" si="4"/>
        <v>8</v>
      </c>
      <c r="J30" s="80">
        <f t="shared" si="4"/>
        <v>0</v>
      </c>
      <c r="K30" s="41"/>
      <c r="L30" s="121"/>
      <c r="M30" s="121"/>
      <c r="N30" s="121"/>
      <c r="O30" s="121"/>
      <c r="P30" s="121">
        <v>2</v>
      </c>
      <c r="Q30" s="129"/>
      <c r="R30" s="92">
        <f t="shared" si="7"/>
        <v>2</v>
      </c>
      <c r="S30" s="133">
        <f t="shared" si="7"/>
        <v>0</v>
      </c>
      <c r="T30" s="41"/>
      <c r="U30" s="116">
        <f t="shared" si="5"/>
        <v>48</v>
      </c>
      <c r="V30" s="139">
        <f t="shared" si="6"/>
        <v>2</v>
      </c>
      <c r="W30" s="138">
        <f t="shared" si="8"/>
        <v>192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60</v>
      </c>
      <c r="D31" s="120"/>
      <c r="E31" s="121"/>
      <c r="F31" s="121"/>
      <c r="G31" s="79">
        <v>2</v>
      </c>
      <c r="H31" s="76"/>
      <c r="I31" s="76">
        <f t="shared" si="4"/>
        <v>58</v>
      </c>
      <c r="J31" s="80">
        <f t="shared" si="4"/>
        <v>0</v>
      </c>
      <c r="K31" s="41"/>
      <c r="L31" s="121"/>
      <c r="M31" s="121"/>
      <c r="N31" s="121"/>
      <c r="O31" s="121"/>
      <c r="P31" s="121">
        <v>2</v>
      </c>
      <c r="Q31" s="129"/>
      <c r="R31" s="92">
        <f t="shared" si="7"/>
        <v>2</v>
      </c>
      <c r="S31" s="133">
        <f t="shared" si="7"/>
        <v>0</v>
      </c>
      <c r="T31" s="41"/>
      <c r="U31" s="116">
        <f t="shared" si="5"/>
        <v>48</v>
      </c>
      <c r="V31" s="139">
        <f t="shared" si="6"/>
        <v>2</v>
      </c>
      <c r="W31" s="138">
        <f t="shared" si="8"/>
        <v>1392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</v>
      </c>
      <c r="D32" s="120"/>
      <c r="E32" s="121"/>
      <c r="F32" s="121"/>
      <c r="G32" s="79"/>
      <c r="H32" s="76"/>
      <c r="I32" s="76">
        <f t="shared" si="4"/>
        <v>1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24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132</v>
      </c>
      <c r="D35" s="120">
        <v>5</v>
      </c>
      <c r="E35" s="121"/>
      <c r="F35" s="121"/>
      <c r="G35" s="79">
        <v>4</v>
      </c>
      <c r="H35" s="76"/>
      <c r="I35" s="76">
        <f t="shared" si="4"/>
        <v>128</v>
      </c>
      <c r="J35" s="80">
        <f t="shared" si="4"/>
        <v>5</v>
      </c>
      <c r="K35" s="41"/>
      <c r="L35" s="121"/>
      <c r="M35" s="121"/>
      <c r="N35" s="121"/>
      <c r="O35" s="121"/>
      <c r="P35" s="121">
        <v>4</v>
      </c>
      <c r="Q35" s="129"/>
      <c r="R35" s="92">
        <f t="shared" si="7"/>
        <v>4</v>
      </c>
      <c r="S35" s="133">
        <f t="shared" si="7"/>
        <v>0</v>
      </c>
      <c r="T35" s="41"/>
      <c r="U35" s="116">
        <f t="shared" si="5"/>
        <v>96</v>
      </c>
      <c r="V35" s="139">
        <f t="shared" si="6"/>
        <v>4</v>
      </c>
      <c r="W35" s="138">
        <f t="shared" si="8"/>
        <v>3077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3745</v>
      </c>
      <c r="D38" s="123">
        <v>2</v>
      </c>
      <c r="E38" s="124"/>
      <c r="F38" s="124"/>
      <c r="G38" s="81">
        <v>5</v>
      </c>
      <c r="H38" s="82"/>
      <c r="I38" s="148">
        <f t="shared" si="4"/>
        <v>3740</v>
      </c>
      <c r="J38" s="149">
        <f t="shared" si="4"/>
        <v>2</v>
      </c>
      <c r="K38" s="53"/>
      <c r="L38" s="130"/>
      <c r="M38" s="130"/>
      <c r="N38" s="130"/>
      <c r="O38" s="130"/>
      <c r="P38" s="130">
        <v>5</v>
      </c>
      <c r="Q38" s="131"/>
      <c r="R38" s="106">
        <f t="shared" si="7"/>
        <v>5</v>
      </c>
      <c r="S38" s="134">
        <f t="shared" si="7"/>
        <v>0</v>
      </c>
      <c r="T38" s="53"/>
      <c r="U38" s="140">
        <f>L38*6+N38*6+P38*6</f>
        <v>30</v>
      </c>
      <c r="V38" s="144">
        <f>U38/6</f>
        <v>5</v>
      </c>
      <c r="W38" s="142">
        <f>I38*6+J38</f>
        <v>22442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12</v>
      </c>
      <c r="D39" s="120"/>
      <c r="E39" s="121"/>
      <c r="F39" s="121"/>
      <c r="G39" s="79"/>
      <c r="H39" s="76"/>
      <c r="I39" s="79">
        <f t="shared" si="4"/>
        <v>12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288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506</v>
      </c>
      <c r="D41" s="156"/>
      <c r="E41" s="157"/>
      <c r="F41" s="157"/>
      <c r="G41" s="158">
        <v>2</v>
      </c>
      <c r="H41" s="159"/>
      <c r="I41" s="160">
        <f t="shared" si="4"/>
        <v>504</v>
      </c>
      <c r="J41" s="161">
        <f t="shared" si="4"/>
        <v>0</v>
      </c>
      <c r="K41" s="162"/>
      <c r="L41" s="163"/>
      <c r="M41" s="163"/>
      <c r="N41" s="163"/>
      <c r="O41" s="163"/>
      <c r="P41" s="163">
        <v>2</v>
      </c>
      <c r="Q41" s="164"/>
      <c r="R41" s="165">
        <f t="shared" si="7"/>
        <v>2</v>
      </c>
      <c r="S41" s="166">
        <f t="shared" si="7"/>
        <v>0</v>
      </c>
      <c r="T41" s="162"/>
      <c r="U41" s="167">
        <f t="shared" si="9"/>
        <v>48</v>
      </c>
      <c r="V41" s="168">
        <f t="shared" si="6"/>
        <v>2</v>
      </c>
      <c r="W41" s="168">
        <f t="shared" si="10"/>
        <v>12096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1341</v>
      </c>
      <c r="D42" s="173">
        <v>9</v>
      </c>
      <c r="E42" s="174"/>
      <c r="F42" s="174"/>
      <c r="G42" s="175">
        <v>17</v>
      </c>
      <c r="H42" s="176"/>
      <c r="I42" s="175">
        <f t="shared" si="4"/>
        <v>1324</v>
      </c>
      <c r="J42" s="177">
        <f t="shared" si="4"/>
        <v>9</v>
      </c>
      <c r="K42" s="178"/>
      <c r="L42" s="174">
        <v>2</v>
      </c>
      <c r="M42" s="174"/>
      <c r="N42" s="174"/>
      <c r="O42" s="174"/>
      <c r="P42" s="174">
        <v>15</v>
      </c>
      <c r="Q42" s="179"/>
      <c r="R42" s="180">
        <f t="shared" si="7"/>
        <v>17</v>
      </c>
      <c r="S42" s="181">
        <f t="shared" si="7"/>
        <v>0</v>
      </c>
      <c r="T42" s="178"/>
      <c r="U42" s="182">
        <f>L42*12+N42*12+P42*12</f>
        <v>204</v>
      </c>
      <c r="V42" s="183">
        <f>U42/12</f>
        <v>17</v>
      </c>
      <c r="W42" s="184">
        <f>I42*12+J42</f>
        <v>15897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27396</v>
      </c>
      <c r="D44" s="123">
        <v>3</v>
      </c>
      <c r="E44" s="124"/>
      <c r="F44" s="124"/>
      <c r="G44" s="81">
        <v>1177</v>
      </c>
      <c r="H44" s="82"/>
      <c r="I44" s="76">
        <f>C44+E44-G44</f>
        <v>26219</v>
      </c>
      <c r="J44" s="186">
        <f t="shared" si="4"/>
        <v>3</v>
      </c>
      <c r="K44" s="53"/>
      <c r="L44" s="130">
        <v>411</v>
      </c>
      <c r="M44" s="130"/>
      <c r="N44" s="130">
        <v>348</v>
      </c>
      <c r="O44" s="130"/>
      <c r="P44" s="130">
        <v>418</v>
      </c>
      <c r="Q44" s="131"/>
      <c r="R44" s="187">
        <f t="shared" si="7"/>
        <v>1177</v>
      </c>
      <c r="S44" s="188">
        <f t="shared" si="7"/>
        <v>0</v>
      </c>
      <c r="T44" s="53"/>
      <c r="U44" s="140">
        <f>L44*6+N44*6+P44*6</f>
        <v>7062</v>
      </c>
      <c r="V44" s="139">
        <f>U44/6</f>
        <v>1177</v>
      </c>
      <c r="W44" s="142">
        <f>I44*6+J44</f>
        <v>157317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2348</v>
      </c>
      <c r="D48" s="151">
        <v>4</v>
      </c>
      <c r="E48" s="130"/>
      <c r="F48" s="130"/>
      <c r="G48" s="152">
        <v>1</v>
      </c>
      <c r="H48" s="148"/>
      <c r="I48" s="148">
        <f t="shared" si="4"/>
        <v>2347</v>
      </c>
      <c r="J48" s="149">
        <f t="shared" si="4"/>
        <v>4</v>
      </c>
      <c r="K48" s="53"/>
      <c r="L48" s="130"/>
      <c r="M48" s="130"/>
      <c r="N48" s="130">
        <v>1</v>
      </c>
      <c r="O48" s="130"/>
      <c r="P48" s="130"/>
      <c r="Q48" s="131"/>
      <c r="R48" s="106">
        <f t="shared" si="7"/>
        <v>1</v>
      </c>
      <c r="S48" s="153">
        <f t="shared" si="7"/>
        <v>0</v>
      </c>
      <c r="T48" s="53"/>
      <c r="U48" s="140">
        <f>L48*6+N48*6+P48*6</f>
        <v>6</v>
      </c>
      <c r="V48" s="144">
        <f>U48/6</f>
        <v>1</v>
      </c>
      <c r="W48" s="142">
        <f>I48*6+J48</f>
        <v>14086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39905</v>
      </c>
      <c r="D60" s="57">
        <f>SUM(D8:D59)</f>
        <v>82</v>
      </c>
      <c r="E60" s="44">
        <f>SUM(E8:E59)</f>
        <v>0</v>
      </c>
      <c r="F60" s="44"/>
      <c r="G60" s="28">
        <f>SUM(G8:G59)</f>
        <v>1251</v>
      </c>
      <c r="H60" s="59">
        <f>SUM(H8:H59)</f>
        <v>42</v>
      </c>
      <c r="I60" s="59">
        <f>SUM(I8:I59)</f>
        <v>38654</v>
      </c>
      <c r="J60" s="45">
        <f>SUM(J8:J59)</f>
        <v>40</v>
      </c>
      <c r="K60" s="46"/>
      <c r="L60" s="77">
        <f t="shared" ref="L60:S60" si="20">SUM(L8:L59)</f>
        <v>430</v>
      </c>
      <c r="M60" s="77">
        <f t="shared" si="20"/>
        <v>21</v>
      </c>
      <c r="N60" s="77">
        <f t="shared" si="20"/>
        <v>359</v>
      </c>
      <c r="O60" s="77">
        <f t="shared" si="20"/>
        <v>7</v>
      </c>
      <c r="P60" s="77">
        <f t="shared" si="20"/>
        <v>462</v>
      </c>
      <c r="Q60" s="78">
        <f t="shared" si="20"/>
        <v>14</v>
      </c>
      <c r="R60" s="91">
        <f t="shared" si="20"/>
        <v>1251</v>
      </c>
      <c r="S60" s="90">
        <f t="shared" si="20"/>
        <v>42</v>
      </c>
      <c r="T60" s="46"/>
      <c r="U60" s="43">
        <f>SUM(U8:U59)</f>
        <v>8526</v>
      </c>
      <c r="V60" s="111">
        <f>SUM(V8:V59)</f>
        <v>1251</v>
      </c>
      <c r="W60" s="204">
        <f>SUM(W8:W59)</f>
        <v>329728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7" t="s">
        <v>3</v>
      </c>
      <c r="D69" s="218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7F05-1F9A-49D1-9564-7A6E0EF3020A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46093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9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63</v>
      </c>
      <c r="D8" s="120">
        <v>21</v>
      </c>
      <c r="E8" s="121"/>
      <c r="F8" s="121"/>
      <c r="G8" s="79"/>
      <c r="H8" s="76"/>
      <c r="I8" s="76">
        <f>C8-G8</f>
        <v>63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1533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100</v>
      </c>
      <c r="D9" s="123"/>
      <c r="E9" s="124"/>
      <c r="F9" s="124"/>
      <c r="G9" s="81"/>
      <c r="H9" s="82"/>
      <c r="I9" s="81">
        <f t="shared" ref="I9:J59" si="4">C9-G9</f>
        <v>100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2400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31</v>
      </c>
      <c r="D10" s="120"/>
      <c r="E10" s="121"/>
      <c r="F10" s="121"/>
      <c r="G10" s="79">
        <v>1</v>
      </c>
      <c r="H10" s="76"/>
      <c r="I10" s="76">
        <f t="shared" si="4"/>
        <v>30</v>
      </c>
      <c r="J10" s="104">
        <f t="shared" si="0"/>
        <v>0</v>
      </c>
      <c r="K10" s="41"/>
      <c r="L10" s="121"/>
      <c r="M10" s="121"/>
      <c r="N10" s="121"/>
      <c r="O10" s="121"/>
      <c r="P10" s="121">
        <v>1</v>
      </c>
      <c r="Q10" s="129"/>
      <c r="R10" s="108">
        <f t="shared" si="1"/>
        <v>1</v>
      </c>
      <c r="S10" s="135">
        <f t="shared" si="1"/>
        <v>0</v>
      </c>
      <c r="T10" s="41"/>
      <c r="U10" s="116">
        <f>L10*24+N10*24+P10*24</f>
        <v>24</v>
      </c>
      <c r="V10" s="143">
        <f>U10/24</f>
        <v>1</v>
      </c>
      <c r="W10" s="138">
        <f t="shared" si="2"/>
        <v>720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4</v>
      </c>
      <c r="D11" s="120"/>
      <c r="E11" s="121"/>
      <c r="F11" s="121"/>
      <c r="G11" s="79">
        <v>1</v>
      </c>
      <c r="H11" s="76"/>
      <c r="I11" s="76">
        <f t="shared" si="4"/>
        <v>3</v>
      </c>
      <c r="J11" s="80">
        <f t="shared" si="0"/>
        <v>0</v>
      </c>
      <c r="K11" s="41"/>
      <c r="L11" s="121"/>
      <c r="M11" s="121"/>
      <c r="N11" s="121"/>
      <c r="O11" s="121"/>
      <c r="P11" s="121">
        <v>1</v>
      </c>
      <c r="Q11" s="129"/>
      <c r="R11" s="92">
        <f t="shared" si="1"/>
        <v>1</v>
      </c>
      <c r="S11" s="133">
        <f t="shared" si="1"/>
        <v>0</v>
      </c>
      <c r="T11" s="41"/>
      <c r="U11" s="116">
        <f>L11*24+N11*24+P11*24</f>
        <v>24</v>
      </c>
      <c r="V11" s="139">
        <f>U11/24</f>
        <v>1</v>
      </c>
      <c r="W11" s="138">
        <f t="shared" si="2"/>
        <v>72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3773</v>
      </c>
      <c r="D13" s="123">
        <v>14</v>
      </c>
      <c r="E13" s="124"/>
      <c r="F13" s="124"/>
      <c r="G13" s="81">
        <v>45</v>
      </c>
      <c r="H13" s="82">
        <v>21</v>
      </c>
      <c r="I13" s="85">
        <f t="shared" si="4"/>
        <v>3728</v>
      </c>
      <c r="J13" s="103">
        <f>D13-H13</f>
        <v>-7</v>
      </c>
      <c r="K13" s="55"/>
      <c r="L13" s="130">
        <v>15</v>
      </c>
      <c r="M13" s="130"/>
      <c r="N13" s="130">
        <v>16</v>
      </c>
      <c r="O13" s="130">
        <v>17</v>
      </c>
      <c r="P13" s="130">
        <v>14</v>
      </c>
      <c r="Q13" s="131">
        <v>4</v>
      </c>
      <c r="R13" s="106">
        <f>L13+N13+P13</f>
        <v>45</v>
      </c>
      <c r="S13" s="134">
        <f>M13+O13+Q13</f>
        <v>21</v>
      </c>
      <c r="T13" s="55"/>
      <c r="U13" s="140">
        <f>L13*24+N13*24+P13*24</f>
        <v>1080</v>
      </c>
      <c r="V13" s="144">
        <f t="shared" si="6"/>
        <v>45</v>
      </c>
      <c r="W13" s="142">
        <f>I13*24+J13</f>
        <v>89465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120</v>
      </c>
      <c r="D26" s="120">
        <v>11</v>
      </c>
      <c r="E26" s="121"/>
      <c r="F26" s="121"/>
      <c r="G26" s="79"/>
      <c r="H26" s="76"/>
      <c r="I26" s="76">
        <f t="shared" si="4"/>
        <v>120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2891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84</v>
      </c>
      <c r="D29" s="120"/>
      <c r="E29" s="121"/>
      <c r="F29" s="121"/>
      <c r="G29" s="79">
        <v>3</v>
      </c>
      <c r="H29" s="76"/>
      <c r="I29" s="76">
        <f t="shared" si="4"/>
        <v>81</v>
      </c>
      <c r="J29" s="80">
        <f t="shared" si="4"/>
        <v>0</v>
      </c>
      <c r="K29" s="42"/>
      <c r="L29" s="121"/>
      <c r="M29" s="121"/>
      <c r="N29" s="121"/>
      <c r="O29" s="121"/>
      <c r="P29" s="121">
        <v>3</v>
      </c>
      <c r="Q29" s="129"/>
      <c r="R29" s="92">
        <f t="shared" si="7"/>
        <v>3</v>
      </c>
      <c r="S29" s="133">
        <f t="shared" si="7"/>
        <v>0</v>
      </c>
      <c r="T29" s="42"/>
      <c r="U29" s="116">
        <f t="shared" si="5"/>
        <v>72</v>
      </c>
      <c r="V29" s="139">
        <f t="shared" si="6"/>
        <v>3</v>
      </c>
      <c r="W29" s="138">
        <f t="shared" si="8"/>
        <v>1944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8</v>
      </c>
      <c r="D30" s="120"/>
      <c r="E30" s="121"/>
      <c r="F30" s="121"/>
      <c r="G30" s="79"/>
      <c r="H30" s="76"/>
      <c r="I30" s="76">
        <f t="shared" si="4"/>
        <v>8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192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58</v>
      </c>
      <c r="D31" s="120"/>
      <c r="E31" s="121"/>
      <c r="F31" s="121"/>
      <c r="G31" s="79"/>
      <c r="H31" s="76"/>
      <c r="I31" s="76">
        <f t="shared" si="4"/>
        <v>58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1392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</v>
      </c>
      <c r="D32" s="120"/>
      <c r="E32" s="121"/>
      <c r="F32" s="121"/>
      <c r="G32" s="79"/>
      <c r="H32" s="76"/>
      <c r="I32" s="76">
        <f t="shared" si="4"/>
        <v>1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24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128</v>
      </c>
      <c r="D35" s="120">
        <v>5</v>
      </c>
      <c r="E35" s="121"/>
      <c r="F35" s="121"/>
      <c r="G35" s="79">
        <v>12</v>
      </c>
      <c r="H35" s="76"/>
      <c r="I35" s="76">
        <f t="shared" si="4"/>
        <v>116</v>
      </c>
      <c r="J35" s="80">
        <f t="shared" si="4"/>
        <v>5</v>
      </c>
      <c r="K35" s="41"/>
      <c r="L35" s="121"/>
      <c r="M35" s="121"/>
      <c r="N35" s="121">
        <v>10</v>
      </c>
      <c r="O35" s="121"/>
      <c r="P35" s="121">
        <v>2</v>
      </c>
      <c r="Q35" s="129"/>
      <c r="R35" s="92">
        <f t="shared" si="7"/>
        <v>12</v>
      </c>
      <c r="S35" s="133">
        <f t="shared" si="7"/>
        <v>0</v>
      </c>
      <c r="T35" s="41"/>
      <c r="U35" s="116">
        <f t="shared" si="5"/>
        <v>288</v>
      </c>
      <c r="V35" s="139">
        <f t="shared" si="6"/>
        <v>12</v>
      </c>
      <c r="W35" s="138">
        <f t="shared" si="8"/>
        <v>2789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3780</v>
      </c>
      <c r="D38" s="123">
        <v>2</v>
      </c>
      <c r="E38" s="124"/>
      <c r="F38" s="124"/>
      <c r="G38" s="81">
        <v>124</v>
      </c>
      <c r="H38" s="82"/>
      <c r="I38" s="148">
        <f t="shared" si="4"/>
        <v>3656</v>
      </c>
      <c r="J38" s="149">
        <f t="shared" si="4"/>
        <v>2</v>
      </c>
      <c r="K38" s="53"/>
      <c r="L38" s="130">
        <v>4</v>
      </c>
      <c r="M38" s="130"/>
      <c r="N38" s="130">
        <v>90</v>
      </c>
      <c r="O38" s="130"/>
      <c r="P38" s="130">
        <v>30</v>
      </c>
      <c r="Q38" s="131"/>
      <c r="R38" s="106">
        <f t="shared" si="7"/>
        <v>124</v>
      </c>
      <c r="S38" s="134">
        <f t="shared" si="7"/>
        <v>0</v>
      </c>
      <c r="T38" s="53"/>
      <c r="U38" s="140">
        <f>L38*6+N38*6+P38*6</f>
        <v>744</v>
      </c>
      <c r="V38" s="144">
        <f>U38/6</f>
        <v>124</v>
      </c>
      <c r="W38" s="142">
        <f>I38*6+J38</f>
        <v>21938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12</v>
      </c>
      <c r="D39" s="120"/>
      <c r="E39" s="121"/>
      <c r="F39" s="121"/>
      <c r="G39" s="79">
        <v>1</v>
      </c>
      <c r="H39" s="76"/>
      <c r="I39" s="79">
        <f t="shared" si="4"/>
        <v>11</v>
      </c>
      <c r="J39" s="80">
        <f t="shared" si="4"/>
        <v>0</v>
      </c>
      <c r="K39" s="41"/>
      <c r="L39" s="121"/>
      <c r="M39" s="121"/>
      <c r="N39" s="121">
        <v>1</v>
      </c>
      <c r="O39" s="121"/>
      <c r="P39" s="121"/>
      <c r="Q39" s="129"/>
      <c r="R39" s="105">
        <f t="shared" si="7"/>
        <v>1</v>
      </c>
      <c r="S39" s="135">
        <f t="shared" si="7"/>
        <v>0</v>
      </c>
      <c r="T39" s="41"/>
      <c r="U39" s="116">
        <f t="shared" ref="U39:U41" si="9">L39*24+N39*24+P39*24</f>
        <v>24</v>
      </c>
      <c r="V39" s="118">
        <f t="shared" si="6"/>
        <v>1</v>
      </c>
      <c r="W39" s="138">
        <f t="shared" ref="W39:W41" si="10">I39*24+J39</f>
        <v>264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504</v>
      </c>
      <c r="D41" s="156"/>
      <c r="E41" s="157"/>
      <c r="F41" s="157"/>
      <c r="G41" s="158"/>
      <c r="H41" s="159"/>
      <c r="I41" s="160">
        <f t="shared" si="4"/>
        <v>504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12096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1324</v>
      </c>
      <c r="D42" s="173">
        <v>9</v>
      </c>
      <c r="E42" s="174"/>
      <c r="F42" s="174"/>
      <c r="G42" s="175">
        <v>15</v>
      </c>
      <c r="H42" s="176"/>
      <c r="I42" s="175">
        <f t="shared" si="4"/>
        <v>1309</v>
      </c>
      <c r="J42" s="177">
        <f t="shared" si="4"/>
        <v>9</v>
      </c>
      <c r="K42" s="178"/>
      <c r="L42" s="174"/>
      <c r="M42" s="174"/>
      <c r="N42" s="174"/>
      <c r="O42" s="174"/>
      <c r="P42" s="174">
        <v>15</v>
      </c>
      <c r="Q42" s="179"/>
      <c r="R42" s="180">
        <f t="shared" si="7"/>
        <v>15</v>
      </c>
      <c r="S42" s="181">
        <f t="shared" si="7"/>
        <v>0</v>
      </c>
      <c r="T42" s="178"/>
      <c r="U42" s="182">
        <f>L42*12+N42*12+P42*12</f>
        <v>180</v>
      </c>
      <c r="V42" s="183">
        <f>U42/12</f>
        <v>15</v>
      </c>
      <c r="W42" s="184">
        <f>I42*12+J42</f>
        <v>15717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26219</v>
      </c>
      <c r="D44" s="123">
        <v>3</v>
      </c>
      <c r="E44" s="124"/>
      <c r="F44" s="124"/>
      <c r="G44" s="81">
        <v>1189</v>
      </c>
      <c r="H44" s="82"/>
      <c r="I44" s="76">
        <f>C44+E44-G44</f>
        <v>25030</v>
      </c>
      <c r="J44" s="186">
        <f t="shared" si="4"/>
        <v>3</v>
      </c>
      <c r="K44" s="53"/>
      <c r="L44" s="130">
        <v>431</v>
      </c>
      <c r="M44" s="130"/>
      <c r="N44" s="130">
        <v>395</v>
      </c>
      <c r="O44" s="130"/>
      <c r="P44" s="130">
        <v>363</v>
      </c>
      <c r="Q44" s="131"/>
      <c r="R44" s="187">
        <f t="shared" si="7"/>
        <v>1189</v>
      </c>
      <c r="S44" s="188">
        <f t="shared" si="7"/>
        <v>0</v>
      </c>
      <c r="T44" s="53"/>
      <c r="U44" s="140">
        <f>L44*6+N44*6+P44*6</f>
        <v>7134</v>
      </c>
      <c r="V44" s="139">
        <f>U44/6</f>
        <v>1189</v>
      </c>
      <c r="W44" s="142">
        <f>I44*6+J44</f>
        <v>150183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2347</v>
      </c>
      <c r="D48" s="151">
        <v>4</v>
      </c>
      <c r="E48" s="130"/>
      <c r="F48" s="130"/>
      <c r="G48" s="152"/>
      <c r="H48" s="148"/>
      <c r="I48" s="148">
        <f t="shared" si="4"/>
        <v>2347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14086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38692</v>
      </c>
      <c r="D60" s="57">
        <f>SUM(D8:D59)</f>
        <v>88</v>
      </c>
      <c r="E60" s="44">
        <f>SUM(E8:E59)</f>
        <v>0</v>
      </c>
      <c r="F60" s="44"/>
      <c r="G60" s="28">
        <f>SUM(G8:G59)</f>
        <v>1391</v>
      </c>
      <c r="H60" s="59">
        <f>SUM(H8:H59)</f>
        <v>21</v>
      </c>
      <c r="I60" s="59">
        <f>SUM(I8:I59)</f>
        <v>37301</v>
      </c>
      <c r="J60" s="45">
        <f>SUM(J8:J59)</f>
        <v>67</v>
      </c>
      <c r="K60" s="46"/>
      <c r="L60" s="77">
        <f t="shared" ref="L60:S60" si="20">SUM(L8:L59)</f>
        <v>450</v>
      </c>
      <c r="M60" s="77">
        <f t="shared" si="20"/>
        <v>0</v>
      </c>
      <c r="N60" s="77">
        <f t="shared" si="20"/>
        <v>512</v>
      </c>
      <c r="O60" s="77">
        <f t="shared" si="20"/>
        <v>17</v>
      </c>
      <c r="P60" s="77">
        <f t="shared" si="20"/>
        <v>429</v>
      </c>
      <c r="Q60" s="78">
        <f t="shared" si="20"/>
        <v>4</v>
      </c>
      <c r="R60" s="91">
        <f t="shared" si="20"/>
        <v>1391</v>
      </c>
      <c r="S60" s="90">
        <f t="shared" si="20"/>
        <v>21</v>
      </c>
      <c r="T60" s="46"/>
      <c r="U60" s="43">
        <f>SUM(U8:U59)</f>
        <v>9570</v>
      </c>
      <c r="V60" s="111">
        <f>SUM(V8:V59)</f>
        <v>1391</v>
      </c>
      <c r="W60" s="204">
        <f>SUM(W8:W59)</f>
        <v>320377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7" t="s">
        <v>3</v>
      </c>
      <c r="D69" s="218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6754-2A1D-461F-A0F4-DED7C6789BA4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46095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19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63</v>
      </c>
      <c r="D8" s="120">
        <v>21</v>
      </c>
      <c r="E8" s="121"/>
      <c r="F8" s="121"/>
      <c r="G8" s="79">
        <v>1</v>
      </c>
      <c r="H8" s="76"/>
      <c r="I8" s="76">
        <f>C8-G8</f>
        <v>62</v>
      </c>
      <c r="J8" s="80">
        <f t="shared" ref="J8:J12" si="0">D8-H8</f>
        <v>21</v>
      </c>
      <c r="K8" s="41"/>
      <c r="L8" s="121">
        <v>1</v>
      </c>
      <c r="M8" s="121"/>
      <c r="N8" s="121"/>
      <c r="O8" s="121"/>
      <c r="P8" s="121"/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1509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100</v>
      </c>
      <c r="D9" s="123"/>
      <c r="E9" s="124"/>
      <c r="F9" s="124"/>
      <c r="G9" s="81"/>
      <c r="H9" s="82"/>
      <c r="I9" s="81">
        <f t="shared" ref="I9:J59" si="4">C9-G9</f>
        <v>100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2400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30</v>
      </c>
      <c r="D10" s="120"/>
      <c r="E10" s="121"/>
      <c r="F10" s="121"/>
      <c r="G10" s="79">
        <v>4</v>
      </c>
      <c r="H10" s="76"/>
      <c r="I10" s="76">
        <f t="shared" si="4"/>
        <v>26</v>
      </c>
      <c r="J10" s="104">
        <f t="shared" si="0"/>
        <v>0</v>
      </c>
      <c r="K10" s="41"/>
      <c r="L10" s="121">
        <v>2</v>
      </c>
      <c r="M10" s="121"/>
      <c r="N10" s="121">
        <v>2</v>
      </c>
      <c r="O10" s="121"/>
      <c r="P10" s="121"/>
      <c r="Q10" s="129"/>
      <c r="R10" s="108">
        <f t="shared" si="1"/>
        <v>4</v>
      </c>
      <c r="S10" s="135">
        <f t="shared" si="1"/>
        <v>0</v>
      </c>
      <c r="T10" s="41"/>
      <c r="U10" s="116">
        <f>L10*24+N10*24+P10*24</f>
        <v>96</v>
      </c>
      <c r="V10" s="143">
        <f>U10/24</f>
        <v>4</v>
      </c>
      <c r="W10" s="138">
        <f t="shared" si="2"/>
        <v>624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3</v>
      </c>
      <c r="D11" s="120"/>
      <c r="E11" s="121"/>
      <c r="F11" s="121"/>
      <c r="G11" s="79">
        <v>1</v>
      </c>
      <c r="H11" s="76"/>
      <c r="I11" s="76">
        <f t="shared" si="4"/>
        <v>2</v>
      </c>
      <c r="J11" s="80">
        <f t="shared" si="0"/>
        <v>0</v>
      </c>
      <c r="K11" s="41"/>
      <c r="L11" s="121"/>
      <c r="M11" s="121"/>
      <c r="N11" s="121">
        <v>1</v>
      </c>
      <c r="O11" s="121"/>
      <c r="P11" s="121"/>
      <c r="Q11" s="129"/>
      <c r="R11" s="92">
        <f t="shared" si="1"/>
        <v>1</v>
      </c>
      <c r="S11" s="133">
        <f t="shared" si="1"/>
        <v>0</v>
      </c>
      <c r="T11" s="41"/>
      <c r="U11" s="116">
        <f>L11*24+N11*24+P11*24</f>
        <v>24</v>
      </c>
      <c r="V11" s="139">
        <f>U11/24</f>
        <v>1</v>
      </c>
      <c r="W11" s="138">
        <f t="shared" si="2"/>
        <v>48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/>
      <c r="H12" s="76"/>
      <c r="I12" s="76">
        <f t="shared" si="4"/>
        <v>10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3727</v>
      </c>
      <c r="D13" s="123">
        <v>17</v>
      </c>
      <c r="E13" s="124"/>
      <c r="F13" s="124"/>
      <c r="G13" s="81">
        <v>38</v>
      </c>
      <c r="H13" s="82">
        <v>23</v>
      </c>
      <c r="I13" s="85">
        <f t="shared" si="4"/>
        <v>3689</v>
      </c>
      <c r="J13" s="103">
        <f>D13-H13</f>
        <v>-6</v>
      </c>
      <c r="K13" s="55"/>
      <c r="L13" s="130">
        <v>20</v>
      </c>
      <c r="M13" s="130">
        <v>4</v>
      </c>
      <c r="N13" s="130">
        <v>8</v>
      </c>
      <c r="O13" s="130">
        <v>7</v>
      </c>
      <c r="P13" s="130">
        <v>10</v>
      </c>
      <c r="Q13" s="131">
        <v>12</v>
      </c>
      <c r="R13" s="106">
        <f>L13+N13+P13</f>
        <v>38</v>
      </c>
      <c r="S13" s="134">
        <f>M13+O13+Q13</f>
        <v>23</v>
      </c>
      <c r="T13" s="55"/>
      <c r="U13" s="140">
        <f>L13*24+N13*24+P13*24</f>
        <v>912</v>
      </c>
      <c r="V13" s="144">
        <f t="shared" si="6"/>
        <v>38</v>
      </c>
      <c r="W13" s="142">
        <f>I13*24+J13</f>
        <v>88530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/>
      <c r="H14" s="76"/>
      <c r="I14" s="102">
        <f t="shared" si="4"/>
        <v>5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120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/>
      <c r="H23" s="76"/>
      <c r="I23" s="76">
        <f t="shared" si="4"/>
        <v>2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48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/>
      <c r="H25" s="76"/>
      <c r="I25" s="76">
        <f t="shared" si="4"/>
        <v>7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120</v>
      </c>
      <c r="D26" s="120">
        <v>11</v>
      </c>
      <c r="E26" s="121"/>
      <c r="F26" s="121"/>
      <c r="G26" s="79">
        <v>1</v>
      </c>
      <c r="H26" s="76"/>
      <c r="I26" s="76">
        <f t="shared" si="4"/>
        <v>119</v>
      </c>
      <c r="J26" s="80">
        <f t="shared" si="4"/>
        <v>11</v>
      </c>
      <c r="K26" s="41"/>
      <c r="L26" s="121">
        <v>1</v>
      </c>
      <c r="M26" s="121"/>
      <c r="N26" s="121"/>
      <c r="O26" s="121"/>
      <c r="P26" s="121"/>
      <c r="Q26" s="129"/>
      <c r="R26" s="92">
        <f t="shared" si="7"/>
        <v>1</v>
      </c>
      <c r="S26" s="133">
        <f t="shared" si="7"/>
        <v>0</v>
      </c>
      <c r="T26" s="41"/>
      <c r="U26" s="116">
        <f t="shared" si="5"/>
        <v>24</v>
      </c>
      <c r="V26" s="139">
        <f t="shared" si="6"/>
        <v>1</v>
      </c>
      <c r="W26" s="138">
        <f t="shared" si="8"/>
        <v>2867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/>
      <c r="H27" s="76"/>
      <c r="I27" s="76">
        <f t="shared" si="4"/>
        <v>16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384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81</v>
      </c>
      <c r="D29" s="120"/>
      <c r="E29" s="121"/>
      <c r="F29" s="121"/>
      <c r="G29" s="79"/>
      <c r="H29" s="76"/>
      <c r="I29" s="76">
        <f t="shared" si="4"/>
        <v>81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1944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8</v>
      </c>
      <c r="D30" s="120"/>
      <c r="E30" s="121"/>
      <c r="F30" s="121"/>
      <c r="G30" s="79">
        <v>2</v>
      </c>
      <c r="H30" s="76"/>
      <c r="I30" s="76">
        <f t="shared" si="4"/>
        <v>6</v>
      </c>
      <c r="J30" s="80">
        <f t="shared" si="4"/>
        <v>0</v>
      </c>
      <c r="K30" s="41"/>
      <c r="L30" s="121">
        <v>1</v>
      </c>
      <c r="M30" s="121"/>
      <c r="N30" s="121">
        <v>1</v>
      </c>
      <c r="O30" s="121"/>
      <c r="P30" s="121"/>
      <c r="Q30" s="129"/>
      <c r="R30" s="92">
        <f t="shared" si="7"/>
        <v>2</v>
      </c>
      <c r="S30" s="133">
        <f t="shared" si="7"/>
        <v>0</v>
      </c>
      <c r="T30" s="41"/>
      <c r="U30" s="116">
        <f t="shared" si="5"/>
        <v>48</v>
      </c>
      <c r="V30" s="139">
        <f t="shared" si="6"/>
        <v>2</v>
      </c>
      <c r="W30" s="138">
        <f t="shared" si="8"/>
        <v>144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58</v>
      </c>
      <c r="D31" s="120"/>
      <c r="E31" s="121"/>
      <c r="F31" s="121"/>
      <c r="G31" s="79"/>
      <c r="H31" s="76"/>
      <c r="I31" s="76">
        <f t="shared" si="4"/>
        <v>58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1392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</v>
      </c>
      <c r="D32" s="120"/>
      <c r="E32" s="121"/>
      <c r="F32" s="121"/>
      <c r="G32" s="79"/>
      <c r="H32" s="76"/>
      <c r="I32" s="76">
        <f t="shared" si="4"/>
        <v>1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24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116</v>
      </c>
      <c r="D35" s="120">
        <v>5</v>
      </c>
      <c r="E35" s="121"/>
      <c r="F35" s="121"/>
      <c r="G35" s="79">
        <v>3</v>
      </c>
      <c r="H35" s="76"/>
      <c r="I35" s="76">
        <f t="shared" si="4"/>
        <v>113</v>
      </c>
      <c r="J35" s="80">
        <f t="shared" si="4"/>
        <v>5</v>
      </c>
      <c r="K35" s="41"/>
      <c r="L35" s="121">
        <v>3</v>
      </c>
      <c r="M35" s="121"/>
      <c r="N35" s="121"/>
      <c r="O35" s="121"/>
      <c r="P35" s="121"/>
      <c r="Q35" s="129"/>
      <c r="R35" s="92">
        <f t="shared" si="7"/>
        <v>3</v>
      </c>
      <c r="S35" s="133">
        <f t="shared" si="7"/>
        <v>0</v>
      </c>
      <c r="T35" s="41"/>
      <c r="U35" s="116">
        <f t="shared" si="5"/>
        <v>72</v>
      </c>
      <c r="V35" s="139">
        <f t="shared" si="6"/>
        <v>3</v>
      </c>
      <c r="W35" s="138">
        <f t="shared" si="8"/>
        <v>2717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3616</v>
      </c>
      <c r="D38" s="123">
        <v>2</v>
      </c>
      <c r="E38" s="124"/>
      <c r="F38" s="124"/>
      <c r="G38" s="81">
        <v>85</v>
      </c>
      <c r="H38" s="82"/>
      <c r="I38" s="148">
        <f t="shared" si="4"/>
        <v>3531</v>
      </c>
      <c r="J38" s="149">
        <f t="shared" si="4"/>
        <v>2</v>
      </c>
      <c r="K38" s="53"/>
      <c r="L38" s="130">
        <v>36</v>
      </c>
      <c r="M38" s="130"/>
      <c r="N38" s="130">
        <v>33</v>
      </c>
      <c r="O38" s="130"/>
      <c r="P38" s="130">
        <v>16</v>
      </c>
      <c r="Q38" s="131"/>
      <c r="R38" s="106">
        <f t="shared" si="7"/>
        <v>85</v>
      </c>
      <c r="S38" s="134">
        <f t="shared" si="7"/>
        <v>0</v>
      </c>
      <c r="T38" s="53"/>
      <c r="U38" s="140">
        <f>L38*6+N38*6+P38*6</f>
        <v>510</v>
      </c>
      <c r="V38" s="144">
        <f>U38/6</f>
        <v>85</v>
      </c>
      <c r="W38" s="142">
        <f>I38*6+J38</f>
        <v>21188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11</v>
      </c>
      <c r="D39" s="120"/>
      <c r="E39" s="121"/>
      <c r="F39" s="121"/>
      <c r="G39" s="79"/>
      <c r="H39" s="76"/>
      <c r="I39" s="79">
        <f t="shared" si="4"/>
        <v>11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264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504</v>
      </c>
      <c r="D41" s="156"/>
      <c r="E41" s="157"/>
      <c r="F41" s="157"/>
      <c r="G41" s="158"/>
      <c r="H41" s="159"/>
      <c r="I41" s="160">
        <f t="shared" si="4"/>
        <v>504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12096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1309</v>
      </c>
      <c r="D42" s="173">
        <v>9</v>
      </c>
      <c r="E42" s="174"/>
      <c r="F42" s="174"/>
      <c r="G42" s="175">
        <v>32</v>
      </c>
      <c r="H42" s="176"/>
      <c r="I42" s="175">
        <f t="shared" si="4"/>
        <v>1277</v>
      </c>
      <c r="J42" s="177">
        <f t="shared" si="4"/>
        <v>9</v>
      </c>
      <c r="K42" s="178"/>
      <c r="L42" s="174">
        <v>4</v>
      </c>
      <c r="M42" s="174"/>
      <c r="N42" s="174">
        <v>12</v>
      </c>
      <c r="O42" s="174"/>
      <c r="P42" s="174">
        <v>16</v>
      </c>
      <c r="Q42" s="179"/>
      <c r="R42" s="180">
        <f t="shared" si="7"/>
        <v>32</v>
      </c>
      <c r="S42" s="181">
        <f t="shared" si="7"/>
        <v>0</v>
      </c>
      <c r="T42" s="178"/>
      <c r="U42" s="182">
        <f>L42*12+N42*12+P42*12</f>
        <v>384</v>
      </c>
      <c r="V42" s="183">
        <f>U42/12</f>
        <v>32</v>
      </c>
      <c r="W42" s="184">
        <f>I42*12+J42</f>
        <v>15333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25030</v>
      </c>
      <c r="D44" s="123">
        <v>3</v>
      </c>
      <c r="E44" s="124"/>
      <c r="F44" s="124"/>
      <c r="G44" s="81">
        <v>1306</v>
      </c>
      <c r="H44" s="82"/>
      <c r="I44" s="76">
        <f>C44+E44-G44</f>
        <v>23724</v>
      </c>
      <c r="J44" s="186">
        <f t="shared" si="4"/>
        <v>3</v>
      </c>
      <c r="K44" s="53"/>
      <c r="L44" s="130">
        <v>676</v>
      </c>
      <c r="M44" s="130"/>
      <c r="N44" s="130">
        <v>314</v>
      </c>
      <c r="O44" s="130"/>
      <c r="P44" s="130">
        <v>316</v>
      </c>
      <c r="Q44" s="131"/>
      <c r="R44" s="187">
        <f t="shared" si="7"/>
        <v>1306</v>
      </c>
      <c r="S44" s="188">
        <f t="shared" si="7"/>
        <v>0</v>
      </c>
      <c r="T44" s="53"/>
      <c r="U44" s="140">
        <f>L44*6+N44*6+P44*6</f>
        <v>7836</v>
      </c>
      <c r="V44" s="139">
        <f>U44/6</f>
        <v>1306</v>
      </c>
      <c r="W44" s="142">
        <f>I44*6+J44</f>
        <v>142347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2347</v>
      </c>
      <c r="D48" s="151">
        <v>4</v>
      </c>
      <c r="E48" s="130"/>
      <c r="F48" s="130"/>
      <c r="G48" s="152">
        <v>7</v>
      </c>
      <c r="H48" s="148"/>
      <c r="I48" s="148">
        <f t="shared" si="4"/>
        <v>2340</v>
      </c>
      <c r="J48" s="149">
        <f t="shared" si="4"/>
        <v>4</v>
      </c>
      <c r="K48" s="53"/>
      <c r="L48" s="130">
        <v>5</v>
      </c>
      <c r="M48" s="130"/>
      <c r="N48" s="130">
        <v>2</v>
      </c>
      <c r="O48" s="130"/>
      <c r="P48" s="130"/>
      <c r="Q48" s="131"/>
      <c r="R48" s="106">
        <f t="shared" si="7"/>
        <v>7</v>
      </c>
      <c r="S48" s="153">
        <f t="shared" si="7"/>
        <v>0</v>
      </c>
      <c r="T48" s="53"/>
      <c r="U48" s="140">
        <f>L48*6+N48*6+P48*6</f>
        <v>42</v>
      </c>
      <c r="V48" s="144">
        <f>U48/6</f>
        <v>7</v>
      </c>
      <c r="W48" s="142">
        <f>I48*6+J48</f>
        <v>14044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37260</v>
      </c>
      <c r="D60" s="57">
        <f>SUM(D8:D59)</f>
        <v>91</v>
      </c>
      <c r="E60" s="44">
        <f>SUM(E8:E59)</f>
        <v>0</v>
      </c>
      <c r="F60" s="44"/>
      <c r="G60" s="28">
        <f>SUM(G8:G59)</f>
        <v>1480</v>
      </c>
      <c r="H60" s="59">
        <f>SUM(H8:H59)</f>
        <v>23</v>
      </c>
      <c r="I60" s="59">
        <f>SUM(I8:I59)</f>
        <v>35780</v>
      </c>
      <c r="J60" s="45">
        <f>SUM(J8:J59)</f>
        <v>68</v>
      </c>
      <c r="K60" s="46"/>
      <c r="L60" s="77">
        <f t="shared" ref="L60:S60" si="20">SUM(L8:L59)</f>
        <v>749</v>
      </c>
      <c r="M60" s="77">
        <f t="shared" si="20"/>
        <v>4</v>
      </c>
      <c r="N60" s="77">
        <f t="shared" si="20"/>
        <v>373</v>
      </c>
      <c r="O60" s="77">
        <f t="shared" si="20"/>
        <v>7</v>
      </c>
      <c r="P60" s="77">
        <f t="shared" si="20"/>
        <v>358</v>
      </c>
      <c r="Q60" s="78">
        <f t="shared" si="20"/>
        <v>12</v>
      </c>
      <c r="R60" s="91">
        <f t="shared" si="20"/>
        <v>1480</v>
      </c>
      <c r="S60" s="90">
        <f t="shared" si="20"/>
        <v>23</v>
      </c>
      <c r="T60" s="46"/>
      <c r="U60" s="43">
        <f>SUM(U8:U59)</f>
        <v>9972</v>
      </c>
      <c r="V60" s="111">
        <f>SUM(V8:V59)</f>
        <v>1480</v>
      </c>
      <c r="W60" s="204">
        <f>SUM(W8:W59)</f>
        <v>310142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7" t="s">
        <v>3</v>
      </c>
      <c r="D69" s="218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BD73-A48C-4F22-A504-2935EC0BD975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46095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22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/>
      <c r="D9" s="123"/>
      <c r="E9" s="124"/>
      <c r="F9" s="124"/>
      <c r="G9" s="81"/>
      <c r="H9" s="82"/>
      <c r="I9" s="81">
        <f t="shared" ref="I9:J59" si="4">C9-G9</f>
        <v>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4"/>
        <v>0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4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/>
      <c r="D13" s="123"/>
      <c r="E13" s="124"/>
      <c r="F13" s="124"/>
      <c r="G13" s="81"/>
      <c r="H13" s="82"/>
      <c r="I13" s="85">
        <f t="shared" si="4"/>
        <v>0</v>
      </c>
      <c r="J13" s="103">
        <f>D13-H13</f>
        <v>0</v>
      </c>
      <c r="K13" s="55"/>
      <c r="L13" s="130"/>
      <c r="M13" s="130"/>
      <c r="N13" s="130"/>
      <c r="O13" s="130"/>
      <c r="P13" s="130"/>
      <c r="Q13" s="131"/>
      <c r="R13" s="106">
        <f>L13+N13+P13</f>
        <v>0</v>
      </c>
      <c r="S13" s="134">
        <f>M13+O13+Q13</f>
        <v>0</v>
      </c>
      <c r="T13" s="55"/>
      <c r="U13" s="140">
        <f>L13*24+N13*24+P13*24</f>
        <v>0</v>
      </c>
      <c r="V13" s="144">
        <f t="shared" si="6"/>
        <v>0</v>
      </c>
      <c r="W13" s="142">
        <f>I13*24+J13</f>
        <v>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/>
      <c r="D14" s="120"/>
      <c r="E14" s="121"/>
      <c r="F14" s="121"/>
      <c r="G14" s="79"/>
      <c r="H14" s="76"/>
      <c r="I14" s="102">
        <f t="shared" si="4"/>
        <v>0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4"/>
        <v>0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4"/>
        <v>0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4"/>
        <v>0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4"/>
        <v>0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4"/>
        <v>0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4"/>
        <v>0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4"/>
        <v>0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4"/>
        <v>0</v>
      </c>
      <c r="J26" s="80">
        <f t="shared" si="4"/>
        <v>0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4"/>
        <v>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4"/>
        <v>0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4"/>
        <v>0</v>
      </c>
      <c r="J35" s="80">
        <f t="shared" si="4"/>
        <v>0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/>
      <c r="D38" s="123"/>
      <c r="E38" s="124"/>
      <c r="F38" s="124"/>
      <c r="G38" s="81"/>
      <c r="H38" s="82"/>
      <c r="I38" s="148">
        <f t="shared" si="4"/>
        <v>0</v>
      </c>
      <c r="J38" s="149">
        <f t="shared" si="4"/>
        <v>0</v>
      </c>
      <c r="K38" s="53"/>
      <c r="L38" s="130"/>
      <c r="M38" s="130"/>
      <c r="N38" s="130"/>
      <c r="O38" s="130"/>
      <c r="P38" s="130"/>
      <c r="Q38" s="131"/>
      <c r="R38" s="106">
        <f t="shared" si="7"/>
        <v>0</v>
      </c>
      <c r="S38" s="134">
        <f t="shared" si="7"/>
        <v>0</v>
      </c>
      <c r="T38" s="53"/>
      <c r="U38" s="140">
        <f>L38*6+N38*6+P38*6</f>
        <v>0</v>
      </c>
      <c r="V38" s="144">
        <f>U38/6</f>
        <v>0</v>
      </c>
      <c r="W38" s="142">
        <f>I38*6+J38</f>
        <v>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/>
      <c r="D39" s="120"/>
      <c r="E39" s="121"/>
      <c r="F39" s="121"/>
      <c r="G39" s="79"/>
      <c r="H39" s="76"/>
      <c r="I39" s="79">
        <f t="shared" si="4"/>
        <v>0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>
        <f t="shared" si="4"/>
        <v>0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>
        <f t="shared" si="4"/>
        <v>0</v>
      </c>
      <c r="J42" s="177">
        <f t="shared" si="4"/>
        <v>0</v>
      </c>
      <c r="K42" s="178"/>
      <c r="L42" s="174"/>
      <c r="M42" s="174"/>
      <c r="N42" s="174"/>
      <c r="O42" s="174"/>
      <c r="P42" s="174"/>
      <c r="Q42" s="179"/>
      <c r="R42" s="180">
        <f t="shared" si="7"/>
        <v>0</v>
      </c>
      <c r="S42" s="181">
        <f t="shared" si="7"/>
        <v>0</v>
      </c>
      <c r="T42" s="178"/>
      <c r="U42" s="182">
        <f>L42*12+N42*12+P42*12</f>
        <v>0</v>
      </c>
      <c r="V42" s="183">
        <f>U42/12</f>
        <v>0</v>
      </c>
      <c r="W42" s="184">
        <f>I42*12+J42</f>
        <v>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>C44+E44-G44</f>
        <v>0</v>
      </c>
      <c r="J44" s="186">
        <f t="shared" si="4"/>
        <v>0</v>
      </c>
      <c r="K44" s="53"/>
      <c r="L44" s="130"/>
      <c r="M44" s="130"/>
      <c r="N44" s="130"/>
      <c r="O44" s="130"/>
      <c r="P44" s="130"/>
      <c r="Q44" s="131"/>
      <c r="R44" s="187">
        <f t="shared" si="7"/>
        <v>0</v>
      </c>
      <c r="S44" s="188">
        <f t="shared" si="7"/>
        <v>0</v>
      </c>
      <c r="T44" s="53"/>
      <c r="U44" s="140">
        <f>L44*6+N44*6+P44*6</f>
        <v>0</v>
      </c>
      <c r="V44" s="139">
        <f>U44/6</f>
        <v>0</v>
      </c>
      <c r="W44" s="142">
        <f>I44*6+J44</f>
        <v>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/>
      <c r="D48" s="151"/>
      <c r="E48" s="130"/>
      <c r="F48" s="130"/>
      <c r="G48" s="152"/>
      <c r="H48" s="148"/>
      <c r="I48" s="148">
        <f t="shared" si="4"/>
        <v>0</v>
      </c>
      <c r="J48" s="149">
        <f t="shared" si="4"/>
        <v>0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/>
      <c r="D49" s="120"/>
      <c r="E49" s="121"/>
      <c r="F49" s="121"/>
      <c r="G49" s="79"/>
      <c r="H49" s="76"/>
      <c r="I49" s="76">
        <f t="shared" si="4"/>
        <v>0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/>
      <c r="D52" s="151"/>
      <c r="E52" s="130"/>
      <c r="F52" s="130"/>
      <c r="G52" s="152"/>
      <c r="H52" s="148"/>
      <c r="I52" s="148">
        <f t="shared" si="4"/>
        <v>0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0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4"/>
        <v>0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7">
        <f>SUM(D8:D59)</f>
        <v>0</v>
      </c>
      <c r="E60" s="44">
        <f>SUM(E8:E59)</f>
        <v>0</v>
      </c>
      <c r="F60" s="44"/>
      <c r="G60" s="28">
        <f>SUM(G8:G59)</f>
        <v>0</v>
      </c>
      <c r="H60" s="59">
        <f>SUM(H8:H59)</f>
        <v>0</v>
      </c>
      <c r="I60" s="59">
        <f>SUM(I8:I59)</f>
        <v>0</v>
      </c>
      <c r="J60" s="45">
        <f>SUM(J8:J59)</f>
        <v>0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0</v>
      </c>
      <c r="Q60" s="78">
        <f t="shared" si="20"/>
        <v>0</v>
      </c>
      <c r="R60" s="91">
        <f t="shared" si="20"/>
        <v>0</v>
      </c>
      <c r="S60" s="90">
        <f t="shared" si="20"/>
        <v>0</v>
      </c>
      <c r="T60" s="46"/>
      <c r="U60" s="43">
        <f>SUM(U8:U59)</f>
        <v>0</v>
      </c>
      <c r="V60" s="111">
        <f>SUM(V8:V59)</f>
        <v>0</v>
      </c>
      <c r="W60" s="99">
        <f>SUM(W8:W59)</f>
        <v>0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0" t="s">
        <v>3</v>
      </c>
      <c r="D69" s="221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689C-3A2A-47F7-8BBF-9939A9D59483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46098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22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62</v>
      </c>
      <c r="D8" s="120">
        <v>21</v>
      </c>
      <c r="E8" s="121"/>
      <c r="F8" s="121"/>
      <c r="G8" s="79">
        <v>5</v>
      </c>
      <c r="H8" s="76"/>
      <c r="I8" s="76">
        <f>C8-G8</f>
        <v>57</v>
      </c>
      <c r="J8" s="80">
        <f t="shared" ref="J8:J12" si="0">D8-H8</f>
        <v>21</v>
      </c>
      <c r="K8" s="41"/>
      <c r="L8" s="121"/>
      <c r="M8" s="121"/>
      <c r="N8" s="121"/>
      <c r="O8" s="121"/>
      <c r="P8" s="121">
        <v>5</v>
      </c>
      <c r="Q8" s="129"/>
      <c r="R8" s="92">
        <f t="shared" ref="R8:S12" si="1">L8+N8+P8</f>
        <v>5</v>
      </c>
      <c r="S8" s="133">
        <f t="shared" si="1"/>
        <v>0</v>
      </c>
      <c r="T8" s="41"/>
      <c r="U8" s="116">
        <f>L8*24+N8*24+P8*24</f>
        <v>120</v>
      </c>
      <c r="V8" s="139">
        <f>U8/24</f>
        <v>5</v>
      </c>
      <c r="W8" s="138">
        <f t="shared" ref="W8:W12" si="2">I8*24+J8</f>
        <v>1389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100</v>
      </c>
      <c r="D9" s="123"/>
      <c r="E9" s="124"/>
      <c r="F9" s="124"/>
      <c r="G9" s="81">
        <v>5</v>
      </c>
      <c r="H9" s="82"/>
      <c r="I9" s="81">
        <f t="shared" ref="I9:J59" si="4">C9-G9</f>
        <v>95</v>
      </c>
      <c r="J9" s="103">
        <f t="shared" si="0"/>
        <v>0</v>
      </c>
      <c r="K9" s="53"/>
      <c r="L9" s="130">
        <v>3</v>
      </c>
      <c r="M9" s="130"/>
      <c r="N9" s="130"/>
      <c r="O9" s="130"/>
      <c r="P9" s="130">
        <v>2</v>
      </c>
      <c r="Q9" s="131"/>
      <c r="R9" s="107">
        <f t="shared" si="1"/>
        <v>5</v>
      </c>
      <c r="S9" s="134">
        <f t="shared" si="1"/>
        <v>0</v>
      </c>
      <c r="T9" s="53"/>
      <c r="U9" s="140">
        <f>L9*24+N9*24+P9*24</f>
        <v>120</v>
      </c>
      <c r="V9" s="141">
        <f>U9/24</f>
        <v>5</v>
      </c>
      <c r="W9" s="142">
        <f t="shared" si="2"/>
        <v>2280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23</v>
      </c>
      <c r="D10" s="120"/>
      <c r="E10" s="121"/>
      <c r="F10" s="121"/>
      <c r="G10" s="79">
        <v>7</v>
      </c>
      <c r="H10" s="76"/>
      <c r="I10" s="76">
        <f t="shared" si="4"/>
        <v>16</v>
      </c>
      <c r="J10" s="104">
        <f t="shared" si="0"/>
        <v>0</v>
      </c>
      <c r="K10" s="41"/>
      <c r="L10" s="121">
        <v>2</v>
      </c>
      <c r="M10" s="121"/>
      <c r="N10" s="121"/>
      <c r="O10" s="121"/>
      <c r="P10" s="121">
        <v>5</v>
      </c>
      <c r="Q10" s="129"/>
      <c r="R10" s="108">
        <f t="shared" si="1"/>
        <v>7</v>
      </c>
      <c r="S10" s="135">
        <f t="shared" si="1"/>
        <v>0</v>
      </c>
      <c r="T10" s="41"/>
      <c r="U10" s="116">
        <f>L10*24+N10*24+P10*24</f>
        <v>168</v>
      </c>
      <c r="V10" s="143">
        <f>U10/24</f>
        <v>7</v>
      </c>
      <c r="W10" s="138">
        <f t="shared" si="2"/>
        <v>384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>
        <v>2</v>
      </c>
      <c r="D11" s="120"/>
      <c r="E11" s="121"/>
      <c r="F11" s="121"/>
      <c r="G11" s="79">
        <v>2</v>
      </c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>
        <v>2</v>
      </c>
      <c r="Q11" s="129"/>
      <c r="R11" s="92">
        <f t="shared" si="1"/>
        <v>2</v>
      </c>
      <c r="S11" s="133">
        <f t="shared" si="1"/>
        <v>0</v>
      </c>
      <c r="T11" s="41"/>
      <c r="U11" s="116">
        <f>L11*24+N11*24+P11*24</f>
        <v>48</v>
      </c>
      <c r="V11" s="139">
        <f>U11/24</f>
        <v>2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10</v>
      </c>
      <c r="D12" s="120"/>
      <c r="E12" s="121"/>
      <c r="F12" s="121"/>
      <c r="G12" s="79">
        <v>6</v>
      </c>
      <c r="H12" s="76"/>
      <c r="I12" s="76">
        <f t="shared" si="4"/>
        <v>4</v>
      </c>
      <c r="J12" s="80">
        <f t="shared" si="0"/>
        <v>0</v>
      </c>
      <c r="K12" s="41"/>
      <c r="L12" s="121">
        <v>1</v>
      </c>
      <c r="M12" s="121"/>
      <c r="N12" s="121"/>
      <c r="O12" s="121"/>
      <c r="P12" s="121">
        <v>5</v>
      </c>
      <c r="Q12" s="129"/>
      <c r="R12" s="92">
        <f t="shared" si="1"/>
        <v>6</v>
      </c>
      <c r="S12" s="133">
        <f t="shared" si="1"/>
        <v>0</v>
      </c>
      <c r="T12" s="41"/>
      <c r="U12" s="116">
        <f t="shared" ref="U12:U37" si="5">L12*24+N12*24+P12*24</f>
        <v>144</v>
      </c>
      <c r="V12" s="139">
        <f t="shared" ref="V12:V41" si="6">U12/24</f>
        <v>6</v>
      </c>
      <c r="W12" s="138">
        <f t="shared" si="2"/>
        <v>96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3666</v>
      </c>
      <c r="D13" s="123">
        <v>21</v>
      </c>
      <c r="E13" s="124"/>
      <c r="F13" s="124"/>
      <c r="G13" s="81">
        <v>48</v>
      </c>
      <c r="H13" s="82">
        <v>14</v>
      </c>
      <c r="I13" s="85">
        <f t="shared" si="4"/>
        <v>3618</v>
      </c>
      <c r="J13" s="103">
        <f>D13-H13</f>
        <v>7</v>
      </c>
      <c r="K13" s="55"/>
      <c r="L13" s="130">
        <v>36</v>
      </c>
      <c r="M13" s="130">
        <v>6</v>
      </c>
      <c r="N13" s="130">
        <v>12</v>
      </c>
      <c r="O13" s="130">
        <v>8</v>
      </c>
      <c r="P13" s="130"/>
      <c r="Q13" s="131"/>
      <c r="R13" s="106">
        <f>L13+N13+P13</f>
        <v>48</v>
      </c>
      <c r="S13" s="134">
        <f>M13+O13+Q13</f>
        <v>14</v>
      </c>
      <c r="T13" s="55"/>
      <c r="U13" s="140">
        <f>L13*24+N13*24+P13*24</f>
        <v>1152</v>
      </c>
      <c r="V13" s="144">
        <f t="shared" si="6"/>
        <v>48</v>
      </c>
      <c r="W13" s="142">
        <f>I13*24+J13</f>
        <v>86839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5</v>
      </c>
      <c r="D14" s="120"/>
      <c r="E14" s="121"/>
      <c r="F14" s="121"/>
      <c r="G14" s="79">
        <v>1</v>
      </c>
      <c r="H14" s="76"/>
      <c r="I14" s="102">
        <f t="shared" si="4"/>
        <v>4</v>
      </c>
      <c r="J14" s="104">
        <f t="shared" si="4"/>
        <v>0</v>
      </c>
      <c r="K14" s="41"/>
      <c r="L14" s="121"/>
      <c r="M14" s="121"/>
      <c r="N14" s="121"/>
      <c r="O14" s="121"/>
      <c r="P14" s="121">
        <v>1</v>
      </c>
      <c r="Q14" s="129"/>
      <c r="R14" s="105">
        <f t="shared" ref="R14:S59" si="7">L14+N14+P14</f>
        <v>1</v>
      </c>
      <c r="S14" s="135">
        <f t="shared" si="7"/>
        <v>0</v>
      </c>
      <c r="T14" s="41"/>
      <c r="U14" s="116">
        <f t="shared" si="5"/>
        <v>24</v>
      </c>
      <c r="V14" s="118">
        <f t="shared" si="6"/>
        <v>1</v>
      </c>
      <c r="W14" s="138">
        <f t="shared" ref="W14:W37" si="8">I14*24+J14</f>
        <v>96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/>
      <c r="H18" s="76"/>
      <c r="I18" s="76">
        <f t="shared" si="4"/>
        <v>4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96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/>
      <c r="H20" s="76"/>
      <c r="I20" s="76">
        <f t="shared" si="4"/>
        <v>4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96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/>
      <c r="H22" s="76"/>
      <c r="I22" s="76">
        <f t="shared" si="4"/>
        <v>4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2</v>
      </c>
      <c r="D23" s="120"/>
      <c r="E23" s="121"/>
      <c r="F23" s="121"/>
      <c r="G23" s="79">
        <v>1</v>
      </c>
      <c r="H23" s="76"/>
      <c r="I23" s="76">
        <f t="shared" si="4"/>
        <v>1</v>
      </c>
      <c r="J23" s="80">
        <f t="shared" si="4"/>
        <v>0</v>
      </c>
      <c r="K23" s="42"/>
      <c r="L23" s="121"/>
      <c r="M23" s="121"/>
      <c r="N23" s="121"/>
      <c r="O23" s="121"/>
      <c r="P23" s="121">
        <v>1</v>
      </c>
      <c r="Q23" s="129"/>
      <c r="R23" s="92">
        <f t="shared" si="7"/>
        <v>1</v>
      </c>
      <c r="S23" s="133">
        <f t="shared" si="7"/>
        <v>0</v>
      </c>
      <c r="T23" s="42"/>
      <c r="U23" s="116">
        <f t="shared" si="5"/>
        <v>24</v>
      </c>
      <c r="V23" s="139">
        <f t="shared" si="6"/>
        <v>1</v>
      </c>
      <c r="W23" s="138">
        <f t="shared" si="8"/>
        <v>24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7</v>
      </c>
      <c r="D25" s="120"/>
      <c r="E25" s="121"/>
      <c r="F25" s="121"/>
      <c r="G25" s="79">
        <v>1</v>
      </c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>
        <v>1</v>
      </c>
      <c r="Q25" s="129"/>
      <c r="R25" s="92">
        <f t="shared" si="7"/>
        <v>1</v>
      </c>
      <c r="S25" s="133">
        <f t="shared" si="7"/>
        <v>0</v>
      </c>
      <c r="T25" s="41"/>
      <c r="U25" s="116">
        <f t="shared" si="5"/>
        <v>24</v>
      </c>
      <c r="V25" s="139">
        <f t="shared" si="6"/>
        <v>1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119</v>
      </c>
      <c r="D26" s="120">
        <v>11</v>
      </c>
      <c r="E26" s="121"/>
      <c r="F26" s="121"/>
      <c r="G26" s="79">
        <v>20</v>
      </c>
      <c r="H26" s="76"/>
      <c r="I26" s="76">
        <f t="shared" si="4"/>
        <v>99</v>
      </c>
      <c r="J26" s="80">
        <f t="shared" si="4"/>
        <v>11</v>
      </c>
      <c r="K26" s="41"/>
      <c r="L26" s="121">
        <v>15</v>
      </c>
      <c r="M26" s="121"/>
      <c r="N26" s="121"/>
      <c r="O26" s="121"/>
      <c r="P26" s="121">
        <v>5</v>
      </c>
      <c r="Q26" s="129"/>
      <c r="R26" s="92">
        <f t="shared" si="7"/>
        <v>20</v>
      </c>
      <c r="S26" s="133">
        <f t="shared" si="7"/>
        <v>0</v>
      </c>
      <c r="T26" s="41"/>
      <c r="U26" s="116">
        <f t="shared" si="5"/>
        <v>480</v>
      </c>
      <c r="V26" s="139">
        <f t="shared" si="6"/>
        <v>20</v>
      </c>
      <c r="W26" s="138">
        <f t="shared" si="8"/>
        <v>2387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16</v>
      </c>
      <c r="D27" s="120"/>
      <c r="E27" s="121"/>
      <c r="F27" s="121"/>
      <c r="G27" s="79">
        <v>3</v>
      </c>
      <c r="H27" s="76"/>
      <c r="I27" s="76">
        <f t="shared" si="4"/>
        <v>13</v>
      </c>
      <c r="J27" s="80">
        <f t="shared" si="4"/>
        <v>0</v>
      </c>
      <c r="K27" s="42"/>
      <c r="L27" s="121">
        <v>1</v>
      </c>
      <c r="M27" s="121"/>
      <c r="N27" s="121"/>
      <c r="O27" s="121"/>
      <c r="P27" s="121">
        <v>2</v>
      </c>
      <c r="Q27" s="129"/>
      <c r="R27" s="92">
        <f t="shared" si="7"/>
        <v>3</v>
      </c>
      <c r="S27" s="133">
        <f t="shared" si="7"/>
        <v>0</v>
      </c>
      <c r="T27" s="42"/>
      <c r="U27" s="116">
        <f t="shared" si="5"/>
        <v>72</v>
      </c>
      <c r="V27" s="139">
        <f t="shared" si="6"/>
        <v>3</v>
      </c>
      <c r="W27" s="138">
        <f t="shared" si="8"/>
        <v>312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78</v>
      </c>
      <c r="D29" s="120"/>
      <c r="E29" s="121"/>
      <c r="F29" s="121"/>
      <c r="G29" s="79">
        <v>40</v>
      </c>
      <c r="H29" s="76"/>
      <c r="I29" s="76">
        <f t="shared" si="4"/>
        <v>38</v>
      </c>
      <c r="J29" s="80">
        <f t="shared" si="4"/>
        <v>0</v>
      </c>
      <c r="K29" s="42"/>
      <c r="L29" s="121">
        <v>10</v>
      </c>
      <c r="M29" s="121"/>
      <c r="N29" s="121"/>
      <c r="O29" s="121"/>
      <c r="P29" s="121">
        <v>30</v>
      </c>
      <c r="Q29" s="129"/>
      <c r="R29" s="92">
        <f t="shared" si="7"/>
        <v>40</v>
      </c>
      <c r="S29" s="133">
        <f t="shared" si="7"/>
        <v>0</v>
      </c>
      <c r="T29" s="42"/>
      <c r="U29" s="116">
        <f t="shared" si="5"/>
        <v>960</v>
      </c>
      <c r="V29" s="139">
        <f t="shared" si="6"/>
        <v>40</v>
      </c>
      <c r="W29" s="138">
        <f t="shared" si="8"/>
        <v>912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6</v>
      </c>
      <c r="D30" s="120"/>
      <c r="E30" s="121"/>
      <c r="F30" s="121"/>
      <c r="G30" s="79">
        <v>6</v>
      </c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>
        <v>6</v>
      </c>
      <c r="Q30" s="129"/>
      <c r="R30" s="92">
        <f t="shared" si="7"/>
        <v>6</v>
      </c>
      <c r="S30" s="133">
        <f t="shared" si="7"/>
        <v>0</v>
      </c>
      <c r="T30" s="41"/>
      <c r="U30" s="116">
        <f t="shared" si="5"/>
        <v>144</v>
      </c>
      <c r="V30" s="139">
        <f t="shared" si="6"/>
        <v>6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58</v>
      </c>
      <c r="D31" s="120"/>
      <c r="E31" s="121"/>
      <c r="F31" s="121"/>
      <c r="G31" s="79">
        <v>2</v>
      </c>
      <c r="H31" s="76"/>
      <c r="I31" s="76">
        <f t="shared" si="4"/>
        <v>56</v>
      </c>
      <c r="J31" s="80">
        <f t="shared" si="4"/>
        <v>0</v>
      </c>
      <c r="K31" s="41"/>
      <c r="L31" s="121"/>
      <c r="M31" s="121"/>
      <c r="N31" s="121"/>
      <c r="O31" s="121"/>
      <c r="P31" s="121">
        <v>2</v>
      </c>
      <c r="Q31" s="129"/>
      <c r="R31" s="92">
        <f t="shared" si="7"/>
        <v>2</v>
      </c>
      <c r="S31" s="133">
        <f t="shared" si="7"/>
        <v>0</v>
      </c>
      <c r="T31" s="41"/>
      <c r="U31" s="116">
        <f t="shared" si="5"/>
        <v>48</v>
      </c>
      <c r="V31" s="139">
        <f t="shared" si="6"/>
        <v>2</v>
      </c>
      <c r="W31" s="138">
        <f t="shared" si="8"/>
        <v>1344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>
        <v>1</v>
      </c>
      <c r="D32" s="120"/>
      <c r="E32" s="121"/>
      <c r="F32" s="121"/>
      <c r="G32" s="79">
        <v>1</v>
      </c>
      <c r="H32" s="76"/>
      <c r="I32" s="76">
        <f t="shared" si="4"/>
        <v>0</v>
      </c>
      <c r="J32" s="80">
        <f t="shared" si="4"/>
        <v>0</v>
      </c>
      <c r="K32" s="41"/>
      <c r="L32" s="121">
        <v>1</v>
      </c>
      <c r="M32" s="121"/>
      <c r="N32" s="121"/>
      <c r="O32" s="121"/>
      <c r="P32" s="121"/>
      <c r="Q32" s="129"/>
      <c r="R32" s="92">
        <f t="shared" si="7"/>
        <v>1</v>
      </c>
      <c r="S32" s="133">
        <f t="shared" si="7"/>
        <v>0</v>
      </c>
      <c r="T32" s="41"/>
      <c r="U32" s="116">
        <f t="shared" si="5"/>
        <v>24</v>
      </c>
      <c r="V32" s="139">
        <f t="shared" si="6"/>
        <v>1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113</v>
      </c>
      <c r="D35" s="120">
        <v>5</v>
      </c>
      <c r="E35" s="121"/>
      <c r="F35" s="121"/>
      <c r="G35" s="79">
        <v>20</v>
      </c>
      <c r="H35" s="76"/>
      <c r="I35" s="76">
        <f t="shared" si="4"/>
        <v>93</v>
      </c>
      <c r="J35" s="80">
        <f t="shared" si="4"/>
        <v>5</v>
      </c>
      <c r="K35" s="41"/>
      <c r="L35" s="121">
        <v>20</v>
      </c>
      <c r="M35" s="121"/>
      <c r="N35" s="121"/>
      <c r="O35" s="121"/>
      <c r="P35" s="121"/>
      <c r="Q35" s="129"/>
      <c r="R35" s="92">
        <f t="shared" si="7"/>
        <v>20</v>
      </c>
      <c r="S35" s="133">
        <f t="shared" si="7"/>
        <v>0</v>
      </c>
      <c r="T35" s="41"/>
      <c r="U35" s="116">
        <f t="shared" si="5"/>
        <v>480</v>
      </c>
      <c r="V35" s="139">
        <f t="shared" si="6"/>
        <v>20</v>
      </c>
      <c r="W35" s="138">
        <f t="shared" si="8"/>
        <v>2237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3458</v>
      </c>
      <c r="D38" s="123">
        <v>2</v>
      </c>
      <c r="E38" s="124"/>
      <c r="F38" s="124"/>
      <c r="G38" s="81">
        <v>253</v>
      </c>
      <c r="H38" s="82"/>
      <c r="I38" s="148">
        <f t="shared" si="4"/>
        <v>3205</v>
      </c>
      <c r="J38" s="149">
        <f t="shared" si="4"/>
        <v>2</v>
      </c>
      <c r="K38" s="53"/>
      <c r="L38" s="130">
        <v>118</v>
      </c>
      <c r="M38" s="130"/>
      <c r="N38" s="130">
        <v>30</v>
      </c>
      <c r="O38" s="130"/>
      <c r="P38" s="130">
        <v>105</v>
      </c>
      <c r="Q38" s="131"/>
      <c r="R38" s="106">
        <f t="shared" si="7"/>
        <v>253</v>
      </c>
      <c r="S38" s="134">
        <f t="shared" si="7"/>
        <v>0</v>
      </c>
      <c r="T38" s="53"/>
      <c r="U38" s="140">
        <f>L38*6+N38*6+P38*6</f>
        <v>1518</v>
      </c>
      <c r="V38" s="144">
        <f>U38/6</f>
        <v>253</v>
      </c>
      <c r="W38" s="142">
        <f>I38*6+J38</f>
        <v>19232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11</v>
      </c>
      <c r="D39" s="120"/>
      <c r="E39" s="121"/>
      <c r="F39" s="121"/>
      <c r="G39" s="79">
        <v>2</v>
      </c>
      <c r="H39" s="76"/>
      <c r="I39" s="79">
        <f t="shared" si="4"/>
        <v>9</v>
      </c>
      <c r="J39" s="80">
        <f t="shared" si="4"/>
        <v>0</v>
      </c>
      <c r="K39" s="41"/>
      <c r="L39" s="121"/>
      <c r="M39" s="121"/>
      <c r="N39" s="121"/>
      <c r="O39" s="121"/>
      <c r="P39" s="121">
        <v>2</v>
      </c>
      <c r="Q39" s="129"/>
      <c r="R39" s="105">
        <f t="shared" si="7"/>
        <v>2</v>
      </c>
      <c r="S39" s="135">
        <f t="shared" si="7"/>
        <v>0</v>
      </c>
      <c r="T39" s="41"/>
      <c r="U39" s="116">
        <f t="shared" ref="U39:U41" si="9">L39*24+N39*24+P39*24</f>
        <v>48</v>
      </c>
      <c r="V39" s="118">
        <f t="shared" si="6"/>
        <v>2</v>
      </c>
      <c r="W39" s="138">
        <f t="shared" ref="W39:W41" si="10">I39*24+J39</f>
        <v>216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504</v>
      </c>
      <c r="D41" s="156"/>
      <c r="E41" s="157"/>
      <c r="F41" s="157"/>
      <c r="G41" s="158">
        <v>20</v>
      </c>
      <c r="H41" s="159"/>
      <c r="I41" s="160">
        <f t="shared" si="4"/>
        <v>484</v>
      </c>
      <c r="J41" s="161">
        <f t="shared" si="4"/>
        <v>0</v>
      </c>
      <c r="K41" s="162"/>
      <c r="L41" s="163"/>
      <c r="M41" s="163"/>
      <c r="N41" s="163"/>
      <c r="O41" s="163"/>
      <c r="P41" s="163">
        <v>20</v>
      </c>
      <c r="Q41" s="164"/>
      <c r="R41" s="165">
        <f t="shared" si="7"/>
        <v>20</v>
      </c>
      <c r="S41" s="166">
        <f t="shared" si="7"/>
        <v>0</v>
      </c>
      <c r="T41" s="162"/>
      <c r="U41" s="167">
        <f t="shared" si="9"/>
        <v>480</v>
      </c>
      <c r="V41" s="168">
        <f t="shared" si="6"/>
        <v>20</v>
      </c>
      <c r="W41" s="168">
        <f t="shared" si="10"/>
        <v>11616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1270</v>
      </c>
      <c r="D42" s="173">
        <v>9</v>
      </c>
      <c r="E42" s="174"/>
      <c r="F42" s="174"/>
      <c r="G42" s="175">
        <v>54</v>
      </c>
      <c r="H42" s="176"/>
      <c r="I42" s="175">
        <f t="shared" si="4"/>
        <v>1216</v>
      </c>
      <c r="J42" s="177">
        <f t="shared" si="4"/>
        <v>9</v>
      </c>
      <c r="K42" s="178"/>
      <c r="L42" s="174">
        <v>3</v>
      </c>
      <c r="M42" s="174"/>
      <c r="N42" s="174">
        <v>1</v>
      </c>
      <c r="O42" s="174"/>
      <c r="P42" s="174">
        <v>50</v>
      </c>
      <c r="Q42" s="179"/>
      <c r="R42" s="180">
        <f t="shared" si="7"/>
        <v>54</v>
      </c>
      <c r="S42" s="181">
        <f t="shared" si="7"/>
        <v>0</v>
      </c>
      <c r="T42" s="178"/>
      <c r="U42" s="182">
        <f>L42*12+N42*12+P42*12</f>
        <v>648</v>
      </c>
      <c r="V42" s="183">
        <f>U42/12</f>
        <v>54</v>
      </c>
      <c r="W42" s="184">
        <f>I42*12+J42</f>
        <v>14601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24513</v>
      </c>
      <c r="D44" s="123">
        <v>3</v>
      </c>
      <c r="E44" s="124">
        <v>3672</v>
      </c>
      <c r="F44" s="124"/>
      <c r="G44" s="81">
        <v>1555</v>
      </c>
      <c r="H44" s="82"/>
      <c r="I44" s="76">
        <f>C44+E44-G44</f>
        <v>26630</v>
      </c>
      <c r="J44" s="186">
        <f t="shared" si="4"/>
        <v>3</v>
      </c>
      <c r="K44" s="53"/>
      <c r="L44" s="130">
        <v>840</v>
      </c>
      <c r="M44" s="130"/>
      <c r="N44" s="130">
        <v>395</v>
      </c>
      <c r="O44" s="130"/>
      <c r="P44" s="130">
        <v>320</v>
      </c>
      <c r="Q44" s="131"/>
      <c r="R44" s="187">
        <f t="shared" si="7"/>
        <v>1555</v>
      </c>
      <c r="S44" s="188">
        <f t="shared" si="7"/>
        <v>0</v>
      </c>
      <c r="T44" s="53"/>
      <c r="U44" s="140">
        <f>L44*6+N44*6+P44*6</f>
        <v>9330</v>
      </c>
      <c r="V44" s="139">
        <f>U44/6</f>
        <v>1555</v>
      </c>
      <c r="W44" s="142">
        <f>I44*6+J44</f>
        <v>159783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2340</v>
      </c>
      <c r="D48" s="151">
        <v>4</v>
      </c>
      <c r="E48" s="130"/>
      <c r="F48" s="130"/>
      <c r="G48" s="152">
        <v>10</v>
      </c>
      <c r="H48" s="148"/>
      <c r="I48" s="148">
        <f t="shared" si="4"/>
        <v>2330</v>
      </c>
      <c r="J48" s="149">
        <f t="shared" si="4"/>
        <v>4</v>
      </c>
      <c r="K48" s="53"/>
      <c r="L48" s="130"/>
      <c r="M48" s="130"/>
      <c r="N48" s="130"/>
      <c r="O48" s="130"/>
      <c r="P48" s="130">
        <v>10</v>
      </c>
      <c r="Q48" s="131"/>
      <c r="R48" s="106">
        <f t="shared" si="7"/>
        <v>10</v>
      </c>
      <c r="S48" s="153">
        <f t="shared" si="7"/>
        <v>0</v>
      </c>
      <c r="T48" s="53"/>
      <c r="U48" s="140">
        <f>L48*6+N48*6+P48*6</f>
        <v>60</v>
      </c>
      <c r="V48" s="144">
        <f>U48/6</f>
        <v>10</v>
      </c>
      <c r="W48" s="142">
        <f>I48*6+J48</f>
        <v>13984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36460</v>
      </c>
      <c r="D60" s="57">
        <f>SUM(D8:D59)</f>
        <v>95</v>
      </c>
      <c r="E60" s="44">
        <f>SUM(E8:E59)</f>
        <v>3672</v>
      </c>
      <c r="F60" s="44"/>
      <c r="G60" s="28">
        <f>SUM(G8:G59)</f>
        <v>2062</v>
      </c>
      <c r="H60" s="59">
        <f>SUM(H8:H59)</f>
        <v>14</v>
      </c>
      <c r="I60" s="59">
        <f>SUM(I8:I59)</f>
        <v>38070</v>
      </c>
      <c r="J60" s="45">
        <f>SUM(J8:J59)</f>
        <v>81</v>
      </c>
      <c r="K60" s="46"/>
      <c r="L60" s="77">
        <f t="shared" ref="L60:S60" si="20">SUM(L8:L59)</f>
        <v>1050</v>
      </c>
      <c r="M60" s="77">
        <f t="shared" si="20"/>
        <v>6</v>
      </c>
      <c r="N60" s="77">
        <f t="shared" si="20"/>
        <v>438</v>
      </c>
      <c r="O60" s="77">
        <f t="shared" si="20"/>
        <v>8</v>
      </c>
      <c r="P60" s="77">
        <f t="shared" si="20"/>
        <v>574</v>
      </c>
      <c r="Q60" s="78">
        <f t="shared" si="20"/>
        <v>0</v>
      </c>
      <c r="R60" s="91">
        <f t="shared" si="20"/>
        <v>2062</v>
      </c>
      <c r="S60" s="90">
        <f t="shared" si="20"/>
        <v>14</v>
      </c>
      <c r="T60" s="46"/>
      <c r="U60" s="43">
        <f>SUM(U8:U59)</f>
        <v>16116</v>
      </c>
      <c r="V60" s="111">
        <f>SUM(V8:V59)</f>
        <v>2062</v>
      </c>
      <c r="W60" s="204">
        <f>SUM(W8:W59)</f>
        <v>319587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0" t="s">
        <v>3</v>
      </c>
      <c r="D69" s="221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4243-0BE5-4936-9778-A087FD7BCC5A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46099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25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57</v>
      </c>
      <c r="D8" s="120">
        <v>21</v>
      </c>
      <c r="E8" s="121"/>
      <c r="F8" s="121"/>
      <c r="G8" s="79">
        <v>11</v>
      </c>
      <c r="H8" s="76"/>
      <c r="I8" s="76">
        <f>C8-G8</f>
        <v>46</v>
      </c>
      <c r="J8" s="80">
        <f t="shared" ref="J8:J12" si="0">D8-H8</f>
        <v>21</v>
      </c>
      <c r="K8" s="41"/>
      <c r="L8" s="121">
        <v>10</v>
      </c>
      <c r="M8" s="121"/>
      <c r="N8" s="121">
        <v>1</v>
      </c>
      <c r="O8" s="121"/>
      <c r="P8" s="121"/>
      <c r="Q8" s="129"/>
      <c r="R8" s="92">
        <f t="shared" ref="R8:S12" si="1">L8+N8+P8</f>
        <v>11</v>
      </c>
      <c r="S8" s="133">
        <f t="shared" si="1"/>
        <v>0</v>
      </c>
      <c r="T8" s="41"/>
      <c r="U8" s="116">
        <f>L8*24+N8*24+P8*24</f>
        <v>264</v>
      </c>
      <c r="V8" s="139">
        <f>U8/24</f>
        <v>11</v>
      </c>
      <c r="W8" s="138">
        <f t="shared" ref="W8:W12" si="2">I8*24+J8</f>
        <v>1125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f>95</f>
        <v>95</v>
      </c>
      <c r="D9" s="123"/>
      <c r="E9" s="124"/>
      <c r="F9" s="124"/>
      <c r="G9" s="81">
        <v>5</v>
      </c>
      <c r="H9" s="82"/>
      <c r="I9" s="81">
        <f t="shared" ref="I9:J59" si="4">C9-G9</f>
        <v>90</v>
      </c>
      <c r="J9" s="103">
        <f t="shared" si="0"/>
        <v>0</v>
      </c>
      <c r="K9" s="53"/>
      <c r="L9" s="130">
        <v>5</v>
      </c>
      <c r="M9" s="130"/>
      <c r="N9" s="130"/>
      <c r="O9" s="130"/>
      <c r="P9" s="130"/>
      <c r="Q9" s="131"/>
      <c r="R9" s="107">
        <f t="shared" si="1"/>
        <v>5</v>
      </c>
      <c r="S9" s="134">
        <f t="shared" si="1"/>
        <v>0</v>
      </c>
      <c r="T9" s="53"/>
      <c r="U9" s="140">
        <f>L9*24+N9*24+P9*24</f>
        <v>120</v>
      </c>
      <c r="V9" s="141">
        <f>U9/24</f>
        <v>5</v>
      </c>
      <c r="W9" s="142">
        <f t="shared" si="2"/>
        <v>2160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16</v>
      </c>
      <c r="D10" s="120"/>
      <c r="E10" s="121"/>
      <c r="F10" s="121"/>
      <c r="G10" s="79">
        <v>5</v>
      </c>
      <c r="H10" s="76"/>
      <c r="I10" s="76">
        <f t="shared" si="4"/>
        <v>11</v>
      </c>
      <c r="J10" s="104">
        <f t="shared" si="0"/>
        <v>0</v>
      </c>
      <c r="K10" s="41"/>
      <c r="L10" s="121">
        <v>5</v>
      </c>
      <c r="M10" s="121"/>
      <c r="N10" s="121"/>
      <c r="O10" s="121"/>
      <c r="P10" s="121"/>
      <c r="Q10" s="129"/>
      <c r="R10" s="108">
        <f t="shared" si="1"/>
        <v>5</v>
      </c>
      <c r="S10" s="135">
        <f t="shared" si="1"/>
        <v>0</v>
      </c>
      <c r="T10" s="41"/>
      <c r="U10" s="116">
        <f>L10*24+N10*24+P10*24</f>
        <v>120</v>
      </c>
      <c r="V10" s="143">
        <f>U10/24</f>
        <v>5</v>
      </c>
      <c r="W10" s="138">
        <f t="shared" si="2"/>
        <v>264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4</v>
      </c>
      <c r="D12" s="120"/>
      <c r="E12" s="121"/>
      <c r="F12" s="121"/>
      <c r="G12" s="79">
        <v>3</v>
      </c>
      <c r="H12" s="76"/>
      <c r="I12" s="76">
        <f t="shared" si="4"/>
        <v>1</v>
      </c>
      <c r="J12" s="80">
        <f t="shared" si="0"/>
        <v>0</v>
      </c>
      <c r="K12" s="41"/>
      <c r="L12" s="121">
        <v>3</v>
      </c>
      <c r="M12" s="121"/>
      <c r="N12" s="121"/>
      <c r="O12" s="121"/>
      <c r="P12" s="121"/>
      <c r="Q12" s="129"/>
      <c r="R12" s="92">
        <f t="shared" si="1"/>
        <v>3</v>
      </c>
      <c r="S12" s="133">
        <f t="shared" si="1"/>
        <v>0</v>
      </c>
      <c r="T12" s="41"/>
      <c r="U12" s="116">
        <f t="shared" ref="U12:U37" si="5">L12*24+N12*24+P12*24</f>
        <v>72</v>
      </c>
      <c r="V12" s="139">
        <f t="shared" ref="V12:V41" si="6">U12/24</f>
        <v>3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3618</v>
      </c>
      <c r="D13" s="123">
        <v>7</v>
      </c>
      <c r="E13" s="124"/>
      <c r="F13" s="124"/>
      <c r="G13" s="81">
        <v>27</v>
      </c>
      <c r="H13" s="82">
        <v>22</v>
      </c>
      <c r="I13" s="85">
        <f t="shared" si="4"/>
        <v>3591</v>
      </c>
      <c r="J13" s="103">
        <f>D13-H13</f>
        <v>-15</v>
      </c>
      <c r="K13" s="55"/>
      <c r="L13" s="130">
        <v>1</v>
      </c>
      <c r="M13" s="130">
        <v>13</v>
      </c>
      <c r="N13" s="130">
        <v>14</v>
      </c>
      <c r="O13" s="130">
        <v>5</v>
      </c>
      <c r="P13" s="130">
        <v>12</v>
      </c>
      <c r="Q13" s="131">
        <v>4</v>
      </c>
      <c r="R13" s="106">
        <f>L13+N13+P13</f>
        <v>27</v>
      </c>
      <c r="S13" s="134">
        <f>M13+O13+Q13</f>
        <v>22</v>
      </c>
      <c r="T13" s="55"/>
      <c r="U13" s="140">
        <f>L13*24+N13*24+P13*24</f>
        <v>648</v>
      </c>
      <c r="V13" s="144">
        <f t="shared" si="6"/>
        <v>27</v>
      </c>
      <c r="W13" s="142">
        <f>I13*24+J13</f>
        <v>86169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4</v>
      </c>
      <c r="D14" s="120"/>
      <c r="E14" s="121"/>
      <c r="F14" s="121"/>
      <c r="G14" s="79">
        <v>1</v>
      </c>
      <c r="H14" s="76"/>
      <c r="I14" s="102">
        <f t="shared" si="4"/>
        <v>3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72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4</v>
      </c>
      <c r="D18" s="120"/>
      <c r="E18" s="121"/>
      <c r="F18" s="121"/>
      <c r="G18" s="79">
        <v>1</v>
      </c>
      <c r="H18" s="76"/>
      <c r="I18" s="76">
        <f t="shared" si="4"/>
        <v>3</v>
      </c>
      <c r="J18" s="80">
        <f t="shared" si="4"/>
        <v>0</v>
      </c>
      <c r="K18" s="41"/>
      <c r="L18" s="121">
        <v>1</v>
      </c>
      <c r="M18" s="121"/>
      <c r="N18" s="121"/>
      <c r="O18" s="121"/>
      <c r="P18" s="121"/>
      <c r="Q18" s="129"/>
      <c r="R18" s="92">
        <f t="shared" si="7"/>
        <v>1</v>
      </c>
      <c r="S18" s="133">
        <f t="shared" si="7"/>
        <v>0</v>
      </c>
      <c r="T18" s="41"/>
      <c r="U18" s="116">
        <f t="shared" si="5"/>
        <v>24</v>
      </c>
      <c r="V18" s="139">
        <f t="shared" si="6"/>
        <v>1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4</v>
      </c>
      <c r="D20" s="120"/>
      <c r="E20" s="121"/>
      <c r="F20" s="121"/>
      <c r="G20" s="79">
        <v>1</v>
      </c>
      <c r="H20" s="76"/>
      <c r="I20" s="76">
        <f t="shared" si="4"/>
        <v>3</v>
      </c>
      <c r="J20" s="80">
        <f t="shared" si="4"/>
        <v>0</v>
      </c>
      <c r="K20" s="41"/>
      <c r="L20" s="121">
        <v>1</v>
      </c>
      <c r="M20" s="121"/>
      <c r="N20" s="121"/>
      <c r="O20" s="121"/>
      <c r="P20" s="121"/>
      <c r="Q20" s="129"/>
      <c r="R20" s="92">
        <f t="shared" si="7"/>
        <v>1</v>
      </c>
      <c r="S20" s="133">
        <f t="shared" si="7"/>
        <v>0</v>
      </c>
      <c r="T20" s="41"/>
      <c r="U20" s="116">
        <f t="shared" si="5"/>
        <v>24</v>
      </c>
      <c r="V20" s="139">
        <f t="shared" si="6"/>
        <v>1</v>
      </c>
      <c r="W20" s="138">
        <f t="shared" si="8"/>
        <v>72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/>
      <c r="I21" s="76">
        <f t="shared" si="4"/>
        <v>6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4</v>
      </c>
      <c r="D22" s="120"/>
      <c r="E22" s="121"/>
      <c r="F22" s="121"/>
      <c r="G22" s="79">
        <v>1</v>
      </c>
      <c r="H22" s="76"/>
      <c r="I22" s="76">
        <f t="shared" si="4"/>
        <v>3</v>
      </c>
      <c r="J22" s="80">
        <f t="shared" si="4"/>
        <v>0</v>
      </c>
      <c r="K22" s="41"/>
      <c r="L22" s="121">
        <v>1</v>
      </c>
      <c r="M22" s="121"/>
      <c r="N22" s="121"/>
      <c r="O22" s="121"/>
      <c r="P22" s="121"/>
      <c r="Q22" s="129"/>
      <c r="R22" s="92">
        <f t="shared" si="7"/>
        <v>1</v>
      </c>
      <c r="S22" s="133">
        <f t="shared" si="7"/>
        <v>0</v>
      </c>
      <c r="T22" s="41"/>
      <c r="U22" s="116">
        <f t="shared" si="5"/>
        <v>24</v>
      </c>
      <c r="V22" s="139">
        <f t="shared" si="6"/>
        <v>1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1</v>
      </c>
      <c r="D23" s="120"/>
      <c r="E23" s="121"/>
      <c r="F23" s="121"/>
      <c r="G23" s="79"/>
      <c r="H23" s="76"/>
      <c r="I23" s="76">
        <f t="shared" si="4"/>
        <v>1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99</v>
      </c>
      <c r="D26" s="120">
        <v>11</v>
      </c>
      <c r="E26" s="121"/>
      <c r="F26" s="121"/>
      <c r="G26" s="79">
        <v>41</v>
      </c>
      <c r="H26" s="76"/>
      <c r="I26" s="76">
        <f t="shared" si="4"/>
        <v>58</v>
      </c>
      <c r="J26" s="80">
        <f t="shared" si="4"/>
        <v>11</v>
      </c>
      <c r="K26" s="41"/>
      <c r="L26" s="121">
        <v>40</v>
      </c>
      <c r="M26" s="121"/>
      <c r="N26" s="121">
        <v>1</v>
      </c>
      <c r="O26" s="121"/>
      <c r="P26" s="121"/>
      <c r="Q26" s="129"/>
      <c r="R26" s="92">
        <f t="shared" si="7"/>
        <v>41</v>
      </c>
      <c r="S26" s="133">
        <f t="shared" si="7"/>
        <v>0</v>
      </c>
      <c r="T26" s="41"/>
      <c r="U26" s="116">
        <f t="shared" si="5"/>
        <v>984</v>
      </c>
      <c r="V26" s="139">
        <f t="shared" si="6"/>
        <v>41</v>
      </c>
      <c r="W26" s="138">
        <f t="shared" si="8"/>
        <v>1403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13</v>
      </c>
      <c r="D27" s="120"/>
      <c r="E27" s="121"/>
      <c r="F27" s="121"/>
      <c r="G27" s="79">
        <v>5</v>
      </c>
      <c r="H27" s="76"/>
      <c r="I27" s="76">
        <f t="shared" si="4"/>
        <v>8</v>
      </c>
      <c r="J27" s="80">
        <f t="shared" si="4"/>
        <v>0</v>
      </c>
      <c r="K27" s="42"/>
      <c r="L27" s="121">
        <v>5</v>
      </c>
      <c r="M27" s="121"/>
      <c r="N27" s="121"/>
      <c r="O27" s="121"/>
      <c r="P27" s="121"/>
      <c r="Q27" s="129"/>
      <c r="R27" s="92">
        <f t="shared" si="7"/>
        <v>5</v>
      </c>
      <c r="S27" s="133">
        <f t="shared" si="7"/>
        <v>0</v>
      </c>
      <c r="T27" s="42"/>
      <c r="U27" s="116">
        <f t="shared" si="5"/>
        <v>120</v>
      </c>
      <c r="V27" s="139">
        <f t="shared" si="6"/>
        <v>5</v>
      </c>
      <c r="W27" s="138">
        <f t="shared" si="8"/>
        <v>192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38</v>
      </c>
      <c r="D29" s="120"/>
      <c r="E29" s="121"/>
      <c r="F29" s="121"/>
      <c r="G29" s="79">
        <v>26</v>
      </c>
      <c r="H29" s="76"/>
      <c r="I29" s="76">
        <f t="shared" si="4"/>
        <v>12</v>
      </c>
      <c r="J29" s="80">
        <f t="shared" si="4"/>
        <v>0</v>
      </c>
      <c r="K29" s="42"/>
      <c r="L29" s="121">
        <v>25</v>
      </c>
      <c r="M29" s="121"/>
      <c r="N29" s="121"/>
      <c r="O29" s="121"/>
      <c r="P29" s="121">
        <v>1</v>
      </c>
      <c r="Q29" s="129"/>
      <c r="R29" s="92">
        <f t="shared" si="7"/>
        <v>26</v>
      </c>
      <c r="S29" s="133">
        <f t="shared" si="7"/>
        <v>0</v>
      </c>
      <c r="T29" s="42"/>
      <c r="U29" s="116">
        <f t="shared" si="5"/>
        <v>624</v>
      </c>
      <c r="V29" s="139">
        <f t="shared" si="6"/>
        <v>26</v>
      </c>
      <c r="W29" s="138">
        <f t="shared" si="8"/>
        <v>288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56</v>
      </c>
      <c r="D31" s="120"/>
      <c r="E31" s="121"/>
      <c r="F31" s="121"/>
      <c r="G31" s="79">
        <v>10</v>
      </c>
      <c r="H31" s="76"/>
      <c r="I31" s="76">
        <f t="shared" si="4"/>
        <v>46</v>
      </c>
      <c r="J31" s="80">
        <f t="shared" si="4"/>
        <v>0</v>
      </c>
      <c r="K31" s="41"/>
      <c r="L31" s="121">
        <v>10</v>
      </c>
      <c r="M31" s="121"/>
      <c r="N31" s="121"/>
      <c r="O31" s="121"/>
      <c r="P31" s="121"/>
      <c r="Q31" s="129"/>
      <c r="R31" s="92">
        <f t="shared" si="7"/>
        <v>10</v>
      </c>
      <c r="S31" s="133">
        <f t="shared" si="7"/>
        <v>0</v>
      </c>
      <c r="T31" s="41"/>
      <c r="U31" s="116">
        <f t="shared" si="5"/>
        <v>240</v>
      </c>
      <c r="V31" s="139">
        <f t="shared" si="6"/>
        <v>10</v>
      </c>
      <c r="W31" s="138">
        <f t="shared" si="8"/>
        <v>1104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93</v>
      </c>
      <c r="D35" s="120">
        <v>5</v>
      </c>
      <c r="E35" s="121"/>
      <c r="F35" s="121"/>
      <c r="G35" s="79">
        <v>11</v>
      </c>
      <c r="H35" s="76"/>
      <c r="I35" s="76">
        <f t="shared" si="4"/>
        <v>82</v>
      </c>
      <c r="J35" s="80">
        <f t="shared" si="4"/>
        <v>5</v>
      </c>
      <c r="K35" s="41"/>
      <c r="L35" s="121">
        <v>10</v>
      </c>
      <c r="M35" s="121"/>
      <c r="N35" s="121">
        <v>1</v>
      </c>
      <c r="O35" s="121"/>
      <c r="P35" s="121"/>
      <c r="Q35" s="129"/>
      <c r="R35" s="92">
        <f t="shared" si="7"/>
        <v>11</v>
      </c>
      <c r="S35" s="133">
        <f t="shared" si="7"/>
        <v>0</v>
      </c>
      <c r="T35" s="41"/>
      <c r="U35" s="116">
        <f t="shared" si="5"/>
        <v>264</v>
      </c>
      <c r="V35" s="139">
        <f t="shared" si="6"/>
        <v>11</v>
      </c>
      <c r="W35" s="138">
        <f t="shared" si="8"/>
        <v>1973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f>3205</f>
        <v>3205</v>
      </c>
      <c r="D38" s="123">
        <v>2</v>
      </c>
      <c r="E38" s="124"/>
      <c r="F38" s="124"/>
      <c r="G38" s="81">
        <v>88</v>
      </c>
      <c r="H38" s="82"/>
      <c r="I38" s="148">
        <f t="shared" si="4"/>
        <v>3117</v>
      </c>
      <c r="J38" s="149">
        <f t="shared" si="4"/>
        <v>2</v>
      </c>
      <c r="K38" s="53"/>
      <c r="L38" s="130">
        <v>8</v>
      </c>
      <c r="M38" s="130"/>
      <c r="N38" s="130">
        <v>7</v>
      </c>
      <c r="O38" s="130"/>
      <c r="P38" s="130">
        <v>73</v>
      </c>
      <c r="Q38" s="131"/>
      <c r="R38" s="106">
        <f t="shared" si="7"/>
        <v>88</v>
      </c>
      <c r="S38" s="134">
        <f t="shared" si="7"/>
        <v>0</v>
      </c>
      <c r="T38" s="53"/>
      <c r="U38" s="140">
        <f>L38*6+N38*6+P38*6</f>
        <v>528</v>
      </c>
      <c r="V38" s="144">
        <f>U38/6</f>
        <v>88</v>
      </c>
      <c r="W38" s="142">
        <f>I38*6+J38</f>
        <v>18704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9</v>
      </c>
      <c r="D39" s="120"/>
      <c r="E39" s="121"/>
      <c r="F39" s="121"/>
      <c r="G39" s="79"/>
      <c r="H39" s="76"/>
      <c r="I39" s="79">
        <f t="shared" si="4"/>
        <v>9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216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484</v>
      </c>
      <c r="D41" s="156"/>
      <c r="E41" s="157"/>
      <c r="F41" s="157"/>
      <c r="G41" s="158">
        <v>13</v>
      </c>
      <c r="H41" s="159"/>
      <c r="I41" s="160">
        <f t="shared" si="4"/>
        <v>471</v>
      </c>
      <c r="J41" s="161">
        <f t="shared" si="4"/>
        <v>0</v>
      </c>
      <c r="K41" s="162"/>
      <c r="L41" s="163">
        <v>12</v>
      </c>
      <c r="M41" s="163"/>
      <c r="N41" s="163">
        <v>1</v>
      </c>
      <c r="O41" s="163"/>
      <c r="P41" s="163"/>
      <c r="Q41" s="164"/>
      <c r="R41" s="165">
        <f t="shared" si="7"/>
        <v>13</v>
      </c>
      <c r="S41" s="166">
        <f t="shared" si="7"/>
        <v>0</v>
      </c>
      <c r="T41" s="162"/>
      <c r="U41" s="167">
        <f t="shared" si="9"/>
        <v>312</v>
      </c>
      <c r="V41" s="168">
        <f t="shared" si="6"/>
        <v>13</v>
      </c>
      <c r="W41" s="168">
        <f t="shared" si="10"/>
        <v>11304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1216</v>
      </c>
      <c r="D42" s="173">
        <v>9</v>
      </c>
      <c r="E42" s="174"/>
      <c r="F42" s="174"/>
      <c r="G42" s="175">
        <v>23</v>
      </c>
      <c r="H42" s="176"/>
      <c r="I42" s="175">
        <f t="shared" si="4"/>
        <v>1193</v>
      </c>
      <c r="J42" s="177">
        <f t="shared" si="4"/>
        <v>9</v>
      </c>
      <c r="K42" s="178"/>
      <c r="L42" s="174">
        <v>21</v>
      </c>
      <c r="M42" s="174"/>
      <c r="N42" s="174">
        <v>1</v>
      </c>
      <c r="O42" s="174"/>
      <c r="P42" s="174">
        <v>1</v>
      </c>
      <c r="Q42" s="179"/>
      <c r="R42" s="180">
        <f t="shared" si="7"/>
        <v>23</v>
      </c>
      <c r="S42" s="181">
        <f t="shared" si="7"/>
        <v>0</v>
      </c>
      <c r="T42" s="178"/>
      <c r="U42" s="182">
        <f>L42*12+N42*12+P42*12</f>
        <v>276</v>
      </c>
      <c r="V42" s="183">
        <f>U42/12</f>
        <v>23</v>
      </c>
      <c r="W42" s="184">
        <f>I42*12+J42</f>
        <v>14325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26630</v>
      </c>
      <c r="D44" s="123">
        <v>3</v>
      </c>
      <c r="E44" s="124">
        <v>3672</v>
      </c>
      <c r="F44" s="124"/>
      <c r="G44" s="81">
        <v>1034</v>
      </c>
      <c r="H44" s="82"/>
      <c r="I44" s="76">
        <f>C44+E44-G44</f>
        <v>29268</v>
      </c>
      <c r="J44" s="186">
        <f t="shared" si="4"/>
        <v>3</v>
      </c>
      <c r="K44" s="53"/>
      <c r="L44" s="130">
        <v>314</v>
      </c>
      <c r="M44" s="130"/>
      <c r="N44" s="130">
        <v>388</v>
      </c>
      <c r="O44" s="130"/>
      <c r="P44" s="130">
        <v>332</v>
      </c>
      <c r="Q44" s="131"/>
      <c r="R44" s="187">
        <f t="shared" si="7"/>
        <v>1034</v>
      </c>
      <c r="S44" s="188">
        <f t="shared" si="7"/>
        <v>0</v>
      </c>
      <c r="T44" s="53"/>
      <c r="U44" s="140">
        <f>L44*6+N44*6+P44*6</f>
        <v>6204</v>
      </c>
      <c r="V44" s="139">
        <f>U44/6</f>
        <v>1034</v>
      </c>
      <c r="W44" s="142">
        <f>I44*6+J44</f>
        <v>175611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2330</v>
      </c>
      <c r="D48" s="151">
        <v>4</v>
      </c>
      <c r="E48" s="130"/>
      <c r="F48" s="130"/>
      <c r="G48" s="152">
        <v>10</v>
      </c>
      <c r="H48" s="148"/>
      <c r="I48" s="148">
        <f t="shared" si="4"/>
        <v>2320</v>
      </c>
      <c r="J48" s="149">
        <f t="shared" si="4"/>
        <v>4</v>
      </c>
      <c r="K48" s="53"/>
      <c r="L48" s="130">
        <v>10</v>
      </c>
      <c r="M48" s="130"/>
      <c r="N48" s="130"/>
      <c r="O48" s="130"/>
      <c r="P48" s="130"/>
      <c r="Q48" s="131"/>
      <c r="R48" s="106">
        <f t="shared" si="7"/>
        <v>10</v>
      </c>
      <c r="S48" s="153">
        <f t="shared" si="7"/>
        <v>0</v>
      </c>
      <c r="T48" s="53"/>
      <c r="U48" s="140">
        <f>L48*6+N48*6+P48*6</f>
        <v>60</v>
      </c>
      <c r="V48" s="144">
        <f>U48/6</f>
        <v>10</v>
      </c>
      <c r="W48" s="142">
        <f>I48*6+J48</f>
        <v>13924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38070</v>
      </c>
      <c r="D60" s="57">
        <f>SUM(D8:D59)</f>
        <v>81</v>
      </c>
      <c r="E60" s="44">
        <f>SUM(E8:E59)</f>
        <v>3672</v>
      </c>
      <c r="F60" s="44"/>
      <c r="G60" s="28">
        <f>SUM(G8:G59)</f>
        <v>1316</v>
      </c>
      <c r="H60" s="59">
        <f>SUM(H8:H59)</f>
        <v>22</v>
      </c>
      <c r="I60" s="59">
        <f>SUM(I8:I59)</f>
        <v>40426</v>
      </c>
      <c r="J60" s="45">
        <f>SUM(J8:J59)</f>
        <v>59</v>
      </c>
      <c r="K60" s="46"/>
      <c r="L60" s="77">
        <f t="shared" ref="L60:S60" si="20">SUM(L8:L59)</f>
        <v>482</v>
      </c>
      <c r="M60" s="77">
        <f t="shared" si="20"/>
        <v>13</v>
      </c>
      <c r="N60" s="77">
        <f t="shared" si="20"/>
        <v>414</v>
      </c>
      <c r="O60" s="77">
        <f t="shared" si="20"/>
        <v>5</v>
      </c>
      <c r="P60" s="77">
        <f t="shared" si="20"/>
        <v>419</v>
      </c>
      <c r="Q60" s="78">
        <f t="shared" si="20"/>
        <v>4</v>
      </c>
      <c r="R60" s="91">
        <f t="shared" si="20"/>
        <v>1315</v>
      </c>
      <c r="S60" s="90">
        <f t="shared" si="20"/>
        <v>22</v>
      </c>
      <c r="T60" s="46"/>
      <c r="U60" s="43">
        <f>SUM(U8:U59)</f>
        <v>10908</v>
      </c>
      <c r="V60" s="111">
        <f>SUM(V8:V59)</f>
        <v>1315</v>
      </c>
      <c r="W60" s="204">
        <f>SUM(W8:W59)</f>
        <v>330665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3" t="s">
        <v>3</v>
      </c>
      <c r="D69" s="224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C7C1-0B2B-4C54-837E-057F029D73D8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46100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28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46</v>
      </c>
      <c r="D8" s="120">
        <v>21</v>
      </c>
      <c r="E8" s="121"/>
      <c r="F8" s="121"/>
      <c r="G8" s="79">
        <v>1</v>
      </c>
      <c r="H8" s="76"/>
      <c r="I8" s="76">
        <f>C8-G8</f>
        <v>45</v>
      </c>
      <c r="J8" s="80">
        <f t="shared" ref="J8:J12" si="0">D8-H8</f>
        <v>21</v>
      </c>
      <c r="K8" s="41"/>
      <c r="L8" s="121">
        <v>1</v>
      </c>
      <c r="M8" s="121"/>
      <c r="N8" s="121"/>
      <c r="O8" s="121"/>
      <c r="P8" s="121"/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1101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90</v>
      </c>
      <c r="D9" s="123"/>
      <c r="E9" s="124"/>
      <c r="F9" s="124"/>
      <c r="G9" s="81">
        <v>1</v>
      </c>
      <c r="H9" s="82"/>
      <c r="I9" s="81">
        <f t="shared" ref="I9:J59" si="4">C9-G9</f>
        <v>89</v>
      </c>
      <c r="J9" s="103">
        <f t="shared" si="0"/>
        <v>0</v>
      </c>
      <c r="K9" s="53"/>
      <c r="L9" s="130">
        <v>1</v>
      </c>
      <c r="M9" s="130"/>
      <c r="N9" s="130"/>
      <c r="O9" s="130"/>
      <c r="P9" s="130"/>
      <c r="Q9" s="131"/>
      <c r="R9" s="107">
        <f t="shared" si="1"/>
        <v>1</v>
      </c>
      <c r="S9" s="134">
        <f t="shared" si="1"/>
        <v>0</v>
      </c>
      <c r="T9" s="53"/>
      <c r="U9" s="140">
        <f>L9*24+N9*24+P9*24</f>
        <v>24</v>
      </c>
      <c r="V9" s="141">
        <f>U9/24</f>
        <v>1</v>
      </c>
      <c r="W9" s="142">
        <f t="shared" si="2"/>
        <v>2136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11</v>
      </c>
      <c r="D10" s="120"/>
      <c r="E10" s="121"/>
      <c r="F10" s="121"/>
      <c r="G10" s="79"/>
      <c r="H10" s="76"/>
      <c r="I10" s="76">
        <f t="shared" si="4"/>
        <v>11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264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</v>
      </c>
      <c r="D12" s="120"/>
      <c r="E12" s="121"/>
      <c r="F12" s="121"/>
      <c r="G12" s="79"/>
      <c r="H12" s="76"/>
      <c r="I12" s="76">
        <f t="shared" si="4"/>
        <v>1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3590</v>
      </c>
      <c r="D13" s="123">
        <v>9</v>
      </c>
      <c r="E13" s="124"/>
      <c r="F13" s="124"/>
      <c r="G13" s="81">
        <v>43</v>
      </c>
      <c r="H13" s="82">
        <v>31</v>
      </c>
      <c r="I13" s="85">
        <f t="shared" si="4"/>
        <v>3547</v>
      </c>
      <c r="J13" s="103">
        <f>D13-H13</f>
        <v>-22</v>
      </c>
      <c r="K13" s="55"/>
      <c r="L13" s="130">
        <v>13</v>
      </c>
      <c r="M13" s="130">
        <v>16</v>
      </c>
      <c r="N13" s="130">
        <v>10</v>
      </c>
      <c r="O13" s="130">
        <v>5</v>
      </c>
      <c r="P13" s="130">
        <v>20</v>
      </c>
      <c r="Q13" s="131">
        <v>10</v>
      </c>
      <c r="R13" s="106">
        <f>L13+N13+P13</f>
        <v>43</v>
      </c>
      <c r="S13" s="134">
        <f>M13+O13+Q13</f>
        <v>31</v>
      </c>
      <c r="T13" s="55"/>
      <c r="U13" s="140">
        <f>L13*24+N13*24+P13*24</f>
        <v>1032</v>
      </c>
      <c r="V13" s="144">
        <f t="shared" si="6"/>
        <v>43</v>
      </c>
      <c r="W13" s="142">
        <f>I13*24+J13</f>
        <v>85106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3</v>
      </c>
      <c r="D14" s="120"/>
      <c r="E14" s="121"/>
      <c r="F14" s="121"/>
      <c r="G14" s="79"/>
      <c r="H14" s="76">
        <v>8</v>
      </c>
      <c r="I14" s="102">
        <f t="shared" si="4"/>
        <v>3</v>
      </c>
      <c r="J14" s="104">
        <f t="shared" si="4"/>
        <v>-8</v>
      </c>
      <c r="K14" s="41"/>
      <c r="L14" s="121"/>
      <c r="M14" s="121">
        <v>8</v>
      </c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8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3</v>
      </c>
      <c r="D18" s="120"/>
      <c r="E18" s="121"/>
      <c r="F18" s="121"/>
      <c r="G18" s="79"/>
      <c r="H18" s="76"/>
      <c r="I18" s="76">
        <f t="shared" si="4"/>
        <v>3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3</v>
      </c>
      <c r="D20" s="120"/>
      <c r="E20" s="121"/>
      <c r="F20" s="121"/>
      <c r="G20" s="79"/>
      <c r="H20" s="76">
        <v>4</v>
      </c>
      <c r="I20" s="76">
        <f t="shared" si="4"/>
        <v>3</v>
      </c>
      <c r="J20" s="80">
        <f t="shared" si="4"/>
        <v>-4</v>
      </c>
      <c r="K20" s="41"/>
      <c r="L20" s="121"/>
      <c r="M20" s="121">
        <v>4</v>
      </c>
      <c r="N20" s="121"/>
      <c r="O20" s="121"/>
      <c r="P20" s="121"/>
      <c r="Q20" s="129"/>
      <c r="R20" s="92">
        <f t="shared" si="7"/>
        <v>0</v>
      </c>
      <c r="S20" s="133">
        <f t="shared" si="7"/>
        <v>4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6</v>
      </c>
      <c r="D21" s="120"/>
      <c r="E21" s="121"/>
      <c r="F21" s="121"/>
      <c r="G21" s="79"/>
      <c r="H21" s="76">
        <v>8</v>
      </c>
      <c r="I21" s="76">
        <f t="shared" si="4"/>
        <v>6</v>
      </c>
      <c r="J21" s="80">
        <f t="shared" si="4"/>
        <v>-8</v>
      </c>
      <c r="K21" s="41"/>
      <c r="L21" s="121"/>
      <c r="M21" s="121">
        <v>8</v>
      </c>
      <c r="N21" s="121"/>
      <c r="O21" s="121"/>
      <c r="P21" s="121"/>
      <c r="Q21" s="129"/>
      <c r="R21" s="92">
        <f t="shared" si="7"/>
        <v>0</v>
      </c>
      <c r="S21" s="133">
        <f t="shared" si="7"/>
        <v>8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3</v>
      </c>
      <c r="D22" s="120"/>
      <c r="E22" s="121"/>
      <c r="F22" s="121"/>
      <c r="G22" s="79"/>
      <c r="H22" s="76"/>
      <c r="I22" s="76">
        <f t="shared" si="4"/>
        <v>3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>
        <v>1</v>
      </c>
      <c r="D23" s="120"/>
      <c r="E23" s="121"/>
      <c r="F23" s="121"/>
      <c r="G23" s="79"/>
      <c r="H23" s="76">
        <v>4</v>
      </c>
      <c r="I23" s="76">
        <f t="shared" si="4"/>
        <v>1</v>
      </c>
      <c r="J23" s="80">
        <f t="shared" si="4"/>
        <v>-4</v>
      </c>
      <c r="K23" s="42"/>
      <c r="L23" s="121"/>
      <c r="M23" s="121">
        <v>4</v>
      </c>
      <c r="N23" s="121"/>
      <c r="O23" s="121"/>
      <c r="P23" s="121"/>
      <c r="Q23" s="129"/>
      <c r="R23" s="92">
        <f t="shared" si="7"/>
        <v>0</v>
      </c>
      <c r="S23" s="133">
        <f t="shared" si="7"/>
        <v>4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58</v>
      </c>
      <c r="D26" s="120">
        <v>11</v>
      </c>
      <c r="E26" s="121"/>
      <c r="F26" s="121"/>
      <c r="G26" s="79">
        <v>10</v>
      </c>
      <c r="H26" s="76"/>
      <c r="I26" s="76">
        <f t="shared" si="4"/>
        <v>48</v>
      </c>
      <c r="J26" s="80">
        <f t="shared" si="4"/>
        <v>11</v>
      </c>
      <c r="K26" s="41"/>
      <c r="L26" s="121"/>
      <c r="M26" s="121"/>
      <c r="N26" s="121"/>
      <c r="O26" s="121"/>
      <c r="P26" s="121">
        <v>10</v>
      </c>
      <c r="Q26" s="129"/>
      <c r="R26" s="92">
        <f t="shared" si="7"/>
        <v>10</v>
      </c>
      <c r="S26" s="133">
        <f t="shared" si="7"/>
        <v>0</v>
      </c>
      <c r="T26" s="41"/>
      <c r="U26" s="116">
        <f t="shared" si="5"/>
        <v>240</v>
      </c>
      <c r="V26" s="139">
        <f t="shared" si="6"/>
        <v>10</v>
      </c>
      <c r="W26" s="138">
        <f t="shared" si="8"/>
        <v>1163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8</v>
      </c>
      <c r="D27" s="120"/>
      <c r="E27" s="121"/>
      <c r="F27" s="121"/>
      <c r="G27" s="79"/>
      <c r="H27" s="76"/>
      <c r="I27" s="76">
        <f t="shared" si="4"/>
        <v>8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192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12</v>
      </c>
      <c r="D29" s="120"/>
      <c r="E29" s="121"/>
      <c r="F29" s="121"/>
      <c r="G29" s="79">
        <v>2</v>
      </c>
      <c r="H29" s="76"/>
      <c r="I29" s="76">
        <f t="shared" si="4"/>
        <v>10</v>
      </c>
      <c r="J29" s="80">
        <f t="shared" si="4"/>
        <v>0</v>
      </c>
      <c r="K29" s="42"/>
      <c r="L29" s="121">
        <v>2</v>
      </c>
      <c r="M29" s="121"/>
      <c r="N29" s="121"/>
      <c r="O29" s="121"/>
      <c r="P29" s="121"/>
      <c r="Q29" s="129"/>
      <c r="R29" s="92">
        <f t="shared" si="7"/>
        <v>2</v>
      </c>
      <c r="S29" s="133">
        <f t="shared" si="7"/>
        <v>0</v>
      </c>
      <c r="T29" s="42"/>
      <c r="U29" s="116">
        <f t="shared" si="5"/>
        <v>48</v>
      </c>
      <c r="V29" s="139">
        <f t="shared" si="6"/>
        <v>2</v>
      </c>
      <c r="W29" s="138">
        <f t="shared" si="8"/>
        <v>240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>
        <v>46</v>
      </c>
      <c r="D30" s="120"/>
      <c r="E30" s="121"/>
      <c r="F30" s="121"/>
      <c r="G30" s="79"/>
      <c r="H30" s="76"/>
      <c r="I30" s="76">
        <f t="shared" si="4"/>
        <v>46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1104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82</v>
      </c>
      <c r="D35" s="120">
        <v>5</v>
      </c>
      <c r="E35" s="121"/>
      <c r="F35" s="121"/>
      <c r="G35" s="79">
        <v>2</v>
      </c>
      <c r="H35" s="76"/>
      <c r="I35" s="76">
        <f t="shared" si="4"/>
        <v>80</v>
      </c>
      <c r="J35" s="80">
        <f t="shared" si="4"/>
        <v>5</v>
      </c>
      <c r="K35" s="41"/>
      <c r="L35" s="121">
        <v>2</v>
      </c>
      <c r="M35" s="121"/>
      <c r="N35" s="121"/>
      <c r="O35" s="121"/>
      <c r="P35" s="121"/>
      <c r="Q35" s="129"/>
      <c r="R35" s="92">
        <f t="shared" si="7"/>
        <v>2</v>
      </c>
      <c r="S35" s="133">
        <f t="shared" si="7"/>
        <v>0</v>
      </c>
      <c r="T35" s="41"/>
      <c r="U35" s="116">
        <f t="shared" si="5"/>
        <v>48</v>
      </c>
      <c r="V35" s="139">
        <f t="shared" si="6"/>
        <v>2</v>
      </c>
      <c r="W35" s="138">
        <f t="shared" si="8"/>
        <v>1925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3117</v>
      </c>
      <c r="D38" s="123">
        <v>2</v>
      </c>
      <c r="E38" s="124"/>
      <c r="F38" s="124"/>
      <c r="G38" s="81">
        <v>148</v>
      </c>
      <c r="H38" s="82"/>
      <c r="I38" s="148">
        <f t="shared" si="4"/>
        <v>2969</v>
      </c>
      <c r="J38" s="149">
        <f t="shared" si="4"/>
        <v>2</v>
      </c>
      <c r="K38" s="53"/>
      <c r="L38" s="130">
        <v>19</v>
      </c>
      <c r="M38" s="130"/>
      <c r="N38" s="130">
        <v>17</v>
      </c>
      <c r="O38" s="130"/>
      <c r="P38" s="130">
        <v>112</v>
      </c>
      <c r="Q38" s="131"/>
      <c r="R38" s="106">
        <f t="shared" si="7"/>
        <v>148</v>
      </c>
      <c r="S38" s="134">
        <f t="shared" si="7"/>
        <v>0</v>
      </c>
      <c r="T38" s="53"/>
      <c r="U38" s="140">
        <f>L38*6+N38*6+P38*6</f>
        <v>888</v>
      </c>
      <c r="V38" s="144">
        <f>U38/6</f>
        <v>148</v>
      </c>
      <c r="W38" s="142">
        <f>I38*6+J38</f>
        <v>17816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9</v>
      </c>
      <c r="D39" s="120"/>
      <c r="E39" s="121"/>
      <c r="F39" s="121"/>
      <c r="G39" s="79"/>
      <c r="H39" s="76"/>
      <c r="I39" s="79">
        <f t="shared" si="4"/>
        <v>9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216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471</v>
      </c>
      <c r="D41" s="156"/>
      <c r="E41" s="157"/>
      <c r="F41" s="157"/>
      <c r="G41" s="158">
        <v>66</v>
      </c>
      <c r="H41" s="159"/>
      <c r="I41" s="160">
        <f t="shared" si="4"/>
        <v>405</v>
      </c>
      <c r="J41" s="161">
        <f t="shared" si="4"/>
        <v>0</v>
      </c>
      <c r="K41" s="162"/>
      <c r="L41" s="163">
        <v>65</v>
      </c>
      <c r="M41" s="163"/>
      <c r="N41" s="163">
        <v>1</v>
      </c>
      <c r="O41" s="163"/>
      <c r="P41" s="163"/>
      <c r="Q41" s="164"/>
      <c r="R41" s="165">
        <f t="shared" si="7"/>
        <v>66</v>
      </c>
      <c r="S41" s="166">
        <f t="shared" si="7"/>
        <v>0</v>
      </c>
      <c r="T41" s="162"/>
      <c r="U41" s="167">
        <f t="shared" si="9"/>
        <v>1584</v>
      </c>
      <c r="V41" s="168">
        <f t="shared" si="6"/>
        <v>66</v>
      </c>
      <c r="W41" s="168">
        <f t="shared" si="10"/>
        <v>9720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1193</v>
      </c>
      <c r="D42" s="173">
        <v>9</v>
      </c>
      <c r="E42" s="174"/>
      <c r="F42" s="174"/>
      <c r="G42" s="175">
        <v>16</v>
      </c>
      <c r="H42" s="176"/>
      <c r="I42" s="175">
        <f t="shared" si="4"/>
        <v>1177</v>
      </c>
      <c r="J42" s="177">
        <f t="shared" si="4"/>
        <v>9</v>
      </c>
      <c r="K42" s="178"/>
      <c r="L42" s="174">
        <v>5</v>
      </c>
      <c r="M42" s="174"/>
      <c r="N42" s="174">
        <v>4</v>
      </c>
      <c r="O42" s="174"/>
      <c r="P42" s="174">
        <v>7</v>
      </c>
      <c r="Q42" s="179"/>
      <c r="R42" s="180">
        <f t="shared" si="7"/>
        <v>16</v>
      </c>
      <c r="S42" s="181">
        <f t="shared" si="7"/>
        <v>0</v>
      </c>
      <c r="T42" s="178"/>
      <c r="U42" s="182">
        <f>L42*12+N42*12+P42*12</f>
        <v>192</v>
      </c>
      <c r="V42" s="183">
        <f>U42/12</f>
        <v>16</v>
      </c>
      <c r="W42" s="184">
        <f>I42*12+J42</f>
        <v>14133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29268</v>
      </c>
      <c r="D44" s="123">
        <v>3</v>
      </c>
      <c r="E44" s="124"/>
      <c r="F44" s="124"/>
      <c r="G44" s="81">
        <v>1213</v>
      </c>
      <c r="H44" s="82"/>
      <c r="I44" s="76">
        <f>C44+E44-G44</f>
        <v>28055</v>
      </c>
      <c r="J44" s="186">
        <f t="shared" si="4"/>
        <v>3</v>
      </c>
      <c r="K44" s="53"/>
      <c r="L44" s="130">
        <v>457</v>
      </c>
      <c r="M44" s="130"/>
      <c r="N44" s="130">
        <v>326</v>
      </c>
      <c r="O44" s="130"/>
      <c r="P44" s="130">
        <v>430</v>
      </c>
      <c r="Q44" s="131"/>
      <c r="R44" s="187">
        <f t="shared" si="7"/>
        <v>1213</v>
      </c>
      <c r="S44" s="188">
        <f t="shared" si="7"/>
        <v>0</v>
      </c>
      <c r="T44" s="53"/>
      <c r="U44" s="140">
        <f>L44*6+N44*6+P44*6</f>
        <v>7278</v>
      </c>
      <c r="V44" s="139">
        <f>U44/6</f>
        <v>1213</v>
      </c>
      <c r="W44" s="142">
        <f>I44*6+J44</f>
        <v>168333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2320</v>
      </c>
      <c r="D48" s="151">
        <v>4</v>
      </c>
      <c r="E48" s="130"/>
      <c r="F48" s="130"/>
      <c r="G48" s="152">
        <v>2</v>
      </c>
      <c r="H48" s="148"/>
      <c r="I48" s="148">
        <f t="shared" si="4"/>
        <v>2318</v>
      </c>
      <c r="J48" s="149">
        <f t="shared" si="4"/>
        <v>4</v>
      </c>
      <c r="K48" s="53"/>
      <c r="L48" s="130">
        <v>2</v>
      </c>
      <c r="M48" s="130"/>
      <c r="N48" s="130"/>
      <c r="O48" s="130"/>
      <c r="P48" s="130"/>
      <c r="Q48" s="131"/>
      <c r="R48" s="106">
        <f t="shared" si="7"/>
        <v>2</v>
      </c>
      <c r="S48" s="153">
        <f t="shared" si="7"/>
        <v>0</v>
      </c>
      <c r="T48" s="53"/>
      <c r="U48" s="140">
        <f>L48*6+N48*6+P48*6</f>
        <v>12</v>
      </c>
      <c r="V48" s="144">
        <f>U48/6</f>
        <v>2</v>
      </c>
      <c r="W48" s="142">
        <f>I48*6+J48</f>
        <v>13912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40425</v>
      </c>
      <c r="D60" s="57">
        <f>SUM(D8:D59)</f>
        <v>83</v>
      </c>
      <c r="E60" s="44">
        <f>SUM(E8:E59)</f>
        <v>0</v>
      </c>
      <c r="F60" s="44"/>
      <c r="G60" s="28">
        <f>SUM(G8:G59)</f>
        <v>1504</v>
      </c>
      <c r="H60" s="59">
        <f>SUM(H8:H59)</f>
        <v>55</v>
      </c>
      <c r="I60" s="59">
        <f>SUM(I8:I59)</f>
        <v>38921</v>
      </c>
      <c r="J60" s="45">
        <f>SUM(J8:J59)</f>
        <v>28</v>
      </c>
      <c r="K60" s="46"/>
      <c r="L60" s="77">
        <f t="shared" ref="L60:S60" si="20">SUM(L8:L59)</f>
        <v>567</v>
      </c>
      <c r="M60" s="77">
        <f t="shared" si="20"/>
        <v>40</v>
      </c>
      <c r="N60" s="77">
        <f t="shared" si="20"/>
        <v>358</v>
      </c>
      <c r="O60" s="77">
        <f t="shared" si="20"/>
        <v>5</v>
      </c>
      <c r="P60" s="77">
        <f t="shared" si="20"/>
        <v>579</v>
      </c>
      <c r="Q60" s="78">
        <f t="shared" si="20"/>
        <v>10</v>
      </c>
      <c r="R60" s="91">
        <f t="shared" si="20"/>
        <v>1504</v>
      </c>
      <c r="S60" s="90">
        <f t="shared" si="20"/>
        <v>55</v>
      </c>
      <c r="T60" s="46"/>
      <c r="U60" s="43">
        <f>SUM(U8:U59)</f>
        <v>11370</v>
      </c>
      <c r="V60" s="111">
        <f>SUM(V8:V59)</f>
        <v>1504</v>
      </c>
      <c r="W60" s="204">
        <f>SUM(W8:W59)</f>
        <v>319240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6" t="s">
        <v>3</v>
      </c>
      <c r="D69" s="227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35F-7B2A-4713-8B09-23FADD968917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46101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28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45</v>
      </c>
      <c r="D8" s="120">
        <v>21</v>
      </c>
      <c r="E8" s="121"/>
      <c r="F8" s="121"/>
      <c r="G8" s="79"/>
      <c r="H8" s="76"/>
      <c r="I8" s="76">
        <f>C8-G8</f>
        <v>45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1101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89</v>
      </c>
      <c r="D9" s="123"/>
      <c r="E9" s="124"/>
      <c r="F9" s="124"/>
      <c r="G9" s="81"/>
      <c r="H9" s="82"/>
      <c r="I9" s="81">
        <f t="shared" ref="I9:J59" si="4">C9-G9</f>
        <v>89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2136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11</v>
      </c>
      <c r="D10" s="120"/>
      <c r="E10" s="121"/>
      <c r="F10" s="121"/>
      <c r="G10" s="79"/>
      <c r="H10" s="76"/>
      <c r="I10" s="76">
        <f t="shared" si="4"/>
        <v>11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264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</v>
      </c>
      <c r="D12" s="120"/>
      <c r="E12" s="121"/>
      <c r="F12" s="121"/>
      <c r="G12" s="79"/>
      <c r="H12" s="76"/>
      <c r="I12" s="76">
        <f t="shared" si="4"/>
        <v>1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3546</v>
      </c>
      <c r="D13" s="123">
        <v>2</v>
      </c>
      <c r="E13" s="124"/>
      <c r="F13" s="124"/>
      <c r="G13" s="81">
        <v>31</v>
      </c>
      <c r="H13" s="82">
        <v>23</v>
      </c>
      <c r="I13" s="85">
        <f t="shared" si="4"/>
        <v>3515</v>
      </c>
      <c r="J13" s="103">
        <f>D13-H13</f>
        <v>-21</v>
      </c>
      <c r="K13" s="55"/>
      <c r="L13" s="130">
        <v>7</v>
      </c>
      <c r="M13" s="130">
        <v>12</v>
      </c>
      <c r="N13" s="130">
        <v>12</v>
      </c>
      <c r="O13" s="130"/>
      <c r="P13" s="130">
        <v>12</v>
      </c>
      <c r="Q13" s="131">
        <v>11</v>
      </c>
      <c r="R13" s="106">
        <f>L13+N13+P13</f>
        <v>31</v>
      </c>
      <c r="S13" s="134">
        <f>M13+O13+Q13</f>
        <v>23</v>
      </c>
      <c r="T13" s="55"/>
      <c r="U13" s="140">
        <f>L13*24+N13*24+P13*24</f>
        <v>744</v>
      </c>
      <c r="V13" s="144">
        <f t="shared" si="6"/>
        <v>31</v>
      </c>
      <c r="W13" s="142">
        <f>I13*24+J13</f>
        <v>84339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2</v>
      </c>
      <c r="D14" s="120">
        <v>16</v>
      </c>
      <c r="E14" s="121"/>
      <c r="F14" s="121"/>
      <c r="G14" s="79"/>
      <c r="H14" s="76"/>
      <c r="I14" s="102">
        <f t="shared" si="4"/>
        <v>2</v>
      </c>
      <c r="J14" s="104">
        <f t="shared" si="4"/>
        <v>16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3</v>
      </c>
      <c r="D18" s="120"/>
      <c r="E18" s="121"/>
      <c r="F18" s="121"/>
      <c r="G18" s="79"/>
      <c r="H18" s="76"/>
      <c r="I18" s="76">
        <f t="shared" si="4"/>
        <v>3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2</v>
      </c>
      <c r="D20" s="120">
        <v>20</v>
      </c>
      <c r="E20" s="121"/>
      <c r="F20" s="121"/>
      <c r="G20" s="79"/>
      <c r="H20" s="76"/>
      <c r="I20" s="76">
        <f t="shared" si="4"/>
        <v>2</v>
      </c>
      <c r="J20" s="80">
        <f t="shared" si="4"/>
        <v>20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5</v>
      </c>
      <c r="D21" s="120">
        <v>16</v>
      </c>
      <c r="E21" s="121"/>
      <c r="F21" s="121"/>
      <c r="G21" s="79"/>
      <c r="H21" s="76"/>
      <c r="I21" s="76">
        <f t="shared" si="4"/>
        <v>5</v>
      </c>
      <c r="J21" s="80">
        <f t="shared" si="4"/>
        <v>16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3</v>
      </c>
      <c r="D22" s="120"/>
      <c r="E22" s="121"/>
      <c r="F22" s="121"/>
      <c r="G22" s="79"/>
      <c r="H22" s="76"/>
      <c r="I22" s="76">
        <f t="shared" si="4"/>
        <v>3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>
        <v>20</v>
      </c>
      <c r="E23" s="121"/>
      <c r="F23" s="121"/>
      <c r="G23" s="79"/>
      <c r="H23" s="76"/>
      <c r="I23" s="76">
        <f t="shared" si="4"/>
        <v>0</v>
      </c>
      <c r="J23" s="80">
        <f t="shared" si="4"/>
        <v>20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48</v>
      </c>
      <c r="D26" s="120">
        <v>11</v>
      </c>
      <c r="E26" s="121"/>
      <c r="F26" s="121"/>
      <c r="G26" s="79">
        <v>2</v>
      </c>
      <c r="H26" s="76"/>
      <c r="I26" s="76">
        <f t="shared" si="4"/>
        <v>46</v>
      </c>
      <c r="J26" s="80">
        <f t="shared" si="4"/>
        <v>11</v>
      </c>
      <c r="K26" s="41"/>
      <c r="L26" s="121">
        <v>1</v>
      </c>
      <c r="M26" s="121"/>
      <c r="N26" s="121">
        <v>1</v>
      </c>
      <c r="O26" s="121"/>
      <c r="P26" s="121"/>
      <c r="Q26" s="129"/>
      <c r="R26" s="92">
        <f t="shared" si="7"/>
        <v>2</v>
      </c>
      <c r="S26" s="133">
        <f t="shared" si="7"/>
        <v>0</v>
      </c>
      <c r="T26" s="41"/>
      <c r="U26" s="116">
        <f t="shared" si="5"/>
        <v>48</v>
      </c>
      <c r="V26" s="139">
        <f t="shared" si="6"/>
        <v>2</v>
      </c>
      <c r="W26" s="138">
        <f t="shared" si="8"/>
        <v>1115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8</v>
      </c>
      <c r="D27" s="120"/>
      <c r="E27" s="121"/>
      <c r="F27" s="121"/>
      <c r="G27" s="79"/>
      <c r="H27" s="76"/>
      <c r="I27" s="76">
        <f t="shared" si="4"/>
        <v>8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192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10</v>
      </c>
      <c r="D29" s="120"/>
      <c r="E29" s="121"/>
      <c r="F29" s="121"/>
      <c r="G29" s="79">
        <v>6</v>
      </c>
      <c r="H29" s="76"/>
      <c r="I29" s="76">
        <f t="shared" si="4"/>
        <v>4</v>
      </c>
      <c r="J29" s="80">
        <f t="shared" si="4"/>
        <v>0</v>
      </c>
      <c r="K29" s="42"/>
      <c r="L29" s="121">
        <v>1</v>
      </c>
      <c r="M29" s="121"/>
      <c r="N29" s="121">
        <v>2</v>
      </c>
      <c r="O29" s="121"/>
      <c r="P29" s="121">
        <v>3</v>
      </c>
      <c r="Q29" s="129"/>
      <c r="R29" s="92">
        <f t="shared" si="7"/>
        <v>6</v>
      </c>
      <c r="S29" s="133">
        <f t="shared" si="7"/>
        <v>0</v>
      </c>
      <c r="T29" s="42"/>
      <c r="U29" s="116">
        <f t="shared" si="5"/>
        <v>144</v>
      </c>
      <c r="V29" s="139">
        <f t="shared" si="6"/>
        <v>6</v>
      </c>
      <c r="W29" s="138">
        <f t="shared" si="8"/>
        <v>96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46</v>
      </c>
      <c r="D31" s="120"/>
      <c r="E31" s="121"/>
      <c r="F31" s="121"/>
      <c r="G31" s="79">
        <v>1</v>
      </c>
      <c r="H31" s="76"/>
      <c r="I31" s="76">
        <f t="shared" si="4"/>
        <v>45</v>
      </c>
      <c r="J31" s="80">
        <f t="shared" si="4"/>
        <v>0</v>
      </c>
      <c r="K31" s="41"/>
      <c r="L31" s="121"/>
      <c r="M31" s="121"/>
      <c r="N31" s="121">
        <v>1</v>
      </c>
      <c r="O31" s="121"/>
      <c r="P31" s="121"/>
      <c r="Q31" s="129"/>
      <c r="R31" s="92">
        <f t="shared" si="7"/>
        <v>1</v>
      </c>
      <c r="S31" s="133">
        <f t="shared" si="7"/>
        <v>0</v>
      </c>
      <c r="T31" s="41"/>
      <c r="U31" s="116">
        <f t="shared" si="5"/>
        <v>24</v>
      </c>
      <c r="V31" s="139">
        <f t="shared" si="6"/>
        <v>1</v>
      </c>
      <c r="W31" s="138">
        <f t="shared" si="8"/>
        <v>1080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80</v>
      </c>
      <c r="D35" s="120">
        <v>5</v>
      </c>
      <c r="E35" s="121"/>
      <c r="F35" s="121"/>
      <c r="G35" s="79"/>
      <c r="H35" s="76"/>
      <c r="I35" s="76">
        <f t="shared" si="4"/>
        <v>80</v>
      </c>
      <c r="J35" s="80">
        <f t="shared" si="4"/>
        <v>5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1925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2969</v>
      </c>
      <c r="D38" s="123">
        <v>2</v>
      </c>
      <c r="E38" s="124"/>
      <c r="F38" s="124"/>
      <c r="G38" s="81">
        <v>71</v>
      </c>
      <c r="H38" s="82"/>
      <c r="I38" s="148">
        <f t="shared" si="4"/>
        <v>2898</v>
      </c>
      <c r="J38" s="149">
        <f t="shared" si="4"/>
        <v>2</v>
      </c>
      <c r="K38" s="53"/>
      <c r="L38" s="130">
        <v>10</v>
      </c>
      <c r="M38" s="130"/>
      <c r="N38" s="130">
        <v>36</v>
      </c>
      <c r="O38" s="130"/>
      <c r="P38" s="130">
        <v>25</v>
      </c>
      <c r="Q38" s="131"/>
      <c r="R38" s="106">
        <f t="shared" si="7"/>
        <v>71</v>
      </c>
      <c r="S38" s="134">
        <f t="shared" si="7"/>
        <v>0</v>
      </c>
      <c r="T38" s="53"/>
      <c r="U38" s="140">
        <f>L38*6+N38*6+P38*6</f>
        <v>426</v>
      </c>
      <c r="V38" s="144">
        <f>U38/6</f>
        <v>71</v>
      </c>
      <c r="W38" s="142">
        <f>I38*6+J38</f>
        <v>17390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9</v>
      </c>
      <c r="D39" s="120"/>
      <c r="E39" s="121"/>
      <c r="F39" s="121"/>
      <c r="G39" s="79"/>
      <c r="H39" s="76"/>
      <c r="I39" s="79">
        <f t="shared" si="4"/>
        <v>9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216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405</v>
      </c>
      <c r="D41" s="156"/>
      <c r="E41" s="157"/>
      <c r="F41" s="157"/>
      <c r="G41" s="158"/>
      <c r="H41" s="159"/>
      <c r="I41" s="160">
        <f t="shared" si="4"/>
        <v>405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9720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1177</v>
      </c>
      <c r="D42" s="173">
        <v>9</v>
      </c>
      <c r="E42" s="174"/>
      <c r="F42" s="174"/>
      <c r="G42" s="175">
        <v>16</v>
      </c>
      <c r="H42" s="176"/>
      <c r="I42" s="175">
        <f t="shared" si="4"/>
        <v>1161</v>
      </c>
      <c r="J42" s="177">
        <f t="shared" si="4"/>
        <v>9</v>
      </c>
      <c r="K42" s="178"/>
      <c r="L42" s="174"/>
      <c r="M42" s="174"/>
      <c r="N42" s="174">
        <v>9</v>
      </c>
      <c r="O42" s="174"/>
      <c r="P42" s="174">
        <v>7</v>
      </c>
      <c r="Q42" s="179"/>
      <c r="R42" s="180">
        <f t="shared" si="7"/>
        <v>16</v>
      </c>
      <c r="S42" s="181">
        <f t="shared" si="7"/>
        <v>0</v>
      </c>
      <c r="T42" s="178"/>
      <c r="U42" s="182">
        <f>L42*12+N42*12+P42*12</f>
        <v>192</v>
      </c>
      <c r="V42" s="183">
        <f>U42/12</f>
        <v>16</v>
      </c>
      <c r="W42" s="184">
        <f>I42*12+J42</f>
        <v>13941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28055</v>
      </c>
      <c r="D44" s="123">
        <v>2</v>
      </c>
      <c r="E44" s="124">
        <v>1836</v>
      </c>
      <c r="F44" s="124"/>
      <c r="G44" s="81">
        <v>1206</v>
      </c>
      <c r="H44" s="82"/>
      <c r="I44" s="76">
        <f>C44+E44-G44</f>
        <v>28685</v>
      </c>
      <c r="J44" s="186">
        <f t="shared" si="4"/>
        <v>2</v>
      </c>
      <c r="K44" s="53"/>
      <c r="L44" s="130">
        <v>436</v>
      </c>
      <c r="M44" s="130"/>
      <c r="N44" s="130">
        <v>398</v>
      </c>
      <c r="O44" s="130"/>
      <c r="P44" s="130">
        <v>372</v>
      </c>
      <c r="Q44" s="131"/>
      <c r="R44" s="187">
        <f t="shared" si="7"/>
        <v>1206</v>
      </c>
      <c r="S44" s="188">
        <f t="shared" si="7"/>
        <v>0</v>
      </c>
      <c r="T44" s="53"/>
      <c r="U44" s="140">
        <f>L44*6+N44*6+P44*6</f>
        <v>7236</v>
      </c>
      <c r="V44" s="139">
        <f>U44/6</f>
        <v>1206</v>
      </c>
      <c r="W44" s="142">
        <f>I44*6+J44</f>
        <v>172112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2318</v>
      </c>
      <c r="D48" s="151">
        <v>4</v>
      </c>
      <c r="E48" s="130"/>
      <c r="F48" s="130"/>
      <c r="G48" s="152">
        <v>5</v>
      </c>
      <c r="H48" s="148"/>
      <c r="I48" s="148">
        <f t="shared" si="4"/>
        <v>2313</v>
      </c>
      <c r="J48" s="149">
        <f t="shared" si="4"/>
        <v>4</v>
      </c>
      <c r="K48" s="53"/>
      <c r="L48" s="130"/>
      <c r="M48" s="130"/>
      <c r="N48" s="130">
        <v>5</v>
      </c>
      <c r="O48" s="130"/>
      <c r="P48" s="130"/>
      <c r="Q48" s="131"/>
      <c r="R48" s="106">
        <f t="shared" si="7"/>
        <v>5</v>
      </c>
      <c r="S48" s="153">
        <f t="shared" si="7"/>
        <v>0</v>
      </c>
      <c r="T48" s="53"/>
      <c r="U48" s="140">
        <f>L48*6+N48*6+P48*6</f>
        <v>30</v>
      </c>
      <c r="V48" s="144">
        <f>U48/6</f>
        <v>5</v>
      </c>
      <c r="W48" s="142">
        <f>I48*6+J48</f>
        <v>13882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38916</v>
      </c>
      <c r="D60" s="57">
        <f>SUM(D8:D59)</f>
        <v>147</v>
      </c>
      <c r="E60" s="44">
        <f>SUM(E8:E59)</f>
        <v>1836</v>
      </c>
      <c r="F60" s="44"/>
      <c r="G60" s="28">
        <f>SUM(G8:G59)</f>
        <v>1338</v>
      </c>
      <c r="H60" s="59">
        <f>SUM(H8:H59)</f>
        <v>23</v>
      </c>
      <c r="I60" s="59">
        <f>SUM(I8:I59)</f>
        <v>39414</v>
      </c>
      <c r="J60" s="45">
        <f>SUM(J8:J59)</f>
        <v>124</v>
      </c>
      <c r="K60" s="46"/>
      <c r="L60" s="77">
        <f t="shared" ref="L60:S60" si="20">SUM(L8:L59)</f>
        <v>455</v>
      </c>
      <c r="M60" s="77">
        <f t="shared" si="20"/>
        <v>12</v>
      </c>
      <c r="N60" s="77">
        <f t="shared" si="20"/>
        <v>464</v>
      </c>
      <c r="O60" s="77">
        <f t="shared" si="20"/>
        <v>0</v>
      </c>
      <c r="P60" s="77">
        <f t="shared" si="20"/>
        <v>419</v>
      </c>
      <c r="Q60" s="78">
        <f t="shared" si="20"/>
        <v>11</v>
      </c>
      <c r="R60" s="91">
        <f t="shared" si="20"/>
        <v>1338</v>
      </c>
      <c r="S60" s="90">
        <f t="shared" si="20"/>
        <v>23</v>
      </c>
      <c r="T60" s="46"/>
      <c r="U60" s="43">
        <f>SUM(U8:U59)</f>
        <v>8844</v>
      </c>
      <c r="V60" s="111">
        <f>SUM(V8:V59)</f>
        <v>1338</v>
      </c>
      <c r="W60" s="204">
        <f>SUM(W8:W59)</f>
        <v>321388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6" t="s">
        <v>3</v>
      </c>
      <c r="D69" s="227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8521-30C6-4E9C-952F-E7D2A7665E71}">
  <sheetPr>
    <pageSetUpPr fitToPage="1"/>
  </sheetPr>
  <dimension ref="A1:BH90"/>
  <sheetViews>
    <sheetView zoomScale="85" zoomScaleNormal="85" zoomScaleSheetLayoutView="85" zoomScalePageLayoutView="80" workbookViewId="0">
      <selection activeCell="P17" sqref="P17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9.71093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46104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31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45</v>
      </c>
      <c r="D8" s="120">
        <v>21</v>
      </c>
      <c r="E8" s="121"/>
      <c r="F8" s="121"/>
      <c r="G8" s="79">
        <v>3</v>
      </c>
      <c r="H8" s="76"/>
      <c r="I8" s="76">
        <f>C8-G8</f>
        <v>42</v>
      </c>
      <c r="J8" s="80">
        <f t="shared" ref="J8:J12" si="0">D8-H8</f>
        <v>21</v>
      </c>
      <c r="K8" s="41"/>
      <c r="L8" s="121">
        <v>2</v>
      </c>
      <c r="M8" s="121"/>
      <c r="N8" s="121">
        <v>1</v>
      </c>
      <c r="O8" s="121"/>
      <c r="P8" s="121"/>
      <c r="Q8" s="129"/>
      <c r="R8" s="92">
        <f t="shared" ref="R8:S12" si="1">L8+N8+P8</f>
        <v>3</v>
      </c>
      <c r="S8" s="133">
        <f t="shared" si="1"/>
        <v>0</v>
      </c>
      <c r="T8" s="41"/>
      <c r="U8" s="116">
        <f>L8*24+N8*24+P8*24</f>
        <v>72</v>
      </c>
      <c r="V8" s="139">
        <f>U8/24</f>
        <v>3</v>
      </c>
      <c r="W8" s="138">
        <f t="shared" ref="W8:W12" si="2">I8*24+J8</f>
        <v>1029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89</v>
      </c>
      <c r="D9" s="123"/>
      <c r="E9" s="124"/>
      <c r="F9" s="124"/>
      <c r="G9" s="81"/>
      <c r="H9" s="82"/>
      <c r="I9" s="81">
        <f t="shared" ref="I9:J59" si="4">C9-G9</f>
        <v>89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2136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11</v>
      </c>
      <c r="D10" s="120"/>
      <c r="E10" s="121"/>
      <c r="F10" s="121"/>
      <c r="G10" s="79">
        <v>6</v>
      </c>
      <c r="H10" s="76"/>
      <c r="I10" s="76">
        <f t="shared" si="4"/>
        <v>5</v>
      </c>
      <c r="J10" s="104">
        <f t="shared" si="0"/>
        <v>0</v>
      </c>
      <c r="K10" s="41"/>
      <c r="L10" s="121">
        <v>2</v>
      </c>
      <c r="M10" s="121"/>
      <c r="N10" s="121">
        <v>3</v>
      </c>
      <c r="O10" s="121"/>
      <c r="P10" s="121">
        <v>1</v>
      </c>
      <c r="Q10" s="129"/>
      <c r="R10" s="108">
        <f t="shared" si="1"/>
        <v>6</v>
      </c>
      <c r="S10" s="135">
        <f t="shared" si="1"/>
        <v>0</v>
      </c>
      <c r="T10" s="41"/>
      <c r="U10" s="116">
        <f>L10*24+N10*24+P10*24</f>
        <v>144</v>
      </c>
      <c r="V10" s="143">
        <f>U10/24</f>
        <v>6</v>
      </c>
      <c r="W10" s="138">
        <f t="shared" si="2"/>
        <v>120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</v>
      </c>
      <c r="D12" s="120"/>
      <c r="E12" s="121"/>
      <c r="F12" s="121"/>
      <c r="G12" s="79"/>
      <c r="H12" s="76"/>
      <c r="I12" s="76">
        <f t="shared" si="4"/>
        <v>1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3514</v>
      </c>
      <c r="D13" s="123">
        <v>3</v>
      </c>
      <c r="E13" s="124"/>
      <c r="F13" s="124"/>
      <c r="G13" s="81">
        <v>32</v>
      </c>
      <c r="H13" s="82">
        <v>13</v>
      </c>
      <c r="I13" s="85">
        <f t="shared" si="4"/>
        <v>3482</v>
      </c>
      <c r="J13" s="103">
        <f>D13-H13</f>
        <v>-10</v>
      </c>
      <c r="K13" s="55"/>
      <c r="L13" s="130">
        <v>1</v>
      </c>
      <c r="M13" s="130">
        <v>2</v>
      </c>
      <c r="N13" s="130">
        <v>18</v>
      </c>
      <c r="O13" s="130">
        <v>10</v>
      </c>
      <c r="P13" s="130">
        <v>13</v>
      </c>
      <c r="Q13" s="131">
        <v>1</v>
      </c>
      <c r="R13" s="106">
        <f>L13+N13+P13</f>
        <v>32</v>
      </c>
      <c r="S13" s="134">
        <f>M13+O13+Q13</f>
        <v>13</v>
      </c>
      <c r="T13" s="55"/>
      <c r="U13" s="140">
        <f>L13*24+N13*24+P13*24</f>
        <v>768</v>
      </c>
      <c r="V13" s="144">
        <f t="shared" si="6"/>
        <v>32</v>
      </c>
      <c r="W13" s="142">
        <f>I13*24+J13</f>
        <v>83558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2</v>
      </c>
      <c r="D14" s="120">
        <v>16</v>
      </c>
      <c r="E14" s="121"/>
      <c r="F14" s="121"/>
      <c r="G14" s="79"/>
      <c r="H14" s="76"/>
      <c r="I14" s="102">
        <f t="shared" si="4"/>
        <v>2</v>
      </c>
      <c r="J14" s="104">
        <f t="shared" si="4"/>
        <v>16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3</v>
      </c>
      <c r="D18" s="120"/>
      <c r="E18" s="121"/>
      <c r="F18" s="121"/>
      <c r="G18" s="79"/>
      <c r="H18" s="76"/>
      <c r="I18" s="76">
        <f t="shared" si="4"/>
        <v>3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2</v>
      </c>
      <c r="D20" s="120">
        <v>20</v>
      </c>
      <c r="E20" s="121"/>
      <c r="F20" s="121"/>
      <c r="G20" s="79"/>
      <c r="H20" s="76"/>
      <c r="I20" s="76">
        <f t="shared" si="4"/>
        <v>2</v>
      </c>
      <c r="J20" s="80">
        <f t="shared" si="4"/>
        <v>20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5</v>
      </c>
      <c r="D21" s="120">
        <v>16</v>
      </c>
      <c r="E21" s="121"/>
      <c r="F21" s="121"/>
      <c r="G21" s="79"/>
      <c r="H21" s="76"/>
      <c r="I21" s="76">
        <f t="shared" si="4"/>
        <v>5</v>
      </c>
      <c r="J21" s="80">
        <f t="shared" si="4"/>
        <v>16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3</v>
      </c>
      <c r="D22" s="120"/>
      <c r="E22" s="121"/>
      <c r="F22" s="121"/>
      <c r="G22" s="79"/>
      <c r="H22" s="76"/>
      <c r="I22" s="76">
        <f t="shared" si="4"/>
        <v>3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>
        <v>20</v>
      </c>
      <c r="E23" s="121"/>
      <c r="F23" s="121"/>
      <c r="G23" s="79"/>
      <c r="H23" s="76"/>
      <c r="I23" s="76">
        <f t="shared" si="4"/>
        <v>0</v>
      </c>
      <c r="J23" s="80">
        <f t="shared" si="4"/>
        <v>20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46</v>
      </c>
      <c r="D26" s="120">
        <v>11</v>
      </c>
      <c r="E26" s="121"/>
      <c r="F26" s="121"/>
      <c r="G26" s="79">
        <v>2</v>
      </c>
      <c r="H26" s="76"/>
      <c r="I26" s="76">
        <f t="shared" si="4"/>
        <v>44</v>
      </c>
      <c r="J26" s="80">
        <f t="shared" si="4"/>
        <v>11</v>
      </c>
      <c r="K26" s="41"/>
      <c r="L26" s="121">
        <v>2</v>
      </c>
      <c r="M26" s="121"/>
      <c r="N26" s="121"/>
      <c r="O26" s="121"/>
      <c r="P26" s="121"/>
      <c r="Q26" s="129"/>
      <c r="R26" s="92">
        <f t="shared" si="7"/>
        <v>2</v>
      </c>
      <c r="S26" s="133">
        <f t="shared" si="7"/>
        <v>0</v>
      </c>
      <c r="T26" s="41"/>
      <c r="U26" s="116">
        <f t="shared" si="5"/>
        <v>48</v>
      </c>
      <c r="V26" s="139">
        <f t="shared" si="6"/>
        <v>2</v>
      </c>
      <c r="W26" s="138">
        <f t="shared" si="8"/>
        <v>1067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8</v>
      </c>
      <c r="D27" s="120"/>
      <c r="E27" s="121"/>
      <c r="F27" s="121"/>
      <c r="G27" s="79">
        <v>1</v>
      </c>
      <c r="H27" s="76"/>
      <c r="I27" s="76">
        <f t="shared" si="4"/>
        <v>7</v>
      </c>
      <c r="J27" s="80">
        <f t="shared" si="4"/>
        <v>0</v>
      </c>
      <c r="K27" s="42"/>
      <c r="L27" s="121">
        <v>1</v>
      </c>
      <c r="M27" s="121"/>
      <c r="N27" s="121"/>
      <c r="O27" s="121"/>
      <c r="P27" s="121"/>
      <c r="Q27" s="129"/>
      <c r="R27" s="92">
        <f t="shared" si="7"/>
        <v>1</v>
      </c>
      <c r="S27" s="133">
        <f t="shared" si="7"/>
        <v>0</v>
      </c>
      <c r="T27" s="42"/>
      <c r="U27" s="116">
        <f t="shared" si="5"/>
        <v>24</v>
      </c>
      <c r="V27" s="139">
        <f t="shared" si="6"/>
        <v>1</v>
      </c>
      <c r="W27" s="138">
        <f t="shared" si="8"/>
        <v>168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4</v>
      </c>
      <c r="D29" s="120"/>
      <c r="E29" s="121">
        <v>63</v>
      </c>
      <c r="F29" s="121"/>
      <c r="G29" s="79">
        <v>4</v>
      </c>
      <c r="H29" s="76"/>
      <c r="I29" s="76">
        <f>C29+E29-G29</f>
        <v>63</v>
      </c>
      <c r="J29" s="80">
        <f t="shared" si="4"/>
        <v>0</v>
      </c>
      <c r="K29" s="42"/>
      <c r="L29" s="121">
        <v>3</v>
      </c>
      <c r="M29" s="121"/>
      <c r="N29" s="121">
        <v>1</v>
      </c>
      <c r="O29" s="121"/>
      <c r="P29" s="121"/>
      <c r="Q29" s="129"/>
      <c r="R29" s="92">
        <f t="shared" si="7"/>
        <v>4</v>
      </c>
      <c r="S29" s="133">
        <f t="shared" si="7"/>
        <v>0</v>
      </c>
      <c r="T29" s="42"/>
      <c r="U29" s="116">
        <f t="shared" si="5"/>
        <v>96</v>
      </c>
      <c r="V29" s="139">
        <f t="shared" si="6"/>
        <v>4</v>
      </c>
      <c r="W29" s="138">
        <f t="shared" si="8"/>
        <v>1512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45</v>
      </c>
      <c r="D31" s="120"/>
      <c r="E31" s="121"/>
      <c r="F31" s="121"/>
      <c r="G31" s="79"/>
      <c r="H31" s="76"/>
      <c r="I31" s="76">
        <f t="shared" si="4"/>
        <v>45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1080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80</v>
      </c>
      <c r="D35" s="120">
        <v>5</v>
      </c>
      <c r="E35" s="121"/>
      <c r="F35" s="121"/>
      <c r="G35" s="79">
        <v>4</v>
      </c>
      <c r="H35" s="76"/>
      <c r="I35" s="76">
        <f t="shared" si="4"/>
        <v>76</v>
      </c>
      <c r="J35" s="80">
        <f t="shared" si="4"/>
        <v>5</v>
      </c>
      <c r="K35" s="41"/>
      <c r="L35" s="121">
        <v>3</v>
      </c>
      <c r="M35" s="121"/>
      <c r="N35" s="121"/>
      <c r="O35" s="121"/>
      <c r="P35" s="121">
        <v>1</v>
      </c>
      <c r="Q35" s="129"/>
      <c r="R35" s="92">
        <f t="shared" si="7"/>
        <v>4</v>
      </c>
      <c r="S35" s="133">
        <f t="shared" si="7"/>
        <v>0</v>
      </c>
      <c r="T35" s="41"/>
      <c r="U35" s="116">
        <f t="shared" si="5"/>
        <v>96</v>
      </c>
      <c r="V35" s="139">
        <f t="shared" si="6"/>
        <v>4</v>
      </c>
      <c r="W35" s="138">
        <f t="shared" si="8"/>
        <v>1829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2898</v>
      </c>
      <c r="D38" s="123">
        <v>2</v>
      </c>
      <c r="E38" s="124"/>
      <c r="F38" s="124"/>
      <c r="G38" s="81">
        <v>210</v>
      </c>
      <c r="H38" s="82"/>
      <c r="I38" s="148">
        <f t="shared" si="4"/>
        <v>2688</v>
      </c>
      <c r="J38" s="149">
        <f t="shared" si="4"/>
        <v>2</v>
      </c>
      <c r="K38" s="53"/>
      <c r="L38" s="130">
        <v>72</v>
      </c>
      <c r="M38" s="130"/>
      <c r="N38" s="130">
        <v>110</v>
      </c>
      <c r="O38" s="130"/>
      <c r="P38" s="130">
        <v>28</v>
      </c>
      <c r="Q38" s="131"/>
      <c r="R38" s="106">
        <f t="shared" si="7"/>
        <v>210</v>
      </c>
      <c r="S38" s="134">
        <f t="shared" si="7"/>
        <v>0</v>
      </c>
      <c r="T38" s="53"/>
      <c r="U38" s="140">
        <f>L38*6+N38*6+P38*6</f>
        <v>1260</v>
      </c>
      <c r="V38" s="144">
        <f>U38/6</f>
        <v>210</v>
      </c>
      <c r="W38" s="142">
        <f>I38*6+J38</f>
        <v>16130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9</v>
      </c>
      <c r="D39" s="120"/>
      <c r="E39" s="121"/>
      <c r="F39" s="121"/>
      <c r="G39" s="79">
        <v>1</v>
      </c>
      <c r="H39" s="76"/>
      <c r="I39" s="79">
        <f t="shared" si="4"/>
        <v>8</v>
      </c>
      <c r="J39" s="80">
        <f t="shared" si="4"/>
        <v>0</v>
      </c>
      <c r="K39" s="41"/>
      <c r="L39" s="121">
        <v>1</v>
      </c>
      <c r="M39" s="121"/>
      <c r="N39" s="121"/>
      <c r="O39" s="121"/>
      <c r="P39" s="121"/>
      <c r="Q39" s="129"/>
      <c r="R39" s="105">
        <f t="shared" si="7"/>
        <v>1</v>
      </c>
      <c r="S39" s="135">
        <f t="shared" si="7"/>
        <v>0</v>
      </c>
      <c r="T39" s="41"/>
      <c r="U39" s="116">
        <f t="shared" ref="U39:U41" si="9">L39*24+N39*24+P39*24</f>
        <v>24</v>
      </c>
      <c r="V39" s="118">
        <f t="shared" si="6"/>
        <v>1</v>
      </c>
      <c r="W39" s="138">
        <f t="shared" ref="W39:W41" si="10">I39*24+J39</f>
        <v>192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405</v>
      </c>
      <c r="D41" s="156"/>
      <c r="E41" s="157"/>
      <c r="F41" s="157"/>
      <c r="G41" s="158">
        <v>2</v>
      </c>
      <c r="H41" s="159"/>
      <c r="I41" s="160">
        <f t="shared" si="4"/>
        <v>403</v>
      </c>
      <c r="J41" s="161">
        <f t="shared" si="4"/>
        <v>0</v>
      </c>
      <c r="K41" s="162"/>
      <c r="L41" s="163">
        <v>2</v>
      </c>
      <c r="M41" s="163"/>
      <c r="N41" s="163"/>
      <c r="O41" s="163"/>
      <c r="P41" s="163"/>
      <c r="Q41" s="164"/>
      <c r="R41" s="165">
        <f t="shared" si="7"/>
        <v>2</v>
      </c>
      <c r="S41" s="166">
        <f t="shared" si="7"/>
        <v>0</v>
      </c>
      <c r="T41" s="162"/>
      <c r="U41" s="167">
        <f t="shared" si="9"/>
        <v>48</v>
      </c>
      <c r="V41" s="168">
        <f t="shared" si="6"/>
        <v>2</v>
      </c>
      <c r="W41" s="168">
        <f t="shared" si="10"/>
        <v>9672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1161</v>
      </c>
      <c r="D42" s="173">
        <v>9</v>
      </c>
      <c r="E42" s="174"/>
      <c r="F42" s="174"/>
      <c r="G42" s="175">
        <v>20</v>
      </c>
      <c r="H42" s="176"/>
      <c r="I42" s="175">
        <f t="shared" si="4"/>
        <v>1141</v>
      </c>
      <c r="J42" s="177">
        <f t="shared" si="4"/>
        <v>9</v>
      </c>
      <c r="K42" s="178"/>
      <c r="L42" s="174">
        <v>10</v>
      </c>
      <c r="M42" s="174"/>
      <c r="N42" s="174">
        <v>1</v>
      </c>
      <c r="O42" s="174"/>
      <c r="P42" s="174">
        <v>9</v>
      </c>
      <c r="Q42" s="179"/>
      <c r="R42" s="180">
        <f t="shared" si="7"/>
        <v>20</v>
      </c>
      <c r="S42" s="181">
        <f t="shared" si="7"/>
        <v>0</v>
      </c>
      <c r="T42" s="178"/>
      <c r="U42" s="182">
        <f>L42*12+N42*12+P42*12</f>
        <v>240</v>
      </c>
      <c r="V42" s="183">
        <f>U42/12</f>
        <v>20</v>
      </c>
      <c r="W42" s="184">
        <f>I42*12+J42</f>
        <v>13701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28685</v>
      </c>
      <c r="D44" s="123">
        <v>2</v>
      </c>
      <c r="E44" s="124">
        <v>1728</v>
      </c>
      <c r="F44" s="124"/>
      <c r="G44" s="81">
        <v>1280</v>
      </c>
      <c r="H44" s="82"/>
      <c r="I44" s="76">
        <f>C44+E44-G44</f>
        <v>29133</v>
      </c>
      <c r="J44" s="186">
        <f t="shared" si="4"/>
        <v>2</v>
      </c>
      <c r="K44" s="53"/>
      <c r="L44" s="130">
        <v>480</v>
      </c>
      <c r="M44" s="130"/>
      <c r="N44" s="130">
        <v>349</v>
      </c>
      <c r="O44" s="130"/>
      <c r="P44" s="130">
        <v>451</v>
      </c>
      <c r="Q44" s="131"/>
      <c r="R44" s="187">
        <f t="shared" si="7"/>
        <v>1280</v>
      </c>
      <c r="S44" s="188">
        <f t="shared" si="7"/>
        <v>0</v>
      </c>
      <c r="T44" s="53"/>
      <c r="U44" s="140">
        <f>L44*6+N44*6+P44*6</f>
        <v>7680</v>
      </c>
      <c r="V44" s="139">
        <f>U44/6</f>
        <v>1280</v>
      </c>
      <c r="W44" s="142">
        <f>I44*6+J44</f>
        <v>174800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2313</v>
      </c>
      <c r="D48" s="151">
        <v>4</v>
      </c>
      <c r="E48" s="130"/>
      <c r="F48" s="130"/>
      <c r="G48" s="152"/>
      <c r="H48" s="148"/>
      <c r="I48" s="148">
        <f t="shared" si="4"/>
        <v>2313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13882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39413</v>
      </c>
      <c r="D60" s="57">
        <f>SUM(D8:D59)</f>
        <v>148</v>
      </c>
      <c r="E60" s="44">
        <f>SUM(E8:E59)</f>
        <v>1791</v>
      </c>
      <c r="F60" s="44"/>
      <c r="G60" s="28">
        <f>SUM(G8:G59)</f>
        <v>1565</v>
      </c>
      <c r="H60" s="59">
        <f>SUM(H8:H59)</f>
        <v>13</v>
      </c>
      <c r="I60" s="59">
        <f>SUM(I8:I59)</f>
        <v>39639</v>
      </c>
      <c r="J60" s="45">
        <f>SUM(J8:J59)</f>
        <v>135</v>
      </c>
      <c r="K60" s="46"/>
      <c r="L60" s="77">
        <f t="shared" ref="L60:S60" si="20">SUM(L8:L59)</f>
        <v>579</v>
      </c>
      <c r="M60" s="77">
        <f t="shared" si="20"/>
        <v>2</v>
      </c>
      <c r="N60" s="77">
        <f t="shared" si="20"/>
        <v>483</v>
      </c>
      <c r="O60" s="77">
        <f t="shared" si="20"/>
        <v>10</v>
      </c>
      <c r="P60" s="77">
        <f t="shared" si="20"/>
        <v>503</v>
      </c>
      <c r="Q60" s="78">
        <f t="shared" si="20"/>
        <v>1</v>
      </c>
      <c r="R60" s="91">
        <f t="shared" si="20"/>
        <v>1565</v>
      </c>
      <c r="S60" s="90">
        <f t="shared" si="20"/>
        <v>13</v>
      </c>
      <c r="T60" s="46"/>
      <c r="U60" s="43">
        <f>SUM(U8:U59)</f>
        <v>10500</v>
      </c>
      <c r="V60" s="111">
        <f>SUM(V8:V59)</f>
        <v>1565</v>
      </c>
      <c r="W60" s="204">
        <f>SUM(W8:W59)</f>
        <v>322755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9" t="s">
        <v>3</v>
      </c>
      <c r="D69" s="230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F980-5574-4D62-ABF2-6898880BA2EC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46105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28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42</v>
      </c>
      <c r="D8" s="120">
        <v>21</v>
      </c>
      <c r="E8" s="121"/>
      <c r="F8" s="121"/>
      <c r="G8" s="79"/>
      <c r="H8" s="76"/>
      <c r="I8" s="76">
        <f>C8-G8</f>
        <v>42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1029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89</v>
      </c>
      <c r="D9" s="123"/>
      <c r="E9" s="124"/>
      <c r="F9" s="124"/>
      <c r="G9" s="81">
        <v>2</v>
      </c>
      <c r="H9" s="82"/>
      <c r="I9" s="81">
        <f t="shared" ref="I9:J59" si="4">C9-G9</f>
        <v>87</v>
      </c>
      <c r="J9" s="103">
        <f t="shared" si="0"/>
        <v>0</v>
      </c>
      <c r="K9" s="53"/>
      <c r="L9" s="130"/>
      <c r="M9" s="130"/>
      <c r="N9" s="130"/>
      <c r="O9" s="130"/>
      <c r="P9" s="130">
        <v>2</v>
      </c>
      <c r="Q9" s="131"/>
      <c r="R9" s="107">
        <f t="shared" si="1"/>
        <v>2</v>
      </c>
      <c r="S9" s="134">
        <f t="shared" si="1"/>
        <v>0</v>
      </c>
      <c r="T9" s="53"/>
      <c r="U9" s="140">
        <f>L9*24+N9*24+P9*24</f>
        <v>48</v>
      </c>
      <c r="V9" s="141">
        <f>U9/24</f>
        <v>2</v>
      </c>
      <c r="W9" s="142">
        <f t="shared" si="2"/>
        <v>2088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5</v>
      </c>
      <c r="D10" s="120"/>
      <c r="E10" s="121"/>
      <c r="F10" s="121"/>
      <c r="G10" s="79"/>
      <c r="H10" s="76"/>
      <c r="I10" s="76">
        <f t="shared" si="4"/>
        <v>5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120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</v>
      </c>
      <c r="D12" s="120"/>
      <c r="E12" s="121"/>
      <c r="F12" s="121"/>
      <c r="G12" s="79"/>
      <c r="H12" s="76"/>
      <c r="I12" s="76">
        <f t="shared" si="4"/>
        <v>1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3481</v>
      </c>
      <c r="D13" s="123">
        <v>14</v>
      </c>
      <c r="E13" s="124"/>
      <c r="F13" s="124"/>
      <c r="G13" s="81">
        <v>40</v>
      </c>
      <c r="H13" s="82">
        <v>23</v>
      </c>
      <c r="I13" s="85">
        <f t="shared" si="4"/>
        <v>3441</v>
      </c>
      <c r="J13" s="103">
        <f>D13-H13</f>
        <v>-9</v>
      </c>
      <c r="K13" s="55"/>
      <c r="L13" s="130">
        <v>13</v>
      </c>
      <c r="M13" s="130">
        <v>20</v>
      </c>
      <c r="N13" s="130">
        <v>9</v>
      </c>
      <c r="O13" s="130">
        <v>1</v>
      </c>
      <c r="P13" s="130">
        <v>18</v>
      </c>
      <c r="Q13" s="131">
        <v>2</v>
      </c>
      <c r="R13" s="106">
        <f>L13+N13+P13</f>
        <v>40</v>
      </c>
      <c r="S13" s="134">
        <f>M13+O13+Q13</f>
        <v>23</v>
      </c>
      <c r="T13" s="55"/>
      <c r="U13" s="140">
        <f>L13*24+N13*24+P13*24</f>
        <v>960</v>
      </c>
      <c r="V13" s="144">
        <f t="shared" si="6"/>
        <v>40</v>
      </c>
      <c r="W13" s="142">
        <f>I13*24+J13</f>
        <v>82575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2</v>
      </c>
      <c r="D14" s="120">
        <v>16</v>
      </c>
      <c r="E14" s="121"/>
      <c r="F14" s="121"/>
      <c r="G14" s="79"/>
      <c r="H14" s="76"/>
      <c r="I14" s="102">
        <f t="shared" si="4"/>
        <v>2</v>
      </c>
      <c r="J14" s="104">
        <f t="shared" si="4"/>
        <v>16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3</v>
      </c>
      <c r="D18" s="120"/>
      <c r="E18" s="121"/>
      <c r="F18" s="121"/>
      <c r="G18" s="79"/>
      <c r="H18" s="76"/>
      <c r="I18" s="76">
        <f t="shared" si="4"/>
        <v>3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2</v>
      </c>
      <c r="D20" s="120">
        <v>20</v>
      </c>
      <c r="E20" s="121"/>
      <c r="F20" s="121"/>
      <c r="G20" s="79"/>
      <c r="H20" s="76"/>
      <c r="I20" s="76">
        <f t="shared" si="4"/>
        <v>2</v>
      </c>
      <c r="J20" s="80">
        <f t="shared" si="4"/>
        <v>20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5</v>
      </c>
      <c r="D21" s="120">
        <v>16</v>
      </c>
      <c r="E21" s="121"/>
      <c r="F21" s="121"/>
      <c r="G21" s="79"/>
      <c r="H21" s="76"/>
      <c r="I21" s="76">
        <f t="shared" si="4"/>
        <v>5</v>
      </c>
      <c r="J21" s="80">
        <f t="shared" si="4"/>
        <v>16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3</v>
      </c>
      <c r="D22" s="120"/>
      <c r="E22" s="121"/>
      <c r="F22" s="121"/>
      <c r="G22" s="79"/>
      <c r="H22" s="76"/>
      <c r="I22" s="76">
        <f t="shared" si="4"/>
        <v>3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>
        <v>20</v>
      </c>
      <c r="E23" s="121"/>
      <c r="F23" s="121"/>
      <c r="G23" s="79"/>
      <c r="H23" s="76"/>
      <c r="I23" s="76">
        <f t="shared" si="4"/>
        <v>0</v>
      </c>
      <c r="J23" s="80">
        <f t="shared" si="4"/>
        <v>20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44</v>
      </c>
      <c r="D26" s="120">
        <v>11</v>
      </c>
      <c r="E26" s="121"/>
      <c r="F26" s="121"/>
      <c r="G26" s="79">
        <v>2</v>
      </c>
      <c r="H26" s="76"/>
      <c r="I26" s="76">
        <f t="shared" si="4"/>
        <v>42</v>
      </c>
      <c r="J26" s="80">
        <f t="shared" si="4"/>
        <v>11</v>
      </c>
      <c r="K26" s="41"/>
      <c r="L26" s="121"/>
      <c r="M26" s="121"/>
      <c r="N26" s="121"/>
      <c r="O26" s="121"/>
      <c r="P26" s="121">
        <v>2</v>
      </c>
      <c r="Q26" s="129"/>
      <c r="R26" s="92">
        <f t="shared" si="7"/>
        <v>2</v>
      </c>
      <c r="S26" s="133">
        <f t="shared" si="7"/>
        <v>0</v>
      </c>
      <c r="T26" s="41"/>
      <c r="U26" s="116">
        <f t="shared" si="5"/>
        <v>48</v>
      </c>
      <c r="V26" s="139">
        <f t="shared" si="6"/>
        <v>2</v>
      </c>
      <c r="W26" s="138">
        <f t="shared" si="8"/>
        <v>1019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7</v>
      </c>
      <c r="D27" s="120"/>
      <c r="E27" s="121"/>
      <c r="F27" s="121"/>
      <c r="G27" s="79"/>
      <c r="H27" s="76"/>
      <c r="I27" s="76">
        <f t="shared" si="4"/>
        <v>7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168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63</v>
      </c>
      <c r="D29" s="120"/>
      <c r="E29" s="121"/>
      <c r="F29" s="121"/>
      <c r="G29" s="79"/>
      <c r="H29" s="76"/>
      <c r="I29" s="76">
        <f t="shared" si="4"/>
        <v>63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1512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45</v>
      </c>
      <c r="D31" s="120"/>
      <c r="E31" s="121"/>
      <c r="F31" s="121"/>
      <c r="G31" s="79">
        <v>1</v>
      </c>
      <c r="H31" s="76"/>
      <c r="I31" s="76">
        <f t="shared" si="4"/>
        <v>44</v>
      </c>
      <c r="J31" s="80">
        <f t="shared" si="4"/>
        <v>0</v>
      </c>
      <c r="K31" s="41"/>
      <c r="L31" s="121"/>
      <c r="M31" s="121"/>
      <c r="N31" s="121">
        <v>1</v>
      </c>
      <c r="O31" s="121"/>
      <c r="P31" s="121"/>
      <c r="Q31" s="129"/>
      <c r="R31" s="92">
        <f t="shared" si="7"/>
        <v>1</v>
      </c>
      <c r="S31" s="133">
        <f t="shared" si="7"/>
        <v>0</v>
      </c>
      <c r="T31" s="41"/>
      <c r="U31" s="116">
        <f t="shared" si="5"/>
        <v>24</v>
      </c>
      <c r="V31" s="139">
        <f t="shared" si="6"/>
        <v>1</v>
      </c>
      <c r="W31" s="138">
        <f t="shared" si="8"/>
        <v>1056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76</v>
      </c>
      <c r="D35" s="120">
        <v>5</v>
      </c>
      <c r="E35" s="121"/>
      <c r="F35" s="121"/>
      <c r="G35" s="79">
        <v>1</v>
      </c>
      <c r="H35" s="76"/>
      <c r="I35" s="76">
        <f t="shared" si="4"/>
        <v>75</v>
      </c>
      <c r="J35" s="80">
        <f t="shared" si="4"/>
        <v>5</v>
      </c>
      <c r="K35" s="41"/>
      <c r="L35" s="121"/>
      <c r="M35" s="121"/>
      <c r="N35" s="121"/>
      <c r="O35" s="121"/>
      <c r="P35" s="121">
        <v>1</v>
      </c>
      <c r="Q35" s="129"/>
      <c r="R35" s="92">
        <f t="shared" si="7"/>
        <v>1</v>
      </c>
      <c r="S35" s="133">
        <f t="shared" si="7"/>
        <v>0</v>
      </c>
      <c r="T35" s="41"/>
      <c r="U35" s="116">
        <f t="shared" si="5"/>
        <v>24</v>
      </c>
      <c r="V35" s="139">
        <f t="shared" si="6"/>
        <v>1</v>
      </c>
      <c r="W35" s="138">
        <f t="shared" si="8"/>
        <v>1805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2688</v>
      </c>
      <c r="D38" s="123">
        <v>2</v>
      </c>
      <c r="E38" s="124"/>
      <c r="F38" s="124"/>
      <c r="G38" s="81">
        <v>38</v>
      </c>
      <c r="H38" s="82"/>
      <c r="I38" s="148">
        <f t="shared" si="4"/>
        <v>2650</v>
      </c>
      <c r="J38" s="149">
        <f t="shared" si="4"/>
        <v>2</v>
      </c>
      <c r="K38" s="53"/>
      <c r="L38" s="130"/>
      <c r="M38" s="130"/>
      <c r="N38" s="130">
        <v>23</v>
      </c>
      <c r="O38" s="130"/>
      <c r="P38" s="130">
        <v>15</v>
      </c>
      <c r="Q38" s="131"/>
      <c r="R38" s="106">
        <f t="shared" si="7"/>
        <v>38</v>
      </c>
      <c r="S38" s="134">
        <f t="shared" si="7"/>
        <v>0</v>
      </c>
      <c r="T38" s="53"/>
      <c r="U38" s="140">
        <f>L38*6+N38*6+P38*6</f>
        <v>228</v>
      </c>
      <c r="V38" s="144">
        <f>U38/6</f>
        <v>38</v>
      </c>
      <c r="W38" s="142">
        <f>I38*6+J38</f>
        <v>15902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8</v>
      </c>
      <c r="D39" s="120"/>
      <c r="E39" s="121"/>
      <c r="F39" s="121"/>
      <c r="G39" s="79"/>
      <c r="H39" s="76"/>
      <c r="I39" s="79">
        <f t="shared" si="4"/>
        <v>8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192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403</v>
      </c>
      <c r="D41" s="156"/>
      <c r="E41" s="157"/>
      <c r="F41" s="157"/>
      <c r="G41" s="158">
        <v>2</v>
      </c>
      <c r="H41" s="159"/>
      <c r="I41" s="160">
        <f t="shared" si="4"/>
        <v>401</v>
      </c>
      <c r="J41" s="161">
        <f t="shared" si="4"/>
        <v>0</v>
      </c>
      <c r="K41" s="162"/>
      <c r="L41" s="163"/>
      <c r="M41" s="163"/>
      <c r="N41" s="163"/>
      <c r="O41" s="163"/>
      <c r="P41" s="163">
        <v>2</v>
      </c>
      <c r="Q41" s="164"/>
      <c r="R41" s="165">
        <f t="shared" si="7"/>
        <v>2</v>
      </c>
      <c r="S41" s="166">
        <f t="shared" si="7"/>
        <v>0</v>
      </c>
      <c r="T41" s="162"/>
      <c r="U41" s="167">
        <f t="shared" si="9"/>
        <v>48</v>
      </c>
      <c r="V41" s="168">
        <f t="shared" si="6"/>
        <v>2</v>
      </c>
      <c r="W41" s="168">
        <f t="shared" si="10"/>
        <v>9624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1141</v>
      </c>
      <c r="D42" s="173">
        <v>9</v>
      </c>
      <c r="E42" s="174"/>
      <c r="F42" s="174"/>
      <c r="G42" s="175">
        <v>14</v>
      </c>
      <c r="H42" s="176"/>
      <c r="I42" s="175">
        <f t="shared" si="4"/>
        <v>1127</v>
      </c>
      <c r="J42" s="177">
        <f t="shared" si="4"/>
        <v>9</v>
      </c>
      <c r="K42" s="178"/>
      <c r="L42" s="174">
        <v>5</v>
      </c>
      <c r="M42" s="174"/>
      <c r="N42" s="174">
        <v>4</v>
      </c>
      <c r="O42" s="174"/>
      <c r="P42" s="174">
        <v>5</v>
      </c>
      <c r="Q42" s="179"/>
      <c r="R42" s="180">
        <f t="shared" si="7"/>
        <v>14</v>
      </c>
      <c r="S42" s="181">
        <f t="shared" si="7"/>
        <v>0</v>
      </c>
      <c r="T42" s="178"/>
      <c r="U42" s="182">
        <f>L42*12+N42*12+P42*12</f>
        <v>168</v>
      </c>
      <c r="V42" s="183">
        <f>U42/12</f>
        <v>14</v>
      </c>
      <c r="W42" s="184">
        <f>I42*12+J42</f>
        <v>13533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29133</v>
      </c>
      <c r="D44" s="123">
        <v>2</v>
      </c>
      <c r="E44" s="124">
        <v>5508</v>
      </c>
      <c r="F44" s="124"/>
      <c r="G44" s="81">
        <v>1249</v>
      </c>
      <c r="H44" s="82"/>
      <c r="I44" s="76">
        <f>C44+E44-G44</f>
        <v>33392</v>
      </c>
      <c r="J44" s="186">
        <f t="shared" si="4"/>
        <v>2</v>
      </c>
      <c r="K44" s="53"/>
      <c r="L44" s="130">
        <v>458</v>
      </c>
      <c r="M44" s="130"/>
      <c r="N44" s="130">
        <v>350</v>
      </c>
      <c r="O44" s="130"/>
      <c r="P44" s="130">
        <v>441</v>
      </c>
      <c r="Q44" s="131"/>
      <c r="R44" s="187">
        <f t="shared" si="7"/>
        <v>1249</v>
      </c>
      <c r="S44" s="188">
        <f t="shared" si="7"/>
        <v>0</v>
      </c>
      <c r="T44" s="53"/>
      <c r="U44" s="140">
        <f>L44*6+N44*6+P44*6</f>
        <v>7494</v>
      </c>
      <c r="V44" s="139">
        <f>U44/6</f>
        <v>1249</v>
      </c>
      <c r="W44" s="142">
        <f>I44*6+J44</f>
        <v>200354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2313</v>
      </c>
      <c r="D48" s="151">
        <v>4</v>
      </c>
      <c r="E48" s="130"/>
      <c r="F48" s="130"/>
      <c r="G48" s="152">
        <v>2</v>
      </c>
      <c r="H48" s="148"/>
      <c r="I48" s="148">
        <f t="shared" si="4"/>
        <v>2311</v>
      </c>
      <c r="J48" s="149">
        <f t="shared" si="4"/>
        <v>4</v>
      </c>
      <c r="K48" s="53"/>
      <c r="L48" s="130"/>
      <c r="M48" s="130"/>
      <c r="N48" s="130">
        <v>2</v>
      </c>
      <c r="O48" s="130"/>
      <c r="P48" s="130"/>
      <c r="Q48" s="131"/>
      <c r="R48" s="106">
        <f t="shared" si="7"/>
        <v>2</v>
      </c>
      <c r="S48" s="153">
        <f t="shared" si="7"/>
        <v>0</v>
      </c>
      <c r="T48" s="53"/>
      <c r="U48" s="140">
        <f>L48*6+N48*6+P48*6</f>
        <v>12</v>
      </c>
      <c r="V48" s="144">
        <f>U48/6</f>
        <v>2</v>
      </c>
      <c r="W48" s="142">
        <f>I48*6+J48</f>
        <v>13870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39638</v>
      </c>
      <c r="D60" s="57">
        <f>SUM(D8:D59)</f>
        <v>159</v>
      </c>
      <c r="E60" s="44">
        <f>SUM(E8:E59)</f>
        <v>5508</v>
      </c>
      <c r="F60" s="44"/>
      <c r="G60" s="28">
        <f>SUM(G8:G59)</f>
        <v>1351</v>
      </c>
      <c r="H60" s="59">
        <f>SUM(H8:H59)</f>
        <v>23</v>
      </c>
      <c r="I60" s="59">
        <f>SUM(I8:I59)</f>
        <v>43795</v>
      </c>
      <c r="J60" s="45">
        <f>SUM(J8:J59)</f>
        <v>136</v>
      </c>
      <c r="K60" s="46"/>
      <c r="L60" s="77">
        <f t="shared" ref="L60:S60" si="20">SUM(L8:L59)</f>
        <v>476</v>
      </c>
      <c r="M60" s="77">
        <f t="shared" si="20"/>
        <v>20</v>
      </c>
      <c r="N60" s="77">
        <f t="shared" si="20"/>
        <v>389</v>
      </c>
      <c r="O60" s="77">
        <f t="shared" si="20"/>
        <v>1</v>
      </c>
      <c r="P60" s="77">
        <f t="shared" si="20"/>
        <v>486</v>
      </c>
      <c r="Q60" s="78">
        <f t="shared" si="20"/>
        <v>2</v>
      </c>
      <c r="R60" s="91">
        <f t="shared" si="20"/>
        <v>1351</v>
      </c>
      <c r="S60" s="90">
        <f t="shared" si="20"/>
        <v>23</v>
      </c>
      <c r="T60" s="46"/>
      <c r="U60" s="43">
        <f>SUM(U8:U59)</f>
        <v>9054</v>
      </c>
      <c r="V60" s="111">
        <f>SUM(V8:V59)</f>
        <v>1351</v>
      </c>
      <c r="W60" s="204">
        <f>SUM(W8:W59)</f>
        <v>346726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26" t="s">
        <v>3</v>
      </c>
      <c r="D69" s="227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F2E9-2AB6-4173-BB2F-95F8A5B1F274}">
  <sheetPr>
    <pageSetUpPr fitToPage="1"/>
  </sheetPr>
  <dimension ref="A1:BH90"/>
  <sheetViews>
    <sheetView topLeftCell="A41"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57031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46106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34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42</v>
      </c>
      <c r="D8" s="120">
        <v>21</v>
      </c>
      <c r="E8" s="121"/>
      <c r="F8" s="121"/>
      <c r="G8" s="79">
        <v>1</v>
      </c>
      <c r="H8" s="76"/>
      <c r="I8" s="76">
        <f>C8-G8</f>
        <v>41</v>
      </c>
      <c r="J8" s="80">
        <f t="shared" ref="J8:J12" si="0">D8-H8</f>
        <v>21</v>
      </c>
      <c r="K8" s="41"/>
      <c r="L8" s="121"/>
      <c r="M8" s="121"/>
      <c r="N8" s="121"/>
      <c r="O8" s="121"/>
      <c r="P8" s="121">
        <v>1</v>
      </c>
      <c r="Q8" s="129"/>
      <c r="R8" s="92">
        <f t="shared" ref="R8:S12" si="1">L8+N8+P8</f>
        <v>1</v>
      </c>
      <c r="S8" s="133">
        <f t="shared" si="1"/>
        <v>0</v>
      </c>
      <c r="T8" s="41"/>
      <c r="U8" s="116">
        <f>L8*24+N8*24+P8*24</f>
        <v>24</v>
      </c>
      <c r="V8" s="139">
        <f>U8/24</f>
        <v>1</v>
      </c>
      <c r="W8" s="138">
        <f t="shared" ref="W8:W12" si="2">I8*24+J8</f>
        <v>1005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87</v>
      </c>
      <c r="D9" s="123"/>
      <c r="E9" s="124"/>
      <c r="F9" s="124"/>
      <c r="G9" s="81"/>
      <c r="H9" s="82"/>
      <c r="I9" s="81">
        <f t="shared" ref="I9:J59" si="4">C9-G9</f>
        <v>87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2088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5</v>
      </c>
      <c r="D10" s="120"/>
      <c r="E10" s="121"/>
      <c r="F10" s="121"/>
      <c r="G10" s="79"/>
      <c r="H10" s="76"/>
      <c r="I10" s="76">
        <f t="shared" si="4"/>
        <v>5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120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</v>
      </c>
      <c r="D12" s="120"/>
      <c r="E12" s="121"/>
      <c r="F12" s="121"/>
      <c r="G12" s="79"/>
      <c r="H12" s="76"/>
      <c r="I12" s="76">
        <f t="shared" si="4"/>
        <v>1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3440</v>
      </c>
      <c r="D13" s="123">
        <v>15</v>
      </c>
      <c r="E13" s="124"/>
      <c r="F13" s="124"/>
      <c r="G13" s="81">
        <v>27</v>
      </c>
      <c r="H13" s="82">
        <v>30</v>
      </c>
      <c r="I13" s="85">
        <f t="shared" si="4"/>
        <v>3413</v>
      </c>
      <c r="J13" s="103">
        <f>D13-H13</f>
        <v>-15</v>
      </c>
      <c r="K13" s="55"/>
      <c r="L13" s="130"/>
      <c r="M13" s="130"/>
      <c r="N13" s="130">
        <v>10</v>
      </c>
      <c r="O13" s="130">
        <v>20</v>
      </c>
      <c r="P13" s="130">
        <v>17</v>
      </c>
      <c r="Q13" s="131">
        <v>10</v>
      </c>
      <c r="R13" s="106">
        <f>L13+N13+P13</f>
        <v>27</v>
      </c>
      <c r="S13" s="134">
        <f>M13+O13+Q13</f>
        <v>30</v>
      </c>
      <c r="T13" s="55"/>
      <c r="U13" s="140">
        <f>L13*24+N13*24+P13*24</f>
        <v>648</v>
      </c>
      <c r="V13" s="144">
        <f t="shared" si="6"/>
        <v>27</v>
      </c>
      <c r="W13" s="142">
        <f>I13*24+J13</f>
        <v>81897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2</v>
      </c>
      <c r="D14" s="120">
        <v>16</v>
      </c>
      <c r="E14" s="121"/>
      <c r="F14" s="121"/>
      <c r="G14" s="79"/>
      <c r="H14" s="76"/>
      <c r="I14" s="102">
        <f t="shared" si="4"/>
        <v>2</v>
      </c>
      <c r="J14" s="104">
        <f t="shared" si="4"/>
        <v>16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3</v>
      </c>
      <c r="D18" s="120"/>
      <c r="E18" s="121"/>
      <c r="F18" s="121"/>
      <c r="G18" s="79"/>
      <c r="H18" s="76"/>
      <c r="I18" s="76">
        <f t="shared" si="4"/>
        <v>3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2</v>
      </c>
      <c r="D20" s="120">
        <v>20</v>
      </c>
      <c r="E20" s="121"/>
      <c r="F20" s="121"/>
      <c r="G20" s="79"/>
      <c r="H20" s="76"/>
      <c r="I20" s="76">
        <f t="shared" si="4"/>
        <v>2</v>
      </c>
      <c r="J20" s="80">
        <f t="shared" si="4"/>
        <v>20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5</v>
      </c>
      <c r="D21" s="120">
        <v>16</v>
      </c>
      <c r="E21" s="121"/>
      <c r="F21" s="121"/>
      <c r="G21" s="79"/>
      <c r="H21" s="76"/>
      <c r="I21" s="76">
        <f t="shared" si="4"/>
        <v>5</v>
      </c>
      <c r="J21" s="80">
        <f t="shared" si="4"/>
        <v>16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3</v>
      </c>
      <c r="D22" s="120"/>
      <c r="E22" s="121"/>
      <c r="F22" s="121"/>
      <c r="G22" s="79"/>
      <c r="H22" s="76"/>
      <c r="I22" s="76">
        <f t="shared" si="4"/>
        <v>3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>
        <v>20</v>
      </c>
      <c r="E23" s="121"/>
      <c r="F23" s="121"/>
      <c r="G23" s="79"/>
      <c r="H23" s="76"/>
      <c r="I23" s="76">
        <f t="shared" si="4"/>
        <v>0</v>
      </c>
      <c r="J23" s="80">
        <f t="shared" si="4"/>
        <v>20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42</v>
      </c>
      <c r="D26" s="120">
        <v>11</v>
      </c>
      <c r="E26" s="121"/>
      <c r="F26" s="121"/>
      <c r="G26" s="79"/>
      <c r="H26" s="76"/>
      <c r="I26" s="76">
        <f t="shared" si="4"/>
        <v>42</v>
      </c>
      <c r="J26" s="80">
        <f t="shared" si="4"/>
        <v>11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1019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7</v>
      </c>
      <c r="D27" s="120"/>
      <c r="E27" s="121"/>
      <c r="F27" s="121"/>
      <c r="G27" s="79"/>
      <c r="H27" s="76"/>
      <c r="I27" s="76">
        <f t="shared" si="4"/>
        <v>7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168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63</v>
      </c>
      <c r="D29" s="120"/>
      <c r="E29" s="121"/>
      <c r="F29" s="121"/>
      <c r="G29" s="79">
        <v>2</v>
      </c>
      <c r="H29" s="76"/>
      <c r="I29" s="76">
        <f t="shared" si="4"/>
        <v>61</v>
      </c>
      <c r="J29" s="80">
        <f t="shared" si="4"/>
        <v>0</v>
      </c>
      <c r="K29" s="42"/>
      <c r="L29" s="121"/>
      <c r="M29" s="121"/>
      <c r="N29" s="121"/>
      <c r="O29" s="121"/>
      <c r="P29" s="121">
        <v>2</v>
      </c>
      <c r="Q29" s="129"/>
      <c r="R29" s="92">
        <f t="shared" si="7"/>
        <v>2</v>
      </c>
      <c r="S29" s="133">
        <f t="shared" si="7"/>
        <v>0</v>
      </c>
      <c r="T29" s="42"/>
      <c r="U29" s="116">
        <f t="shared" si="5"/>
        <v>48</v>
      </c>
      <c r="V29" s="139">
        <f t="shared" si="6"/>
        <v>2</v>
      </c>
      <c r="W29" s="138">
        <f t="shared" si="8"/>
        <v>1464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44</v>
      </c>
      <c r="D31" s="120"/>
      <c r="E31" s="121"/>
      <c r="F31" s="121"/>
      <c r="G31" s="79">
        <v>1</v>
      </c>
      <c r="H31" s="76"/>
      <c r="I31" s="76">
        <f t="shared" si="4"/>
        <v>43</v>
      </c>
      <c r="J31" s="80">
        <f t="shared" si="4"/>
        <v>0</v>
      </c>
      <c r="K31" s="41"/>
      <c r="L31" s="121"/>
      <c r="M31" s="121"/>
      <c r="N31" s="121"/>
      <c r="O31" s="121"/>
      <c r="P31" s="121">
        <v>1</v>
      </c>
      <c r="Q31" s="129"/>
      <c r="R31" s="92">
        <f t="shared" si="7"/>
        <v>1</v>
      </c>
      <c r="S31" s="133">
        <f t="shared" si="7"/>
        <v>0</v>
      </c>
      <c r="T31" s="41"/>
      <c r="U31" s="116">
        <f t="shared" si="5"/>
        <v>24</v>
      </c>
      <c r="V31" s="139">
        <f t="shared" si="6"/>
        <v>1</v>
      </c>
      <c r="W31" s="138">
        <f t="shared" si="8"/>
        <v>1032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75</v>
      </c>
      <c r="D35" s="120">
        <v>5</v>
      </c>
      <c r="E35" s="121"/>
      <c r="F35" s="121"/>
      <c r="G35" s="79"/>
      <c r="H35" s="76"/>
      <c r="I35" s="76">
        <f t="shared" si="4"/>
        <v>75</v>
      </c>
      <c r="J35" s="80">
        <f t="shared" si="4"/>
        <v>5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1805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2650</v>
      </c>
      <c r="D38" s="123">
        <v>2</v>
      </c>
      <c r="E38" s="124"/>
      <c r="F38" s="124"/>
      <c r="G38" s="81">
        <v>75</v>
      </c>
      <c r="H38" s="82"/>
      <c r="I38" s="148">
        <f t="shared" si="4"/>
        <v>2575</v>
      </c>
      <c r="J38" s="149">
        <f t="shared" si="4"/>
        <v>2</v>
      </c>
      <c r="K38" s="53"/>
      <c r="L38" s="130"/>
      <c r="M38" s="130"/>
      <c r="N38" s="130"/>
      <c r="O38" s="130"/>
      <c r="P38" s="130">
        <v>75</v>
      </c>
      <c r="Q38" s="131"/>
      <c r="R38" s="106">
        <f t="shared" si="7"/>
        <v>75</v>
      </c>
      <c r="S38" s="134">
        <f t="shared" si="7"/>
        <v>0</v>
      </c>
      <c r="T38" s="53"/>
      <c r="U38" s="140">
        <f>L38*6+N38*6+P38*6</f>
        <v>450</v>
      </c>
      <c r="V38" s="144">
        <f>U38/6</f>
        <v>75</v>
      </c>
      <c r="W38" s="142">
        <f>I38*6+J38</f>
        <v>15452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8</v>
      </c>
      <c r="D39" s="120"/>
      <c r="E39" s="121"/>
      <c r="F39" s="121"/>
      <c r="G39" s="79"/>
      <c r="H39" s="76"/>
      <c r="I39" s="79">
        <f t="shared" si="4"/>
        <v>8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192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401</v>
      </c>
      <c r="D41" s="156"/>
      <c r="E41" s="157"/>
      <c r="F41" s="157"/>
      <c r="G41" s="158"/>
      <c r="H41" s="159"/>
      <c r="I41" s="160">
        <f t="shared" si="4"/>
        <v>401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9624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1127</v>
      </c>
      <c r="D42" s="173">
        <v>9</v>
      </c>
      <c r="E42" s="174"/>
      <c r="F42" s="174"/>
      <c r="G42" s="175">
        <v>5</v>
      </c>
      <c r="H42" s="176"/>
      <c r="I42" s="175">
        <f t="shared" si="4"/>
        <v>1122</v>
      </c>
      <c r="J42" s="177">
        <f t="shared" si="4"/>
        <v>9</v>
      </c>
      <c r="K42" s="178"/>
      <c r="L42" s="174"/>
      <c r="M42" s="174"/>
      <c r="N42" s="174">
        <v>3</v>
      </c>
      <c r="O42" s="174"/>
      <c r="P42" s="174">
        <v>2</v>
      </c>
      <c r="Q42" s="179"/>
      <c r="R42" s="180">
        <f t="shared" si="7"/>
        <v>5</v>
      </c>
      <c r="S42" s="181">
        <f t="shared" si="7"/>
        <v>0</v>
      </c>
      <c r="T42" s="178"/>
      <c r="U42" s="182">
        <f>L42*12+N42*12+P42*12</f>
        <v>60</v>
      </c>
      <c r="V42" s="183">
        <f>U42/12</f>
        <v>5</v>
      </c>
      <c r="W42" s="184">
        <f>I42*12+J42</f>
        <v>13473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33392</v>
      </c>
      <c r="D44" s="123">
        <v>1</v>
      </c>
      <c r="E44" s="124"/>
      <c r="F44" s="124"/>
      <c r="G44" s="81">
        <v>777</v>
      </c>
      <c r="H44" s="82"/>
      <c r="I44" s="76">
        <f>C44+E44-G44</f>
        <v>32615</v>
      </c>
      <c r="J44" s="186">
        <f t="shared" si="4"/>
        <v>1</v>
      </c>
      <c r="K44" s="53"/>
      <c r="L44" s="130"/>
      <c r="M44" s="130"/>
      <c r="N44" s="130">
        <v>298</v>
      </c>
      <c r="O44" s="130"/>
      <c r="P44" s="130">
        <v>479</v>
      </c>
      <c r="Q44" s="131"/>
      <c r="R44" s="187">
        <f t="shared" si="7"/>
        <v>777</v>
      </c>
      <c r="S44" s="188">
        <f t="shared" si="7"/>
        <v>0</v>
      </c>
      <c r="T44" s="53"/>
      <c r="U44" s="140">
        <f>L44*6+N44*6+P44*6</f>
        <v>4662</v>
      </c>
      <c r="V44" s="139">
        <f>U44/6</f>
        <v>777</v>
      </c>
      <c r="W44" s="142">
        <f>I44*6+J44</f>
        <v>195691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2311</v>
      </c>
      <c r="D48" s="151">
        <v>4</v>
      </c>
      <c r="E48" s="130"/>
      <c r="F48" s="130"/>
      <c r="G48" s="152"/>
      <c r="H48" s="148"/>
      <c r="I48" s="148">
        <f t="shared" si="4"/>
        <v>2311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13870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43794</v>
      </c>
      <c r="D60" s="57">
        <f>SUM(D8:D59)</f>
        <v>159</v>
      </c>
      <c r="E60" s="44">
        <f>SUM(E8:E59)</f>
        <v>0</v>
      </c>
      <c r="F60" s="44"/>
      <c r="G60" s="28">
        <f>SUM(G8:G59)</f>
        <v>888</v>
      </c>
      <c r="H60" s="59">
        <f>SUM(H8:H59)</f>
        <v>30</v>
      </c>
      <c r="I60" s="59">
        <f>SUM(I8:I59)</f>
        <v>42906</v>
      </c>
      <c r="J60" s="45">
        <f>SUM(J8:J59)</f>
        <v>129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311</v>
      </c>
      <c r="O60" s="77">
        <f t="shared" si="20"/>
        <v>20</v>
      </c>
      <c r="P60" s="77">
        <f t="shared" si="20"/>
        <v>577</v>
      </c>
      <c r="Q60" s="78">
        <f t="shared" si="20"/>
        <v>10</v>
      </c>
      <c r="R60" s="91">
        <f t="shared" si="20"/>
        <v>888</v>
      </c>
      <c r="S60" s="90">
        <f t="shared" si="20"/>
        <v>30</v>
      </c>
      <c r="T60" s="46"/>
      <c r="U60" s="43">
        <f>SUM(U8:U59)</f>
        <v>5916</v>
      </c>
      <c r="V60" s="111">
        <f>SUM(V8:V59)</f>
        <v>888</v>
      </c>
      <c r="W60" s="204">
        <f>SUM(W8:W59)</f>
        <v>340779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32" t="s">
        <v>3</v>
      </c>
      <c r="D69" s="233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CC12-B63E-454C-B84A-5B38B2C1C84F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46107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34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>
        <v>41</v>
      </c>
      <c r="D8" s="120">
        <v>21</v>
      </c>
      <c r="E8" s="121"/>
      <c r="F8" s="121"/>
      <c r="G8" s="79"/>
      <c r="H8" s="76"/>
      <c r="I8" s="76">
        <f>C8-G8</f>
        <v>41</v>
      </c>
      <c r="J8" s="80">
        <f t="shared" ref="J8:J12" si="0">D8-H8</f>
        <v>21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1005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>
        <v>87</v>
      </c>
      <c r="D9" s="123"/>
      <c r="E9" s="124"/>
      <c r="F9" s="124"/>
      <c r="G9" s="81"/>
      <c r="H9" s="82"/>
      <c r="I9" s="81">
        <f t="shared" ref="I9:J59" si="4">C9-G9</f>
        <v>87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2088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>
        <v>5</v>
      </c>
      <c r="D10" s="120"/>
      <c r="E10" s="121"/>
      <c r="F10" s="121"/>
      <c r="G10" s="79">
        <v>2</v>
      </c>
      <c r="H10" s="76"/>
      <c r="I10" s="76">
        <f t="shared" si="4"/>
        <v>3</v>
      </c>
      <c r="J10" s="104">
        <f t="shared" si="0"/>
        <v>0</v>
      </c>
      <c r="K10" s="41"/>
      <c r="L10" s="121">
        <v>2</v>
      </c>
      <c r="M10" s="121"/>
      <c r="N10" s="121"/>
      <c r="O10" s="121"/>
      <c r="P10" s="121"/>
      <c r="Q10" s="129"/>
      <c r="R10" s="108">
        <f t="shared" si="1"/>
        <v>2</v>
      </c>
      <c r="S10" s="135">
        <f t="shared" si="1"/>
        <v>0</v>
      </c>
      <c r="T10" s="41"/>
      <c r="U10" s="116">
        <f>L10*24+N10*24+P10*24</f>
        <v>48</v>
      </c>
      <c r="V10" s="143">
        <f>U10/24</f>
        <v>2</v>
      </c>
      <c r="W10" s="138">
        <f t="shared" si="2"/>
        <v>72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>
        <v>1</v>
      </c>
      <c r="D12" s="120"/>
      <c r="E12" s="121"/>
      <c r="F12" s="121"/>
      <c r="G12" s="79"/>
      <c r="H12" s="76"/>
      <c r="I12" s="76">
        <f t="shared" si="4"/>
        <v>1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24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>
        <v>3412</v>
      </c>
      <c r="D13" s="123">
        <v>9</v>
      </c>
      <c r="E13" s="124"/>
      <c r="F13" s="124"/>
      <c r="G13" s="81">
        <v>23</v>
      </c>
      <c r="H13" s="82">
        <v>25</v>
      </c>
      <c r="I13" s="85">
        <f t="shared" si="4"/>
        <v>3389</v>
      </c>
      <c r="J13" s="103">
        <f>D13-H13</f>
        <v>-16</v>
      </c>
      <c r="K13" s="55"/>
      <c r="L13" s="130">
        <v>16</v>
      </c>
      <c r="M13" s="130">
        <v>5</v>
      </c>
      <c r="N13" s="130">
        <v>7</v>
      </c>
      <c r="O13" s="130">
        <v>20</v>
      </c>
      <c r="P13" s="130"/>
      <c r="Q13" s="131"/>
      <c r="R13" s="106">
        <f>L13+N13+P13</f>
        <v>23</v>
      </c>
      <c r="S13" s="134">
        <f>M13+O13+Q13</f>
        <v>25</v>
      </c>
      <c r="T13" s="55"/>
      <c r="U13" s="140">
        <f>L13*24+N13*24+P13*24</f>
        <v>552</v>
      </c>
      <c r="V13" s="144">
        <f t="shared" si="6"/>
        <v>23</v>
      </c>
      <c r="W13" s="142">
        <f>I13*24+J13</f>
        <v>81320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>
        <v>2</v>
      </c>
      <c r="D14" s="120">
        <v>16</v>
      </c>
      <c r="E14" s="121"/>
      <c r="F14" s="121"/>
      <c r="G14" s="79"/>
      <c r="H14" s="76"/>
      <c r="I14" s="102">
        <f t="shared" si="4"/>
        <v>2</v>
      </c>
      <c r="J14" s="104">
        <f t="shared" si="4"/>
        <v>16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>
        <v>3</v>
      </c>
      <c r="D18" s="120"/>
      <c r="E18" s="121"/>
      <c r="F18" s="121"/>
      <c r="G18" s="79"/>
      <c r="H18" s="76"/>
      <c r="I18" s="76">
        <f t="shared" si="4"/>
        <v>3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>
        <v>2</v>
      </c>
      <c r="D20" s="120">
        <v>20</v>
      </c>
      <c r="E20" s="121"/>
      <c r="F20" s="121"/>
      <c r="G20" s="79"/>
      <c r="H20" s="76"/>
      <c r="I20" s="76">
        <f t="shared" si="4"/>
        <v>2</v>
      </c>
      <c r="J20" s="80">
        <f t="shared" si="4"/>
        <v>20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>
        <v>5</v>
      </c>
      <c r="D21" s="120">
        <v>16</v>
      </c>
      <c r="E21" s="121"/>
      <c r="F21" s="121"/>
      <c r="G21" s="79"/>
      <c r="H21" s="76"/>
      <c r="I21" s="76">
        <f t="shared" si="4"/>
        <v>5</v>
      </c>
      <c r="J21" s="80">
        <f t="shared" si="4"/>
        <v>16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>
        <v>3</v>
      </c>
      <c r="D22" s="120"/>
      <c r="E22" s="121"/>
      <c r="F22" s="121"/>
      <c r="G22" s="79"/>
      <c r="H22" s="76"/>
      <c r="I22" s="76">
        <f t="shared" si="4"/>
        <v>3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>
        <v>20</v>
      </c>
      <c r="E23" s="121"/>
      <c r="F23" s="121"/>
      <c r="G23" s="79"/>
      <c r="H23" s="76"/>
      <c r="I23" s="76">
        <f t="shared" si="4"/>
        <v>0</v>
      </c>
      <c r="J23" s="80">
        <f t="shared" si="4"/>
        <v>20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>
        <v>38</v>
      </c>
      <c r="D24" s="120">
        <v>19</v>
      </c>
      <c r="E24" s="121"/>
      <c r="F24" s="121"/>
      <c r="G24" s="79"/>
      <c r="H24" s="76"/>
      <c r="I24" s="76">
        <f t="shared" si="4"/>
        <v>38</v>
      </c>
      <c r="J24" s="80">
        <f t="shared" si="4"/>
        <v>19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931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>
        <v>6</v>
      </c>
      <c r="D25" s="120"/>
      <c r="E25" s="121"/>
      <c r="F25" s="121"/>
      <c r="G25" s="79"/>
      <c r="H25" s="76"/>
      <c r="I25" s="76">
        <f t="shared" si="4"/>
        <v>6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144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>
        <v>42</v>
      </c>
      <c r="D26" s="120">
        <v>11</v>
      </c>
      <c r="E26" s="121"/>
      <c r="F26" s="121"/>
      <c r="G26" s="79"/>
      <c r="H26" s="76">
        <v>12</v>
      </c>
      <c r="I26" s="76">
        <f t="shared" si="4"/>
        <v>42</v>
      </c>
      <c r="J26" s="80">
        <f t="shared" si="4"/>
        <v>-1</v>
      </c>
      <c r="K26" s="41"/>
      <c r="L26" s="121"/>
      <c r="M26" s="121"/>
      <c r="N26" s="121"/>
      <c r="O26" s="121">
        <v>12</v>
      </c>
      <c r="P26" s="121"/>
      <c r="Q26" s="129"/>
      <c r="R26" s="92">
        <f t="shared" si="7"/>
        <v>0</v>
      </c>
      <c r="S26" s="133">
        <f t="shared" si="7"/>
        <v>12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1007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>
        <v>7</v>
      </c>
      <c r="D27" s="120"/>
      <c r="E27" s="121"/>
      <c r="F27" s="121"/>
      <c r="G27" s="79"/>
      <c r="H27" s="76"/>
      <c r="I27" s="76">
        <f t="shared" si="4"/>
        <v>7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168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>
        <v>61</v>
      </c>
      <c r="D29" s="120"/>
      <c r="E29" s="121"/>
      <c r="F29" s="121"/>
      <c r="G29" s="79">
        <v>3</v>
      </c>
      <c r="H29" s="76">
        <v>12</v>
      </c>
      <c r="I29" s="76">
        <f t="shared" si="4"/>
        <v>58</v>
      </c>
      <c r="J29" s="80">
        <f t="shared" si="4"/>
        <v>-12</v>
      </c>
      <c r="K29" s="42"/>
      <c r="L29" s="121">
        <v>2</v>
      </c>
      <c r="M29" s="121"/>
      <c r="N29" s="121">
        <v>1</v>
      </c>
      <c r="O29" s="121">
        <v>12</v>
      </c>
      <c r="P29" s="121"/>
      <c r="Q29" s="129"/>
      <c r="R29" s="92">
        <f t="shared" si="7"/>
        <v>3</v>
      </c>
      <c r="S29" s="133">
        <f t="shared" si="7"/>
        <v>12</v>
      </c>
      <c r="T29" s="42"/>
      <c r="U29" s="116">
        <f t="shared" si="5"/>
        <v>72</v>
      </c>
      <c r="V29" s="139">
        <f t="shared" si="6"/>
        <v>3</v>
      </c>
      <c r="W29" s="138">
        <f t="shared" si="8"/>
        <v>1380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>
        <v>43</v>
      </c>
      <c r="D31" s="120"/>
      <c r="E31" s="121"/>
      <c r="F31" s="121"/>
      <c r="G31" s="79"/>
      <c r="H31" s="76"/>
      <c r="I31" s="76">
        <f t="shared" si="4"/>
        <v>43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1032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>
        <v>75</v>
      </c>
      <c r="D35" s="120">
        <v>5</v>
      </c>
      <c r="E35" s="121"/>
      <c r="F35" s="121"/>
      <c r="G35" s="79">
        <v>11</v>
      </c>
      <c r="H35" s="76"/>
      <c r="I35" s="76">
        <f t="shared" si="4"/>
        <v>64</v>
      </c>
      <c r="J35" s="80">
        <f t="shared" si="4"/>
        <v>5</v>
      </c>
      <c r="K35" s="41"/>
      <c r="L35" s="121">
        <v>11</v>
      </c>
      <c r="M35" s="121"/>
      <c r="N35" s="121"/>
      <c r="O35" s="121"/>
      <c r="P35" s="121"/>
      <c r="Q35" s="129"/>
      <c r="R35" s="92">
        <f t="shared" si="7"/>
        <v>11</v>
      </c>
      <c r="S35" s="133">
        <f t="shared" si="7"/>
        <v>0</v>
      </c>
      <c r="T35" s="41"/>
      <c r="U35" s="116">
        <f t="shared" si="5"/>
        <v>264</v>
      </c>
      <c r="V35" s="139">
        <f t="shared" si="6"/>
        <v>11</v>
      </c>
      <c r="W35" s="138">
        <f t="shared" si="8"/>
        <v>1541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>
        <v>2575</v>
      </c>
      <c r="D38" s="123">
        <v>2</v>
      </c>
      <c r="E38" s="124"/>
      <c r="F38" s="124"/>
      <c r="G38" s="81">
        <v>25</v>
      </c>
      <c r="H38" s="82"/>
      <c r="I38" s="148">
        <f t="shared" si="4"/>
        <v>2550</v>
      </c>
      <c r="J38" s="149">
        <f t="shared" si="4"/>
        <v>2</v>
      </c>
      <c r="K38" s="53"/>
      <c r="L38" s="130">
        <v>6</v>
      </c>
      <c r="M38" s="130"/>
      <c r="N38" s="130">
        <v>19</v>
      </c>
      <c r="O38" s="130"/>
      <c r="P38" s="130"/>
      <c r="Q38" s="131"/>
      <c r="R38" s="106">
        <f t="shared" si="7"/>
        <v>25</v>
      </c>
      <c r="S38" s="134">
        <f t="shared" si="7"/>
        <v>0</v>
      </c>
      <c r="T38" s="53"/>
      <c r="U38" s="140">
        <f>L38*6+N38*6+P38*6</f>
        <v>150</v>
      </c>
      <c r="V38" s="144">
        <f>U38/6</f>
        <v>25</v>
      </c>
      <c r="W38" s="142">
        <f>I38*6+J38</f>
        <v>15302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>
        <v>8</v>
      </c>
      <c r="D39" s="120"/>
      <c r="E39" s="121"/>
      <c r="F39" s="121"/>
      <c r="G39" s="79"/>
      <c r="H39" s="76"/>
      <c r="I39" s="79">
        <f t="shared" si="4"/>
        <v>8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192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>
        <v>401</v>
      </c>
      <c r="D41" s="156"/>
      <c r="E41" s="157"/>
      <c r="F41" s="157"/>
      <c r="G41" s="158"/>
      <c r="H41" s="159"/>
      <c r="I41" s="160">
        <f t="shared" si="4"/>
        <v>401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9624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>
        <v>1122</v>
      </c>
      <c r="D42" s="173">
        <v>9</v>
      </c>
      <c r="E42" s="174"/>
      <c r="F42" s="174"/>
      <c r="G42" s="175">
        <v>44</v>
      </c>
      <c r="H42" s="176"/>
      <c r="I42" s="175">
        <f t="shared" si="4"/>
        <v>1078</v>
      </c>
      <c r="J42" s="177">
        <f t="shared" si="4"/>
        <v>9</v>
      </c>
      <c r="K42" s="178"/>
      <c r="L42" s="174">
        <v>40</v>
      </c>
      <c r="M42" s="174"/>
      <c r="N42" s="174">
        <v>4</v>
      </c>
      <c r="O42" s="174"/>
      <c r="P42" s="174"/>
      <c r="Q42" s="179"/>
      <c r="R42" s="180">
        <f t="shared" si="7"/>
        <v>44</v>
      </c>
      <c r="S42" s="181">
        <f t="shared" si="7"/>
        <v>0</v>
      </c>
      <c r="T42" s="178"/>
      <c r="U42" s="182">
        <f>L42*12+N42*12+P42*12</f>
        <v>528</v>
      </c>
      <c r="V42" s="183">
        <f>U42/12</f>
        <v>44</v>
      </c>
      <c r="W42" s="184">
        <f>I42*12+J42</f>
        <v>12945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>
        <v>32615</v>
      </c>
      <c r="D44" s="123">
        <v>1</v>
      </c>
      <c r="E44" s="124">
        <v>1836</v>
      </c>
      <c r="F44" s="124"/>
      <c r="G44" s="81">
        <v>815</v>
      </c>
      <c r="H44" s="82"/>
      <c r="I44" s="76">
        <f>C44+E44-G44</f>
        <v>33636</v>
      </c>
      <c r="J44" s="186">
        <f t="shared" si="4"/>
        <v>1</v>
      </c>
      <c r="K44" s="53"/>
      <c r="L44" s="130">
        <v>508</v>
      </c>
      <c r="M44" s="130"/>
      <c r="N44" s="130">
        <v>307</v>
      </c>
      <c r="O44" s="130"/>
      <c r="P44" s="130"/>
      <c r="Q44" s="131"/>
      <c r="R44" s="187">
        <f t="shared" si="7"/>
        <v>815</v>
      </c>
      <c r="S44" s="188">
        <f t="shared" si="7"/>
        <v>0</v>
      </c>
      <c r="T44" s="53"/>
      <c r="U44" s="140">
        <f>L44*6+N44*6+P44*6</f>
        <v>4890</v>
      </c>
      <c r="V44" s="139">
        <f>U44/6</f>
        <v>815</v>
      </c>
      <c r="W44" s="142">
        <f>I44*6+J44</f>
        <v>201817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>
        <v>2311</v>
      </c>
      <c r="D48" s="151">
        <v>4</v>
      </c>
      <c r="E48" s="130"/>
      <c r="F48" s="130"/>
      <c r="G48" s="152"/>
      <c r="H48" s="148"/>
      <c r="I48" s="148">
        <f t="shared" si="4"/>
        <v>2311</v>
      </c>
      <c r="J48" s="149">
        <f t="shared" si="4"/>
        <v>4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13870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>
        <v>1</v>
      </c>
      <c r="D49" s="120"/>
      <c r="E49" s="121"/>
      <c r="F49" s="121"/>
      <c r="G49" s="79"/>
      <c r="H49" s="76"/>
      <c r="I49" s="76">
        <f t="shared" si="4"/>
        <v>1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>
        <v>34</v>
      </c>
      <c r="D52" s="151"/>
      <c r="E52" s="130"/>
      <c r="F52" s="130"/>
      <c r="G52" s="152"/>
      <c r="H52" s="148"/>
      <c r="I52" s="148">
        <f t="shared" si="4"/>
        <v>34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204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>
        <v>5</v>
      </c>
      <c r="D54" s="120"/>
      <c r="E54" s="121"/>
      <c r="F54" s="121"/>
      <c r="G54" s="79"/>
      <c r="H54" s="76"/>
      <c r="I54" s="76">
        <f t="shared" si="4"/>
        <v>5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120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42905</v>
      </c>
      <c r="D60" s="57">
        <f>SUM(D8:D59)</f>
        <v>153</v>
      </c>
      <c r="E60" s="44">
        <f>SUM(E8:E59)</f>
        <v>1836</v>
      </c>
      <c r="F60" s="44"/>
      <c r="G60" s="28">
        <f>SUM(G8:G59)</f>
        <v>923</v>
      </c>
      <c r="H60" s="59">
        <f>SUM(H8:H59)</f>
        <v>49</v>
      </c>
      <c r="I60" s="59">
        <f>SUM(I8:I59)</f>
        <v>43818</v>
      </c>
      <c r="J60" s="45">
        <f>SUM(J8:J59)</f>
        <v>104</v>
      </c>
      <c r="K60" s="46"/>
      <c r="L60" s="77">
        <f t="shared" ref="L60:S60" si="20">SUM(L8:L59)</f>
        <v>585</v>
      </c>
      <c r="M60" s="77">
        <f t="shared" si="20"/>
        <v>5</v>
      </c>
      <c r="N60" s="77">
        <f t="shared" si="20"/>
        <v>338</v>
      </c>
      <c r="O60" s="77">
        <f t="shared" si="20"/>
        <v>44</v>
      </c>
      <c r="P60" s="77">
        <f t="shared" si="20"/>
        <v>0</v>
      </c>
      <c r="Q60" s="78">
        <f t="shared" si="20"/>
        <v>0</v>
      </c>
      <c r="R60" s="91">
        <f t="shared" si="20"/>
        <v>923</v>
      </c>
      <c r="S60" s="90">
        <f t="shared" si="20"/>
        <v>49</v>
      </c>
      <c r="T60" s="46"/>
      <c r="U60" s="43">
        <f>SUM(U8:U59)</f>
        <v>6504</v>
      </c>
      <c r="V60" s="111">
        <f>SUM(V8:V59)</f>
        <v>923</v>
      </c>
      <c r="W60" s="204">
        <f>SUM(W8:W59)</f>
        <v>345242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32" t="s">
        <v>3</v>
      </c>
      <c r="D69" s="233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66BE-6FF2-4A61-9DA7-3C46234AEFFA}">
  <sheetPr>
    <pageSetUpPr fitToPage="1"/>
  </sheetPr>
  <dimension ref="A1:BH90"/>
  <sheetViews>
    <sheetView tabSelected="1"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46108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37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/>
      <c r="D9" s="123"/>
      <c r="E9" s="124"/>
      <c r="F9" s="124"/>
      <c r="G9" s="81"/>
      <c r="H9" s="82"/>
      <c r="I9" s="81">
        <f t="shared" ref="I9:J59" si="4">C9-G9</f>
        <v>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4"/>
        <v>0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4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/>
      <c r="D13" s="123"/>
      <c r="E13" s="124"/>
      <c r="F13" s="124"/>
      <c r="G13" s="81"/>
      <c r="H13" s="82"/>
      <c r="I13" s="85">
        <f t="shared" si="4"/>
        <v>0</v>
      </c>
      <c r="J13" s="103">
        <f>D13-H13</f>
        <v>0</v>
      </c>
      <c r="K13" s="55"/>
      <c r="L13" s="130"/>
      <c r="M13" s="130"/>
      <c r="N13" s="130"/>
      <c r="O13" s="130"/>
      <c r="P13" s="130"/>
      <c r="Q13" s="131"/>
      <c r="R13" s="106">
        <f>L13+N13+P13</f>
        <v>0</v>
      </c>
      <c r="S13" s="134">
        <f>M13+O13+Q13</f>
        <v>0</v>
      </c>
      <c r="T13" s="55"/>
      <c r="U13" s="140">
        <f>L13*24+N13*24+P13*24</f>
        <v>0</v>
      </c>
      <c r="V13" s="144">
        <f t="shared" si="6"/>
        <v>0</v>
      </c>
      <c r="W13" s="142">
        <f>I13*24+J13</f>
        <v>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/>
      <c r="D14" s="120"/>
      <c r="E14" s="121"/>
      <c r="F14" s="121"/>
      <c r="G14" s="79"/>
      <c r="H14" s="76"/>
      <c r="I14" s="102">
        <f t="shared" si="4"/>
        <v>0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4"/>
        <v>0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4"/>
        <v>0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4"/>
        <v>0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4"/>
        <v>0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4"/>
        <v>0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4"/>
        <v>0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4"/>
        <v>0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4"/>
        <v>0</v>
      </c>
      <c r="J26" s="80">
        <f t="shared" si="4"/>
        <v>0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4"/>
        <v>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4"/>
        <v>0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4"/>
        <v>0</v>
      </c>
      <c r="J35" s="80">
        <f t="shared" si="4"/>
        <v>0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/>
      <c r="D38" s="123"/>
      <c r="E38" s="124"/>
      <c r="F38" s="124"/>
      <c r="G38" s="81"/>
      <c r="H38" s="82"/>
      <c r="I38" s="148">
        <f t="shared" si="4"/>
        <v>0</v>
      </c>
      <c r="J38" s="149">
        <f t="shared" si="4"/>
        <v>0</v>
      </c>
      <c r="K38" s="53"/>
      <c r="L38" s="130"/>
      <c r="M38" s="130"/>
      <c r="N38" s="130"/>
      <c r="O38" s="130"/>
      <c r="P38" s="130"/>
      <c r="Q38" s="131"/>
      <c r="R38" s="106">
        <f t="shared" si="7"/>
        <v>0</v>
      </c>
      <c r="S38" s="134">
        <f t="shared" si="7"/>
        <v>0</v>
      </c>
      <c r="T38" s="53"/>
      <c r="U38" s="140">
        <f>L38*6+N38*6+P38*6</f>
        <v>0</v>
      </c>
      <c r="V38" s="144">
        <f>U38/6</f>
        <v>0</v>
      </c>
      <c r="W38" s="142">
        <f>I38*6+J38</f>
        <v>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/>
      <c r="D39" s="120"/>
      <c r="E39" s="121"/>
      <c r="F39" s="121"/>
      <c r="G39" s="79"/>
      <c r="H39" s="76"/>
      <c r="I39" s="79">
        <f t="shared" si="4"/>
        <v>0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>
        <f t="shared" si="4"/>
        <v>0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>
        <f t="shared" si="4"/>
        <v>0</v>
      </c>
      <c r="J42" s="177">
        <f t="shared" si="4"/>
        <v>0</v>
      </c>
      <c r="K42" s="178"/>
      <c r="L42" s="174"/>
      <c r="M42" s="174"/>
      <c r="N42" s="174"/>
      <c r="O42" s="174"/>
      <c r="P42" s="174"/>
      <c r="Q42" s="179"/>
      <c r="R42" s="180">
        <f t="shared" si="7"/>
        <v>0</v>
      </c>
      <c r="S42" s="181">
        <f t="shared" si="7"/>
        <v>0</v>
      </c>
      <c r="T42" s="178"/>
      <c r="U42" s="182">
        <f>L42*12+N42*12+P42*12</f>
        <v>0</v>
      </c>
      <c r="V42" s="183">
        <f>U42/12</f>
        <v>0</v>
      </c>
      <c r="W42" s="184">
        <f>I42*12+J42</f>
        <v>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>C44+E44-G44</f>
        <v>0</v>
      </c>
      <c r="J44" s="186">
        <f t="shared" si="4"/>
        <v>0</v>
      </c>
      <c r="K44" s="53"/>
      <c r="L44" s="130"/>
      <c r="M44" s="130"/>
      <c r="N44" s="130"/>
      <c r="O44" s="130"/>
      <c r="P44" s="130"/>
      <c r="Q44" s="131"/>
      <c r="R44" s="187">
        <f t="shared" si="7"/>
        <v>0</v>
      </c>
      <c r="S44" s="188">
        <f t="shared" si="7"/>
        <v>0</v>
      </c>
      <c r="T44" s="53"/>
      <c r="U44" s="140">
        <f>L44*6+N44*6+P44*6</f>
        <v>0</v>
      </c>
      <c r="V44" s="139">
        <f>U44/6</f>
        <v>0</v>
      </c>
      <c r="W44" s="142">
        <f>I44*6+J44</f>
        <v>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/>
      <c r="D48" s="151"/>
      <c r="E48" s="130"/>
      <c r="F48" s="130"/>
      <c r="G48" s="152"/>
      <c r="H48" s="148"/>
      <c r="I48" s="148">
        <f t="shared" si="4"/>
        <v>0</v>
      </c>
      <c r="J48" s="149">
        <f t="shared" si="4"/>
        <v>0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/>
      <c r="D49" s="120"/>
      <c r="E49" s="121"/>
      <c r="F49" s="121"/>
      <c r="G49" s="79"/>
      <c r="H49" s="76"/>
      <c r="I49" s="76">
        <f t="shared" si="4"/>
        <v>0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/>
      <c r="D52" s="151"/>
      <c r="E52" s="130"/>
      <c r="F52" s="130"/>
      <c r="G52" s="152"/>
      <c r="H52" s="148"/>
      <c r="I52" s="148">
        <f t="shared" si="4"/>
        <v>0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0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4"/>
        <v>0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7">
        <f>SUM(D8:D59)</f>
        <v>0</v>
      </c>
      <c r="E60" s="44">
        <f>SUM(E8:E59)</f>
        <v>0</v>
      </c>
      <c r="F60" s="44"/>
      <c r="G60" s="28">
        <f>SUM(G8:G59)</f>
        <v>0</v>
      </c>
      <c r="H60" s="59">
        <f>SUM(H8:H59)</f>
        <v>0</v>
      </c>
      <c r="I60" s="59">
        <f>SUM(I8:I59)</f>
        <v>0</v>
      </c>
      <c r="J60" s="45">
        <f>SUM(J8:J59)</f>
        <v>0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0</v>
      </c>
      <c r="Q60" s="78">
        <f t="shared" si="20"/>
        <v>0</v>
      </c>
      <c r="R60" s="91">
        <f t="shared" si="20"/>
        <v>0</v>
      </c>
      <c r="S60" s="90">
        <f t="shared" si="20"/>
        <v>0</v>
      </c>
      <c r="T60" s="46"/>
      <c r="U60" s="43">
        <f>SUM(U8:U59)</f>
        <v>0</v>
      </c>
      <c r="V60" s="111">
        <f>SUM(V8:V59)</f>
        <v>0</v>
      </c>
      <c r="W60" s="204">
        <f>SUM(W8:W59)</f>
        <v>0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35" t="s">
        <v>3</v>
      </c>
      <c r="D69" s="236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11A5-6B73-4C2F-B03C-D4B1C780604A}">
  <sheetPr>
    <pageSetUpPr fitToPage="1"/>
  </sheetPr>
  <dimension ref="A1:BH90"/>
  <sheetViews>
    <sheetView zoomScale="85" zoomScaleNormal="85" zoomScaleSheetLayoutView="85" zoomScalePageLayoutView="80" workbookViewId="0">
      <selection activeCell="P2" sqref="P2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43">
        <v>46109</v>
      </c>
      <c r="Q1" s="244"/>
      <c r="R1" s="244"/>
      <c r="S1" s="244"/>
      <c r="T1" s="244"/>
      <c r="U1" s="244"/>
      <c r="V1" s="244"/>
      <c r="W1" s="244"/>
      <c r="X1" s="24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46" t="s">
        <v>74</v>
      </c>
      <c r="C4" s="247" t="s">
        <v>3</v>
      </c>
      <c r="D4" s="248" t="s">
        <v>75</v>
      </c>
      <c r="E4" s="249" t="s">
        <v>4</v>
      </c>
      <c r="F4" s="250"/>
      <c r="G4" s="251" t="s">
        <v>5</v>
      </c>
      <c r="H4" s="253" t="s">
        <v>75</v>
      </c>
      <c r="I4" s="255" t="s">
        <v>6</v>
      </c>
      <c r="J4" s="253" t="s">
        <v>75</v>
      </c>
      <c r="L4" s="257" t="s">
        <v>7</v>
      </c>
      <c r="M4" s="258"/>
      <c r="N4" s="258"/>
      <c r="O4" s="258"/>
      <c r="P4" s="258"/>
      <c r="Q4" s="258"/>
      <c r="R4" s="258"/>
      <c r="S4" s="258"/>
      <c r="T4" s="258"/>
      <c r="U4" s="258"/>
      <c r="V4" s="259"/>
      <c r="W4" s="258"/>
      <c r="X4" s="260"/>
    </row>
    <row r="5" spans="1:60" s="3" customFormat="1" ht="57" thickBot="1" x14ac:dyDescent="0.3">
      <c r="A5" s="49"/>
      <c r="B5" s="246"/>
      <c r="C5" s="247"/>
      <c r="D5" s="248"/>
      <c r="E5" s="48" t="s">
        <v>8</v>
      </c>
      <c r="F5" s="237" t="s">
        <v>9</v>
      </c>
      <c r="G5" s="252"/>
      <c r="H5" s="254"/>
      <c r="I5" s="256"/>
      <c r="J5" s="25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/>
      <c r="D9" s="123"/>
      <c r="E9" s="124"/>
      <c r="F9" s="124"/>
      <c r="G9" s="81"/>
      <c r="H9" s="82"/>
      <c r="I9" s="81">
        <f t="shared" ref="I9:J59" si="4">C9-G9</f>
        <v>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4"/>
        <v>0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4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/>
      <c r="D13" s="123"/>
      <c r="E13" s="124"/>
      <c r="F13" s="124"/>
      <c r="G13" s="81"/>
      <c r="H13" s="82"/>
      <c r="I13" s="85">
        <f t="shared" si="4"/>
        <v>0</v>
      </c>
      <c r="J13" s="103">
        <f>D13-H13</f>
        <v>0</v>
      </c>
      <c r="K13" s="55"/>
      <c r="L13" s="130"/>
      <c r="M13" s="130"/>
      <c r="N13" s="130"/>
      <c r="O13" s="130"/>
      <c r="P13" s="130"/>
      <c r="Q13" s="131"/>
      <c r="R13" s="106">
        <f>L13+N13+P13</f>
        <v>0</v>
      </c>
      <c r="S13" s="134">
        <f>M13+O13+Q13</f>
        <v>0</v>
      </c>
      <c r="T13" s="55"/>
      <c r="U13" s="140">
        <f>L13*24+N13*24+P13*24</f>
        <v>0</v>
      </c>
      <c r="V13" s="144">
        <f t="shared" si="6"/>
        <v>0</v>
      </c>
      <c r="W13" s="142">
        <f>I13*24+J13</f>
        <v>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/>
      <c r="D14" s="120"/>
      <c r="E14" s="121"/>
      <c r="F14" s="121"/>
      <c r="G14" s="79"/>
      <c r="H14" s="76"/>
      <c r="I14" s="102">
        <f t="shared" si="4"/>
        <v>0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4"/>
        <v>0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4"/>
        <v>0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4"/>
        <v>0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4"/>
        <v>0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4"/>
        <v>0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4"/>
        <v>0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4"/>
        <v>0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4"/>
        <v>0</v>
      </c>
      <c r="J26" s="80">
        <f t="shared" si="4"/>
        <v>0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4"/>
        <v>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4"/>
        <v>0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4"/>
        <v>0</v>
      </c>
      <c r="J35" s="80">
        <f t="shared" si="4"/>
        <v>0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/>
      <c r="D38" s="123"/>
      <c r="E38" s="124"/>
      <c r="F38" s="124"/>
      <c r="G38" s="81"/>
      <c r="H38" s="82"/>
      <c r="I38" s="148">
        <f t="shared" si="4"/>
        <v>0</v>
      </c>
      <c r="J38" s="149">
        <f t="shared" si="4"/>
        <v>0</v>
      </c>
      <c r="K38" s="53"/>
      <c r="L38" s="130"/>
      <c r="M38" s="130"/>
      <c r="N38" s="130"/>
      <c r="O38" s="130"/>
      <c r="P38" s="130"/>
      <c r="Q38" s="131"/>
      <c r="R38" s="106">
        <f t="shared" si="7"/>
        <v>0</v>
      </c>
      <c r="S38" s="134">
        <f t="shared" si="7"/>
        <v>0</v>
      </c>
      <c r="T38" s="53"/>
      <c r="U38" s="140">
        <f>L38*6+N38*6+P38*6</f>
        <v>0</v>
      </c>
      <c r="V38" s="144">
        <f>U38/6</f>
        <v>0</v>
      </c>
      <c r="W38" s="142">
        <f>I38*6+J38</f>
        <v>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/>
      <c r="D39" s="120"/>
      <c r="E39" s="121"/>
      <c r="F39" s="121"/>
      <c r="G39" s="79"/>
      <c r="H39" s="76"/>
      <c r="I39" s="79">
        <f t="shared" si="4"/>
        <v>0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>
        <f t="shared" si="4"/>
        <v>0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>
        <f t="shared" si="4"/>
        <v>0</v>
      </c>
      <c r="J42" s="177">
        <f t="shared" si="4"/>
        <v>0</v>
      </c>
      <c r="K42" s="178"/>
      <c r="L42" s="174"/>
      <c r="M42" s="174"/>
      <c r="N42" s="174"/>
      <c r="O42" s="174"/>
      <c r="P42" s="174"/>
      <c r="Q42" s="179"/>
      <c r="R42" s="180">
        <f t="shared" si="7"/>
        <v>0</v>
      </c>
      <c r="S42" s="181">
        <f t="shared" si="7"/>
        <v>0</v>
      </c>
      <c r="T42" s="178"/>
      <c r="U42" s="182">
        <f>L42*12+N42*12+P42*12</f>
        <v>0</v>
      </c>
      <c r="V42" s="183">
        <f>U42/12</f>
        <v>0</v>
      </c>
      <c r="W42" s="184">
        <f>I42*12+J42</f>
        <v>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>C44+E44-G44</f>
        <v>0</v>
      </c>
      <c r="J44" s="186">
        <f t="shared" si="4"/>
        <v>0</v>
      </c>
      <c r="K44" s="53"/>
      <c r="L44" s="130"/>
      <c r="M44" s="130"/>
      <c r="N44" s="130"/>
      <c r="O44" s="130"/>
      <c r="P44" s="130"/>
      <c r="Q44" s="131"/>
      <c r="R44" s="187">
        <f t="shared" si="7"/>
        <v>0</v>
      </c>
      <c r="S44" s="188">
        <f t="shared" si="7"/>
        <v>0</v>
      </c>
      <c r="T44" s="53"/>
      <c r="U44" s="140">
        <f>L44*6+N44*6+P44*6</f>
        <v>0</v>
      </c>
      <c r="V44" s="139">
        <f>U44/6</f>
        <v>0</v>
      </c>
      <c r="W44" s="142">
        <f>I44*6+J44</f>
        <v>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/>
      <c r="D48" s="151"/>
      <c r="E48" s="130"/>
      <c r="F48" s="130"/>
      <c r="G48" s="152"/>
      <c r="H48" s="148"/>
      <c r="I48" s="148">
        <f t="shared" si="4"/>
        <v>0</v>
      </c>
      <c r="J48" s="149">
        <f t="shared" si="4"/>
        <v>0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/>
      <c r="D49" s="120"/>
      <c r="E49" s="121"/>
      <c r="F49" s="121"/>
      <c r="G49" s="79"/>
      <c r="H49" s="76"/>
      <c r="I49" s="76">
        <f t="shared" si="4"/>
        <v>0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/>
      <c r="D52" s="151"/>
      <c r="E52" s="130"/>
      <c r="F52" s="130"/>
      <c r="G52" s="152"/>
      <c r="H52" s="148"/>
      <c r="I52" s="148">
        <f t="shared" si="4"/>
        <v>0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0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4"/>
        <v>0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7">
        <f>SUM(D8:D59)</f>
        <v>0</v>
      </c>
      <c r="E60" s="44">
        <f>SUM(E8:E59)</f>
        <v>0</v>
      </c>
      <c r="F60" s="44"/>
      <c r="G60" s="28">
        <f>SUM(G8:G59)</f>
        <v>0</v>
      </c>
      <c r="H60" s="59">
        <f>SUM(H8:H59)</f>
        <v>0</v>
      </c>
      <c r="I60" s="59">
        <f>SUM(I8:I59)</f>
        <v>0</v>
      </c>
      <c r="J60" s="45">
        <f>SUM(J8:J59)</f>
        <v>0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0</v>
      </c>
      <c r="Q60" s="78">
        <f t="shared" si="20"/>
        <v>0</v>
      </c>
      <c r="R60" s="91">
        <f t="shared" si="20"/>
        <v>0</v>
      </c>
      <c r="S60" s="90">
        <f t="shared" si="20"/>
        <v>0</v>
      </c>
      <c r="T60" s="46"/>
      <c r="U60" s="43">
        <f>SUM(U8:U59)</f>
        <v>0</v>
      </c>
      <c r="V60" s="111">
        <f>SUM(V8:V59)</f>
        <v>0</v>
      </c>
      <c r="W60" s="204">
        <f>SUM(W8:W59)</f>
        <v>0</v>
      </c>
      <c r="X60" s="45"/>
    </row>
    <row r="61" spans="1:24" ht="19.5" thickBot="1" x14ac:dyDescent="0.3">
      <c r="V61" s="112"/>
    </row>
    <row r="62" spans="1:24" ht="18.75" customHeight="1" x14ac:dyDescent="0.25">
      <c r="G62" s="238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39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40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41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41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42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35" t="s">
        <v>3</v>
      </c>
      <c r="D69" s="236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EXAMPLE</vt:lpstr>
      <vt:lpstr>02,05 PROMO</vt:lpstr>
      <vt:lpstr>03,02</vt:lpstr>
      <vt:lpstr>03,03</vt:lpstr>
      <vt:lpstr>03,04</vt:lpstr>
      <vt:lpstr>03,05</vt:lpstr>
      <vt:lpstr>03,06</vt:lpstr>
      <vt:lpstr>03,07</vt:lpstr>
      <vt:lpstr>03,09</vt:lpstr>
      <vt:lpstr>03,10</vt:lpstr>
      <vt:lpstr>03,11</vt:lpstr>
      <vt:lpstr>03,12</vt:lpstr>
      <vt:lpstr>03,14</vt:lpstr>
      <vt:lpstr>03,16</vt:lpstr>
      <vt:lpstr>03,17</vt:lpstr>
      <vt:lpstr>03,18</vt:lpstr>
      <vt:lpstr>03,19</vt:lpstr>
      <vt:lpstr>03,20</vt:lpstr>
      <vt:lpstr>03,23</vt:lpstr>
      <vt:lpstr>03,24</vt:lpstr>
      <vt:lpstr>03,25</vt:lpstr>
      <vt:lpstr>03,26</vt:lpstr>
      <vt:lpstr>03,27</vt:lpstr>
      <vt:lpstr>03,28</vt:lpstr>
      <vt:lpstr>'02,05 PROMO'!Print_Area</vt:lpstr>
      <vt:lpstr>'03,02'!Print_Area</vt:lpstr>
      <vt:lpstr>'03,03'!Print_Area</vt:lpstr>
      <vt:lpstr>'03,04'!Print_Area</vt:lpstr>
      <vt:lpstr>'03,05'!Print_Area</vt:lpstr>
      <vt:lpstr>'03,06'!Print_Area</vt:lpstr>
      <vt:lpstr>'03,07'!Print_Area</vt:lpstr>
      <vt:lpstr>'03,09'!Print_Area</vt:lpstr>
      <vt:lpstr>'03,10'!Print_Area</vt:lpstr>
      <vt:lpstr>'03,11'!Print_Area</vt:lpstr>
      <vt:lpstr>'03,12'!Print_Area</vt:lpstr>
      <vt:lpstr>'03,14'!Print_Area</vt:lpstr>
      <vt:lpstr>'03,16'!Print_Area</vt:lpstr>
      <vt:lpstr>'03,17'!Print_Area</vt:lpstr>
      <vt:lpstr>'03,18'!Print_Area</vt:lpstr>
      <vt:lpstr>'03,19'!Print_Area</vt:lpstr>
      <vt:lpstr>'03,20'!Print_Area</vt:lpstr>
      <vt:lpstr>'03,23'!Print_Area</vt:lpstr>
      <vt:lpstr>'03,24'!Print_Area</vt:lpstr>
      <vt:lpstr>'03,25'!Print_Area</vt:lpstr>
      <vt:lpstr>'03,26'!Print_Area</vt:lpstr>
      <vt:lpstr>'03,27'!Print_Area</vt:lpstr>
      <vt:lpstr>'03,28'!Print_Area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2026-03-27T03:09:06Z</cp:lastPrinted>
  <dcterms:created xsi:type="dcterms:W3CDTF">2024-09-01T23:32:49Z</dcterms:created>
  <dcterms:modified xsi:type="dcterms:W3CDTF">2026-03-27T06:49:39Z</dcterms:modified>
</cp:coreProperties>
</file>