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75A4CB95-49AD-4913-96A4-BA614389924E}" xr6:coauthVersionLast="45" xr6:coauthVersionMax="45" xr10:uidLastSave="{00000000-0000-0000-0000-000000000000}"/>
  <bookViews>
    <workbookView xWindow="-120" yWindow="-120" windowWidth="29040" windowHeight="15840" activeTab="9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  <sheet name="03,06" sheetId="95" r:id="rId7"/>
    <sheet name="03,07" sheetId="96" r:id="rId8"/>
    <sheet name="03,08" sheetId="97" r:id="rId9"/>
    <sheet name="03,10" sheetId="98" r:id="rId10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6">'03,06'!$A$1:$Y$61</definedName>
    <definedName name="_xlnm.Print_Area" localSheetId="7">'03,07'!$A$1:$Y$61</definedName>
    <definedName name="_xlnm.Print_Area" localSheetId="8">'03,08'!$A$1:$Y$61</definedName>
    <definedName name="_xlnm.Print_Area" localSheetId="9">'03,10'!$A$1:$Y$61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98" l="1"/>
  <c r="P60" i="98"/>
  <c r="O60" i="98"/>
  <c r="N60" i="98"/>
  <c r="M60" i="98"/>
  <c r="L60" i="98"/>
  <c r="H60" i="98"/>
  <c r="G60" i="98"/>
  <c r="E60" i="98"/>
  <c r="D60" i="98"/>
  <c r="C60" i="98"/>
  <c r="S59" i="98"/>
  <c r="R59" i="98"/>
  <c r="J59" i="98"/>
  <c r="I59" i="98"/>
  <c r="S58" i="98"/>
  <c r="R58" i="98"/>
  <c r="J58" i="98"/>
  <c r="I58" i="98"/>
  <c r="S57" i="98"/>
  <c r="R57" i="98"/>
  <c r="J57" i="98"/>
  <c r="I57" i="98"/>
  <c r="S56" i="98"/>
  <c r="R56" i="98"/>
  <c r="J56" i="98"/>
  <c r="I56" i="98"/>
  <c r="S55" i="98"/>
  <c r="R55" i="98"/>
  <c r="J55" i="98"/>
  <c r="I55" i="98"/>
  <c r="W54" i="98"/>
  <c r="U54" i="98"/>
  <c r="V54" i="98" s="1"/>
  <c r="S54" i="98"/>
  <c r="R54" i="98"/>
  <c r="J54" i="98"/>
  <c r="I54" i="98"/>
  <c r="U53" i="98"/>
  <c r="V53" i="98" s="1"/>
  <c r="S53" i="98"/>
  <c r="R53" i="98"/>
  <c r="J53" i="98"/>
  <c r="I53" i="98"/>
  <c r="W53" i="98" s="1"/>
  <c r="W52" i="98"/>
  <c r="U52" i="98"/>
  <c r="V52" i="98" s="1"/>
  <c r="S52" i="98"/>
  <c r="R52" i="98"/>
  <c r="J52" i="98"/>
  <c r="I52" i="98"/>
  <c r="U51" i="98"/>
  <c r="V51" i="98" s="1"/>
  <c r="S51" i="98"/>
  <c r="R51" i="98"/>
  <c r="J51" i="98"/>
  <c r="I51" i="98"/>
  <c r="W51" i="98" s="1"/>
  <c r="W50" i="98"/>
  <c r="U50" i="98"/>
  <c r="V50" i="98" s="1"/>
  <c r="S50" i="98"/>
  <c r="R50" i="98"/>
  <c r="J50" i="98"/>
  <c r="I50" i="98"/>
  <c r="U49" i="98"/>
  <c r="V49" i="98" s="1"/>
  <c r="S49" i="98"/>
  <c r="R49" i="98"/>
  <c r="J49" i="98"/>
  <c r="I49" i="98"/>
  <c r="W49" i="98" s="1"/>
  <c r="W48" i="98"/>
  <c r="U48" i="98"/>
  <c r="V48" i="98" s="1"/>
  <c r="S48" i="98"/>
  <c r="R48" i="98"/>
  <c r="J48" i="98"/>
  <c r="I48" i="98"/>
  <c r="U47" i="98"/>
  <c r="V47" i="98" s="1"/>
  <c r="S47" i="98"/>
  <c r="R47" i="98"/>
  <c r="J47" i="98"/>
  <c r="I47" i="98"/>
  <c r="W47" i="98" s="1"/>
  <c r="W46" i="98"/>
  <c r="U46" i="98"/>
  <c r="V46" i="98" s="1"/>
  <c r="S46" i="98"/>
  <c r="R46" i="98"/>
  <c r="J46" i="98"/>
  <c r="I46" i="98"/>
  <c r="S45" i="98"/>
  <c r="R45" i="98"/>
  <c r="J45" i="98"/>
  <c r="I45" i="98"/>
  <c r="U44" i="98"/>
  <c r="V44" i="98" s="1"/>
  <c r="S44" i="98"/>
  <c r="R44" i="98"/>
  <c r="J44" i="98"/>
  <c r="I44" i="98"/>
  <c r="W44" i="98" s="1"/>
  <c r="S43" i="98"/>
  <c r="R43" i="98"/>
  <c r="J43" i="98"/>
  <c r="I43" i="98"/>
  <c r="U42" i="98"/>
  <c r="V42" i="98" s="1"/>
  <c r="S42" i="98"/>
  <c r="R42" i="98"/>
  <c r="J42" i="98"/>
  <c r="I42" i="98"/>
  <c r="W42" i="98" s="1"/>
  <c r="W41" i="98"/>
  <c r="U41" i="98"/>
  <c r="V41" i="98" s="1"/>
  <c r="S41" i="98"/>
  <c r="R41" i="98"/>
  <c r="J41" i="98"/>
  <c r="I41" i="98"/>
  <c r="U40" i="98"/>
  <c r="V40" i="98" s="1"/>
  <c r="S40" i="98"/>
  <c r="R40" i="98"/>
  <c r="J40" i="98"/>
  <c r="I40" i="98"/>
  <c r="W40" i="98" s="1"/>
  <c r="W39" i="98"/>
  <c r="U39" i="98"/>
  <c r="V39" i="98" s="1"/>
  <c r="S39" i="98"/>
  <c r="R39" i="98"/>
  <c r="J39" i="98"/>
  <c r="I39" i="98"/>
  <c r="U38" i="98"/>
  <c r="V38" i="98" s="1"/>
  <c r="S38" i="98"/>
  <c r="R38" i="98"/>
  <c r="J38" i="98"/>
  <c r="I38" i="98"/>
  <c r="W38" i="98" s="1"/>
  <c r="W37" i="98"/>
  <c r="U37" i="98"/>
  <c r="V37" i="98" s="1"/>
  <c r="S37" i="98"/>
  <c r="R37" i="98"/>
  <c r="J37" i="98"/>
  <c r="I37" i="98"/>
  <c r="U36" i="98"/>
  <c r="V36" i="98" s="1"/>
  <c r="S36" i="98"/>
  <c r="R36" i="98"/>
  <c r="J36" i="98"/>
  <c r="I36" i="98"/>
  <c r="W36" i="98" s="1"/>
  <c r="W35" i="98"/>
  <c r="U35" i="98"/>
  <c r="V35" i="98" s="1"/>
  <c r="S35" i="98"/>
  <c r="R35" i="98"/>
  <c r="J35" i="98"/>
  <c r="I35" i="98"/>
  <c r="U34" i="98"/>
  <c r="V34" i="98" s="1"/>
  <c r="S34" i="98"/>
  <c r="R34" i="98"/>
  <c r="J34" i="98"/>
  <c r="I34" i="98"/>
  <c r="W34" i="98" s="1"/>
  <c r="W33" i="98"/>
  <c r="U33" i="98"/>
  <c r="V33" i="98" s="1"/>
  <c r="S33" i="98"/>
  <c r="R33" i="98"/>
  <c r="J33" i="98"/>
  <c r="I33" i="98"/>
  <c r="U32" i="98"/>
  <c r="V32" i="98" s="1"/>
  <c r="S32" i="98"/>
  <c r="R32" i="98"/>
  <c r="J32" i="98"/>
  <c r="I32" i="98"/>
  <c r="W32" i="98" s="1"/>
  <c r="W31" i="98"/>
  <c r="U31" i="98"/>
  <c r="V31" i="98" s="1"/>
  <c r="S31" i="98"/>
  <c r="R31" i="98"/>
  <c r="J31" i="98"/>
  <c r="I31" i="98"/>
  <c r="U30" i="98"/>
  <c r="V30" i="98" s="1"/>
  <c r="S30" i="98"/>
  <c r="R30" i="98"/>
  <c r="J30" i="98"/>
  <c r="I30" i="98"/>
  <c r="W30" i="98" s="1"/>
  <c r="W29" i="98"/>
  <c r="U29" i="98"/>
  <c r="V29" i="98" s="1"/>
  <c r="S29" i="98"/>
  <c r="R29" i="98"/>
  <c r="J29" i="98"/>
  <c r="I29" i="98"/>
  <c r="U28" i="98"/>
  <c r="V28" i="98" s="1"/>
  <c r="S28" i="98"/>
  <c r="R28" i="98"/>
  <c r="J28" i="98"/>
  <c r="I28" i="98"/>
  <c r="W28" i="98" s="1"/>
  <c r="W27" i="98"/>
  <c r="U27" i="98"/>
  <c r="V27" i="98" s="1"/>
  <c r="S27" i="98"/>
  <c r="R27" i="98"/>
  <c r="J27" i="98"/>
  <c r="I27" i="98"/>
  <c r="BE26" i="98"/>
  <c r="V26" i="98"/>
  <c r="U26" i="98"/>
  <c r="S26" i="98"/>
  <c r="R26" i="98"/>
  <c r="J26" i="98"/>
  <c r="I26" i="98"/>
  <c r="W26" i="98" s="1"/>
  <c r="W25" i="98"/>
  <c r="V25" i="98"/>
  <c r="U25" i="98"/>
  <c r="S25" i="98"/>
  <c r="R25" i="98"/>
  <c r="J25" i="98"/>
  <c r="I25" i="98"/>
  <c r="V24" i="98"/>
  <c r="U24" i="98"/>
  <c r="S24" i="98"/>
  <c r="R24" i="98"/>
  <c r="J24" i="98"/>
  <c r="I24" i="98"/>
  <c r="W24" i="98" s="1"/>
  <c r="W23" i="98"/>
  <c r="V23" i="98"/>
  <c r="U23" i="98"/>
  <c r="S23" i="98"/>
  <c r="R23" i="98"/>
  <c r="J23" i="98"/>
  <c r="I23" i="98"/>
  <c r="V22" i="98"/>
  <c r="U22" i="98"/>
  <c r="S22" i="98"/>
  <c r="R22" i="98"/>
  <c r="J22" i="98"/>
  <c r="I22" i="98"/>
  <c r="W22" i="98" s="1"/>
  <c r="W21" i="98"/>
  <c r="V21" i="98"/>
  <c r="U21" i="98"/>
  <c r="S21" i="98"/>
  <c r="R21" i="98"/>
  <c r="J21" i="98"/>
  <c r="I21" i="98"/>
  <c r="V20" i="98"/>
  <c r="U20" i="98"/>
  <c r="S20" i="98"/>
  <c r="R20" i="98"/>
  <c r="J20" i="98"/>
  <c r="I20" i="98"/>
  <c r="W20" i="98" s="1"/>
  <c r="W19" i="98"/>
  <c r="V19" i="98"/>
  <c r="U19" i="98"/>
  <c r="S19" i="98"/>
  <c r="R19" i="98"/>
  <c r="J19" i="98"/>
  <c r="I19" i="98"/>
  <c r="V18" i="98"/>
  <c r="U18" i="98"/>
  <c r="S18" i="98"/>
  <c r="R18" i="98"/>
  <c r="J18" i="98"/>
  <c r="I18" i="98"/>
  <c r="W18" i="98" s="1"/>
  <c r="W17" i="98"/>
  <c r="V17" i="98"/>
  <c r="U17" i="98"/>
  <c r="S17" i="98"/>
  <c r="R17" i="98"/>
  <c r="J17" i="98"/>
  <c r="I17" i="98"/>
  <c r="V16" i="98"/>
  <c r="U16" i="98"/>
  <c r="S16" i="98"/>
  <c r="R16" i="98"/>
  <c r="J16" i="98"/>
  <c r="I16" i="98"/>
  <c r="W16" i="98" s="1"/>
  <c r="W15" i="98"/>
  <c r="V15" i="98"/>
  <c r="U15" i="98"/>
  <c r="S15" i="98"/>
  <c r="R15" i="98"/>
  <c r="J15" i="98"/>
  <c r="I15" i="98"/>
  <c r="V14" i="98"/>
  <c r="U14" i="98"/>
  <c r="S14" i="98"/>
  <c r="R14" i="98"/>
  <c r="J14" i="98"/>
  <c r="I14" i="98"/>
  <c r="W14" i="98" s="1"/>
  <c r="W13" i="98"/>
  <c r="V13" i="98"/>
  <c r="U13" i="98"/>
  <c r="S13" i="98"/>
  <c r="R13" i="98"/>
  <c r="J13" i="98"/>
  <c r="I13" i="98"/>
  <c r="V12" i="98"/>
  <c r="U12" i="98"/>
  <c r="S12" i="98"/>
  <c r="R12" i="98"/>
  <c r="J12" i="98"/>
  <c r="I12" i="98"/>
  <c r="W12" i="98" s="1"/>
  <c r="W11" i="98"/>
  <c r="V11" i="98"/>
  <c r="U11" i="98"/>
  <c r="S11" i="98"/>
  <c r="R11" i="98"/>
  <c r="J11" i="98"/>
  <c r="I11" i="98"/>
  <c r="V10" i="98"/>
  <c r="U10" i="98"/>
  <c r="S10" i="98"/>
  <c r="R10" i="98"/>
  <c r="J10" i="98"/>
  <c r="I10" i="98"/>
  <c r="W10" i="98" s="1"/>
  <c r="A10" i="98"/>
  <c r="A11" i="98" s="1"/>
  <c r="A12" i="98" s="1"/>
  <c r="A13" i="98" s="1"/>
  <c r="A14" i="98" s="1"/>
  <c r="A15" i="98" s="1"/>
  <c r="A16" i="98" s="1"/>
  <c r="A17" i="98" s="1"/>
  <c r="A18" i="98" s="1"/>
  <c r="A19" i="98" s="1"/>
  <c r="A20" i="98" s="1"/>
  <c r="A21" i="98" s="1"/>
  <c r="A22" i="98" s="1"/>
  <c r="A23" i="98" s="1"/>
  <c r="A24" i="98" s="1"/>
  <c r="A25" i="98" s="1"/>
  <c r="A26" i="98" s="1"/>
  <c r="A27" i="98" s="1"/>
  <c r="A28" i="98" s="1"/>
  <c r="A29" i="98" s="1"/>
  <c r="A30" i="98" s="1"/>
  <c r="A31" i="98" s="1"/>
  <c r="A32" i="98" s="1"/>
  <c r="A33" i="98" s="1"/>
  <c r="A34" i="98" s="1"/>
  <c r="A35" i="98" s="1"/>
  <c r="A36" i="98" s="1"/>
  <c r="A37" i="98" s="1"/>
  <c r="A38" i="98" s="1"/>
  <c r="A39" i="98" s="1"/>
  <c r="A40" i="98" s="1"/>
  <c r="A41" i="98" s="1"/>
  <c r="A42" i="98" s="1"/>
  <c r="A43" i="98" s="1"/>
  <c r="A44" i="98" s="1"/>
  <c r="A45" i="98" s="1"/>
  <c r="A46" i="98" s="1"/>
  <c r="A47" i="98" s="1"/>
  <c r="A48" i="98" s="1"/>
  <c r="A49" i="98" s="1"/>
  <c r="A50" i="98" s="1"/>
  <c r="A51" i="98" s="1"/>
  <c r="A52" i="98" s="1"/>
  <c r="A53" i="98" s="1"/>
  <c r="A54" i="98" s="1"/>
  <c r="A55" i="98" s="1"/>
  <c r="A56" i="98" s="1"/>
  <c r="A57" i="98" s="1"/>
  <c r="A58" i="98" s="1"/>
  <c r="A59" i="98" s="1"/>
  <c r="W9" i="98"/>
  <c r="V9" i="98"/>
  <c r="U9" i="98"/>
  <c r="S9" i="98"/>
  <c r="R9" i="98"/>
  <c r="J9" i="98"/>
  <c r="I9" i="98"/>
  <c r="A9" i="98"/>
  <c r="V8" i="98"/>
  <c r="U8" i="98"/>
  <c r="U60" i="98" s="1"/>
  <c r="S8" i="98"/>
  <c r="S60" i="98" s="1"/>
  <c r="R8" i="98"/>
  <c r="R60" i="98" s="1"/>
  <c r="J8" i="98"/>
  <c r="J60" i="98" s="1"/>
  <c r="I8" i="98"/>
  <c r="W8" i="98" s="1"/>
  <c r="V60" i="98" l="1"/>
  <c r="W60" i="98"/>
  <c r="I60" i="98"/>
  <c r="C48" i="95"/>
  <c r="Q60" i="97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W54" i="97"/>
  <c r="V54" i="97"/>
  <c r="U54" i="97"/>
  <c r="S54" i="97"/>
  <c r="R54" i="97"/>
  <c r="J54" i="97"/>
  <c r="I54" i="97"/>
  <c r="U53" i="97"/>
  <c r="V53" i="97" s="1"/>
  <c r="S53" i="97"/>
  <c r="R53" i="97"/>
  <c r="J53" i="97"/>
  <c r="I53" i="97"/>
  <c r="W53" i="97" s="1"/>
  <c r="W52" i="97"/>
  <c r="V52" i="97"/>
  <c r="U52" i="97"/>
  <c r="S52" i="97"/>
  <c r="R52" i="97"/>
  <c r="J52" i="97"/>
  <c r="I52" i="97"/>
  <c r="U51" i="97"/>
  <c r="V51" i="97" s="1"/>
  <c r="S51" i="97"/>
  <c r="R51" i="97"/>
  <c r="J51" i="97"/>
  <c r="I51" i="97"/>
  <c r="W51" i="97" s="1"/>
  <c r="W50" i="97"/>
  <c r="V50" i="97"/>
  <c r="U50" i="97"/>
  <c r="S50" i="97"/>
  <c r="R50" i="97"/>
  <c r="J50" i="97"/>
  <c r="I50" i="97"/>
  <c r="U49" i="97"/>
  <c r="V49" i="97" s="1"/>
  <c r="S49" i="97"/>
  <c r="R49" i="97"/>
  <c r="J49" i="97"/>
  <c r="I49" i="97"/>
  <c r="W49" i="97" s="1"/>
  <c r="W48" i="97"/>
  <c r="V48" i="97"/>
  <c r="U48" i="97"/>
  <c r="S48" i="97"/>
  <c r="R48" i="97"/>
  <c r="J48" i="97"/>
  <c r="I48" i="97"/>
  <c r="U47" i="97"/>
  <c r="V47" i="97" s="1"/>
  <c r="S47" i="97"/>
  <c r="R47" i="97"/>
  <c r="J47" i="97"/>
  <c r="I47" i="97"/>
  <c r="W47" i="97" s="1"/>
  <c r="W46" i="97"/>
  <c r="V46" i="97"/>
  <c r="U46" i="97"/>
  <c r="S46" i="97"/>
  <c r="R46" i="97"/>
  <c r="J46" i="97"/>
  <c r="I46" i="97"/>
  <c r="S45" i="97"/>
  <c r="R45" i="97"/>
  <c r="J45" i="97"/>
  <c r="I45" i="97"/>
  <c r="V44" i="97"/>
  <c r="U44" i="97"/>
  <c r="S44" i="97"/>
  <c r="R44" i="97"/>
  <c r="J44" i="97"/>
  <c r="W44" i="97" s="1"/>
  <c r="I44" i="97"/>
  <c r="S43" i="97"/>
  <c r="R43" i="97"/>
  <c r="J43" i="97"/>
  <c r="I43" i="97"/>
  <c r="U42" i="97"/>
  <c r="V42" i="97" s="1"/>
  <c r="S42" i="97"/>
  <c r="R42" i="97"/>
  <c r="J42" i="97"/>
  <c r="I42" i="97"/>
  <c r="W42" i="97" s="1"/>
  <c r="W41" i="97"/>
  <c r="U41" i="97"/>
  <c r="V41" i="97" s="1"/>
  <c r="S41" i="97"/>
  <c r="R41" i="97"/>
  <c r="J41" i="97"/>
  <c r="I41" i="97"/>
  <c r="U40" i="97"/>
  <c r="V40" i="97" s="1"/>
  <c r="S40" i="97"/>
  <c r="R40" i="97"/>
  <c r="J40" i="97"/>
  <c r="I40" i="97"/>
  <c r="W40" i="97" s="1"/>
  <c r="W39" i="97"/>
  <c r="U39" i="97"/>
  <c r="V39" i="97" s="1"/>
  <c r="S39" i="97"/>
  <c r="R39" i="97"/>
  <c r="J39" i="97"/>
  <c r="I39" i="97"/>
  <c r="U38" i="97"/>
  <c r="V38" i="97" s="1"/>
  <c r="S38" i="97"/>
  <c r="R38" i="97"/>
  <c r="J38" i="97"/>
  <c r="I38" i="97"/>
  <c r="W38" i="97" s="1"/>
  <c r="W37" i="97"/>
  <c r="U37" i="97"/>
  <c r="V37" i="97" s="1"/>
  <c r="S37" i="97"/>
  <c r="R37" i="97"/>
  <c r="J37" i="97"/>
  <c r="I37" i="97"/>
  <c r="U36" i="97"/>
  <c r="V36" i="97" s="1"/>
  <c r="S36" i="97"/>
  <c r="R36" i="97"/>
  <c r="J36" i="97"/>
  <c r="I36" i="97"/>
  <c r="W36" i="97" s="1"/>
  <c r="W35" i="97"/>
  <c r="U35" i="97"/>
  <c r="V35" i="97" s="1"/>
  <c r="S35" i="97"/>
  <c r="R35" i="97"/>
  <c r="J35" i="97"/>
  <c r="I35" i="97"/>
  <c r="U34" i="97"/>
  <c r="V34" i="97" s="1"/>
  <c r="S34" i="97"/>
  <c r="R34" i="97"/>
  <c r="J34" i="97"/>
  <c r="I34" i="97"/>
  <c r="W34" i="97" s="1"/>
  <c r="W33" i="97"/>
  <c r="U33" i="97"/>
  <c r="V33" i="97" s="1"/>
  <c r="S33" i="97"/>
  <c r="R33" i="97"/>
  <c r="J33" i="97"/>
  <c r="I33" i="97"/>
  <c r="U32" i="97"/>
  <c r="V32" i="97" s="1"/>
  <c r="S32" i="97"/>
  <c r="R32" i="97"/>
  <c r="J32" i="97"/>
  <c r="I32" i="97"/>
  <c r="W32" i="97" s="1"/>
  <c r="W31" i="97"/>
  <c r="U31" i="97"/>
  <c r="V31" i="97" s="1"/>
  <c r="S31" i="97"/>
  <c r="R31" i="97"/>
  <c r="J31" i="97"/>
  <c r="I31" i="97"/>
  <c r="U30" i="97"/>
  <c r="V30" i="97" s="1"/>
  <c r="S30" i="97"/>
  <c r="R30" i="97"/>
  <c r="J30" i="97"/>
  <c r="I30" i="97"/>
  <c r="W30" i="97" s="1"/>
  <c r="W29" i="97"/>
  <c r="U29" i="97"/>
  <c r="V29" i="97" s="1"/>
  <c r="S29" i="97"/>
  <c r="R29" i="97"/>
  <c r="J29" i="97"/>
  <c r="I29" i="97"/>
  <c r="U28" i="97"/>
  <c r="V28" i="97" s="1"/>
  <c r="S28" i="97"/>
  <c r="R28" i="97"/>
  <c r="J28" i="97"/>
  <c r="I28" i="97"/>
  <c r="W28" i="97" s="1"/>
  <c r="W27" i="97"/>
  <c r="U27" i="97"/>
  <c r="V27" i="97" s="1"/>
  <c r="S27" i="97"/>
  <c r="R27" i="97"/>
  <c r="J27" i="97"/>
  <c r="I27" i="97"/>
  <c r="BE26" i="97"/>
  <c r="U26" i="97"/>
  <c r="V26" i="97" s="1"/>
  <c r="S26" i="97"/>
  <c r="R26" i="97"/>
  <c r="J26" i="97"/>
  <c r="I26" i="97"/>
  <c r="W26" i="97" s="1"/>
  <c r="W25" i="97"/>
  <c r="V25" i="97"/>
  <c r="U25" i="97"/>
  <c r="S25" i="97"/>
  <c r="R25" i="97"/>
  <c r="J25" i="97"/>
  <c r="I25" i="97"/>
  <c r="U24" i="97"/>
  <c r="V24" i="97" s="1"/>
  <c r="S24" i="97"/>
  <c r="R24" i="97"/>
  <c r="J24" i="97"/>
  <c r="I24" i="97"/>
  <c r="W24" i="97" s="1"/>
  <c r="W23" i="97"/>
  <c r="V23" i="97"/>
  <c r="U23" i="97"/>
  <c r="S23" i="97"/>
  <c r="R23" i="97"/>
  <c r="J23" i="97"/>
  <c r="I23" i="97"/>
  <c r="U22" i="97"/>
  <c r="V22" i="97" s="1"/>
  <c r="S22" i="97"/>
  <c r="R22" i="97"/>
  <c r="J22" i="97"/>
  <c r="I22" i="97"/>
  <c r="W22" i="97" s="1"/>
  <c r="W21" i="97"/>
  <c r="V21" i="97"/>
  <c r="U21" i="97"/>
  <c r="S21" i="97"/>
  <c r="R21" i="97"/>
  <c r="J21" i="97"/>
  <c r="I21" i="97"/>
  <c r="U20" i="97"/>
  <c r="V20" i="97" s="1"/>
  <c r="S20" i="97"/>
  <c r="R20" i="97"/>
  <c r="J20" i="97"/>
  <c r="I20" i="97"/>
  <c r="W20" i="97" s="1"/>
  <c r="W19" i="97"/>
  <c r="V19" i="97"/>
  <c r="U19" i="97"/>
  <c r="S19" i="97"/>
  <c r="R19" i="97"/>
  <c r="J19" i="97"/>
  <c r="I19" i="97"/>
  <c r="U18" i="97"/>
  <c r="V18" i="97" s="1"/>
  <c r="S18" i="97"/>
  <c r="R18" i="97"/>
  <c r="J18" i="97"/>
  <c r="I18" i="97"/>
  <c r="W18" i="97" s="1"/>
  <c r="W17" i="97"/>
  <c r="V17" i="97"/>
  <c r="U17" i="97"/>
  <c r="S17" i="97"/>
  <c r="R17" i="97"/>
  <c r="J17" i="97"/>
  <c r="I17" i="97"/>
  <c r="U16" i="97"/>
  <c r="V16" i="97" s="1"/>
  <c r="S16" i="97"/>
  <c r="R16" i="97"/>
  <c r="J16" i="97"/>
  <c r="I16" i="97"/>
  <c r="W16" i="97" s="1"/>
  <c r="W15" i="97"/>
  <c r="V15" i="97"/>
  <c r="U15" i="97"/>
  <c r="S15" i="97"/>
  <c r="R15" i="97"/>
  <c r="J15" i="97"/>
  <c r="I15" i="97"/>
  <c r="U14" i="97"/>
  <c r="V14" i="97" s="1"/>
  <c r="S14" i="97"/>
  <c r="R14" i="97"/>
  <c r="J14" i="97"/>
  <c r="I14" i="97"/>
  <c r="W14" i="97" s="1"/>
  <c r="W13" i="97"/>
  <c r="V13" i="97"/>
  <c r="U13" i="97"/>
  <c r="S13" i="97"/>
  <c r="R13" i="97"/>
  <c r="J13" i="97"/>
  <c r="I13" i="97"/>
  <c r="U12" i="97"/>
  <c r="V12" i="97" s="1"/>
  <c r="S12" i="97"/>
  <c r="R12" i="97"/>
  <c r="J12" i="97"/>
  <c r="I12" i="97"/>
  <c r="W12" i="97" s="1"/>
  <c r="W11" i="97"/>
  <c r="V11" i="97"/>
  <c r="U11" i="97"/>
  <c r="S11" i="97"/>
  <c r="R11" i="97"/>
  <c r="J11" i="97"/>
  <c r="I11" i="97"/>
  <c r="U10" i="97"/>
  <c r="V10" i="97" s="1"/>
  <c r="S10" i="97"/>
  <c r="R10" i="97"/>
  <c r="J10" i="97"/>
  <c r="I10" i="97"/>
  <c r="W10" i="97" s="1"/>
  <c r="A10" i="97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W9" i="97"/>
  <c r="V9" i="97"/>
  <c r="U9" i="97"/>
  <c r="S9" i="97"/>
  <c r="R9" i="97"/>
  <c r="J9" i="97"/>
  <c r="I9" i="97"/>
  <c r="A9" i="97"/>
  <c r="U8" i="97"/>
  <c r="U60" i="97" s="1"/>
  <c r="S8" i="97"/>
  <c r="S60" i="97" s="1"/>
  <c r="R8" i="97"/>
  <c r="R60" i="97" s="1"/>
  <c r="J8" i="97"/>
  <c r="J60" i="97" s="1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V53" i="96"/>
  <c r="U53" i="96"/>
  <c r="S53" i="96"/>
  <c r="R53" i="96"/>
  <c r="J53" i="96"/>
  <c r="W53" i="96" s="1"/>
  <c r="I53" i="96"/>
  <c r="U52" i="96"/>
  <c r="V52" i="96" s="1"/>
  <c r="S52" i="96"/>
  <c r="R52" i="96"/>
  <c r="J52" i="96"/>
  <c r="W52" i="96" s="1"/>
  <c r="I52" i="96"/>
  <c r="V51" i="96"/>
  <c r="U51" i="96"/>
  <c r="S51" i="96"/>
  <c r="R51" i="96"/>
  <c r="J51" i="96"/>
  <c r="W51" i="96" s="1"/>
  <c r="I51" i="96"/>
  <c r="U50" i="96"/>
  <c r="V50" i="96" s="1"/>
  <c r="S50" i="96"/>
  <c r="R50" i="96"/>
  <c r="J50" i="96"/>
  <c r="W50" i="96" s="1"/>
  <c r="I50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W46" i="96" s="1"/>
  <c r="I46" i="96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U42" i="96"/>
  <c r="V42" i="96" s="1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V40" i="96"/>
  <c r="U40" i="96"/>
  <c r="S40" i="96"/>
  <c r="R40" i="96"/>
  <c r="J40" i="96"/>
  <c r="I40" i="96"/>
  <c r="W40" i="96" s="1"/>
  <c r="U39" i="96"/>
  <c r="V39" i="96" s="1"/>
  <c r="S39" i="96"/>
  <c r="R39" i="96"/>
  <c r="J39" i="96"/>
  <c r="I39" i="96"/>
  <c r="W39" i="96" s="1"/>
  <c r="U38" i="96"/>
  <c r="V38" i="96" s="1"/>
  <c r="S38" i="96"/>
  <c r="R38" i="96"/>
  <c r="J38" i="96"/>
  <c r="I38" i="96"/>
  <c r="U37" i="96"/>
  <c r="V37" i="96" s="1"/>
  <c r="S37" i="96"/>
  <c r="R37" i="96"/>
  <c r="J37" i="96"/>
  <c r="I37" i="96"/>
  <c r="W37" i="96" s="1"/>
  <c r="V36" i="96"/>
  <c r="U36" i="96"/>
  <c r="S36" i="96"/>
  <c r="R36" i="96"/>
  <c r="J36" i="96"/>
  <c r="I36" i="96"/>
  <c r="W36" i="96" s="1"/>
  <c r="U35" i="96"/>
  <c r="V35" i="96" s="1"/>
  <c r="S35" i="96"/>
  <c r="R35" i="96"/>
  <c r="J35" i="96"/>
  <c r="I35" i="96"/>
  <c r="W35" i="96" s="1"/>
  <c r="V34" i="96"/>
  <c r="U34" i="96"/>
  <c r="S34" i="96"/>
  <c r="R34" i="96"/>
  <c r="J34" i="96"/>
  <c r="I34" i="96"/>
  <c r="W34" i="96" s="1"/>
  <c r="U33" i="96"/>
  <c r="V33" i="96" s="1"/>
  <c r="S33" i="96"/>
  <c r="R33" i="96"/>
  <c r="J33" i="96"/>
  <c r="I33" i="96"/>
  <c r="W33" i="96" s="1"/>
  <c r="V32" i="96"/>
  <c r="U32" i="96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V30" i="96"/>
  <c r="U30" i="96"/>
  <c r="S30" i="96"/>
  <c r="R30" i="96"/>
  <c r="J30" i="96"/>
  <c r="I30" i="96"/>
  <c r="W30" i="96" s="1"/>
  <c r="U29" i="96"/>
  <c r="V29" i="96" s="1"/>
  <c r="S29" i="96"/>
  <c r="R29" i="96"/>
  <c r="J29" i="96"/>
  <c r="I29" i="96"/>
  <c r="W29" i="96" s="1"/>
  <c r="V28" i="96"/>
  <c r="U28" i="96"/>
  <c r="S28" i="96"/>
  <c r="R28" i="96"/>
  <c r="J28" i="96"/>
  <c r="I28" i="96"/>
  <c r="W28" i="96" s="1"/>
  <c r="U27" i="96"/>
  <c r="V27" i="96" s="1"/>
  <c r="S27" i="96"/>
  <c r="S60" i="96" s="1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U25" i="96"/>
  <c r="V25" i="96" s="1"/>
  <c r="S25" i="96"/>
  <c r="R25" i="96"/>
  <c r="J25" i="96"/>
  <c r="I25" i="96"/>
  <c r="W25" i="96" s="1"/>
  <c r="U24" i="96"/>
  <c r="V24" i="96" s="1"/>
  <c r="S24" i="96"/>
  <c r="R24" i="96"/>
  <c r="J24" i="96"/>
  <c r="I24" i="96"/>
  <c r="W24" i="96" s="1"/>
  <c r="U23" i="96"/>
  <c r="V23" i="96" s="1"/>
  <c r="S23" i="96"/>
  <c r="R23" i="96"/>
  <c r="J23" i="96"/>
  <c r="I23" i="96"/>
  <c r="W23" i="96" s="1"/>
  <c r="U22" i="96"/>
  <c r="V22" i="96" s="1"/>
  <c r="S22" i="96"/>
  <c r="R22" i="96"/>
  <c r="J22" i="96"/>
  <c r="I22" i="96"/>
  <c r="W22" i="96" s="1"/>
  <c r="U21" i="96"/>
  <c r="V21" i="96" s="1"/>
  <c r="S21" i="96"/>
  <c r="R21" i="96"/>
  <c r="J21" i="96"/>
  <c r="I21" i="96"/>
  <c r="W21" i="96" s="1"/>
  <c r="U20" i="96"/>
  <c r="V20" i="96" s="1"/>
  <c r="S20" i="96"/>
  <c r="R20" i="96"/>
  <c r="J20" i="96"/>
  <c r="I20" i="96"/>
  <c r="W20" i="96" s="1"/>
  <c r="W19" i="96"/>
  <c r="U19" i="96"/>
  <c r="V19" i="96" s="1"/>
  <c r="S19" i="96"/>
  <c r="R19" i="96"/>
  <c r="J19" i="96"/>
  <c r="I19" i="96"/>
  <c r="U18" i="96"/>
  <c r="V18" i="96" s="1"/>
  <c r="S18" i="96"/>
  <c r="R18" i="96"/>
  <c r="J18" i="96"/>
  <c r="I18" i="96"/>
  <c r="W18" i="96" s="1"/>
  <c r="W17" i="96"/>
  <c r="U17" i="96"/>
  <c r="V17" i="96" s="1"/>
  <c r="S17" i="96"/>
  <c r="R17" i="96"/>
  <c r="J17" i="96"/>
  <c r="I17" i="96"/>
  <c r="U16" i="96"/>
  <c r="V16" i="96" s="1"/>
  <c r="S16" i="96"/>
  <c r="R16" i="96"/>
  <c r="J16" i="96"/>
  <c r="I16" i="96"/>
  <c r="W16" i="96" s="1"/>
  <c r="W15" i="96"/>
  <c r="U15" i="96"/>
  <c r="V15" i="96" s="1"/>
  <c r="S15" i="96"/>
  <c r="R15" i="96"/>
  <c r="J15" i="96"/>
  <c r="I15" i="96"/>
  <c r="U14" i="96"/>
  <c r="V14" i="96" s="1"/>
  <c r="S14" i="96"/>
  <c r="R14" i="96"/>
  <c r="J14" i="96"/>
  <c r="I14" i="96"/>
  <c r="W14" i="96" s="1"/>
  <c r="U13" i="96"/>
  <c r="V13" i="96" s="1"/>
  <c r="S13" i="96"/>
  <c r="R13" i="96"/>
  <c r="J13" i="96"/>
  <c r="I13" i="96"/>
  <c r="W13" i="96" s="1"/>
  <c r="U12" i="96"/>
  <c r="V12" i="96" s="1"/>
  <c r="S12" i="96"/>
  <c r="R12" i="96"/>
  <c r="J12" i="96"/>
  <c r="I12" i="96"/>
  <c r="W12" i="96" s="1"/>
  <c r="U11" i="96"/>
  <c r="V11" i="96" s="1"/>
  <c r="S11" i="96"/>
  <c r="R11" i="96"/>
  <c r="J11" i="96"/>
  <c r="I11" i="96"/>
  <c r="W11" i="96" s="1"/>
  <c r="U10" i="96"/>
  <c r="V10" i="96" s="1"/>
  <c r="S10" i="96"/>
  <c r="R10" i="96"/>
  <c r="J10" i="96"/>
  <c r="I10" i="96"/>
  <c r="W10" i="96" s="1"/>
  <c r="A10" i="96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U9" i="96"/>
  <c r="V9" i="96" s="1"/>
  <c r="S9" i="96"/>
  <c r="R9" i="96"/>
  <c r="J9" i="96"/>
  <c r="I9" i="96"/>
  <c r="W9" i="96" s="1"/>
  <c r="A9" i="96"/>
  <c r="U8" i="96"/>
  <c r="S8" i="96"/>
  <c r="R8" i="96"/>
  <c r="J8" i="96"/>
  <c r="I8" i="96"/>
  <c r="W54" i="96" l="1"/>
  <c r="W49" i="96"/>
  <c r="W48" i="96"/>
  <c r="W38" i="96"/>
  <c r="W60" i="96" s="1"/>
  <c r="J60" i="96"/>
  <c r="R60" i="96"/>
  <c r="U60" i="96"/>
  <c r="W8" i="96"/>
  <c r="W60" i="97"/>
  <c r="I60" i="97"/>
  <c r="V8" i="97"/>
  <c r="V60" i="97" s="1"/>
  <c r="I60" i="96"/>
  <c r="V8" i="96"/>
  <c r="V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U42" i="95"/>
  <c r="V42" i="95" s="1"/>
  <c r="S42" i="95"/>
  <c r="R42" i="95"/>
  <c r="J42" i="95"/>
  <c r="I42" i="95"/>
  <c r="W42" i="95" s="1"/>
  <c r="U41" i="95"/>
  <c r="V41" i="95" s="1"/>
  <c r="S41" i="95"/>
  <c r="R41" i="95"/>
  <c r="J41" i="95"/>
  <c r="I41" i="95"/>
  <c r="U40" i="95"/>
  <c r="V40" i="95" s="1"/>
  <c r="S40" i="95"/>
  <c r="R40" i="95"/>
  <c r="J40" i="95"/>
  <c r="I40" i="95"/>
  <c r="W40" i="95" s="1"/>
  <c r="U39" i="95"/>
  <c r="V39" i="95" s="1"/>
  <c r="S39" i="95"/>
  <c r="R39" i="95"/>
  <c r="J39" i="95"/>
  <c r="I39" i="95"/>
  <c r="U38" i="95"/>
  <c r="V38" i="95" s="1"/>
  <c r="S38" i="95"/>
  <c r="R38" i="95"/>
  <c r="J38" i="95"/>
  <c r="I38" i="95"/>
  <c r="U37" i="95"/>
  <c r="V37" i="95" s="1"/>
  <c r="S37" i="95"/>
  <c r="R37" i="95"/>
  <c r="J37" i="95"/>
  <c r="W37" i="95" s="1"/>
  <c r="I37" i="95"/>
  <c r="U36" i="95"/>
  <c r="V36" i="95" s="1"/>
  <c r="S36" i="95"/>
  <c r="R36" i="95"/>
  <c r="J36" i="95"/>
  <c r="I36" i="95"/>
  <c r="W36" i="95" s="1"/>
  <c r="U35" i="95"/>
  <c r="V35" i="95" s="1"/>
  <c r="S35" i="95"/>
  <c r="R35" i="95"/>
  <c r="J35" i="95"/>
  <c r="I35" i="95"/>
  <c r="U34" i="95"/>
  <c r="V34" i="95" s="1"/>
  <c r="S34" i="95"/>
  <c r="R34" i="95"/>
  <c r="J34" i="95"/>
  <c r="I34" i="95"/>
  <c r="W34" i="95" s="1"/>
  <c r="U33" i="95"/>
  <c r="V33" i="95" s="1"/>
  <c r="S33" i="95"/>
  <c r="R33" i="95"/>
  <c r="J33" i="95"/>
  <c r="W33" i="95" s="1"/>
  <c r="I33" i="95"/>
  <c r="U32" i="95"/>
  <c r="V32" i="95" s="1"/>
  <c r="S32" i="95"/>
  <c r="R32" i="95"/>
  <c r="J32" i="95"/>
  <c r="I32" i="95"/>
  <c r="W32" i="95" s="1"/>
  <c r="U31" i="95"/>
  <c r="V31" i="95" s="1"/>
  <c r="S31" i="95"/>
  <c r="R31" i="95"/>
  <c r="J31" i="95"/>
  <c r="I31" i="95"/>
  <c r="U30" i="95"/>
  <c r="V30" i="95" s="1"/>
  <c r="S30" i="95"/>
  <c r="R30" i="95"/>
  <c r="J30" i="95"/>
  <c r="I30" i="95"/>
  <c r="W30" i="95" s="1"/>
  <c r="U29" i="95"/>
  <c r="V29" i="95" s="1"/>
  <c r="S29" i="95"/>
  <c r="R29" i="95"/>
  <c r="J29" i="95"/>
  <c r="I29" i="95"/>
  <c r="U28" i="95"/>
  <c r="V28" i="95" s="1"/>
  <c r="S28" i="95"/>
  <c r="R28" i="95"/>
  <c r="J28" i="95"/>
  <c r="I28" i="95"/>
  <c r="W28" i="95" s="1"/>
  <c r="U27" i="95"/>
  <c r="S27" i="95"/>
  <c r="R27" i="95"/>
  <c r="J27" i="95"/>
  <c r="I27" i="95"/>
  <c r="BE26" i="95"/>
  <c r="V26" i="95"/>
  <c r="U26" i="95"/>
  <c r="S26" i="95"/>
  <c r="R26" i="95"/>
  <c r="J26" i="95"/>
  <c r="I26" i="95"/>
  <c r="V25" i="95"/>
  <c r="U25" i="95"/>
  <c r="S25" i="95"/>
  <c r="R25" i="95"/>
  <c r="J25" i="95"/>
  <c r="I25" i="95"/>
  <c r="W25" i="95" s="1"/>
  <c r="V24" i="95"/>
  <c r="U24" i="95"/>
  <c r="S24" i="95"/>
  <c r="R24" i="95"/>
  <c r="J24" i="95"/>
  <c r="I24" i="95"/>
  <c r="W24" i="95" s="1"/>
  <c r="V23" i="95"/>
  <c r="U23" i="95"/>
  <c r="S23" i="95"/>
  <c r="R23" i="95"/>
  <c r="J23" i="95"/>
  <c r="I23" i="95"/>
  <c r="W23" i="95" s="1"/>
  <c r="V22" i="95"/>
  <c r="U22" i="95"/>
  <c r="S22" i="95"/>
  <c r="R22" i="95"/>
  <c r="J22" i="95"/>
  <c r="I22" i="95"/>
  <c r="W22" i="95" s="1"/>
  <c r="W21" i="95"/>
  <c r="V21" i="95"/>
  <c r="U21" i="95"/>
  <c r="S21" i="95"/>
  <c r="R21" i="95"/>
  <c r="J21" i="95"/>
  <c r="I21" i="95"/>
  <c r="V20" i="95"/>
  <c r="U20" i="95"/>
  <c r="S20" i="95"/>
  <c r="R20" i="95"/>
  <c r="J20" i="95"/>
  <c r="I20" i="95"/>
  <c r="W20" i="95" s="1"/>
  <c r="W19" i="95"/>
  <c r="V19" i="95"/>
  <c r="U19" i="95"/>
  <c r="S19" i="95"/>
  <c r="R19" i="95"/>
  <c r="J19" i="95"/>
  <c r="I19" i="95"/>
  <c r="V18" i="95"/>
  <c r="U18" i="95"/>
  <c r="S18" i="95"/>
  <c r="R18" i="95"/>
  <c r="J18" i="95"/>
  <c r="I18" i="95"/>
  <c r="W18" i="95" s="1"/>
  <c r="W17" i="95"/>
  <c r="V17" i="95"/>
  <c r="U17" i="95"/>
  <c r="S17" i="95"/>
  <c r="R17" i="95"/>
  <c r="J17" i="95"/>
  <c r="I17" i="95"/>
  <c r="V16" i="95"/>
  <c r="U16" i="95"/>
  <c r="S16" i="95"/>
  <c r="R16" i="95"/>
  <c r="J16" i="95"/>
  <c r="I16" i="95"/>
  <c r="W16" i="95" s="1"/>
  <c r="W15" i="95"/>
  <c r="V15" i="95"/>
  <c r="U15" i="95"/>
  <c r="S15" i="95"/>
  <c r="R15" i="95"/>
  <c r="J15" i="95"/>
  <c r="I15" i="95"/>
  <c r="V14" i="95"/>
  <c r="U14" i="95"/>
  <c r="S14" i="95"/>
  <c r="R14" i="95"/>
  <c r="J14" i="95"/>
  <c r="I14" i="95"/>
  <c r="W14" i="95" s="1"/>
  <c r="U13" i="95"/>
  <c r="V13" i="95" s="1"/>
  <c r="S13" i="95"/>
  <c r="R13" i="95"/>
  <c r="J13" i="95"/>
  <c r="I13" i="95"/>
  <c r="V12" i="95"/>
  <c r="U12" i="95"/>
  <c r="S12" i="95"/>
  <c r="R12" i="95"/>
  <c r="J12" i="95"/>
  <c r="I12" i="95"/>
  <c r="W12" i="95" s="1"/>
  <c r="V11" i="95"/>
  <c r="U11" i="95"/>
  <c r="S11" i="95"/>
  <c r="R11" i="95"/>
  <c r="J11" i="95"/>
  <c r="I11" i="95"/>
  <c r="W11" i="95" s="1"/>
  <c r="V10" i="95"/>
  <c r="U10" i="95"/>
  <c r="S10" i="95"/>
  <c r="R10" i="95"/>
  <c r="J10" i="95"/>
  <c r="I10" i="95"/>
  <c r="W10" i="95" s="1"/>
  <c r="A10" i="95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V9" i="95"/>
  <c r="U9" i="95"/>
  <c r="S9" i="95"/>
  <c r="R9" i="95"/>
  <c r="J9" i="95"/>
  <c r="I9" i="95"/>
  <c r="W9" i="95" s="1"/>
  <c r="A9" i="95"/>
  <c r="V8" i="95"/>
  <c r="U8" i="95"/>
  <c r="S8" i="95"/>
  <c r="S60" i="95" s="1"/>
  <c r="R8" i="95"/>
  <c r="J8" i="95"/>
  <c r="I8" i="95"/>
  <c r="W48" i="95" l="1"/>
  <c r="U60" i="95"/>
  <c r="W44" i="95"/>
  <c r="W41" i="95"/>
  <c r="W39" i="95"/>
  <c r="R60" i="95"/>
  <c r="W38" i="95"/>
  <c r="W35" i="95"/>
  <c r="W31" i="95"/>
  <c r="W29" i="95"/>
  <c r="W27" i="95"/>
  <c r="W26" i="95"/>
  <c r="J60" i="95"/>
  <c r="W13" i="95"/>
  <c r="W8" i="95"/>
  <c r="V60" i="95"/>
  <c r="I60" i="95"/>
  <c r="V27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J45" i="94"/>
  <c r="I45" i="94"/>
  <c r="U44" i="94"/>
  <c r="V44" i="94" s="1"/>
  <c r="S44" i="94"/>
  <c r="R44" i="94"/>
  <c r="J44" i="94"/>
  <c r="I44" i="94"/>
  <c r="S43" i="94"/>
  <c r="R43" i="94"/>
  <c r="J43" i="94"/>
  <c r="I43" i="94"/>
  <c r="W42" i="94"/>
  <c r="U42" i="94"/>
  <c r="V42" i="94" s="1"/>
  <c r="S42" i="94"/>
  <c r="R42" i="94"/>
  <c r="J42" i="94"/>
  <c r="I42" i="94"/>
  <c r="U41" i="94"/>
  <c r="V41" i="94" s="1"/>
  <c r="S41" i="94"/>
  <c r="R41" i="94"/>
  <c r="J41" i="94"/>
  <c r="I41" i="94"/>
  <c r="W41" i="94" s="1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U38" i="94"/>
  <c r="V38" i="94" s="1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U35" i="94"/>
  <c r="V35" i="94" s="1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W33" i="94"/>
  <c r="U33" i="94"/>
  <c r="V33" i="94" s="1"/>
  <c r="S33" i="94"/>
  <c r="R33" i="94"/>
  <c r="J33" i="94"/>
  <c r="I33" i="94"/>
  <c r="V32" i="94"/>
  <c r="U32" i="94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W30" i="94"/>
  <c r="V30" i="94"/>
  <c r="U30" i="94"/>
  <c r="S30" i="94"/>
  <c r="R30" i="94"/>
  <c r="J30" i="94"/>
  <c r="I30" i="94"/>
  <c r="U29" i="94"/>
  <c r="V29" i="94" s="1"/>
  <c r="S29" i="94"/>
  <c r="R29" i="94"/>
  <c r="J29" i="94"/>
  <c r="I29" i="94"/>
  <c r="W29" i="94" s="1"/>
  <c r="W28" i="94"/>
  <c r="V28" i="94"/>
  <c r="U28" i="94"/>
  <c r="S28" i="94"/>
  <c r="R28" i="94"/>
  <c r="J28" i="94"/>
  <c r="I28" i="94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V24" i="94"/>
  <c r="U24" i="94"/>
  <c r="S24" i="94"/>
  <c r="R24" i="94"/>
  <c r="J24" i="94"/>
  <c r="I24" i="94"/>
  <c r="W24" i="94" s="1"/>
  <c r="V23" i="94"/>
  <c r="U23" i="94"/>
  <c r="S23" i="94"/>
  <c r="R23" i="94"/>
  <c r="J23" i="94"/>
  <c r="I23" i="94"/>
  <c r="W23" i="94" s="1"/>
  <c r="V22" i="94"/>
  <c r="U22" i="94"/>
  <c r="S22" i="94"/>
  <c r="R22" i="94"/>
  <c r="J22" i="94"/>
  <c r="I22" i="94"/>
  <c r="W22" i="94" s="1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W10" i="94"/>
  <c r="U10" i="94"/>
  <c r="V10" i="94" s="1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S60" i="94" s="1"/>
  <c r="R8" i="94"/>
  <c r="J8" i="94"/>
  <c r="I8" i="94"/>
  <c r="W60" i="95" l="1"/>
  <c r="W44" i="94"/>
  <c r="W38" i="94"/>
  <c r="J60" i="94"/>
  <c r="W26" i="94"/>
  <c r="R60" i="94"/>
  <c r="U60" i="94"/>
  <c r="I60" i="94"/>
  <c r="V8" i="94"/>
  <c r="W8" i="94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60" i="94" l="1"/>
  <c r="W44" i="93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7B92613-E2CE-4532-AFA4-6FD99B843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9F0AF7B-2601-4B51-AE82-914C50742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AB533F9-3325-4863-9A2B-0F5B6FD6FF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286417F-C385-440F-A262-9AB5207CB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2502BB1-4DEB-4776-890B-153599080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F5568FC-08E9-4837-9C64-2FDB0E9F2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1329A7A-5050-4421-942D-F5FEAF9A5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EB2B452-E134-4101-B9AA-EEF74B8A8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CCBA941-3F55-489C-B3C4-1FCAB656E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A7E7E3D-DE30-42E5-B00C-DE280631C9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C7499D7-1B48-423A-A9D8-818F529489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2B494F3-E934-4A9A-A447-22DB39C8B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<sst xmlns="http://schemas.openxmlformats.org/spreadsheetml/2006/main" count="1057" uniqueCount="82">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</sst>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/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115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22">
        <v>46058</v>
      </c>
      <c r="Q1" s="223"/>
      <c r="R1" s="223"/>
      <c r="S1" s="223"/>
      <c r="T1" s="223"/>
      <c r="U1" s="223"/>
      <c r="V1" s="224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9"/>
    </row>
    <row r="5" spans="1:58" s="3" customFormat="1" ht="38.25" thickBot="1" x14ac:dyDescent="0.3">
      <c r="A5" s="49"/>
      <c r="B5" s="225"/>
      <c r="C5" s="226"/>
      <c r="D5" s="227"/>
      <c r="E5" s="48" t="s">
        <v>8</v>
      </c>
      <c r="F5" s="97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46083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191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17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18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19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20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21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46084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191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46085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191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46086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207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68</v>
      </c>
      <c r="D10" s="120"/>
      <c r="E10" s="121"/>
      <c r="F10" s="121"/>
      <c r="G10" s="79">
        <v>17</v>
      </c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>
        <v>17</v>
      </c>
      <c r="O10" s="121"/>
      <c r="P10" s="121"/>
      <c r="Q10" s="129"/>
      <c r="R10" s="108">
        <f t="shared" si="1"/>
        <v>17</v>
      </c>
      <c r="S10" s="135">
        <f t="shared" si="1"/>
        <v>0</v>
      </c>
      <c r="T10" s="41"/>
      <c r="U10" s="116">
        <f>L10*24+N10*24+P10*24</f>
        <v>408</v>
      </c>
      <c r="V10" s="143">
        <f>U10/24</f>
        <v>17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36</v>
      </c>
      <c r="D11" s="120"/>
      <c r="E11" s="121"/>
      <c r="F11" s="121"/>
      <c r="G11" s="79">
        <v>13</v>
      </c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>
        <v>13</v>
      </c>
      <c r="O11" s="121"/>
      <c r="P11" s="121"/>
      <c r="Q11" s="129"/>
      <c r="R11" s="92">
        <f t="shared" si="1"/>
        <v>13</v>
      </c>
      <c r="S11" s="133">
        <f t="shared" si="1"/>
        <v>0</v>
      </c>
      <c r="T11" s="41"/>
      <c r="U11" s="116">
        <f>L11*24+N11*24+P11*24</f>
        <v>312</v>
      </c>
      <c r="V11" s="139">
        <f>U11/24</f>
        <v>13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3958</v>
      </c>
      <c r="D13" s="123">
        <v>18</v>
      </c>
      <c r="E13" s="124"/>
      <c r="F13" s="124"/>
      <c r="G13" s="81">
        <v>17</v>
      </c>
      <c r="H13" s="82"/>
      <c r="I13" s="85">
        <f t="shared" si="4"/>
        <v>3941</v>
      </c>
      <c r="J13" s="103">
        <f>D13-H13</f>
        <v>18</v>
      </c>
      <c r="K13" s="55"/>
      <c r="L13" s="130">
        <v>10</v>
      </c>
      <c r="M13" s="130"/>
      <c r="N13" s="130">
        <v>7</v>
      </c>
      <c r="O13" s="130"/>
      <c r="P13" s="130"/>
      <c r="Q13" s="131"/>
      <c r="R13" s="106">
        <f>L13+N13+P13</f>
        <v>17</v>
      </c>
      <c r="S13" s="134">
        <f>M13+O13+Q13</f>
        <v>0</v>
      </c>
      <c r="T13" s="55"/>
      <c r="U13" s="140">
        <f>L13*24+N13*24+P13*24</f>
        <v>408</v>
      </c>
      <c r="V13" s="144">
        <f t="shared" si="6"/>
        <v>17</v>
      </c>
      <c r="W13" s="142">
        <f>I13*24+J13</f>
        <v>94602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>
        <v>2</v>
      </c>
      <c r="H24" s="76"/>
      <c r="I24" s="76">
        <f t="shared" si="4"/>
        <v>45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/>
      <c r="Q24" s="129"/>
      <c r="R24" s="92">
        <f t="shared" si="7"/>
        <v>2</v>
      </c>
      <c r="S24" s="133">
        <f t="shared" si="7"/>
        <v>0</v>
      </c>
      <c r="T24" s="42"/>
      <c r="U24" s="116">
        <f t="shared" si="5"/>
        <v>48</v>
      </c>
      <c r="V24" s="139">
        <f t="shared" si="6"/>
        <v>2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123</v>
      </c>
      <c r="D26" s="120">
        <v>11</v>
      </c>
      <c r="E26" s="121"/>
      <c r="F26" s="121"/>
      <c r="G26" s="79">
        <v>1</v>
      </c>
      <c r="H26" s="76"/>
      <c r="I26" s="76">
        <f t="shared" si="4"/>
        <v>122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>
        <v>4</v>
      </c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>
        <v>4</v>
      </c>
      <c r="O27" s="121"/>
      <c r="P27" s="121"/>
      <c r="Q27" s="129"/>
      <c r="R27" s="92">
        <f t="shared" si="7"/>
        <v>4</v>
      </c>
      <c r="S27" s="133">
        <f t="shared" si="7"/>
        <v>0</v>
      </c>
      <c r="T27" s="42"/>
      <c r="U27" s="116">
        <f t="shared" si="5"/>
        <v>96</v>
      </c>
      <c r="V27" s="139">
        <f t="shared" si="6"/>
        <v>4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97</v>
      </c>
      <c r="D29" s="120"/>
      <c r="E29" s="121"/>
      <c r="F29" s="121"/>
      <c r="G29" s="79">
        <v>2</v>
      </c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>
        <v>2</v>
      </c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>
        <v>11</v>
      </c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>
        <v>11</v>
      </c>
      <c r="O32" s="121"/>
      <c r="P32" s="121"/>
      <c r="Q32" s="129"/>
      <c r="R32" s="92">
        <f t="shared" si="7"/>
        <v>11</v>
      </c>
      <c r="S32" s="133">
        <f t="shared" si="7"/>
        <v>0</v>
      </c>
      <c r="T32" s="41"/>
      <c r="U32" s="116">
        <f t="shared" si="5"/>
        <v>264</v>
      </c>
      <c r="V32" s="139">
        <f t="shared" si="6"/>
        <v>11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>
        <v>3</v>
      </c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>
        <v>3</v>
      </c>
      <c r="O34" s="121"/>
      <c r="P34" s="121"/>
      <c r="Q34" s="129"/>
      <c r="R34" s="92">
        <f t="shared" si="7"/>
        <v>3</v>
      </c>
      <c r="S34" s="133">
        <f t="shared" si="7"/>
        <v>0</v>
      </c>
      <c r="T34" s="41"/>
      <c r="U34" s="116">
        <f t="shared" si="5"/>
        <v>72</v>
      </c>
      <c r="V34" s="139">
        <f t="shared" si="6"/>
        <v>3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4352</v>
      </c>
      <c r="D38" s="123">
        <v>2</v>
      </c>
      <c r="E38" s="124"/>
      <c r="F38" s="124"/>
      <c r="G38" s="81">
        <v>34</v>
      </c>
      <c r="H38" s="82"/>
      <c r="I38" s="148">
        <f t="shared" si="4"/>
        <v>4318</v>
      </c>
      <c r="J38" s="149">
        <f t="shared" si="4"/>
        <v>2</v>
      </c>
      <c r="K38" s="53"/>
      <c r="L38" s="130">
        <v>10</v>
      </c>
      <c r="M38" s="130"/>
      <c r="N38" s="130">
        <v>24</v>
      </c>
      <c r="O38" s="130"/>
      <c r="P38" s="130"/>
      <c r="Q38" s="131"/>
      <c r="R38" s="106">
        <f t="shared" si="7"/>
        <v>34</v>
      </c>
      <c r="S38" s="134">
        <f t="shared" si="7"/>
        <v>0</v>
      </c>
      <c r="T38" s="53"/>
      <c r="U38" s="140">
        <f>L38*6+N38*6+P38*6</f>
        <v>204</v>
      </c>
      <c r="V38" s="144">
        <f>U38/6</f>
        <v>34</v>
      </c>
      <c r="W38" s="142">
        <f>I38*6+J38</f>
        <v>25910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18</v>
      </c>
      <c r="D39" s="120"/>
      <c r="E39" s="121"/>
      <c r="F39" s="121"/>
      <c r="G39" s="79">
        <v>6</v>
      </c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>
        <v>6</v>
      </c>
      <c r="O39" s="121"/>
      <c r="P39" s="121"/>
      <c r="Q39" s="129"/>
      <c r="R39" s="105">
        <f t="shared" si="7"/>
        <v>6</v>
      </c>
      <c r="S39" s="135">
        <f t="shared" si="7"/>
        <v>0</v>
      </c>
      <c r="T39" s="41"/>
      <c r="U39" s="116">
        <f t="shared" ref="U39:U41" si="9">L39*24+N39*24+P39*24</f>
        <v>144</v>
      </c>
      <c r="V39" s="118">
        <f t="shared" si="6"/>
        <v>6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1450</v>
      </c>
      <c r="D42" s="173"/>
      <c r="E42" s="174"/>
      <c r="F42" s="174"/>
      <c r="G42" s="175">
        <v>1</v>
      </c>
      <c r="H42" s="176"/>
      <c r="I42" s="175">
        <f t="shared" si="4"/>
        <v>1449</v>
      </c>
      <c r="J42" s="177">
        <f t="shared" si="4"/>
        <v>0</v>
      </c>
      <c r="K42" s="178"/>
      <c r="L42" s="174"/>
      <c r="M42" s="174"/>
      <c r="N42" s="174">
        <v>1</v>
      </c>
      <c r="O42" s="174"/>
      <c r="P42" s="174"/>
      <c r="Q42" s="179"/>
      <c r="R42" s="180">
        <f t="shared" si="7"/>
        <v>1</v>
      </c>
      <c r="S42" s="181">
        <f t="shared" si="7"/>
        <v>0</v>
      </c>
      <c r="T42" s="178"/>
      <c r="U42" s="182">
        <f>L42*12+N42*12+P42*12</f>
        <v>12</v>
      </c>
      <c r="V42" s="183">
        <f>U42/12</f>
        <v>1</v>
      </c>
      <c r="W42" s="184">
        <f>I42*12+J42</f>
        <v>17388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31939</v>
      </c>
      <c r="D44" s="123">
        <v>4</v>
      </c>
      <c r="E44" s="124"/>
      <c r="F44" s="124"/>
      <c r="G44" s="81">
        <v>623</v>
      </c>
      <c r="H44" s="82"/>
      <c r="I44" s="76">
        <f>C44+E44-G44</f>
        <v>31316</v>
      </c>
      <c r="J44" s="186">
        <f t="shared" si="4"/>
        <v>4</v>
      </c>
      <c r="K44" s="53"/>
      <c r="L44" s="130">
        <v>377</v>
      </c>
      <c r="M44" s="130"/>
      <c r="N44" s="130">
        <v>246</v>
      </c>
      <c r="O44" s="130"/>
      <c r="P44" s="130"/>
      <c r="Q44" s="131"/>
      <c r="R44" s="187">
        <f t="shared" si="7"/>
        <v>623</v>
      </c>
      <c r="S44" s="188">
        <f t="shared" si="7"/>
        <v>0</v>
      </c>
      <c r="T44" s="53"/>
      <c r="U44" s="140">
        <f>L44*6+N44*6+P44*6</f>
        <v>3738</v>
      </c>
      <c r="V44" s="139">
        <f>U44/6</f>
        <v>623</v>
      </c>
      <c r="W44" s="142">
        <f>I44*6+J44</f>
        <v>187900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>
        <v>4</v>
      </c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>
        <v>4</v>
      </c>
      <c r="O47" s="121"/>
      <c r="P47" s="121"/>
      <c r="Q47" s="129"/>
      <c r="R47" s="92">
        <f t="shared" si="7"/>
        <v>4</v>
      </c>
      <c r="S47" s="133">
        <f t="shared" si="7"/>
        <v>0</v>
      </c>
      <c r="T47" s="41"/>
      <c r="U47" s="116">
        <f t="shared" si="11"/>
        <v>96</v>
      </c>
      <c r="V47" s="139">
        <f t="shared" si="12"/>
        <v>4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>
        <v>1</v>
      </c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>
        <v>1</v>
      </c>
      <c r="O54" s="121"/>
      <c r="P54" s="121"/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45493</v>
      </c>
      <c r="D60" s="57">
        <f>SUM(D8:D59)</f>
        <v>77</v>
      </c>
      <c r="E60" s="44">
        <f>SUM(E8:E59)</f>
        <v>0</v>
      </c>
      <c r="F60" s="44"/>
      <c r="G60" s="28">
        <f>SUM(G8:G59)</f>
        <v>739</v>
      </c>
      <c r="H60" s="59">
        <f>SUM(H8:H59)</f>
        <v>0</v>
      </c>
      <c r="I60" s="59">
        <f>SUM(I8:I59)</f>
        <v>44754</v>
      </c>
      <c r="J60" s="45">
        <f>SUM(J8:J59)</f>
        <v>77</v>
      </c>
      <c r="K60" s="46"/>
      <c r="L60" s="77">
        <f t="shared" ref="L60:S60" si="20">SUM(L8:L59)</f>
        <v>400</v>
      </c>
      <c r="M60" s="77">
        <f t="shared" si="20"/>
        <v>0</v>
      </c>
      <c r="N60" s="77">
        <f t="shared" si="20"/>
        <v>339</v>
      </c>
      <c r="O60" s="77">
        <f t="shared" si="20"/>
        <v>0</v>
      </c>
      <c r="P60" s="77">
        <f t="shared" si="20"/>
        <v>1</v>
      </c>
      <c r="Q60" s="78">
        <f t="shared" si="20"/>
        <v>0</v>
      </c>
      <c r="R60" s="91">
        <f t="shared" si="20"/>
        <v>740</v>
      </c>
      <c r="S60" s="90">
        <f t="shared" si="20"/>
        <v>0</v>
      </c>
      <c r="T60" s="46"/>
      <c r="U60" s="43">
        <f>SUM(U8:U59)</f>
        <v>5922</v>
      </c>
      <c r="V60" s="111">
        <f>SUM(V8:V59)</f>
        <v>740</v>
      </c>
      <c r="W60" s="204">
        <f>SUM(W8:W59)</f>
        <v>372479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6B4F-BBDA-4848-8850-351661DB2A3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46087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210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/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/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3941</v>
      </c>
      <c r="D13" s="123">
        <v>18</v>
      </c>
      <c r="E13" s="124"/>
      <c r="F13" s="124"/>
      <c r="G13" s="81">
        <v>13</v>
      </c>
      <c r="H13" s="82">
        <v>13</v>
      </c>
      <c r="I13" s="85">
        <f t="shared" si="4"/>
        <v>3928</v>
      </c>
      <c r="J13" s="103">
        <f>D13-H13</f>
        <v>5</v>
      </c>
      <c r="K13" s="55"/>
      <c r="L13" s="130"/>
      <c r="M13" s="130"/>
      <c r="N13" s="130"/>
      <c r="O13" s="130"/>
      <c r="P13" s="130">
        <v>13</v>
      </c>
      <c r="Q13" s="131">
        <v>13</v>
      </c>
      <c r="R13" s="106">
        <f>L13+N13+P13</f>
        <v>13</v>
      </c>
      <c r="S13" s="134">
        <f>M13+O13+Q13</f>
        <v>13</v>
      </c>
      <c r="T13" s="55"/>
      <c r="U13" s="140">
        <f>L13*24+N13*24+P13*24</f>
        <v>312</v>
      </c>
      <c r="V13" s="144">
        <f t="shared" si="6"/>
        <v>13</v>
      </c>
      <c r="W13" s="142">
        <f>I13*24+J13</f>
        <v>94277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/>
      <c r="H24" s="76"/>
      <c r="I24" s="76">
        <f t="shared" si="4"/>
        <v>45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/>
      <c r="H26" s="76"/>
      <c r="I26" s="76">
        <f t="shared" si="4"/>
        <v>122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/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/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4318</v>
      </c>
      <c r="D38" s="123">
        <v>2</v>
      </c>
      <c r="E38" s="124"/>
      <c r="F38" s="124"/>
      <c r="G38" s="81">
        <v>111</v>
      </c>
      <c r="H38" s="82"/>
      <c r="I38" s="148">
        <f t="shared" si="4"/>
        <v>4207</v>
      </c>
      <c r="J38" s="149">
        <f t="shared" si="4"/>
        <v>2</v>
      </c>
      <c r="K38" s="53"/>
      <c r="L38" s="130"/>
      <c r="M38" s="130"/>
      <c r="N38" s="130"/>
      <c r="O38" s="130"/>
      <c r="P38" s="130">
        <v>111</v>
      </c>
      <c r="Q38" s="131"/>
      <c r="R38" s="106">
        <f t="shared" si="7"/>
        <v>111</v>
      </c>
      <c r="S38" s="134">
        <f t="shared" si="7"/>
        <v>0</v>
      </c>
      <c r="T38" s="53"/>
      <c r="U38" s="140">
        <f>L38*6+N38*6+P38*6</f>
        <v>666</v>
      </c>
      <c r="V38" s="144">
        <f>U38/6</f>
        <v>111</v>
      </c>
      <c r="W38" s="142">
        <f>I38*6+J38</f>
        <v>25244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1449</v>
      </c>
      <c r="D42" s="173"/>
      <c r="E42" s="174"/>
      <c r="F42" s="174"/>
      <c r="G42" s="175">
        <v>10</v>
      </c>
      <c r="H42" s="176"/>
      <c r="I42" s="175">
        <f t="shared" si="4"/>
        <v>1439</v>
      </c>
      <c r="J42" s="177">
        <f t="shared" si="4"/>
        <v>0</v>
      </c>
      <c r="K42" s="178"/>
      <c r="L42" s="174"/>
      <c r="M42" s="174"/>
      <c r="N42" s="174"/>
      <c r="O42" s="174"/>
      <c r="P42" s="174">
        <v>10</v>
      </c>
      <c r="Q42" s="179"/>
      <c r="R42" s="180">
        <f t="shared" si="7"/>
        <v>10</v>
      </c>
      <c r="S42" s="181">
        <f t="shared" si="7"/>
        <v>0</v>
      </c>
      <c r="T42" s="178"/>
      <c r="U42" s="182">
        <f>L42*12+N42*12+P42*12</f>
        <v>120</v>
      </c>
      <c r="V42" s="183">
        <f>U42/12</f>
        <v>10</v>
      </c>
      <c r="W42" s="184">
        <f>I42*12+J42</f>
        <v>17268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31316</v>
      </c>
      <c r="D44" s="123">
        <v>4</v>
      </c>
      <c r="E44" s="124"/>
      <c r="F44" s="124"/>
      <c r="G44" s="81">
        <v>355</v>
      </c>
      <c r="H44" s="82"/>
      <c r="I44" s="76">
        <f>C44+E44-G44</f>
        <v>30961</v>
      </c>
      <c r="J44" s="186">
        <f t="shared" si="4"/>
        <v>4</v>
      </c>
      <c r="K44" s="53"/>
      <c r="L44" s="130"/>
      <c r="M44" s="130"/>
      <c r="N44" s="130"/>
      <c r="O44" s="130"/>
      <c r="P44" s="130">
        <v>355</v>
      </c>
      <c r="Q44" s="131"/>
      <c r="R44" s="187">
        <f t="shared" si="7"/>
        <v>355</v>
      </c>
      <c r="S44" s="188">
        <f t="shared" si="7"/>
        <v>0</v>
      </c>
      <c r="T44" s="53"/>
      <c r="U44" s="140">
        <f>L44*6+N44*6+P44*6</f>
        <v>2130</v>
      </c>
      <c r="V44" s="139">
        <f>U44/6</f>
        <v>355</v>
      </c>
      <c r="W44" s="142">
        <f>I44*6+J44</f>
        <v>185770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f>2349</f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44754</v>
      </c>
      <c r="D60" s="57">
        <f>SUM(D8:D59)</f>
        <v>77</v>
      </c>
      <c r="E60" s="44">
        <f>SUM(E8:E59)</f>
        <v>0</v>
      </c>
      <c r="F60" s="44"/>
      <c r="G60" s="28">
        <f>SUM(G8:G59)</f>
        <v>489</v>
      </c>
      <c r="H60" s="59">
        <f>SUM(H8:H59)</f>
        <v>13</v>
      </c>
      <c r="I60" s="59">
        <f>SUM(I8:I59)</f>
        <v>44265</v>
      </c>
      <c r="J60" s="45">
        <f>SUM(J8:J59)</f>
        <v>64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489</v>
      </c>
      <c r="Q60" s="78">
        <f t="shared" si="20"/>
        <v>13</v>
      </c>
      <c r="R60" s="91">
        <f t="shared" si="20"/>
        <v>489</v>
      </c>
      <c r="S60" s="90">
        <f t="shared" si="20"/>
        <v>13</v>
      </c>
      <c r="T60" s="46"/>
      <c r="U60" s="43">
        <f>SUM(U8:U59)</f>
        <v>3228</v>
      </c>
      <c r="V60" s="111">
        <f>SUM(V8:V59)</f>
        <v>489</v>
      </c>
      <c r="W60" s="204">
        <f>SUM(W8:W59)</f>
        <v>369238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8" t="s">
        <v>3</v>
      </c>
      <c r="D69" s="209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D743-CA9C-4AAC-8035-6E5856B3D30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46088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213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>
        <v>18</v>
      </c>
      <c r="H10" s="76"/>
      <c r="I10" s="76">
        <f t="shared" si="4"/>
        <v>33</v>
      </c>
      <c r="J10" s="104">
        <f t="shared" si="0"/>
        <v>0</v>
      </c>
      <c r="K10" s="41"/>
      <c r="L10" s="121">
        <v>2</v>
      </c>
      <c r="M10" s="121"/>
      <c r="N10" s="121">
        <v>1</v>
      </c>
      <c r="O10" s="121"/>
      <c r="P10" s="121">
        <v>15</v>
      </c>
      <c r="Q10" s="129"/>
      <c r="R10" s="108">
        <f t="shared" si="1"/>
        <v>18</v>
      </c>
      <c r="S10" s="135">
        <f t="shared" si="1"/>
        <v>0</v>
      </c>
      <c r="T10" s="41"/>
      <c r="U10" s="116">
        <f>L10*24+N10*24+P10*24</f>
        <v>432</v>
      </c>
      <c r="V10" s="143">
        <f>U10/24</f>
        <v>18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>
        <v>16</v>
      </c>
      <c r="H11" s="76"/>
      <c r="I11" s="76">
        <f t="shared" si="4"/>
        <v>7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15</v>
      </c>
      <c r="Q11" s="129"/>
      <c r="R11" s="92">
        <f t="shared" si="1"/>
        <v>16</v>
      </c>
      <c r="S11" s="133">
        <f t="shared" si="1"/>
        <v>0</v>
      </c>
      <c r="T11" s="41"/>
      <c r="U11" s="116">
        <f>L11*24+N11*24+P11*24</f>
        <v>384</v>
      </c>
      <c r="V11" s="139">
        <f>U11/24</f>
        <v>16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3928</v>
      </c>
      <c r="D13" s="123">
        <v>5</v>
      </c>
      <c r="E13" s="124"/>
      <c r="F13" s="124"/>
      <c r="G13" s="81">
        <v>30</v>
      </c>
      <c r="H13" s="82"/>
      <c r="I13" s="85">
        <f t="shared" si="4"/>
        <v>3898</v>
      </c>
      <c r="J13" s="103">
        <f>D13-H13</f>
        <v>5</v>
      </c>
      <c r="K13" s="55"/>
      <c r="L13" s="130">
        <v>1</v>
      </c>
      <c r="M13" s="130"/>
      <c r="N13" s="130">
        <v>10</v>
      </c>
      <c r="O13" s="130"/>
      <c r="P13" s="130">
        <v>19</v>
      </c>
      <c r="Q13" s="131"/>
      <c r="R13" s="106">
        <f>L13+N13+P13</f>
        <v>30</v>
      </c>
      <c r="S13" s="134">
        <f>M13+O13+Q13</f>
        <v>0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93557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>
        <v>3</v>
      </c>
      <c r="H24" s="76"/>
      <c r="I24" s="76">
        <f t="shared" si="4"/>
        <v>42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1008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>
        <v>2</v>
      </c>
      <c r="H26" s="76"/>
      <c r="I26" s="76">
        <f t="shared" si="4"/>
        <v>120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>
        <v>5</v>
      </c>
      <c r="H29" s="76"/>
      <c r="I29" s="76">
        <f t="shared" si="4"/>
        <v>90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2</v>
      </c>
      <c r="Q29" s="129"/>
      <c r="R29" s="92">
        <f t="shared" si="7"/>
        <v>5</v>
      </c>
      <c r="S29" s="133">
        <f t="shared" si="7"/>
        <v>0</v>
      </c>
      <c r="T29" s="42"/>
      <c r="U29" s="116">
        <f t="shared" si="5"/>
        <v>120</v>
      </c>
      <c r="V29" s="139">
        <f t="shared" si="6"/>
        <v>5</v>
      </c>
      <c r="W29" s="138">
        <f t="shared" si="8"/>
        <v>2160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>
        <v>2</v>
      </c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>
        <v>2</v>
      </c>
      <c r="Q32" s="129"/>
      <c r="R32" s="92">
        <f t="shared" si="7"/>
        <v>2</v>
      </c>
      <c r="S32" s="133">
        <f t="shared" si="7"/>
        <v>0</v>
      </c>
      <c r="T32" s="41"/>
      <c r="U32" s="116">
        <f t="shared" si="5"/>
        <v>48</v>
      </c>
      <c r="V32" s="139">
        <f t="shared" si="6"/>
        <v>2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4207</v>
      </c>
      <c r="D38" s="123">
        <v>2</v>
      </c>
      <c r="E38" s="124"/>
      <c r="F38" s="124"/>
      <c r="G38" s="81">
        <v>144</v>
      </c>
      <c r="H38" s="82"/>
      <c r="I38" s="148">
        <f t="shared" si="4"/>
        <v>4063</v>
      </c>
      <c r="J38" s="149">
        <f t="shared" si="4"/>
        <v>2</v>
      </c>
      <c r="K38" s="53"/>
      <c r="L38" s="130">
        <v>17</v>
      </c>
      <c r="M38" s="130"/>
      <c r="N38" s="130">
        <v>68</v>
      </c>
      <c r="O38" s="130"/>
      <c r="P38" s="130">
        <v>59</v>
      </c>
      <c r="Q38" s="131"/>
      <c r="R38" s="106">
        <f t="shared" si="7"/>
        <v>144</v>
      </c>
      <c r="S38" s="134">
        <f t="shared" si="7"/>
        <v>0</v>
      </c>
      <c r="T38" s="53"/>
      <c r="U38" s="140">
        <f>L38*6+N38*6+P38*6</f>
        <v>864</v>
      </c>
      <c r="V38" s="144">
        <f>U38/6</f>
        <v>144</v>
      </c>
      <c r="W38" s="142">
        <f>I38*6+J38</f>
        <v>24380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>
        <v>50</v>
      </c>
      <c r="H41" s="159"/>
      <c r="I41" s="160">
        <f t="shared" si="4"/>
        <v>508</v>
      </c>
      <c r="J41" s="161">
        <f t="shared" si="4"/>
        <v>0</v>
      </c>
      <c r="K41" s="162"/>
      <c r="L41" s="163">
        <v>50</v>
      </c>
      <c r="M41" s="163"/>
      <c r="N41" s="163"/>
      <c r="O41" s="163"/>
      <c r="P41" s="163"/>
      <c r="Q41" s="164"/>
      <c r="R41" s="165">
        <f t="shared" si="7"/>
        <v>50</v>
      </c>
      <c r="S41" s="166">
        <f t="shared" si="7"/>
        <v>0</v>
      </c>
      <c r="T41" s="162"/>
      <c r="U41" s="167">
        <f t="shared" si="9"/>
        <v>1200</v>
      </c>
      <c r="V41" s="168">
        <f t="shared" si="6"/>
        <v>50</v>
      </c>
      <c r="W41" s="168">
        <f t="shared" si="10"/>
        <v>12192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1439</v>
      </c>
      <c r="D42" s="173"/>
      <c r="E42" s="174"/>
      <c r="F42" s="174"/>
      <c r="G42" s="175">
        <v>16</v>
      </c>
      <c r="H42" s="176"/>
      <c r="I42" s="175">
        <f t="shared" si="4"/>
        <v>1423</v>
      </c>
      <c r="J42" s="177">
        <f t="shared" si="4"/>
        <v>0</v>
      </c>
      <c r="K42" s="178"/>
      <c r="L42" s="174"/>
      <c r="M42" s="174"/>
      <c r="N42" s="174">
        <v>4</v>
      </c>
      <c r="O42" s="174"/>
      <c r="P42" s="174">
        <v>12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17076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30961</v>
      </c>
      <c r="D44" s="123">
        <v>4</v>
      </c>
      <c r="E44" s="124"/>
      <c r="F44" s="124"/>
      <c r="G44" s="81">
        <v>1136</v>
      </c>
      <c r="H44" s="82"/>
      <c r="I44" s="76">
        <f>C44+E44-G44</f>
        <v>29825</v>
      </c>
      <c r="J44" s="186">
        <f t="shared" si="4"/>
        <v>4</v>
      </c>
      <c r="K44" s="53"/>
      <c r="L44" s="130">
        <v>319</v>
      </c>
      <c r="M44" s="130"/>
      <c r="N44" s="130">
        <v>385</v>
      </c>
      <c r="O44" s="130"/>
      <c r="P44" s="130">
        <v>432</v>
      </c>
      <c r="Q44" s="131"/>
      <c r="R44" s="187">
        <f t="shared" si="7"/>
        <v>1136</v>
      </c>
      <c r="S44" s="188">
        <f t="shared" si="7"/>
        <v>0</v>
      </c>
      <c r="T44" s="53"/>
      <c r="U44" s="140">
        <f>L44*6+N44*6+P44*6</f>
        <v>6816</v>
      </c>
      <c r="V44" s="139">
        <f>U44/6</f>
        <v>1136</v>
      </c>
      <c r="W44" s="142">
        <f>I44*6+J44</f>
        <v>178954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>
        <v>1</v>
      </c>
      <c r="H48" s="148"/>
      <c r="I48" s="148">
        <f t="shared" si="4"/>
        <v>2348</v>
      </c>
      <c r="J48" s="149">
        <f t="shared" si="4"/>
        <v>4</v>
      </c>
      <c r="K48" s="53"/>
      <c r="L48" s="130">
        <v>1</v>
      </c>
      <c r="M48" s="130"/>
      <c r="N48" s="130"/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44265</v>
      </c>
      <c r="D60" s="57">
        <f>SUM(D8:D59)</f>
        <v>64</v>
      </c>
      <c r="E60" s="44">
        <f>SUM(E8:E59)</f>
        <v>0</v>
      </c>
      <c r="F60" s="44"/>
      <c r="G60" s="28">
        <f>SUM(G8:G59)</f>
        <v>1423</v>
      </c>
      <c r="H60" s="59">
        <f>SUM(H8:H59)</f>
        <v>0</v>
      </c>
      <c r="I60" s="59">
        <f>SUM(I8:I59)</f>
        <v>42842</v>
      </c>
      <c r="J60" s="45">
        <f>SUM(J8:J59)</f>
        <v>64</v>
      </c>
      <c r="K60" s="46"/>
      <c r="L60" s="77">
        <f t="shared" ref="L60:S60" si="20">SUM(L8:L59)</f>
        <v>396</v>
      </c>
      <c r="M60" s="77">
        <f t="shared" si="20"/>
        <v>0</v>
      </c>
      <c r="N60" s="77">
        <f t="shared" si="20"/>
        <v>470</v>
      </c>
      <c r="O60" s="77">
        <f t="shared" si="20"/>
        <v>0</v>
      </c>
      <c r="P60" s="77">
        <f t="shared" si="20"/>
        <v>557</v>
      </c>
      <c r="Q60" s="78">
        <f t="shared" si="20"/>
        <v>0</v>
      </c>
      <c r="R60" s="91">
        <f t="shared" si="20"/>
        <v>1423</v>
      </c>
      <c r="S60" s="90">
        <f t="shared" si="20"/>
        <v>0</v>
      </c>
      <c r="T60" s="46"/>
      <c r="U60" s="43">
        <f>SUM(U8:U59)</f>
        <v>10902</v>
      </c>
      <c r="V60" s="111">
        <f>SUM(V8:V59)</f>
        <v>1423</v>
      </c>
      <c r="W60" s="204">
        <f>SUM(W8:W59)</f>
        <v>358336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4B190-FADE-4B77-A489-9A603665542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46090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213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9D48-D6D6-479F-B839-87AFD04FE0ED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2">
        <v>46091</v>
      </c>
      <c r="Q1" s="223"/>
      <c r="R1" s="223"/>
      <c r="S1" s="223"/>
      <c r="T1" s="223"/>
      <c r="U1" s="223"/>
      <c r="V1" s="223"/>
      <c r="W1" s="223"/>
      <c r="X1" s="22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5" t="s">
        <v>74</v>
      </c>
      <c r="C4" s="226" t="s">
        <v>3</v>
      </c>
      <c r="D4" s="227" t="s">
        <v>75</v>
      </c>
      <c r="E4" s="228" t="s">
        <v>4</v>
      </c>
      <c r="F4" s="229"/>
      <c r="G4" s="230" t="s">
        <v>5</v>
      </c>
      <c r="H4" s="232" t="s">
        <v>75</v>
      </c>
      <c r="I4" s="234" t="s">
        <v>6</v>
      </c>
      <c r="J4" s="232" t="s">
        <v>75</v>
      </c>
      <c r="L4" s="236" t="s">
        <v>7</v>
      </c>
      <c r="M4" s="237"/>
      <c r="N4" s="237"/>
      <c r="O4" s="237"/>
      <c r="P4" s="237"/>
      <c r="Q4" s="237"/>
      <c r="R4" s="237"/>
      <c r="S4" s="237"/>
      <c r="T4" s="237"/>
      <c r="U4" s="237"/>
      <c r="V4" s="238"/>
      <c r="W4" s="237"/>
      <c r="X4" s="239"/>
    </row>
    <row r="5" spans="1:60" s="3" customFormat="1" ht="57" thickBot="1" x14ac:dyDescent="0.3">
      <c r="A5" s="49"/>
      <c r="B5" s="225"/>
      <c r="C5" s="226"/>
      <c r="D5" s="227"/>
      <c r="E5" s="48" t="s">
        <v>8</v>
      </c>
      <c r="F5" s="216" t="s">
        <v>9</v>
      </c>
      <c r="G5" s="231"/>
      <c r="H5" s="233"/>
      <c r="I5" s="235"/>
      <c r="J5" s="233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17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18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19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20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20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21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4" t="s">
        <v>3</v>
      </c>
      <c r="D69" s="215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EXAMPLE</vt:lpstr>
      <vt:lpstr>02,05 PROMO</vt:lpstr>
      <vt:lpstr>03,02</vt:lpstr>
      <vt:lpstr>03,03</vt:lpstr>
      <vt:lpstr>03,04</vt:lpstr>
      <vt:lpstr>03,05</vt:lpstr>
      <vt:lpstr>03,06</vt:lpstr>
      <vt:lpstr>03,07</vt:lpstr>
      <vt:lpstr>03,08</vt:lpstr>
      <vt:lpstr>03,10</vt:lpstr>
      <vt:lpstr>'02,05 PROMO'!Print_Area</vt:lpstr>
      <vt:lpstr>'03,02'!Print_Area</vt:lpstr>
      <vt:lpstr>'03,03'!Print_Area</vt:lpstr>
      <vt:lpstr>'03,04'!Print_Area</vt:lpstr>
      <vt:lpstr>'03,05'!Print_Area</vt:lpstr>
      <vt:lpstr>'03,06'!Print_Area</vt:lpstr>
      <vt:lpstr>'03,07'!Print_Area</vt:lpstr>
      <vt:lpstr>'03,08'!Print_Area</vt:lpstr>
      <vt:lpstr>'03,10'!Print_Area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2026-03-09T02:10:36Z</dcterms:modified>
</cp:coreProperties>
</file>