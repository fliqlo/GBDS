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F2588EF-0C9E-4717-BEBB-A34BECA33AB1}" xr6:coauthVersionLast="45" xr6:coauthVersionMax="45" xr10:uidLastSave="{00000000-0000-0000-0000-000000000000}"/>
  <bookViews>
    <workbookView xWindow="-120" yWindow="-120" windowWidth="29040" windowHeight="15840" firstSheet="5" activeTab="21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4" sheetId="101" r:id="rId13"/>
    <sheet name="03,16" sheetId="103" r:id="rId14"/>
    <sheet name="03,17" sheetId="102" r:id="rId15"/>
    <sheet name="03,18" sheetId="104" r:id="rId16"/>
    <sheet name="03,19" sheetId="105" r:id="rId17"/>
    <sheet name="03,20" sheetId="106" r:id="rId18"/>
    <sheet name="03,23" sheetId="108" r:id="rId19"/>
    <sheet name="03,24" sheetId="107" r:id="rId20"/>
    <sheet name="03,25" sheetId="109" r:id="rId21"/>
    <sheet name="03,26" sheetId="110" r:id="rId22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'03,14'!$A$1:$Y$61</definedName>
    <definedName name="_xlnm.Print_Area" localSheetId="13">'03,16'!$A$1:$Y$61</definedName>
    <definedName name="_xlnm.Print_Area" localSheetId="14">'03,17'!$A$1:$Y$61</definedName>
    <definedName name="_xlnm.Print_Area" localSheetId="15">'03,18'!$A$1:$Y$61</definedName>
    <definedName name="_xlnm.Print_Area" localSheetId="16">'03,19'!$A$1:$Y$61</definedName>
    <definedName name="_xlnm.Print_Area" localSheetId="17">'03,20'!$A$1:$Y$61</definedName>
    <definedName name="_xlnm.Print_Area" localSheetId="18">'03,23'!$A$1:$Y$61</definedName>
    <definedName name="_xlnm.Print_Area" localSheetId="19">'03,24'!$A$1:$Y$61</definedName>
    <definedName name="_xlnm.Print_Area" localSheetId="20">'03,25'!$A$1:$Y$61</definedName>
    <definedName name="_xlnm.Print_Area" localSheetId="21">'03,26'!$A$1:$Y$61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10" l="1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W53" i="110"/>
  <c r="V53" i="110"/>
  <c r="U53" i="110"/>
  <c r="S53" i="110"/>
  <c r="R53" i="110"/>
  <c r="J53" i="110"/>
  <c r="I53" i="110"/>
  <c r="U52" i="110"/>
  <c r="V52" i="110" s="1"/>
  <c r="S52" i="110"/>
  <c r="R52" i="110"/>
  <c r="J52" i="110"/>
  <c r="I52" i="110"/>
  <c r="W52" i="110" s="1"/>
  <c r="W51" i="110"/>
  <c r="V51" i="110"/>
  <c r="U51" i="110"/>
  <c r="S51" i="110"/>
  <c r="R51" i="110"/>
  <c r="J51" i="110"/>
  <c r="I51" i="110"/>
  <c r="U50" i="110"/>
  <c r="V50" i="110" s="1"/>
  <c r="S50" i="110"/>
  <c r="R50" i="110"/>
  <c r="J50" i="110"/>
  <c r="I50" i="110"/>
  <c r="W50" i="110" s="1"/>
  <c r="W49" i="110"/>
  <c r="V49" i="110"/>
  <c r="U49" i="110"/>
  <c r="S49" i="110"/>
  <c r="R49" i="110"/>
  <c r="J49" i="110"/>
  <c r="I49" i="110"/>
  <c r="U48" i="110"/>
  <c r="V48" i="110" s="1"/>
  <c r="S48" i="110"/>
  <c r="R48" i="110"/>
  <c r="J48" i="110"/>
  <c r="I48" i="110"/>
  <c r="W48" i="110" s="1"/>
  <c r="W47" i="110"/>
  <c r="V47" i="110"/>
  <c r="U47" i="110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R60" i="110" s="1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V42" i="110"/>
  <c r="U42" i="110"/>
  <c r="S42" i="110"/>
  <c r="R42" i="110"/>
  <c r="J42" i="110"/>
  <c r="I42" i="110"/>
  <c r="W42" i="110" s="1"/>
  <c r="U41" i="110"/>
  <c r="V41" i="110" s="1"/>
  <c r="S41" i="110"/>
  <c r="R41" i="110"/>
  <c r="J41" i="110"/>
  <c r="I41" i="110"/>
  <c r="W41" i="110" s="1"/>
  <c r="V40" i="110"/>
  <c r="U40" i="110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V38" i="110"/>
  <c r="U38" i="110"/>
  <c r="S38" i="110"/>
  <c r="R38" i="110"/>
  <c r="J38" i="110"/>
  <c r="I38" i="110"/>
  <c r="W38" i="110" s="1"/>
  <c r="U37" i="110"/>
  <c r="V37" i="110" s="1"/>
  <c r="S37" i="110"/>
  <c r="R37" i="110"/>
  <c r="J37" i="110"/>
  <c r="I37" i="110"/>
  <c r="W37" i="110" s="1"/>
  <c r="V36" i="110"/>
  <c r="U36" i="110"/>
  <c r="S36" i="110"/>
  <c r="R36" i="110"/>
  <c r="J36" i="110"/>
  <c r="I36" i="110"/>
  <c r="W36" i="110" s="1"/>
  <c r="U35" i="110"/>
  <c r="V35" i="110" s="1"/>
  <c r="S35" i="110"/>
  <c r="R35" i="110"/>
  <c r="J35" i="110"/>
  <c r="I35" i="110"/>
  <c r="W35" i="110" s="1"/>
  <c r="V34" i="110"/>
  <c r="U34" i="110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V32" i="110"/>
  <c r="U32" i="110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V30" i="110"/>
  <c r="U30" i="110"/>
  <c r="S30" i="110"/>
  <c r="R30" i="110"/>
  <c r="J30" i="110"/>
  <c r="I30" i="110"/>
  <c r="W30" i="110" s="1"/>
  <c r="U29" i="110"/>
  <c r="V29" i="110" s="1"/>
  <c r="S29" i="110"/>
  <c r="R29" i="110"/>
  <c r="J29" i="110"/>
  <c r="I29" i="110"/>
  <c r="W29" i="110" s="1"/>
  <c r="V28" i="110"/>
  <c r="U28" i="110"/>
  <c r="S28" i="110"/>
  <c r="R28" i="110"/>
  <c r="J28" i="110"/>
  <c r="I28" i="110"/>
  <c r="W28" i="110" s="1"/>
  <c r="U27" i="110"/>
  <c r="U60" i="110" s="1"/>
  <c r="S27" i="110"/>
  <c r="R27" i="110"/>
  <c r="J27" i="110"/>
  <c r="I27" i="110"/>
  <c r="W27" i="110" s="1"/>
  <c r="BE26" i="110"/>
  <c r="W26" i="110"/>
  <c r="V26" i="110"/>
  <c r="U26" i="110"/>
  <c r="S26" i="110"/>
  <c r="R26" i="110"/>
  <c r="J26" i="110"/>
  <c r="I26" i="110"/>
  <c r="V25" i="110"/>
  <c r="U25" i="110"/>
  <c r="S25" i="110"/>
  <c r="R25" i="110"/>
  <c r="J25" i="110"/>
  <c r="I25" i="110"/>
  <c r="W25" i="110" s="1"/>
  <c r="W24" i="110"/>
  <c r="V24" i="110"/>
  <c r="U24" i="110"/>
  <c r="S24" i="110"/>
  <c r="R24" i="110"/>
  <c r="J24" i="110"/>
  <c r="I24" i="110"/>
  <c r="V23" i="110"/>
  <c r="U23" i="110"/>
  <c r="S23" i="110"/>
  <c r="R23" i="110"/>
  <c r="J23" i="110"/>
  <c r="I23" i="110"/>
  <c r="W23" i="110" s="1"/>
  <c r="W22" i="110"/>
  <c r="V22" i="110"/>
  <c r="U22" i="110"/>
  <c r="S22" i="110"/>
  <c r="R22" i="110"/>
  <c r="J22" i="110"/>
  <c r="I22" i="110"/>
  <c r="V21" i="110"/>
  <c r="U21" i="110"/>
  <c r="S21" i="110"/>
  <c r="R21" i="110"/>
  <c r="J21" i="110"/>
  <c r="I21" i="110"/>
  <c r="W21" i="110" s="1"/>
  <c r="W20" i="110"/>
  <c r="V20" i="110"/>
  <c r="U20" i="110"/>
  <c r="S20" i="110"/>
  <c r="R20" i="110"/>
  <c r="J20" i="110"/>
  <c r="I20" i="110"/>
  <c r="V19" i="110"/>
  <c r="U19" i="110"/>
  <c r="S19" i="110"/>
  <c r="R19" i="110"/>
  <c r="J19" i="110"/>
  <c r="I19" i="110"/>
  <c r="W19" i="110" s="1"/>
  <c r="W18" i="110"/>
  <c r="V18" i="110"/>
  <c r="U18" i="110"/>
  <c r="S18" i="110"/>
  <c r="R18" i="110"/>
  <c r="J18" i="110"/>
  <c r="I18" i="110"/>
  <c r="V17" i="110"/>
  <c r="U17" i="110"/>
  <c r="S17" i="110"/>
  <c r="R17" i="110"/>
  <c r="J17" i="110"/>
  <c r="I17" i="110"/>
  <c r="W17" i="110" s="1"/>
  <c r="W16" i="110"/>
  <c r="V16" i="110"/>
  <c r="U16" i="110"/>
  <c r="S16" i="110"/>
  <c r="R16" i="110"/>
  <c r="J16" i="110"/>
  <c r="I16" i="110"/>
  <c r="V15" i="110"/>
  <c r="U15" i="110"/>
  <c r="S15" i="110"/>
  <c r="R15" i="110"/>
  <c r="J15" i="110"/>
  <c r="I15" i="110"/>
  <c r="W15" i="110" s="1"/>
  <c r="W14" i="110"/>
  <c r="V14" i="110"/>
  <c r="U14" i="110"/>
  <c r="S14" i="110"/>
  <c r="R14" i="110"/>
  <c r="J14" i="110"/>
  <c r="I14" i="110"/>
  <c r="V13" i="110"/>
  <c r="U13" i="110"/>
  <c r="S13" i="110"/>
  <c r="R13" i="110"/>
  <c r="J13" i="110"/>
  <c r="I13" i="110"/>
  <c r="W13" i="110" s="1"/>
  <c r="W12" i="110"/>
  <c r="V12" i="110"/>
  <c r="U12" i="110"/>
  <c r="S12" i="110"/>
  <c r="R12" i="110"/>
  <c r="J12" i="110"/>
  <c r="I12" i="110"/>
  <c r="V11" i="110"/>
  <c r="U11" i="110"/>
  <c r="S11" i="110"/>
  <c r="R11" i="110"/>
  <c r="J11" i="110"/>
  <c r="I11" i="110"/>
  <c r="W11" i="110" s="1"/>
  <c r="W10" i="110"/>
  <c r="V10" i="110"/>
  <c r="U10" i="110"/>
  <c r="S10" i="110"/>
  <c r="R10" i="110"/>
  <c r="J10" i="110"/>
  <c r="I10" i="110"/>
  <c r="A10" i="110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9" i="110"/>
  <c r="U9" i="110"/>
  <c r="S9" i="110"/>
  <c r="R9" i="110"/>
  <c r="J9" i="110"/>
  <c r="I9" i="110"/>
  <c r="W9" i="110" s="1"/>
  <c r="A9" i="110"/>
  <c r="W8" i="110"/>
  <c r="V8" i="110"/>
  <c r="U8" i="110"/>
  <c r="S8" i="110"/>
  <c r="S60" i="110" s="1"/>
  <c r="R8" i="110"/>
  <c r="J8" i="110"/>
  <c r="J60" i="110" s="1"/>
  <c r="I8" i="110"/>
  <c r="I60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U54" i="109"/>
  <c r="V54" i="109" s="1"/>
  <c r="S54" i="109"/>
  <c r="R54" i="109"/>
  <c r="J54" i="109"/>
  <c r="I54" i="109"/>
  <c r="W54" i="109" s="1"/>
  <c r="U53" i="109"/>
  <c r="V53" i="109" s="1"/>
  <c r="S53" i="109"/>
  <c r="R53" i="109"/>
  <c r="J53" i="109"/>
  <c r="I53" i="109"/>
  <c r="W53" i="109" s="1"/>
  <c r="U52" i="109"/>
  <c r="V52" i="109" s="1"/>
  <c r="S52" i="109"/>
  <c r="R52" i="109"/>
  <c r="J52" i="109"/>
  <c r="I52" i="109"/>
  <c r="W52" i="109" s="1"/>
  <c r="U51" i="109"/>
  <c r="V51" i="109" s="1"/>
  <c r="S51" i="109"/>
  <c r="R51" i="109"/>
  <c r="J51" i="109"/>
  <c r="I51" i="109"/>
  <c r="W51" i="109" s="1"/>
  <c r="U50" i="109"/>
  <c r="V50" i="109" s="1"/>
  <c r="S50" i="109"/>
  <c r="R50" i="109"/>
  <c r="J50" i="109"/>
  <c r="I50" i="109"/>
  <c r="W50" i="109" s="1"/>
  <c r="U49" i="109"/>
  <c r="V49" i="109" s="1"/>
  <c r="S49" i="109"/>
  <c r="R49" i="109"/>
  <c r="J49" i="109"/>
  <c r="I49" i="109"/>
  <c r="U48" i="109"/>
  <c r="V48" i="109" s="1"/>
  <c r="S48" i="109"/>
  <c r="R48" i="109"/>
  <c r="J48" i="109"/>
  <c r="I48" i="109"/>
  <c r="W48" i="109" s="1"/>
  <c r="U47" i="109"/>
  <c r="V47" i="109" s="1"/>
  <c r="S47" i="109"/>
  <c r="R47" i="109"/>
  <c r="J47" i="109"/>
  <c r="I47" i="109"/>
  <c r="W47" i="109" s="1"/>
  <c r="U46" i="109"/>
  <c r="V46" i="109" s="1"/>
  <c r="S46" i="109"/>
  <c r="R46" i="109"/>
  <c r="J46" i="109"/>
  <c r="I46" i="109"/>
  <c r="W46" i="109" s="1"/>
  <c r="S45" i="109"/>
  <c r="R45" i="109"/>
  <c r="J45" i="109"/>
  <c r="I45" i="109"/>
  <c r="U44" i="109"/>
  <c r="V44" i="109" s="1"/>
  <c r="S44" i="109"/>
  <c r="R44" i="109"/>
  <c r="J44" i="109"/>
  <c r="I44" i="109"/>
  <c r="S43" i="109"/>
  <c r="R43" i="109"/>
  <c r="J43" i="109"/>
  <c r="I43" i="109"/>
  <c r="V42" i="109"/>
  <c r="U42" i="109"/>
  <c r="S42" i="109"/>
  <c r="R42" i="109"/>
  <c r="J42" i="109"/>
  <c r="W42" i="109" s="1"/>
  <c r="I42" i="109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W39" i="109"/>
  <c r="U39" i="109"/>
  <c r="V39" i="109" s="1"/>
  <c r="S39" i="109"/>
  <c r="R39" i="109"/>
  <c r="J39" i="109"/>
  <c r="I39" i="109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W37" i="109" s="1"/>
  <c r="I37" i="109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W34" i="109"/>
  <c r="U34" i="109"/>
  <c r="V34" i="109" s="1"/>
  <c r="S34" i="109"/>
  <c r="R34" i="109"/>
  <c r="J34" i="109"/>
  <c r="I34" i="109"/>
  <c r="U33" i="109"/>
  <c r="V33" i="109" s="1"/>
  <c r="S33" i="109"/>
  <c r="R33" i="109"/>
  <c r="J33" i="109"/>
  <c r="I33" i="109"/>
  <c r="W33" i="109" s="1"/>
  <c r="W32" i="109"/>
  <c r="U32" i="109"/>
  <c r="V32" i="109" s="1"/>
  <c r="S32" i="109"/>
  <c r="R32" i="109"/>
  <c r="J32" i="109"/>
  <c r="I32" i="109"/>
  <c r="U31" i="109"/>
  <c r="V31" i="109" s="1"/>
  <c r="S31" i="109"/>
  <c r="R31" i="109"/>
  <c r="J31" i="109"/>
  <c r="I31" i="109"/>
  <c r="W31" i="109" s="1"/>
  <c r="V30" i="109"/>
  <c r="U30" i="109"/>
  <c r="S30" i="109"/>
  <c r="R30" i="109"/>
  <c r="J30" i="109"/>
  <c r="I30" i="109"/>
  <c r="W30" i="109" s="1"/>
  <c r="W29" i="109"/>
  <c r="U29" i="109"/>
  <c r="V29" i="109" s="1"/>
  <c r="S29" i="109"/>
  <c r="R29" i="109"/>
  <c r="J29" i="109"/>
  <c r="I29" i="109"/>
  <c r="U28" i="109"/>
  <c r="V28" i="109" s="1"/>
  <c r="S28" i="109"/>
  <c r="R28" i="109"/>
  <c r="J28" i="109"/>
  <c r="I28" i="109"/>
  <c r="W28" i="109" s="1"/>
  <c r="W27" i="109"/>
  <c r="U27" i="109"/>
  <c r="V27" i="109" s="1"/>
  <c r="S27" i="109"/>
  <c r="R27" i="109"/>
  <c r="J27" i="109"/>
  <c r="I27" i="109"/>
  <c r="BE26" i="109"/>
  <c r="U26" i="109"/>
  <c r="V26" i="109" s="1"/>
  <c r="S26" i="109"/>
  <c r="R26" i="109"/>
  <c r="J26" i="109"/>
  <c r="I26" i="109"/>
  <c r="W26" i="109" s="1"/>
  <c r="U25" i="109"/>
  <c r="V25" i="109" s="1"/>
  <c r="S25" i="109"/>
  <c r="R25" i="109"/>
  <c r="J25" i="109"/>
  <c r="I25" i="109"/>
  <c r="W25" i="109" s="1"/>
  <c r="W24" i="109"/>
  <c r="U24" i="109"/>
  <c r="V24" i="109" s="1"/>
  <c r="S24" i="109"/>
  <c r="R24" i="109"/>
  <c r="J24" i="109"/>
  <c r="I24" i="109"/>
  <c r="U23" i="109"/>
  <c r="V23" i="109" s="1"/>
  <c r="S23" i="109"/>
  <c r="R23" i="109"/>
  <c r="J23" i="109"/>
  <c r="I23" i="109"/>
  <c r="W23" i="109" s="1"/>
  <c r="U22" i="109"/>
  <c r="V22" i="109" s="1"/>
  <c r="S22" i="109"/>
  <c r="R22" i="109"/>
  <c r="J22" i="109"/>
  <c r="W22" i="109" s="1"/>
  <c r="I22" i="109"/>
  <c r="U21" i="109"/>
  <c r="V21" i="109" s="1"/>
  <c r="S21" i="109"/>
  <c r="R21" i="109"/>
  <c r="J21" i="109"/>
  <c r="I21" i="109"/>
  <c r="W21" i="109" s="1"/>
  <c r="U20" i="109"/>
  <c r="V20" i="109" s="1"/>
  <c r="S20" i="109"/>
  <c r="R20" i="109"/>
  <c r="J20" i="109"/>
  <c r="I20" i="109"/>
  <c r="W20" i="109" s="1"/>
  <c r="W19" i="109"/>
  <c r="U19" i="109"/>
  <c r="V19" i="109" s="1"/>
  <c r="S19" i="109"/>
  <c r="R19" i="109"/>
  <c r="J19" i="109"/>
  <c r="I19" i="109"/>
  <c r="U18" i="109"/>
  <c r="V18" i="109" s="1"/>
  <c r="S18" i="109"/>
  <c r="R18" i="109"/>
  <c r="J18" i="109"/>
  <c r="I18" i="109"/>
  <c r="W18" i="109" s="1"/>
  <c r="U17" i="109"/>
  <c r="V17" i="109" s="1"/>
  <c r="S17" i="109"/>
  <c r="R17" i="109"/>
  <c r="J17" i="109"/>
  <c r="I17" i="109"/>
  <c r="W17" i="109" s="1"/>
  <c r="W16" i="109"/>
  <c r="U16" i="109"/>
  <c r="V16" i="109" s="1"/>
  <c r="S16" i="109"/>
  <c r="R16" i="109"/>
  <c r="J16" i="109"/>
  <c r="I16" i="109"/>
  <c r="U15" i="109"/>
  <c r="V15" i="109" s="1"/>
  <c r="S15" i="109"/>
  <c r="R15" i="109"/>
  <c r="J15" i="109"/>
  <c r="I15" i="109"/>
  <c r="W15" i="109" s="1"/>
  <c r="U14" i="109"/>
  <c r="V14" i="109" s="1"/>
  <c r="S14" i="109"/>
  <c r="R14" i="109"/>
  <c r="J14" i="109"/>
  <c r="W14" i="109" s="1"/>
  <c r="I14" i="109"/>
  <c r="U13" i="109"/>
  <c r="V13" i="109" s="1"/>
  <c r="S13" i="109"/>
  <c r="R13" i="109"/>
  <c r="J13" i="109"/>
  <c r="I13" i="109"/>
  <c r="W13" i="109" s="1"/>
  <c r="U12" i="109"/>
  <c r="V12" i="109" s="1"/>
  <c r="S12" i="109"/>
  <c r="R12" i="109"/>
  <c r="J12" i="109"/>
  <c r="I12" i="109"/>
  <c r="W12" i="109" s="1"/>
  <c r="W11" i="109"/>
  <c r="U11" i="109"/>
  <c r="V11" i="109" s="1"/>
  <c r="S11" i="109"/>
  <c r="R11" i="109"/>
  <c r="J11" i="109"/>
  <c r="I11" i="109"/>
  <c r="U10" i="109"/>
  <c r="V10" i="109" s="1"/>
  <c r="S10" i="109"/>
  <c r="R10" i="109"/>
  <c r="J10" i="109"/>
  <c r="I10" i="109"/>
  <c r="W10" i="109" s="1"/>
  <c r="U9" i="109"/>
  <c r="V9" i="109" s="1"/>
  <c r="S9" i="109"/>
  <c r="R9" i="109"/>
  <c r="J9" i="109"/>
  <c r="I9" i="109"/>
  <c r="W9" i="109" s="1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W8" i="109"/>
  <c r="U8" i="109"/>
  <c r="S8" i="109"/>
  <c r="R8" i="109"/>
  <c r="J8" i="109"/>
  <c r="I8" i="109"/>
  <c r="V60" i="110" l="1"/>
  <c r="W60" i="110"/>
  <c r="V27" i="110"/>
  <c r="S60" i="109"/>
  <c r="U60" i="109"/>
  <c r="R60" i="109"/>
  <c r="W49" i="109"/>
  <c r="I60" i="109"/>
  <c r="J60" i="109"/>
  <c r="W44" i="109"/>
  <c r="W60" i="109"/>
  <c r="V8" i="109"/>
  <c r="V60" i="109" s="1"/>
  <c r="I29" i="108"/>
  <c r="Q60" i="108" l="1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U52" i="108"/>
  <c r="V52" i="108" s="1"/>
  <c r="S52" i="108"/>
  <c r="R52" i="108"/>
  <c r="J52" i="108"/>
  <c r="I52" i="108"/>
  <c r="W52" i="108" s="1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U44" i="108"/>
  <c r="V44" i="108" s="1"/>
  <c r="S44" i="108"/>
  <c r="R44" i="108"/>
  <c r="J44" i="108"/>
  <c r="I44" i="108"/>
  <c r="S43" i="108"/>
  <c r="R43" i="108"/>
  <c r="J43" i="108"/>
  <c r="I43" i="108"/>
  <c r="U42" i="108"/>
  <c r="V42" i="108" s="1"/>
  <c r="S42" i="108"/>
  <c r="R42" i="108"/>
  <c r="J42" i="108"/>
  <c r="I42" i="108"/>
  <c r="W42" i="108" s="1"/>
  <c r="U41" i="108"/>
  <c r="V41" i="108" s="1"/>
  <c r="S41" i="108"/>
  <c r="R41" i="108"/>
  <c r="J41" i="108"/>
  <c r="I41" i="108"/>
  <c r="W41" i="108" s="1"/>
  <c r="U40" i="108"/>
  <c r="V40" i="108" s="1"/>
  <c r="S40" i="108"/>
  <c r="R40" i="108"/>
  <c r="J40" i="108"/>
  <c r="I40" i="108"/>
  <c r="W40" i="108" s="1"/>
  <c r="U39" i="108"/>
  <c r="V39" i="108" s="1"/>
  <c r="S39" i="108"/>
  <c r="R39" i="108"/>
  <c r="J39" i="108"/>
  <c r="I39" i="108"/>
  <c r="W39" i="108" s="1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U35" i="108"/>
  <c r="V35" i="108" s="1"/>
  <c r="S35" i="108"/>
  <c r="R35" i="108"/>
  <c r="J35" i="108"/>
  <c r="I35" i="108"/>
  <c r="W35" i="108" s="1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U28" i="108"/>
  <c r="V28" i="108" s="1"/>
  <c r="S28" i="108"/>
  <c r="R28" i="108"/>
  <c r="J28" i="108"/>
  <c r="I28" i="108"/>
  <c r="W28" i="108" s="1"/>
  <c r="U27" i="108"/>
  <c r="V27" i="108" s="1"/>
  <c r="S27" i="108"/>
  <c r="R27" i="108"/>
  <c r="J27" i="108"/>
  <c r="I27" i="108"/>
  <c r="W27" i="108" s="1"/>
  <c r="BE26" i="108"/>
  <c r="U26" i="108"/>
  <c r="V26" i="108" s="1"/>
  <c r="S26" i="108"/>
  <c r="R26" i="108"/>
  <c r="J26" i="108"/>
  <c r="I26" i="108"/>
  <c r="V25" i="108"/>
  <c r="U25" i="108"/>
  <c r="S25" i="108"/>
  <c r="R25" i="108"/>
  <c r="J25" i="108"/>
  <c r="W25" i="108" s="1"/>
  <c r="I25" i="108"/>
  <c r="U24" i="108"/>
  <c r="V24" i="108" s="1"/>
  <c r="S24" i="108"/>
  <c r="R24" i="108"/>
  <c r="J24" i="108"/>
  <c r="I24" i="108"/>
  <c r="V23" i="108"/>
  <c r="U23" i="108"/>
  <c r="S23" i="108"/>
  <c r="R23" i="108"/>
  <c r="J23" i="108"/>
  <c r="W23" i="108" s="1"/>
  <c r="I23" i="108"/>
  <c r="V22" i="108"/>
  <c r="U22" i="108"/>
  <c r="S22" i="108"/>
  <c r="R22" i="108"/>
  <c r="J22" i="108"/>
  <c r="I22" i="108"/>
  <c r="W22" i="108" s="1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I14" i="108"/>
  <c r="U13" i="108"/>
  <c r="V13" i="108" s="1"/>
  <c r="S13" i="108"/>
  <c r="R13" i="108"/>
  <c r="J13" i="108"/>
  <c r="I13" i="108"/>
  <c r="U12" i="108"/>
  <c r="V12" i="108" s="1"/>
  <c r="S12" i="108"/>
  <c r="R12" i="108"/>
  <c r="J12" i="108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V9" i="108"/>
  <c r="U9" i="108"/>
  <c r="S9" i="108"/>
  <c r="R9" i="108"/>
  <c r="J9" i="108"/>
  <c r="I9" i="108"/>
  <c r="W9" i="108" s="1"/>
  <c r="A9" i="108"/>
  <c r="U8" i="108"/>
  <c r="S8" i="108"/>
  <c r="R8" i="108"/>
  <c r="J8" i="108"/>
  <c r="I8" i="108"/>
  <c r="W44" i="108" l="1"/>
  <c r="W26" i="108"/>
  <c r="W24" i="108"/>
  <c r="W21" i="108"/>
  <c r="W20" i="108"/>
  <c r="W14" i="108"/>
  <c r="S60" i="108"/>
  <c r="W13" i="108"/>
  <c r="W12" i="108"/>
  <c r="R60" i="108"/>
  <c r="U60" i="108"/>
  <c r="W10" i="108"/>
  <c r="I60" i="108"/>
  <c r="W8" i="108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U49" i="107"/>
  <c r="V49" i="107" s="1"/>
  <c r="S49" i="107"/>
  <c r="R49" i="107"/>
  <c r="J49" i="107"/>
  <c r="I49" i="107"/>
  <c r="W49" i="107" s="1"/>
  <c r="U48" i="107"/>
  <c r="V48" i="107" s="1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U44" i="107"/>
  <c r="V44" i="107" s="1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U25" i="107"/>
  <c r="V25" i="107" s="1"/>
  <c r="S25" i="107"/>
  <c r="R25" i="107"/>
  <c r="J25" i="107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S9" i="107"/>
  <c r="R9" i="107"/>
  <c r="J9" i="107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R8" i="107"/>
  <c r="J8" i="107"/>
  <c r="I8" i="107"/>
  <c r="C38" i="104"/>
  <c r="C9" i="104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W52" i="106" s="1"/>
  <c r="W51" i="106"/>
  <c r="U51" i="106"/>
  <c r="V51" i="106" s="1"/>
  <c r="S51" i="106"/>
  <c r="R51" i="106"/>
  <c r="J51" i="106"/>
  <c r="I51" i="106"/>
  <c r="W50" i="106"/>
  <c r="U50" i="106"/>
  <c r="V50" i="106" s="1"/>
  <c r="S50" i="106"/>
  <c r="R50" i="106"/>
  <c r="J50" i="106"/>
  <c r="I50" i="106"/>
  <c r="U49" i="106"/>
  <c r="V49" i="106" s="1"/>
  <c r="S49" i="106"/>
  <c r="R49" i="106"/>
  <c r="J49" i="106"/>
  <c r="I49" i="106"/>
  <c r="W49" i="106" s="1"/>
  <c r="W48" i="106"/>
  <c r="U48" i="106"/>
  <c r="V48" i="106" s="1"/>
  <c r="S48" i="106"/>
  <c r="R48" i="106"/>
  <c r="J48" i="106"/>
  <c r="I48" i="106"/>
  <c r="W47" i="106"/>
  <c r="U47" i="106"/>
  <c r="V47" i="106" s="1"/>
  <c r="S47" i="106"/>
  <c r="R47" i="106"/>
  <c r="J47" i="106"/>
  <c r="I47" i="106"/>
  <c r="W46" i="106"/>
  <c r="U46" i="106"/>
  <c r="V46" i="106" s="1"/>
  <c r="S46" i="106"/>
  <c r="R46" i="106"/>
  <c r="J46" i="106"/>
  <c r="I46" i="106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W42" i="106" s="1"/>
  <c r="U41" i="106"/>
  <c r="V41" i="106" s="1"/>
  <c r="S41" i="106"/>
  <c r="R41" i="106"/>
  <c r="J41" i="106"/>
  <c r="I41" i="106"/>
  <c r="W41" i="106" s="1"/>
  <c r="U40" i="106"/>
  <c r="V40" i="106" s="1"/>
  <c r="S40" i="106"/>
  <c r="R40" i="106"/>
  <c r="J40" i="106"/>
  <c r="I40" i="106"/>
  <c r="W40" i="106" s="1"/>
  <c r="U39" i="106"/>
  <c r="V39" i="106" s="1"/>
  <c r="S39" i="106"/>
  <c r="R39" i="106"/>
  <c r="J39" i="106"/>
  <c r="I39" i="106"/>
  <c r="W39" i="106" s="1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W35" i="106" s="1"/>
  <c r="U34" i="106"/>
  <c r="V34" i="106" s="1"/>
  <c r="S34" i="106"/>
  <c r="R34" i="106"/>
  <c r="J34" i="106"/>
  <c r="I34" i="106"/>
  <c r="W34" i="106" s="1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W27" i="106" s="1"/>
  <c r="BE26" i="106"/>
  <c r="U26" i="106"/>
  <c r="V26" i="106" s="1"/>
  <c r="S26" i="106"/>
  <c r="R26" i="106"/>
  <c r="J26" i="106"/>
  <c r="I26" i="106"/>
  <c r="W26" i="106" s="1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W23" i="106" s="1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W20" i="106" s="1"/>
  <c r="U19" i="106"/>
  <c r="V19" i="106" s="1"/>
  <c r="S19" i="106"/>
  <c r="R19" i="106"/>
  <c r="J19" i="106"/>
  <c r="W19" i="106" s="1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W17" i="106" s="1"/>
  <c r="I17" i="106"/>
  <c r="U16" i="106"/>
  <c r="V16" i="106" s="1"/>
  <c r="S16" i="106"/>
  <c r="R16" i="106"/>
  <c r="J16" i="106"/>
  <c r="I16" i="106"/>
  <c r="W16" i="106" s="1"/>
  <c r="U15" i="106"/>
  <c r="V15" i="106" s="1"/>
  <c r="S15" i="106"/>
  <c r="R15" i="106"/>
  <c r="J15" i="106"/>
  <c r="W15" i="106" s="1"/>
  <c r="I15" i="106"/>
  <c r="U14" i="106"/>
  <c r="V14" i="106" s="1"/>
  <c r="S14" i="106"/>
  <c r="R14" i="106"/>
  <c r="J14" i="106"/>
  <c r="I14" i="106"/>
  <c r="W14" i="106" s="1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W11" i="106" s="1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I9" i="106"/>
  <c r="A9" i="106"/>
  <c r="U8" i="106"/>
  <c r="V8" i="106" s="1"/>
  <c r="S8" i="106"/>
  <c r="R8" i="106"/>
  <c r="J8" i="106"/>
  <c r="I8" i="106"/>
  <c r="Q60" i="105"/>
  <c r="P60" i="105"/>
  <c r="O60" i="105"/>
  <c r="N60" i="105"/>
  <c r="M60" i="105"/>
  <c r="L60" i="105"/>
  <c r="H60" i="105"/>
  <c r="G60" i="105"/>
  <c r="E60" i="105"/>
  <c r="D60" i="105"/>
  <c r="C60" i="105"/>
  <c r="S59" i="105"/>
  <c r="R59" i="105"/>
  <c r="J59" i="105"/>
  <c r="I59" i="105"/>
  <c r="S58" i="105"/>
  <c r="R58" i="105"/>
  <c r="J58" i="105"/>
  <c r="I58" i="105"/>
  <c r="S57" i="105"/>
  <c r="R57" i="105"/>
  <c r="J57" i="105"/>
  <c r="I57" i="105"/>
  <c r="S56" i="105"/>
  <c r="R56" i="105"/>
  <c r="J56" i="105"/>
  <c r="I56" i="105"/>
  <c r="S55" i="105"/>
  <c r="R55" i="105"/>
  <c r="J55" i="105"/>
  <c r="I55" i="105"/>
  <c r="V54" i="105"/>
  <c r="U54" i="105"/>
  <c r="S54" i="105"/>
  <c r="R54" i="105"/>
  <c r="J54" i="105"/>
  <c r="I54" i="105"/>
  <c r="W54" i="105" s="1"/>
  <c r="W53" i="105"/>
  <c r="V53" i="105"/>
  <c r="U53" i="105"/>
  <c r="S53" i="105"/>
  <c r="R53" i="105"/>
  <c r="J53" i="105"/>
  <c r="I53" i="105"/>
  <c r="V52" i="105"/>
  <c r="U52" i="105"/>
  <c r="S52" i="105"/>
  <c r="R52" i="105"/>
  <c r="J52" i="105"/>
  <c r="I52" i="105"/>
  <c r="W52" i="105" s="1"/>
  <c r="W51" i="105"/>
  <c r="U51" i="105"/>
  <c r="V51" i="105" s="1"/>
  <c r="S51" i="105"/>
  <c r="R51" i="105"/>
  <c r="J51" i="105"/>
  <c r="I51" i="105"/>
  <c r="W50" i="105"/>
  <c r="V50" i="105"/>
  <c r="U50" i="105"/>
  <c r="S50" i="105"/>
  <c r="R50" i="105"/>
  <c r="J50" i="105"/>
  <c r="I50" i="105"/>
  <c r="W49" i="105"/>
  <c r="U49" i="105"/>
  <c r="V49" i="105" s="1"/>
  <c r="S49" i="105"/>
  <c r="R49" i="105"/>
  <c r="J49" i="105"/>
  <c r="I49" i="105"/>
  <c r="W48" i="105"/>
  <c r="U48" i="105"/>
  <c r="V48" i="105" s="1"/>
  <c r="S48" i="105"/>
  <c r="R48" i="105"/>
  <c r="J48" i="105"/>
  <c r="I48" i="105"/>
  <c r="W47" i="105"/>
  <c r="U47" i="105"/>
  <c r="V47" i="105" s="1"/>
  <c r="S47" i="105"/>
  <c r="R47" i="105"/>
  <c r="J47" i="105"/>
  <c r="I47" i="105"/>
  <c r="W46" i="105"/>
  <c r="V46" i="105"/>
  <c r="U46" i="105"/>
  <c r="S46" i="105"/>
  <c r="R46" i="105"/>
  <c r="J46" i="105"/>
  <c r="I46" i="105"/>
  <c r="S45" i="105"/>
  <c r="R45" i="105"/>
  <c r="J45" i="105"/>
  <c r="I45" i="105"/>
  <c r="U44" i="105"/>
  <c r="V44" i="105" s="1"/>
  <c r="S44" i="105"/>
  <c r="R44" i="105"/>
  <c r="J44" i="105"/>
  <c r="I44" i="105"/>
  <c r="S43" i="105"/>
  <c r="R43" i="105"/>
  <c r="J43" i="105"/>
  <c r="I43" i="105"/>
  <c r="U42" i="105"/>
  <c r="V42" i="105" s="1"/>
  <c r="S42" i="105"/>
  <c r="R42" i="105"/>
  <c r="J42" i="105"/>
  <c r="I42" i="105"/>
  <c r="W42" i="105" s="1"/>
  <c r="U41" i="105"/>
  <c r="V41" i="105" s="1"/>
  <c r="S41" i="105"/>
  <c r="R41" i="105"/>
  <c r="J41" i="105"/>
  <c r="I41" i="105"/>
  <c r="W41" i="105" s="1"/>
  <c r="W40" i="105"/>
  <c r="V40" i="105"/>
  <c r="U40" i="105"/>
  <c r="S40" i="105"/>
  <c r="R40" i="105"/>
  <c r="J40" i="105"/>
  <c r="I40" i="105"/>
  <c r="U39" i="105"/>
  <c r="V39" i="105" s="1"/>
  <c r="S39" i="105"/>
  <c r="R39" i="105"/>
  <c r="J39" i="105"/>
  <c r="I39" i="105"/>
  <c r="W39" i="105" s="1"/>
  <c r="V38" i="105"/>
  <c r="U38" i="105"/>
  <c r="S38" i="105"/>
  <c r="R38" i="105"/>
  <c r="J38" i="105"/>
  <c r="I38" i="105"/>
  <c r="U37" i="105"/>
  <c r="V37" i="105" s="1"/>
  <c r="S37" i="105"/>
  <c r="R37" i="105"/>
  <c r="J37" i="105"/>
  <c r="I37" i="105"/>
  <c r="W37" i="105" s="1"/>
  <c r="W36" i="105"/>
  <c r="V36" i="105"/>
  <c r="U36" i="105"/>
  <c r="S36" i="105"/>
  <c r="R36" i="105"/>
  <c r="J36" i="105"/>
  <c r="I36" i="105"/>
  <c r="U35" i="105"/>
  <c r="V35" i="105" s="1"/>
  <c r="S35" i="105"/>
  <c r="R35" i="105"/>
  <c r="J35" i="105"/>
  <c r="I35" i="105"/>
  <c r="W34" i="105"/>
  <c r="V34" i="105"/>
  <c r="U34" i="105"/>
  <c r="S34" i="105"/>
  <c r="R34" i="105"/>
  <c r="J34" i="105"/>
  <c r="I34" i="105"/>
  <c r="U33" i="105"/>
  <c r="V33" i="105" s="1"/>
  <c r="S33" i="105"/>
  <c r="R33" i="105"/>
  <c r="J33" i="105"/>
  <c r="I33" i="105"/>
  <c r="W33" i="105" s="1"/>
  <c r="W32" i="105"/>
  <c r="V32" i="105"/>
  <c r="U32" i="105"/>
  <c r="S32" i="105"/>
  <c r="R32" i="105"/>
  <c r="J32" i="105"/>
  <c r="I32" i="105"/>
  <c r="U31" i="105"/>
  <c r="V31" i="105" s="1"/>
  <c r="S31" i="105"/>
  <c r="R31" i="105"/>
  <c r="J31" i="105"/>
  <c r="I31" i="105"/>
  <c r="W31" i="105" s="1"/>
  <c r="W30" i="105"/>
  <c r="V30" i="105"/>
  <c r="U30" i="105"/>
  <c r="S30" i="105"/>
  <c r="R30" i="105"/>
  <c r="J30" i="105"/>
  <c r="I30" i="105"/>
  <c r="U29" i="105"/>
  <c r="V29" i="105" s="1"/>
  <c r="S29" i="105"/>
  <c r="R29" i="105"/>
  <c r="J29" i="105"/>
  <c r="I29" i="105"/>
  <c r="W29" i="105" s="1"/>
  <c r="W28" i="105"/>
  <c r="V28" i="105"/>
  <c r="U28" i="105"/>
  <c r="S28" i="105"/>
  <c r="R28" i="105"/>
  <c r="J28" i="105"/>
  <c r="I28" i="105"/>
  <c r="U27" i="105"/>
  <c r="S27" i="105"/>
  <c r="R27" i="105"/>
  <c r="J27" i="105"/>
  <c r="I27" i="105"/>
  <c r="W27" i="105" s="1"/>
  <c r="BE26" i="105"/>
  <c r="U26" i="105"/>
  <c r="V26" i="105" s="1"/>
  <c r="S26" i="105"/>
  <c r="R26" i="105"/>
  <c r="J26" i="105"/>
  <c r="I26" i="105"/>
  <c r="W26" i="105" s="1"/>
  <c r="V25" i="105"/>
  <c r="U25" i="105"/>
  <c r="S25" i="105"/>
  <c r="R25" i="105"/>
  <c r="J25" i="105"/>
  <c r="I25" i="105"/>
  <c r="W25" i="105" s="1"/>
  <c r="W24" i="105"/>
  <c r="V24" i="105"/>
  <c r="U24" i="105"/>
  <c r="S24" i="105"/>
  <c r="R24" i="105"/>
  <c r="J24" i="105"/>
  <c r="I24" i="105"/>
  <c r="V23" i="105"/>
  <c r="U23" i="105"/>
  <c r="S23" i="105"/>
  <c r="R23" i="105"/>
  <c r="J23" i="105"/>
  <c r="I23" i="105"/>
  <c r="W23" i="105" s="1"/>
  <c r="W22" i="105"/>
  <c r="V22" i="105"/>
  <c r="U22" i="105"/>
  <c r="S22" i="105"/>
  <c r="R22" i="105"/>
  <c r="J22" i="105"/>
  <c r="I22" i="105"/>
  <c r="V21" i="105"/>
  <c r="U21" i="105"/>
  <c r="S21" i="105"/>
  <c r="R21" i="105"/>
  <c r="J21" i="105"/>
  <c r="I21" i="105"/>
  <c r="V20" i="105"/>
  <c r="U20" i="105"/>
  <c r="S20" i="105"/>
  <c r="R20" i="105"/>
  <c r="J20" i="105"/>
  <c r="I20" i="105"/>
  <c r="W20" i="105" s="1"/>
  <c r="V19" i="105"/>
  <c r="U19" i="105"/>
  <c r="S19" i="105"/>
  <c r="R19" i="105"/>
  <c r="J19" i="105"/>
  <c r="I19" i="105"/>
  <c r="W19" i="105" s="1"/>
  <c r="W18" i="105"/>
  <c r="V18" i="105"/>
  <c r="U18" i="105"/>
  <c r="S18" i="105"/>
  <c r="R18" i="105"/>
  <c r="J18" i="105"/>
  <c r="I18" i="105"/>
  <c r="V17" i="105"/>
  <c r="U17" i="105"/>
  <c r="S17" i="105"/>
  <c r="R17" i="105"/>
  <c r="J17" i="105"/>
  <c r="I17" i="105"/>
  <c r="W17" i="105" s="1"/>
  <c r="W16" i="105"/>
  <c r="V16" i="105"/>
  <c r="U16" i="105"/>
  <c r="S16" i="105"/>
  <c r="R16" i="105"/>
  <c r="J16" i="105"/>
  <c r="I16" i="105"/>
  <c r="V15" i="105"/>
  <c r="U15" i="105"/>
  <c r="S15" i="105"/>
  <c r="R15" i="105"/>
  <c r="J15" i="105"/>
  <c r="I15" i="105"/>
  <c r="W15" i="105" s="1"/>
  <c r="V14" i="105"/>
  <c r="U14" i="105"/>
  <c r="S14" i="105"/>
  <c r="R14" i="105"/>
  <c r="J14" i="105"/>
  <c r="I14" i="105"/>
  <c r="W14" i="105" s="1"/>
  <c r="U13" i="105"/>
  <c r="V13" i="105" s="1"/>
  <c r="S13" i="105"/>
  <c r="R13" i="105"/>
  <c r="J13" i="105"/>
  <c r="I13" i="105"/>
  <c r="W13" i="105" s="1"/>
  <c r="W12" i="105"/>
  <c r="V12" i="105"/>
  <c r="U12" i="105"/>
  <c r="S12" i="105"/>
  <c r="R12" i="105"/>
  <c r="J12" i="105"/>
  <c r="I12" i="105"/>
  <c r="V11" i="105"/>
  <c r="U11" i="105"/>
  <c r="S11" i="105"/>
  <c r="R11" i="105"/>
  <c r="J11" i="105"/>
  <c r="I11" i="105"/>
  <c r="W11" i="105" s="1"/>
  <c r="W10" i="105"/>
  <c r="V10" i="105"/>
  <c r="U10" i="105"/>
  <c r="S10" i="105"/>
  <c r="R10" i="105"/>
  <c r="J10" i="105"/>
  <c r="I10" i="105"/>
  <c r="V9" i="105"/>
  <c r="U9" i="105"/>
  <c r="S9" i="105"/>
  <c r="R9" i="105"/>
  <c r="J9" i="105"/>
  <c r="I9" i="105"/>
  <c r="W9" i="105" s="1"/>
  <c r="A9" i="105"/>
  <c r="A10" i="105" s="1"/>
  <c r="A11" i="105" s="1"/>
  <c r="A12" i="105" s="1"/>
  <c r="A13" i="105" s="1"/>
  <c r="A14" i="105" s="1"/>
  <c r="A15" i="105" s="1"/>
  <c r="A16" i="105" s="1"/>
  <c r="A17" i="105" s="1"/>
  <c r="A18" i="105" s="1"/>
  <c r="A19" i="105" s="1"/>
  <c r="A20" i="105" s="1"/>
  <c r="A21" i="105" s="1"/>
  <c r="A22" i="105" s="1"/>
  <c r="A23" i="105" s="1"/>
  <c r="A24" i="105" s="1"/>
  <c r="A25" i="105" s="1"/>
  <c r="A26" i="105" s="1"/>
  <c r="A27" i="105" s="1"/>
  <c r="A28" i="105" s="1"/>
  <c r="A29" i="105" s="1"/>
  <c r="A30" i="105" s="1"/>
  <c r="A31" i="105" s="1"/>
  <c r="A32" i="105" s="1"/>
  <c r="A33" i="105" s="1"/>
  <c r="A34" i="105" s="1"/>
  <c r="A35" i="105" s="1"/>
  <c r="A36" i="105" s="1"/>
  <c r="A37" i="105" s="1"/>
  <c r="A38" i="105" s="1"/>
  <c r="A39" i="105" s="1"/>
  <c r="A40" i="105" s="1"/>
  <c r="A41" i="105" s="1"/>
  <c r="A42" i="105" s="1"/>
  <c r="A43" i="105" s="1"/>
  <c r="A44" i="105" s="1"/>
  <c r="A45" i="105" s="1"/>
  <c r="A46" i="105" s="1"/>
  <c r="A47" i="105" s="1"/>
  <c r="A48" i="105" s="1"/>
  <c r="A49" i="105" s="1"/>
  <c r="A50" i="105" s="1"/>
  <c r="A51" i="105" s="1"/>
  <c r="A52" i="105" s="1"/>
  <c r="A53" i="105" s="1"/>
  <c r="A54" i="105" s="1"/>
  <c r="A55" i="105" s="1"/>
  <c r="A56" i="105" s="1"/>
  <c r="A57" i="105" s="1"/>
  <c r="A58" i="105" s="1"/>
  <c r="A59" i="105" s="1"/>
  <c r="U8" i="105"/>
  <c r="V8" i="105" s="1"/>
  <c r="S8" i="105"/>
  <c r="R8" i="105"/>
  <c r="J8" i="105"/>
  <c r="I8" i="105"/>
  <c r="W48" i="107" l="1"/>
  <c r="W42" i="107"/>
  <c r="W38" i="107"/>
  <c r="W26" i="107"/>
  <c r="W25" i="107"/>
  <c r="W21" i="107"/>
  <c r="U60" i="107"/>
  <c r="S60" i="107"/>
  <c r="R60" i="107"/>
  <c r="J60" i="107"/>
  <c r="W13" i="107"/>
  <c r="W9" i="107"/>
  <c r="W8" i="107"/>
  <c r="W60" i="108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W44" i="105"/>
  <c r="W38" i="105"/>
  <c r="W35" i="105"/>
  <c r="W21" i="105"/>
  <c r="S60" i="105"/>
  <c r="U60" i="105"/>
  <c r="J60" i="105"/>
  <c r="R60" i="105"/>
  <c r="I60" i="105"/>
  <c r="W8" i="105"/>
  <c r="V9" i="107"/>
  <c r="V60" i="107" s="1"/>
  <c r="I60" i="107"/>
  <c r="V60" i="106"/>
  <c r="V9" i="106"/>
  <c r="I60" i="106"/>
  <c r="V27" i="105"/>
  <c r="V60" i="105" s="1"/>
  <c r="W60" i="107" l="1"/>
  <c r="W60" i="106"/>
  <c r="W60" i="105"/>
  <c r="Q60" i="104" l="1"/>
  <c r="P60" i="104"/>
  <c r="O60" i="104"/>
  <c r="N60" i="104"/>
  <c r="M60" i="104"/>
  <c r="L60" i="104"/>
  <c r="H60" i="104"/>
  <c r="G60" i="104"/>
  <c r="E60" i="104"/>
  <c r="D60" i="104"/>
  <c r="C60" i="104"/>
  <c r="S59" i="104"/>
  <c r="R59" i="104"/>
  <c r="J59" i="104"/>
  <c r="I59" i="104"/>
  <c r="S58" i="104"/>
  <c r="R58" i="104"/>
  <c r="J58" i="104"/>
  <c r="I58" i="104"/>
  <c r="S57" i="104"/>
  <c r="R57" i="104"/>
  <c r="J57" i="104"/>
  <c r="I57" i="104"/>
  <c r="S56" i="104"/>
  <c r="R56" i="104"/>
  <c r="J56" i="104"/>
  <c r="I56" i="104"/>
  <c r="S55" i="104"/>
  <c r="R55" i="104"/>
  <c r="J55" i="104"/>
  <c r="I55" i="104"/>
  <c r="U54" i="104"/>
  <c r="V54" i="104" s="1"/>
  <c r="S54" i="104"/>
  <c r="R54" i="104"/>
  <c r="J54" i="104"/>
  <c r="I54" i="104"/>
  <c r="W54" i="104" s="1"/>
  <c r="U53" i="104"/>
  <c r="V53" i="104" s="1"/>
  <c r="S53" i="104"/>
  <c r="R53" i="104"/>
  <c r="J53" i="104"/>
  <c r="I53" i="104"/>
  <c r="W53" i="104" s="1"/>
  <c r="U52" i="104"/>
  <c r="V52" i="104" s="1"/>
  <c r="S52" i="104"/>
  <c r="R52" i="104"/>
  <c r="J52" i="104"/>
  <c r="I52" i="104"/>
  <c r="W52" i="104" s="1"/>
  <c r="U51" i="104"/>
  <c r="V51" i="104" s="1"/>
  <c r="S51" i="104"/>
  <c r="R51" i="104"/>
  <c r="J51" i="104"/>
  <c r="I51" i="104"/>
  <c r="W51" i="104" s="1"/>
  <c r="U50" i="104"/>
  <c r="V50" i="104" s="1"/>
  <c r="S50" i="104"/>
  <c r="R50" i="104"/>
  <c r="J50" i="104"/>
  <c r="I50" i="104"/>
  <c r="W50" i="104" s="1"/>
  <c r="U49" i="104"/>
  <c r="V49" i="104" s="1"/>
  <c r="S49" i="104"/>
  <c r="R49" i="104"/>
  <c r="J49" i="104"/>
  <c r="I49" i="104"/>
  <c r="W49" i="104" s="1"/>
  <c r="U48" i="104"/>
  <c r="V48" i="104" s="1"/>
  <c r="S48" i="104"/>
  <c r="R48" i="104"/>
  <c r="J48" i="104"/>
  <c r="I48" i="104"/>
  <c r="U47" i="104"/>
  <c r="V47" i="104" s="1"/>
  <c r="S47" i="104"/>
  <c r="R47" i="104"/>
  <c r="J47" i="104"/>
  <c r="I47" i="104"/>
  <c r="W47" i="104" s="1"/>
  <c r="U46" i="104"/>
  <c r="V46" i="104" s="1"/>
  <c r="S46" i="104"/>
  <c r="R46" i="104"/>
  <c r="J46" i="104"/>
  <c r="I46" i="104"/>
  <c r="W46" i="104" s="1"/>
  <c r="S45" i="104"/>
  <c r="R45" i="104"/>
  <c r="J45" i="104"/>
  <c r="I45" i="104"/>
  <c r="U44" i="104"/>
  <c r="V44" i="104" s="1"/>
  <c r="S44" i="104"/>
  <c r="R44" i="104"/>
  <c r="J44" i="104"/>
  <c r="I44" i="104"/>
  <c r="S43" i="104"/>
  <c r="R43" i="104"/>
  <c r="J43" i="104"/>
  <c r="I43" i="104"/>
  <c r="U42" i="104"/>
  <c r="V42" i="104" s="1"/>
  <c r="S42" i="104"/>
  <c r="R42" i="104"/>
  <c r="J42" i="104"/>
  <c r="I42" i="104"/>
  <c r="U41" i="104"/>
  <c r="V41" i="104" s="1"/>
  <c r="S41" i="104"/>
  <c r="R41" i="104"/>
  <c r="J41" i="104"/>
  <c r="I41" i="104"/>
  <c r="W40" i="104"/>
  <c r="U40" i="104"/>
  <c r="V40" i="104" s="1"/>
  <c r="S40" i="104"/>
  <c r="R40" i="104"/>
  <c r="J40" i="104"/>
  <c r="I40" i="104"/>
  <c r="U39" i="104"/>
  <c r="V39" i="104" s="1"/>
  <c r="S39" i="104"/>
  <c r="R39" i="104"/>
  <c r="J39" i="104"/>
  <c r="I39" i="104"/>
  <c r="W39" i="104" s="1"/>
  <c r="U38" i="104"/>
  <c r="V38" i="104" s="1"/>
  <c r="S38" i="104"/>
  <c r="R38" i="104"/>
  <c r="J38" i="104"/>
  <c r="I38" i="104"/>
  <c r="W37" i="104"/>
  <c r="U37" i="104"/>
  <c r="V37" i="104" s="1"/>
  <c r="S37" i="104"/>
  <c r="R37" i="104"/>
  <c r="J37" i="104"/>
  <c r="I37" i="104"/>
  <c r="W36" i="104"/>
  <c r="U36" i="104"/>
  <c r="V36" i="104" s="1"/>
  <c r="S36" i="104"/>
  <c r="R36" i="104"/>
  <c r="J36" i="104"/>
  <c r="I36" i="104"/>
  <c r="U35" i="104"/>
  <c r="V35" i="104" s="1"/>
  <c r="S35" i="104"/>
  <c r="R35" i="104"/>
  <c r="J35" i="104"/>
  <c r="I35" i="104"/>
  <c r="W34" i="104"/>
  <c r="U34" i="104"/>
  <c r="V34" i="104" s="1"/>
  <c r="S34" i="104"/>
  <c r="R34" i="104"/>
  <c r="J34" i="104"/>
  <c r="I34" i="104"/>
  <c r="W33" i="104"/>
  <c r="U33" i="104"/>
  <c r="V33" i="104" s="1"/>
  <c r="S33" i="104"/>
  <c r="R33" i="104"/>
  <c r="J33" i="104"/>
  <c r="I33" i="104"/>
  <c r="W32" i="104"/>
  <c r="U32" i="104"/>
  <c r="V32" i="104" s="1"/>
  <c r="S32" i="104"/>
  <c r="R32" i="104"/>
  <c r="J32" i="104"/>
  <c r="I32" i="104"/>
  <c r="U31" i="104"/>
  <c r="V31" i="104" s="1"/>
  <c r="S31" i="104"/>
  <c r="R31" i="104"/>
  <c r="J31" i="104"/>
  <c r="I31" i="104"/>
  <c r="W31" i="104" s="1"/>
  <c r="W30" i="104"/>
  <c r="U30" i="104"/>
  <c r="V30" i="104" s="1"/>
  <c r="S30" i="104"/>
  <c r="R30" i="104"/>
  <c r="J30" i="104"/>
  <c r="I30" i="104"/>
  <c r="U29" i="104"/>
  <c r="V29" i="104" s="1"/>
  <c r="S29" i="104"/>
  <c r="R29" i="104"/>
  <c r="J29" i="104"/>
  <c r="I29" i="104"/>
  <c r="W29" i="104" s="1"/>
  <c r="W28" i="104"/>
  <c r="U28" i="104"/>
  <c r="V28" i="104" s="1"/>
  <c r="S28" i="104"/>
  <c r="R28" i="104"/>
  <c r="J28" i="104"/>
  <c r="I28" i="104"/>
  <c r="U27" i="104"/>
  <c r="S27" i="104"/>
  <c r="R27" i="104"/>
  <c r="J27" i="104"/>
  <c r="I27" i="104"/>
  <c r="W27" i="104" s="1"/>
  <c r="BE26" i="104"/>
  <c r="U26" i="104"/>
  <c r="V26" i="104" s="1"/>
  <c r="S26" i="104"/>
  <c r="R26" i="104"/>
  <c r="J26" i="104"/>
  <c r="I26" i="104"/>
  <c r="V25" i="104"/>
  <c r="U25" i="104"/>
  <c r="S25" i="104"/>
  <c r="R25" i="104"/>
  <c r="J25" i="104"/>
  <c r="I25" i="104"/>
  <c r="W25" i="104" s="1"/>
  <c r="V24" i="104"/>
  <c r="U24" i="104"/>
  <c r="S24" i="104"/>
  <c r="R24" i="104"/>
  <c r="J24" i="104"/>
  <c r="I24" i="104"/>
  <c r="V23" i="104"/>
  <c r="U23" i="104"/>
  <c r="S23" i="104"/>
  <c r="R23" i="104"/>
  <c r="J23" i="104"/>
  <c r="I23" i="104"/>
  <c r="W23" i="104" s="1"/>
  <c r="U22" i="104"/>
  <c r="V22" i="104" s="1"/>
  <c r="S22" i="104"/>
  <c r="R22" i="104"/>
  <c r="J22" i="104"/>
  <c r="I22" i="104"/>
  <c r="W22" i="104" s="1"/>
  <c r="V21" i="104"/>
  <c r="U21" i="104"/>
  <c r="S21" i="104"/>
  <c r="R21" i="104"/>
  <c r="J21" i="104"/>
  <c r="I21" i="104"/>
  <c r="W21" i="104" s="1"/>
  <c r="U20" i="104"/>
  <c r="V20" i="104" s="1"/>
  <c r="S20" i="104"/>
  <c r="R20" i="104"/>
  <c r="J20" i="104"/>
  <c r="I20" i="104"/>
  <c r="W20" i="104" s="1"/>
  <c r="V19" i="104"/>
  <c r="U19" i="104"/>
  <c r="S19" i="104"/>
  <c r="R19" i="104"/>
  <c r="J19" i="104"/>
  <c r="I19" i="104"/>
  <c r="W19" i="104" s="1"/>
  <c r="U18" i="104"/>
  <c r="V18" i="104" s="1"/>
  <c r="S18" i="104"/>
  <c r="R18" i="104"/>
  <c r="J18" i="104"/>
  <c r="I18" i="104"/>
  <c r="W18" i="104" s="1"/>
  <c r="V17" i="104"/>
  <c r="U17" i="104"/>
  <c r="S17" i="104"/>
  <c r="R17" i="104"/>
  <c r="J17" i="104"/>
  <c r="I17" i="104"/>
  <c r="W17" i="104" s="1"/>
  <c r="V16" i="104"/>
  <c r="U16" i="104"/>
  <c r="S16" i="104"/>
  <c r="R16" i="104"/>
  <c r="J16" i="104"/>
  <c r="I16" i="104"/>
  <c r="W16" i="104" s="1"/>
  <c r="V15" i="104"/>
  <c r="U15" i="104"/>
  <c r="S15" i="104"/>
  <c r="R15" i="104"/>
  <c r="J15" i="104"/>
  <c r="I15" i="104"/>
  <c r="W15" i="104" s="1"/>
  <c r="V14" i="104"/>
  <c r="U14" i="104"/>
  <c r="S14" i="104"/>
  <c r="R14" i="104"/>
  <c r="J14" i="104"/>
  <c r="I14" i="104"/>
  <c r="U13" i="104"/>
  <c r="V13" i="104" s="1"/>
  <c r="S13" i="104"/>
  <c r="R13" i="104"/>
  <c r="J13" i="104"/>
  <c r="I13" i="104"/>
  <c r="U12" i="104"/>
  <c r="V12" i="104" s="1"/>
  <c r="S12" i="104"/>
  <c r="R12" i="104"/>
  <c r="J12" i="104"/>
  <c r="I12" i="104"/>
  <c r="W12" i="104" s="1"/>
  <c r="V11" i="104"/>
  <c r="U11" i="104"/>
  <c r="S11" i="104"/>
  <c r="R11" i="104"/>
  <c r="J11" i="104"/>
  <c r="I11" i="104"/>
  <c r="W11" i="104" s="1"/>
  <c r="U10" i="104"/>
  <c r="V10" i="104" s="1"/>
  <c r="S10" i="104"/>
  <c r="R10" i="104"/>
  <c r="J10" i="104"/>
  <c r="I10" i="104"/>
  <c r="W10" i="104" s="1"/>
  <c r="A10" i="104"/>
  <c r="A11" i="104" s="1"/>
  <c r="A12" i="104" s="1"/>
  <c r="A13" i="104" s="1"/>
  <c r="A14" i="104" s="1"/>
  <c r="A15" i="104" s="1"/>
  <c r="A16" i="104" s="1"/>
  <c r="A17" i="104" s="1"/>
  <c r="A18" i="104" s="1"/>
  <c r="A19" i="104" s="1"/>
  <c r="A20" i="104" s="1"/>
  <c r="A21" i="104" s="1"/>
  <c r="A22" i="104" s="1"/>
  <c r="A23" i="104" s="1"/>
  <c r="A24" i="104" s="1"/>
  <c r="A25" i="104" s="1"/>
  <c r="A26" i="104" s="1"/>
  <c r="A27" i="104" s="1"/>
  <c r="A28" i="104" s="1"/>
  <c r="A29" i="104" s="1"/>
  <c r="A30" i="104" s="1"/>
  <c r="A31" i="104" s="1"/>
  <c r="A32" i="104" s="1"/>
  <c r="A33" i="104" s="1"/>
  <c r="A34" i="104" s="1"/>
  <c r="A35" i="104" s="1"/>
  <c r="A36" i="104" s="1"/>
  <c r="A37" i="104" s="1"/>
  <c r="A38" i="104" s="1"/>
  <c r="A39" i="104" s="1"/>
  <c r="A40" i="104" s="1"/>
  <c r="A41" i="104" s="1"/>
  <c r="A42" i="104" s="1"/>
  <c r="A43" i="104" s="1"/>
  <c r="A44" i="104" s="1"/>
  <c r="A45" i="104" s="1"/>
  <c r="A46" i="104" s="1"/>
  <c r="A47" i="104" s="1"/>
  <c r="A48" i="104" s="1"/>
  <c r="A49" i="104" s="1"/>
  <c r="A50" i="104" s="1"/>
  <c r="A51" i="104" s="1"/>
  <c r="A52" i="104" s="1"/>
  <c r="A53" i="104" s="1"/>
  <c r="A54" i="104" s="1"/>
  <c r="A55" i="104" s="1"/>
  <c r="A56" i="104" s="1"/>
  <c r="A57" i="104" s="1"/>
  <c r="A58" i="104" s="1"/>
  <c r="A59" i="104" s="1"/>
  <c r="U9" i="104"/>
  <c r="V9" i="104" s="1"/>
  <c r="S9" i="104"/>
  <c r="R9" i="104"/>
  <c r="J9" i="104"/>
  <c r="I9" i="104"/>
  <c r="W9" i="104" s="1"/>
  <c r="A9" i="104"/>
  <c r="U8" i="104"/>
  <c r="V8" i="104" s="1"/>
  <c r="S8" i="104"/>
  <c r="R8" i="104"/>
  <c r="J8" i="104"/>
  <c r="I8" i="104"/>
  <c r="W48" i="104" l="1"/>
  <c r="W44" i="104"/>
  <c r="W42" i="104"/>
  <c r="W41" i="104"/>
  <c r="W38" i="104"/>
  <c r="W35" i="104"/>
  <c r="W26" i="104"/>
  <c r="W24" i="104"/>
  <c r="W14" i="104"/>
  <c r="S60" i="104"/>
  <c r="J60" i="104"/>
  <c r="W13" i="104"/>
  <c r="R60" i="104"/>
  <c r="U60" i="104"/>
  <c r="W8" i="104"/>
  <c r="V27" i="104"/>
  <c r="V60" i="104" s="1"/>
  <c r="I60" i="104"/>
  <c r="W60" i="104" l="1"/>
  <c r="Q60" i="103"/>
  <c r="P60" i="103"/>
  <c r="O60" i="103"/>
  <c r="N60" i="103"/>
  <c r="M60" i="103"/>
  <c r="L60" i="103"/>
  <c r="H60" i="103"/>
  <c r="G60" i="103"/>
  <c r="E60" i="103"/>
  <c r="D60" i="103"/>
  <c r="C60" i="103"/>
  <c r="S59" i="103"/>
  <c r="R59" i="103"/>
  <c r="J59" i="103"/>
  <c r="I59" i="103"/>
  <c r="S58" i="103"/>
  <c r="R58" i="103"/>
  <c r="J58" i="103"/>
  <c r="I58" i="103"/>
  <c r="S57" i="103"/>
  <c r="R57" i="103"/>
  <c r="J57" i="103"/>
  <c r="I57" i="103"/>
  <c r="S56" i="103"/>
  <c r="R56" i="103"/>
  <c r="J56" i="103"/>
  <c r="I56" i="103"/>
  <c r="S55" i="103"/>
  <c r="R55" i="103"/>
  <c r="J55" i="103"/>
  <c r="I55" i="103"/>
  <c r="U54" i="103"/>
  <c r="V54" i="103" s="1"/>
  <c r="S54" i="103"/>
  <c r="R54" i="103"/>
  <c r="J54" i="103"/>
  <c r="W54" i="103" s="1"/>
  <c r="I54" i="103"/>
  <c r="W53" i="103"/>
  <c r="V53" i="103"/>
  <c r="U53" i="103"/>
  <c r="S53" i="103"/>
  <c r="R53" i="103"/>
  <c r="J53" i="103"/>
  <c r="I53" i="103"/>
  <c r="W52" i="103"/>
  <c r="U52" i="103"/>
  <c r="V52" i="103" s="1"/>
  <c r="S52" i="103"/>
  <c r="R52" i="103"/>
  <c r="J52" i="103"/>
  <c r="I52" i="103"/>
  <c r="W51" i="103"/>
  <c r="V51" i="103"/>
  <c r="U51" i="103"/>
  <c r="S51" i="103"/>
  <c r="R51" i="103"/>
  <c r="J51" i="103"/>
  <c r="I51" i="103"/>
  <c r="W50" i="103"/>
  <c r="U50" i="103"/>
  <c r="V50" i="103" s="1"/>
  <c r="S50" i="103"/>
  <c r="R50" i="103"/>
  <c r="J50" i="103"/>
  <c r="I50" i="103"/>
  <c r="W49" i="103"/>
  <c r="V49" i="103"/>
  <c r="U49" i="103"/>
  <c r="S49" i="103"/>
  <c r="R49" i="103"/>
  <c r="J49" i="103"/>
  <c r="I49" i="103"/>
  <c r="W48" i="103"/>
  <c r="U48" i="103"/>
  <c r="V48" i="103" s="1"/>
  <c r="S48" i="103"/>
  <c r="R48" i="103"/>
  <c r="J48" i="103"/>
  <c r="I48" i="103"/>
  <c r="W47" i="103"/>
  <c r="V47" i="103"/>
  <c r="U47" i="103"/>
  <c r="S47" i="103"/>
  <c r="R47" i="103"/>
  <c r="J47" i="103"/>
  <c r="I47" i="103"/>
  <c r="W46" i="103"/>
  <c r="U46" i="103"/>
  <c r="V46" i="103" s="1"/>
  <c r="S46" i="103"/>
  <c r="R46" i="103"/>
  <c r="J46" i="103"/>
  <c r="I46" i="103"/>
  <c r="S45" i="103"/>
  <c r="R45" i="103"/>
  <c r="J45" i="103"/>
  <c r="I45" i="103"/>
  <c r="W44" i="103"/>
  <c r="U44" i="103"/>
  <c r="V44" i="103" s="1"/>
  <c r="S44" i="103"/>
  <c r="R44" i="103"/>
  <c r="J44" i="103"/>
  <c r="I44" i="103"/>
  <c r="S43" i="103"/>
  <c r="R43" i="103"/>
  <c r="J43" i="103"/>
  <c r="I43" i="103"/>
  <c r="U42" i="103"/>
  <c r="V42" i="103" s="1"/>
  <c r="S42" i="103"/>
  <c r="R42" i="103"/>
  <c r="J42" i="103"/>
  <c r="I42" i="103"/>
  <c r="W42" i="103" s="1"/>
  <c r="U41" i="103"/>
  <c r="V41" i="103" s="1"/>
  <c r="S41" i="103"/>
  <c r="R41" i="103"/>
  <c r="J41" i="103"/>
  <c r="I41" i="103"/>
  <c r="W41" i="103" s="1"/>
  <c r="U40" i="103"/>
  <c r="V40" i="103" s="1"/>
  <c r="S40" i="103"/>
  <c r="R40" i="103"/>
  <c r="J40" i="103"/>
  <c r="I40" i="103"/>
  <c r="W40" i="103" s="1"/>
  <c r="U39" i="103"/>
  <c r="V39" i="103" s="1"/>
  <c r="S39" i="103"/>
  <c r="R39" i="103"/>
  <c r="J39" i="103"/>
  <c r="I39" i="103"/>
  <c r="W39" i="103" s="1"/>
  <c r="U38" i="103"/>
  <c r="V38" i="103" s="1"/>
  <c r="S38" i="103"/>
  <c r="R38" i="103"/>
  <c r="J38" i="103"/>
  <c r="I38" i="103"/>
  <c r="W38" i="103" s="1"/>
  <c r="U37" i="103"/>
  <c r="V37" i="103" s="1"/>
  <c r="S37" i="103"/>
  <c r="R37" i="103"/>
  <c r="J37" i="103"/>
  <c r="I37" i="103"/>
  <c r="W37" i="103" s="1"/>
  <c r="U36" i="103"/>
  <c r="V36" i="103" s="1"/>
  <c r="S36" i="103"/>
  <c r="R36" i="103"/>
  <c r="J36" i="103"/>
  <c r="I36" i="103"/>
  <c r="W36" i="103" s="1"/>
  <c r="U35" i="103"/>
  <c r="V35" i="103" s="1"/>
  <c r="S35" i="103"/>
  <c r="R35" i="103"/>
  <c r="J35" i="103"/>
  <c r="I35" i="103"/>
  <c r="W35" i="103" s="1"/>
  <c r="U34" i="103"/>
  <c r="V34" i="103" s="1"/>
  <c r="S34" i="103"/>
  <c r="R34" i="103"/>
  <c r="J34" i="103"/>
  <c r="I34" i="103"/>
  <c r="W34" i="103" s="1"/>
  <c r="U33" i="103"/>
  <c r="V33" i="103" s="1"/>
  <c r="S33" i="103"/>
  <c r="R33" i="103"/>
  <c r="J33" i="103"/>
  <c r="I33" i="103"/>
  <c r="W33" i="103" s="1"/>
  <c r="U32" i="103"/>
  <c r="V32" i="103" s="1"/>
  <c r="S32" i="103"/>
  <c r="R32" i="103"/>
  <c r="J32" i="103"/>
  <c r="I32" i="103"/>
  <c r="W32" i="103" s="1"/>
  <c r="U31" i="103"/>
  <c r="V31" i="103" s="1"/>
  <c r="S31" i="103"/>
  <c r="R31" i="103"/>
  <c r="J31" i="103"/>
  <c r="I31" i="103"/>
  <c r="W31" i="103" s="1"/>
  <c r="U30" i="103"/>
  <c r="V30" i="103" s="1"/>
  <c r="S30" i="103"/>
  <c r="R30" i="103"/>
  <c r="J30" i="103"/>
  <c r="I30" i="103"/>
  <c r="W30" i="103" s="1"/>
  <c r="U29" i="103"/>
  <c r="V29" i="103" s="1"/>
  <c r="S29" i="103"/>
  <c r="R29" i="103"/>
  <c r="J29" i="103"/>
  <c r="I29" i="103"/>
  <c r="W29" i="103" s="1"/>
  <c r="U28" i="103"/>
  <c r="V28" i="103" s="1"/>
  <c r="S28" i="103"/>
  <c r="R28" i="103"/>
  <c r="J28" i="103"/>
  <c r="I28" i="103"/>
  <c r="W28" i="103" s="1"/>
  <c r="U27" i="103"/>
  <c r="V27" i="103" s="1"/>
  <c r="S27" i="103"/>
  <c r="R27" i="103"/>
  <c r="J27" i="103"/>
  <c r="I27" i="103"/>
  <c r="W27" i="103" s="1"/>
  <c r="BE26" i="103"/>
  <c r="U26" i="103"/>
  <c r="V26" i="103" s="1"/>
  <c r="S26" i="103"/>
  <c r="R26" i="103"/>
  <c r="J26" i="103"/>
  <c r="W26" i="103" s="1"/>
  <c r="I26" i="103"/>
  <c r="U25" i="103"/>
  <c r="V25" i="103" s="1"/>
  <c r="S25" i="103"/>
  <c r="R25" i="103"/>
  <c r="J25" i="103"/>
  <c r="I25" i="103"/>
  <c r="W25" i="103" s="1"/>
  <c r="U24" i="103"/>
  <c r="V24" i="103" s="1"/>
  <c r="S24" i="103"/>
  <c r="R24" i="103"/>
  <c r="J24" i="103"/>
  <c r="W24" i="103" s="1"/>
  <c r="I24" i="103"/>
  <c r="U23" i="103"/>
  <c r="V23" i="103" s="1"/>
  <c r="S23" i="103"/>
  <c r="R23" i="103"/>
  <c r="J23" i="103"/>
  <c r="I23" i="103"/>
  <c r="W23" i="103" s="1"/>
  <c r="U22" i="103"/>
  <c r="V22" i="103" s="1"/>
  <c r="S22" i="103"/>
  <c r="R22" i="103"/>
  <c r="J22" i="103"/>
  <c r="W22" i="103" s="1"/>
  <c r="I22" i="103"/>
  <c r="U21" i="103"/>
  <c r="V21" i="103" s="1"/>
  <c r="S21" i="103"/>
  <c r="R21" i="103"/>
  <c r="J21" i="103"/>
  <c r="I21" i="103"/>
  <c r="W21" i="103" s="1"/>
  <c r="U20" i="103"/>
  <c r="V20" i="103" s="1"/>
  <c r="S20" i="103"/>
  <c r="R20" i="103"/>
  <c r="J20" i="103"/>
  <c r="W20" i="103" s="1"/>
  <c r="I20" i="103"/>
  <c r="U19" i="103"/>
  <c r="V19" i="103" s="1"/>
  <c r="S19" i="103"/>
  <c r="R19" i="103"/>
  <c r="J19" i="103"/>
  <c r="I19" i="103"/>
  <c r="W19" i="103" s="1"/>
  <c r="U18" i="103"/>
  <c r="V18" i="103" s="1"/>
  <c r="S18" i="103"/>
  <c r="R18" i="103"/>
  <c r="J18" i="103"/>
  <c r="W18" i="103" s="1"/>
  <c r="I18" i="103"/>
  <c r="U17" i="103"/>
  <c r="V17" i="103" s="1"/>
  <c r="S17" i="103"/>
  <c r="R17" i="103"/>
  <c r="J17" i="103"/>
  <c r="I17" i="103"/>
  <c r="W17" i="103" s="1"/>
  <c r="U16" i="103"/>
  <c r="V16" i="103" s="1"/>
  <c r="S16" i="103"/>
  <c r="R16" i="103"/>
  <c r="J16" i="103"/>
  <c r="W16" i="103" s="1"/>
  <c r="I16" i="103"/>
  <c r="U15" i="103"/>
  <c r="V15" i="103" s="1"/>
  <c r="S15" i="103"/>
  <c r="R15" i="103"/>
  <c r="J15" i="103"/>
  <c r="I15" i="103"/>
  <c r="W15" i="103" s="1"/>
  <c r="U14" i="103"/>
  <c r="V14" i="103" s="1"/>
  <c r="S14" i="103"/>
  <c r="R14" i="103"/>
  <c r="J14" i="103"/>
  <c r="W14" i="103" s="1"/>
  <c r="I14" i="103"/>
  <c r="U13" i="103"/>
  <c r="V13" i="103" s="1"/>
  <c r="S13" i="103"/>
  <c r="R13" i="103"/>
  <c r="J13" i="103"/>
  <c r="I13" i="103"/>
  <c r="W13" i="103" s="1"/>
  <c r="U12" i="103"/>
  <c r="V12" i="103" s="1"/>
  <c r="S12" i="103"/>
  <c r="R12" i="103"/>
  <c r="J12" i="103"/>
  <c r="W12" i="103" s="1"/>
  <c r="I12" i="103"/>
  <c r="U11" i="103"/>
  <c r="V11" i="103" s="1"/>
  <c r="S11" i="103"/>
  <c r="R11" i="103"/>
  <c r="J11" i="103"/>
  <c r="I11" i="103"/>
  <c r="W11" i="103" s="1"/>
  <c r="U10" i="103"/>
  <c r="V10" i="103" s="1"/>
  <c r="S10" i="103"/>
  <c r="R10" i="103"/>
  <c r="J10" i="103"/>
  <c r="W10" i="103" s="1"/>
  <c r="I10" i="103"/>
  <c r="U9" i="103"/>
  <c r="V9" i="103" s="1"/>
  <c r="S9" i="103"/>
  <c r="R9" i="103"/>
  <c r="J9" i="103"/>
  <c r="I9" i="103"/>
  <c r="W9" i="103" s="1"/>
  <c r="A9" i="103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23" i="103" s="1"/>
  <c r="A24" i="103" s="1"/>
  <c r="A25" i="103" s="1"/>
  <c r="A26" i="103" s="1"/>
  <c r="A27" i="103" s="1"/>
  <c r="A28" i="103" s="1"/>
  <c r="A29" i="103" s="1"/>
  <c r="A30" i="103" s="1"/>
  <c r="A31" i="103" s="1"/>
  <c r="A32" i="103" s="1"/>
  <c r="A33" i="103" s="1"/>
  <c r="A34" i="103" s="1"/>
  <c r="A35" i="103" s="1"/>
  <c r="A36" i="103" s="1"/>
  <c r="A37" i="103" s="1"/>
  <c r="A38" i="103" s="1"/>
  <c r="A39" i="103" s="1"/>
  <c r="A40" i="103" s="1"/>
  <c r="A41" i="103" s="1"/>
  <c r="A42" i="103" s="1"/>
  <c r="A43" i="103" s="1"/>
  <c r="A44" i="103" s="1"/>
  <c r="A45" i="103" s="1"/>
  <c r="A46" i="103" s="1"/>
  <c r="A47" i="103" s="1"/>
  <c r="A48" i="103" s="1"/>
  <c r="A49" i="103" s="1"/>
  <c r="A50" i="103" s="1"/>
  <c r="A51" i="103" s="1"/>
  <c r="A52" i="103" s="1"/>
  <c r="A53" i="103" s="1"/>
  <c r="A54" i="103" s="1"/>
  <c r="A55" i="103" s="1"/>
  <c r="A56" i="103" s="1"/>
  <c r="A57" i="103" s="1"/>
  <c r="A58" i="103" s="1"/>
  <c r="A59" i="103" s="1"/>
  <c r="U8" i="103"/>
  <c r="U60" i="103" s="1"/>
  <c r="S8" i="103"/>
  <c r="S60" i="103" s="1"/>
  <c r="R8" i="103"/>
  <c r="R60" i="103" s="1"/>
  <c r="J8" i="103"/>
  <c r="W8" i="103" s="1"/>
  <c r="W60" i="103" s="1"/>
  <c r="I8" i="103"/>
  <c r="I60" i="103" s="1"/>
  <c r="Q60" i="102"/>
  <c r="P60" i="102"/>
  <c r="O60" i="102"/>
  <c r="N60" i="102"/>
  <c r="M60" i="102"/>
  <c r="L60" i="102"/>
  <c r="H60" i="102"/>
  <c r="G60" i="102"/>
  <c r="E60" i="102"/>
  <c r="D60" i="102"/>
  <c r="C60" i="102"/>
  <c r="S59" i="102"/>
  <c r="R59" i="102"/>
  <c r="J59" i="102"/>
  <c r="I59" i="102"/>
  <c r="S58" i="102"/>
  <c r="R58" i="102"/>
  <c r="J58" i="102"/>
  <c r="I58" i="102"/>
  <c r="S57" i="102"/>
  <c r="R57" i="102"/>
  <c r="J57" i="102"/>
  <c r="I57" i="102"/>
  <c r="S56" i="102"/>
  <c r="R56" i="102"/>
  <c r="J56" i="102"/>
  <c r="I56" i="102"/>
  <c r="S55" i="102"/>
  <c r="R55" i="102"/>
  <c r="J55" i="102"/>
  <c r="I55" i="102"/>
  <c r="U54" i="102"/>
  <c r="V54" i="102" s="1"/>
  <c r="S54" i="102"/>
  <c r="R54" i="102"/>
  <c r="J54" i="102"/>
  <c r="I54" i="102"/>
  <c r="W54" i="102" s="1"/>
  <c r="U53" i="102"/>
  <c r="V53" i="102" s="1"/>
  <c r="S53" i="102"/>
  <c r="R53" i="102"/>
  <c r="J53" i="102"/>
  <c r="I53" i="102"/>
  <c r="W53" i="102" s="1"/>
  <c r="U52" i="102"/>
  <c r="V52" i="102" s="1"/>
  <c r="S52" i="102"/>
  <c r="R52" i="102"/>
  <c r="J52" i="102"/>
  <c r="I52" i="102"/>
  <c r="W52" i="102" s="1"/>
  <c r="U51" i="102"/>
  <c r="V51" i="102" s="1"/>
  <c r="S51" i="102"/>
  <c r="R51" i="102"/>
  <c r="J51" i="102"/>
  <c r="I51" i="102"/>
  <c r="W51" i="102" s="1"/>
  <c r="U50" i="102"/>
  <c r="V50" i="102" s="1"/>
  <c r="S50" i="102"/>
  <c r="R50" i="102"/>
  <c r="J50" i="102"/>
  <c r="I50" i="102"/>
  <c r="W50" i="102" s="1"/>
  <c r="U49" i="102"/>
  <c r="V49" i="102" s="1"/>
  <c r="S49" i="102"/>
  <c r="R49" i="102"/>
  <c r="J49" i="102"/>
  <c r="I49" i="102"/>
  <c r="W49" i="102" s="1"/>
  <c r="U48" i="102"/>
  <c r="V48" i="102" s="1"/>
  <c r="S48" i="102"/>
  <c r="R48" i="102"/>
  <c r="J48" i="102"/>
  <c r="I48" i="102"/>
  <c r="U47" i="102"/>
  <c r="V47" i="102" s="1"/>
  <c r="S47" i="102"/>
  <c r="R47" i="102"/>
  <c r="J47" i="102"/>
  <c r="I47" i="102"/>
  <c r="W47" i="102" s="1"/>
  <c r="U46" i="102"/>
  <c r="V46" i="102" s="1"/>
  <c r="S46" i="102"/>
  <c r="R46" i="102"/>
  <c r="J46" i="102"/>
  <c r="I46" i="102"/>
  <c r="W46" i="102" s="1"/>
  <c r="S45" i="102"/>
  <c r="R45" i="102"/>
  <c r="J45" i="102"/>
  <c r="I45" i="102"/>
  <c r="U44" i="102"/>
  <c r="V44" i="102" s="1"/>
  <c r="S44" i="102"/>
  <c r="R44" i="102"/>
  <c r="J44" i="102"/>
  <c r="I44" i="102"/>
  <c r="W44" i="102" s="1"/>
  <c r="S43" i="102"/>
  <c r="R43" i="102"/>
  <c r="J43" i="102"/>
  <c r="I43" i="102"/>
  <c r="U42" i="102"/>
  <c r="V42" i="102" s="1"/>
  <c r="S42" i="102"/>
  <c r="R42" i="102"/>
  <c r="J42" i="102"/>
  <c r="I42" i="102"/>
  <c r="U41" i="102"/>
  <c r="V41" i="102" s="1"/>
  <c r="S41" i="102"/>
  <c r="R41" i="102"/>
  <c r="J41" i="102"/>
  <c r="I41" i="102"/>
  <c r="W41" i="102" s="1"/>
  <c r="W40" i="102"/>
  <c r="U40" i="102"/>
  <c r="V40" i="102" s="1"/>
  <c r="S40" i="102"/>
  <c r="R40" i="102"/>
  <c r="J40" i="102"/>
  <c r="I40" i="102"/>
  <c r="U39" i="102"/>
  <c r="V39" i="102" s="1"/>
  <c r="S39" i="102"/>
  <c r="R39" i="102"/>
  <c r="J39" i="102"/>
  <c r="I39" i="102"/>
  <c r="W39" i="102" s="1"/>
  <c r="U38" i="102"/>
  <c r="V38" i="102" s="1"/>
  <c r="S38" i="102"/>
  <c r="R38" i="102"/>
  <c r="J38" i="102"/>
  <c r="I38" i="102"/>
  <c r="U37" i="102"/>
  <c r="V37" i="102" s="1"/>
  <c r="S37" i="102"/>
  <c r="R37" i="102"/>
  <c r="J37" i="102"/>
  <c r="I37" i="102"/>
  <c r="W37" i="102" s="1"/>
  <c r="W36" i="102"/>
  <c r="U36" i="102"/>
  <c r="V36" i="102" s="1"/>
  <c r="S36" i="102"/>
  <c r="R36" i="102"/>
  <c r="J36" i="102"/>
  <c r="I36" i="102"/>
  <c r="U35" i="102"/>
  <c r="V35" i="102" s="1"/>
  <c r="S35" i="102"/>
  <c r="R35" i="102"/>
  <c r="J35" i="102"/>
  <c r="I35" i="102"/>
  <c r="W35" i="102" s="1"/>
  <c r="W34" i="102"/>
  <c r="U34" i="102"/>
  <c r="V34" i="102" s="1"/>
  <c r="S34" i="102"/>
  <c r="R34" i="102"/>
  <c r="J34" i="102"/>
  <c r="I34" i="102"/>
  <c r="U33" i="102"/>
  <c r="V33" i="102" s="1"/>
  <c r="S33" i="102"/>
  <c r="R33" i="102"/>
  <c r="J33" i="102"/>
  <c r="I33" i="102"/>
  <c r="W33" i="102" s="1"/>
  <c r="U32" i="102"/>
  <c r="V32" i="102" s="1"/>
  <c r="S32" i="102"/>
  <c r="R32" i="102"/>
  <c r="J32" i="102"/>
  <c r="I32" i="102"/>
  <c r="W32" i="102" s="1"/>
  <c r="U31" i="102"/>
  <c r="V31" i="102" s="1"/>
  <c r="S31" i="102"/>
  <c r="R31" i="102"/>
  <c r="J31" i="102"/>
  <c r="I31" i="102"/>
  <c r="W31" i="102" s="1"/>
  <c r="U30" i="102"/>
  <c r="V30" i="102" s="1"/>
  <c r="S30" i="102"/>
  <c r="R30" i="102"/>
  <c r="J30" i="102"/>
  <c r="I30" i="102"/>
  <c r="W30" i="102" s="1"/>
  <c r="U29" i="102"/>
  <c r="V29" i="102" s="1"/>
  <c r="S29" i="102"/>
  <c r="R29" i="102"/>
  <c r="J29" i="102"/>
  <c r="I29" i="102"/>
  <c r="W29" i="102" s="1"/>
  <c r="W28" i="102"/>
  <c r="U28" i="102"/>
  <c r="V28" i="102" s="1"/>
  <c r="S28" i="102"/>
  <c r="R28" i="102"/>
  <c r="J28" i="102"/>
  <c r="I28" i="102"/>
  <c r="U27" i="102"/>
  <c r="V27" i="102" s="1"/>
  <c r="S27" i="102"/>
  <c r="R27" i="102"/>
  <c r="J27" i="102"/>
  <c r="I27" i="102"/>
  <c r="W27" i="102" s="1"/>
  <c r="BE26" i="102"/>
  <c r="U26" i="102"/>
  <c r="V26" i="102" s="1"/>
  <c r="S26" i="102"/>
  <c r="R26" i="102"/>
  <c r="J26" i="102"/>
  <c r="I26" i="102"/>
  <c r="W26" i="102" s="1"/>
  <c r="V25" i="102"/>
  <c r="U25" i="102"/>
  <c r="S25" i="102"/>
  <c r="R25" i="102"/>
  <c r="J25" i="102"/>
  <c r="I25" i="102"/>
  <c r="W25" i="102" s="1"/>
  <c r="U24" i="102"/>
  <c r="V24" i="102" s="1"/>
  <c r="S24" i="102"/>
  <c r="R24" i="102"/>
  <c r="J24" i="102"/>
  <c r="I24" i="102"/>
  <c r="U23" i="102"/>
  <c r="V23" i="102" s="1"/>
  <c r="S23" i="102"/>
  <c r="R23" i="102"/>
  <c r="J23" i="102"/>
  <c r="I23" i="102"/>
  <c r="W23" i="102" s="1"/>
  <c r="U22" i="102"/>
  <c r="V22" i="102" s="1"/>
  <c r="S22" i="102"/>
  <c r="R22" i="102"/>
  <c r="J22" i="102"/>
  <c r="I22" i="102"/>
  <c r="W22" i="102" s="1"/>
  <c r="V21" i="102"/>
  <c r="U21" i="102"/>
  <c r="S21" i="102"/>
  <c r="R21" i="102"/>
  <c r="J21" i="102"/>
  <c r="I21" i="102"/>
  <c r="W21" i="102" s="1"/>
  <c r="U20" i="102"/>
  <c r="V20" i="102" s="1"/>
  <c r="S20" i="102"/>
  <c r="R20" i="102"/>
  <c r="J20" i="102"/>
  <c r="I20" i="102"/>
  <c r="W20" i="102" s="1"/>
  <c r="V19" i="102"/>
  <c r="U19" i="102"/>
  <c r="S19" i="102"/>
  <c r="R19" i="102"/>
  <c r="J19" i="102"/>
  <c r="I19" i="102"/>
  <c r="W19" i="102" s="1"/>
  <c r="U18" i="102"/>
  <c r="V18" i="102" s="1"/>
  <c r="S18" i="102"/>
  <c r="R18" i="102"/>
  <c r="J18" i="102"/>
  <c r="I18" i="102"/>
  <c r="W18" i="102" s="1"/>
  <c r="V17" i="102"/>
  <c r="U17" i="102"/>
  <c r="S17" i="102"/>
  <c r="R17" i="102"/>
  <c r="J17" i="102"/>
  <c r="I17" i="102"/>
  <c r="W17" i="102" s="1"/>
  <c r="U16" i="102"/>
  <c r="V16" i="102" s="1"/>
  <c r="S16" i="102"/>
  <c r="R16" i="102"/>
  <c r="J16" i="102"/>
  <c r="I16" i="102"/>
  <c r="W16" i="102" s="1"/>
  <c r="V15" i="102"/>
  <c r="U15" i="102"/>
  <c r="S15" i="102"/>
  <c r="R15" i="102"/>
  <c r="J15" i="102"/>
  <c r="I15" i="102"/>
  <c r="W15" i="102" s="1"/>
  <c r="U14" i="102"/>
  <c r="V14" i="102" s="1"/>
  <c r="S14" i="102"/>
  <c r="R14" i="102"/>
  <c r="J14" i="102"/>
  <c r="I14" i="102"/>
  <c r="W14" i="102" s="1"/>
  <c r="U13" i="102"/>
  <c r="V13" i="102" s="1"/>
  <c r="S13" i="102"/>
  <c r="R13" i="102"/>
  <c r="J13" i="102"/>
  <c r="I13" i="102"/>
  <c r="U12" i="102"/>
  <c r="V12" i="102" s="1"/>
  <c r="S12" i="102"/>
  <c r="R12" i="102"/>
  <c r="J12" i="102"/>
  <c r="I12" i="102"/>
  <c r="W12" i="102" s="1"/>
  <c r="U11" i="102"/>
  <c r="V11" i="102" s="1"/>
  <c r="S11" i="102"/>
  <c r="R11" i="102"/>
  <c r="J11" i="102"/>
  <c r="I11" i="102"/>
  <c r="W11" i="102" s="1"/>
  <c r="U10" i="102"/>
  <c r="V10" i="102" s="1"/>
  <c r="S10" i="102"/>
  <c r="R10" i="102"/>
  <c r="J10" i="102"/>
  <c r="I10" i="102"/>
  <c r="W10" i="102" s="1"/>
  <c r="U9" i="102"/>
  <c r="V9" i="102" s="1"/>
  <c r="S9" i="102"/>
  <c r="R9" i="102"/>
  <c r="J9" i="102"/>
  <c r="I9" i="102"/>
  <c r="W9" i="102" s="1"/>
  <c r="A9" i="102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23" i="102" s="1"/>
  <c r="A24" i="102" s="1"/>
  <c r="A25" i="102" s="1"/>
  <c r="A26" i="102" s="1"/>
  <c r="A27" i="102" s="1"/>
  <c r="A28" i="102" s="1"/>
  <c r="A29" i="102" s="1"/>
  <c r="A30" i="102" s="1"/>
  <c r="A31" i="102" s="1"/>
  <c r="A32" i="102" s="1"/>
  <c r="A33" i="102" s="1"/>
  <c r="A34" i="102" s="1"/>
  <c r="A35" i="102" s="1"/>
  <c r="A36" i="102" s="1"/>
  <c r="A37" i="102" s="1"/>
  <c r="A38" i="102" s="1"/>
  <c r="A39" i="102" s="1"/>
  <c r="A40" i="102" s="1"/>
  <c r="A41" i="102" s="1"/>
  <c r="A42" i="102" s="1"/>
  <c r="A43" i="102" s="1"/>
  <c r="A44" i="102" s="1"/>
  <c r="A45" i="102" s="1"/>
  <c r="A46" i="102" s="1"/>
  <c r="A47" i="102" s="1"/>
  <c r="A48" i="102" s="1"/>
  <c r="A49" i="102" s="1"/>
  <c r="A50" i="102" s="1"/>
  <c r="A51" i="102" s="1"/>
  <c r="A52" i="102" s="1"/>
  <c r="A53" i="102" s="1"/>
  <c r="A54" i="102" s="1"/>
  <c r="A55" i="102" s="1"/>
  <c r="A56" i="102" s="1"/>
  <c r="A57" i="102" s="1"/>
  <c r="A58" i="102" s="1"/>
  <c r="A59" i="102" s="1"/>
  <c r="U8" i="102"/>
  <c r="S8" i="102"/>
  <c r="S60" i="102" s="1"/>
  <c r="R8" i="102"/>
  <c r="J8" i="102"/>
  <c r="I8" i="102"/>
  <c r="W48" i="102" l="1"/>
  <c r="W42" i="102"/>
  <c r="W38" i="102"/>
  <c r="J60" i="102"/>
  <c r="W24" i="102"/>
  <c r="W13" i="102"/>
  <c r="R60" i="102"/>
  <c r="U60" i="102"/>
  <c r="W8" i="102"/>
  <c r="J60" i="103"/>
  <c r="V8" i="103"/>
  <c r="V60" i="103" s="1"/>
  <c r="I60" i="102"/>
  <c r="V8" i="102"/>
  <c r="V60" i="102" s="1"/>
  <c r="Q60" i="10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I49" i="101"/>
  <c r="U48" i="101"/>
  <c r="V48" i="101" s="1"/>
  <c r="S48" i="101"/>
  <c r="R48" i="101"/>
  <c r="J48" i="10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J45" i="101"/>
  <c r="I45" i="101"/>
  <c r="U44" i="101"/>
  <c r="V44" i="101" s="1"/>
  <c r="S44" i="101"/>
  <c r="R44" i="101"/>
  <c r="J44" i="101"/>
  <c r="I44" i="101"/>
  <c r="S43" i="101"/>
  <c r="R43" i="101"/>
  <c r="J43" i="101"/>
  <c r="I43" i="101"/>
  <c r="W42" i="101"/>
  <c r="U42" i="101"/>
  <c r="V42" i="101" s="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U39" i="101"/>
  <c r="V39" i="101" s="1"/>
  <c r="S39" i="101"/>
  <c r="R39" i="101"/>
  <c r="J39" i="101"/>
  <c r="I39" i="101"/>
  <c r="W39" i="101" s="1"/>
  <c r="U38" i="101"/>
  <c r="V38" i="101" s="1"/>
  <c r="S38" i="101"/>
  <c r="R38" i="101"/>
  <c r="J38" i="101"/>
  <c r="I38" i="101"/>
  <c r="W38" i="101" s="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V32" i="101"/>
  <c r="U32" i="101"/>
  <c r="S32" i="101"/>
  <c r="R32" i="101"/>
  <c r="J32" i="101"/>
  <c r="I32" i="101"/>
  <c r="W32" i="101" s="1"/>
  <c r="U31" i="101"/>
  <c r="V31" i="101" s="1"/>
  <c r="S31" i="101"/>
  <c r="R31" i="101"/>
  <c r="J31" i="101"/>
  <c r="I31" i="101"/>
  <c r="W31" i="101" s="1"/>
  <c r="U30" i="101"/>
  <c r="V30" i="101" s="1"/>
  <c r="S30" i="101"/>
  <c r="R30" i="101"/>
  <c r="J30" i="101"/>
  <c r="I30" i="101"/>
  <c r="W30" i="101" s="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R27" i="101"/>
  <c r="J27" i="101"/>
  <c r="I27" i="101"/>
  <c r="BE26" i="101"/>
  <c r="U26" i="101"/>
  <c r="V26" i="101" s="1"/>
  <c r="S26" i="101"/>
  <c r="R26" i="101"/>
  <c r="J26" i="101"/>
  <c r="I26" i="101"/>
  <c r="W26" i="101" s="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U22" i="101"/>
  <c r="V22" i="101" s="1"/>
  <c r="S22" i="101"/>
  <c r="R22" i="101"/>
  <c r="J22" i="101"/>
  <c r="I22" i="101"/>
  <c r="W22" i="101" s="1"/>
  <c r="W21" i="101"/>
  <c r="V21" i="101"/>
  <c r="U21" i="101"/>
  <c r="S21" i="101"/>
  <c r="R21" i="101"/>
  <c r="J21" i="101"/>
  <c r="I21" i="101"/>
  <c r="U20" i="101"/>
  <c r="V20" i="101" s="1"/>
  <c r="S20" i="101"/>
  <c r="R20" i="101"/>
  <c r="J20" i="101"/>
  <c r="I20" i="101"/>
  <c r="W20" i="101" s="1"/>
  <c r="W19" i="101"/>
  <c r="V19" i="101"/>
  <c r="U19" i="101"/>
  <c r="S19" i="101"/>
  <c r="R19" i="101"/>
  <c r="J19" i="101"/>
  <c r="I19" i="101"/>
  <c r="U18" i="101"/>
  <c r="V18" i="101" s="1"/>
  <c r="S18" i="101"/>
  <c r="R18" i="101"/>
  <c r="J18" i="101"/>
  <c r="I18" i="101"/>
  <c r="W18" i="101" s="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U13" i="101"/>
  <c r="V13" i="101" s="1"/>
  <c r="S13" i="101"/>
  <c r="R13" i="101"/>
  <c r="J13" i="101"/>
  <c r="I13" i="101"/>
  <c r="U12" i="101"/>
  <c r="V12" i="101" s="1"/>
  <c r="S12" i="101"/>
  <c r="R12" i="101"/>
  <c r="J12" i="101"/>
  <c r="I12" i="101"/>
  <c r="W12" i="101" s="1"/>
  <c r="V11" i="101"/>
  <c r="U11" i="101"/>
  <c r="S11" i="101"/>
  <c r="R11" i="101"/>
  <c r="J11" i="101"/>
  <c r="I11" i="101"/>
  <c r="W11" i="101" s="1"/>
  <c r="U10" i="101"/>
  <c r="V10" i="101" s="1"/>
  <c r="S10" i="101"/>
  <c r="R10" i="101"/>
  <c r="J10" i="101"/>
  <c r="I10" i="101"/>
  <c r="W10" i="101" s="1"/>
  <c r="V9" i="101"/>
  <c r="U9" i="101"/>
  <c r="S9" i="101"/>
  <c r="R9" i="101"/>
  <c r="J9" i="101"/>
  <c r="I9" i="101"/>
  <c r="W9" i="101" s="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U8" i="101"/>
  <c r="S8" i="101"/>
  <c r="R8" i="101"/>
  <c r="J8" i="101"/>
  <c r="I8" i="10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60" i="102" l="1"/>
  <c r="W49" i="101"/>
  <c r="W48" i="101"/>
  <c r="W44" i="101"/>
  <c r="W35" i="101"/>
  <c r="S60" i="101"/>
  <c r="J60" i="101"/>
  <c r="W13" i="101"/>
  <c r="R60" i="101"/>
  <c r="U60" i="101"/>
  <c r="I60" i="101"/>
  <c r="W8" i="101"/>
  <c r="W35" i="100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1" l="1"/>
  <c r="W60" i="100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29E93FB-D8E8-4DD3-90E0-2F936A44A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BB26612-BFCD-46A8-9735-F39EA4B10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71CBD0-ABFE-4D27-A880-78E662EF74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42556F-1505-4AB0-A3D3-B21E49888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17088D-110E-43ED-83BA-6C14892072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03662B-90C8-48BA-BB32-570F2E6FF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FBA208B-667A-4DFE-9BEB-9852BCB64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731DAC-278B-4ECB-8803-58888DD92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3D6CE63-E136-4BE4-890E-2BF1B8C99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D224DA-940C-4862-99DE-1DFE2636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81FEE1C-4AC9-4C2B-8F1C-97C93A6F5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235EA12-54F7-41A2-A362-4430967AD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F799CAF-2B67-4EB2-828F-404DC48047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8893D2-0CAD-411B-991E-6CF1CA4A1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41A8F9E-C86D-40AD-AEF9-720E849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53E956-1AD6-4767-917E-3D605B3C32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6561053-6715-4689-B62C-DC3A3ABACC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F342051-EBDA-4D20-8395-A9F970E68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<sst xmlns="http://schemas.openxmlformats.org/spreadsheetml/2006/main" count="2329" uniqueCount="82">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</sst>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/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115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40">
        <v>46058</v>
      </c>
      <c r="Q1" s="241"/>
      <c r="R1" s="241"/>
      <c r="S1" s="241"/>
      <c r="T1" s="241"/>
      <c r="U1" s="241"/>
      <c r="V1" s="242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7"/>
    </row>
    <row r="5" spans="1:58" s="3" customFormat="1" ht="38.25" thickBot="1" x14ac:dyDescent="0.3">
      <c r="A5" s="49"/>
      <c r="B5" s="243"/>
      <c r="C5" s="244"/>
      <c r="D5" s="245"/>
      <c r="E5" s="48" t="s">
        <v>8</v>
      </c>
      <c r="F5" s="97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46083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191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35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36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37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38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39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46084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191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46085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191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46086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07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46087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0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46088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3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46090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3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46091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6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46092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9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46093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9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46095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19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>
        <v>1</v>
      </c>
      <c r="H8" s="76"/>
      <c r="I8" s="76">
        <f>C8-G8</f>
        <v>62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30</v>
      </c>
      <c r="D10" s="120"/>
      <c r="E10" s="121"/>
      <c r="F10" s="121"/>
      <c r="G10" s="79">
        <v>4</v>
      </c>
      <c r="H10" s="76"/>
      <c r="I10" s="76">
        <f t="shared" si="4"/>
        <v>26</v>
      </c>
      <c r="J10" s="104">
        <f t="shared" si="0"/>
        <v>0</v>
      </c>
      <c r="K10" s="41"/>
      <c r="L10" s="121">
        <v>2</v>
      </c>
      <c r="M10" s="121"/>
      <c r="N10" s="121">
        <v>2</v>
      </c>
      <c r="O10" s="121"/>
      <c r="P10" s="121"/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624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</v>
      </c>
      <c r="D11" s="120"/>
      <c r="E11" s="121"/>
      <c r="F11" s="121"/>
      <c r="G11" s="79">
        <v>1</v>
      </c>
      <c r="H11" s="76"/>
      <c r="I11" s="76">
        <f t="shared" si="4"/>
        <v>2</v>
      </c>
      <c r="J11" s="80">
        <f t="shared" si="0"/>
        <v>0</v>
      </c>
      <c r="K11" s="41"/>
      <c r="L11" s="121"/>
      <c r="M11" s="121"/>
      <c r="N11" s="121">
        <v>1</v>
      </c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48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3727</v>
      </c>
      <c r="D13" s="123">
        <v>17</v>
      </c>
      <c r="E13" s="124"/>
      <c r="F13" s="124"/>
      <c r="G13" s="81">
        <v>38</v>
      </c>
      <c r="H13" s="82">
        <v>23</v>
      </c>
      <c r="I13" s="85">
        <f t="shared" si="4"/>
        <v>3689</v>
      </c>
      <c r="J13" s="103">
        <f>D13-H13</f>
        <v>-6</v>
      </c>
      <c r="K13" s="55"/>
      <c r="L13" s="130">
        <v>20</v>
      </c>
      <c r="M13" s="130">
        <v>4</v>
      </c>
      <c r="N13" s="130">
        <v>8</v>
      </c>
      <c r="O13" s="130">
        <v>7</v>
      </c>
      <c r="P13" s="130">
        <v>10</v>
      </c>
      <c r="Q13" s="131">
        <v>12</v>
      </c>
      <c r="R13" s="106">
        <f>L13+N13+P13</f>
        <v>38</v>
      </c>
      <c r="S13" s="134">
        <f>M13+O13+Q13</f>
        <v>23</v>
      </c>
      <c r="T13" s="55"/>
      <c r="U13" s="140">
        <f>L13*24+N13*24+P13*24</f>
        <v>912</v>
      </c>
      <c r="V13" s="144">
        <f t="shared" si="6"/>
        <v>38</v>
      </c>
      <c r="W13" s="142">
        <f>I13*24+J13</f>
        <v>88530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>
        <v>1</v>
      </c>
      <c r="H26" s="76"/>
      <c r="I26" s="76">
        <f t="shared" si="4"/>
        <v>119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2867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81</v>
      </c>
      <c r="D29" s="120"/>
      <c r="E29" s="121"/>
      <c r="F29" s="121"/>
      <c r="G29" s="79"/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>
        <v>2</v>
      </c>
      <c r="H30" s="76"/>
      <c r="I30" s="76">
        <f t="shared" si="4"/>
        <v>6</v>
      </c>
      <c r="J30" s="80">
        <f t="shared" si="4"/>
        <v>0</v>
      </c>
      <c r="K30" s="41"/>
      <c r="L30" s="121">
        <v>1</v>
      </c>
      <c r="M30" s="121"/>
      <c r="N30" s="121">
        <v>1</v>
      </c>
      <c r="O30" s="121"/>
      <c r="P30" s="121"/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144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116</v>
      </c>
      <c r="D35" s="120">
        <v>5</v>
      </c>
      <c r="E35" s="121"/>
      <c r="F35" s="121"/>
      <c r="G35" s="79">
        <v>3</v>
      </c>
      <c r="H35" s="76"/>
      <c r="I35" s="76">
        <f t="shared" si="4"/>
        <v>113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/>
      <c r="Q35" s="129"/>
      <c r="R35" s="92">
        <f t="shared" si="7"/>
        <v>3</v>
      </c>
      <c r="S35" s="133">
        <f t="shared" si="7"/>
        <v>0</v>
      </c>
      <c r="T35" s="41"/>
      <c r="U35" s="116">
        <f t="shared" si="5"/>
        <v>72</v>
      </c>
      <c r="V35" s="139">
        <f t="shared" si="6"/>
        <v>3</v>
      </c>
      <c r="W35" s="138">
        <f t="shared" si="8"/>
        <v>2717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3616</v>
      </c>
      <c r="D38" s="123">
        <v>2</v>
      </c>
      <c r="E38" s="124"/>
      <c r="F38" s="124"/>
      <c r="G38" s="81">
        <v>85</v>
      </c>
      <c r="H38" s="82"/>
      <c r="I38" s="148">
        <f t="shared" si="4"/>
        <v>3531</v>
      </c>
      <c r="J38" s="149">
        <f t="shared" si="4"/>
        <v>2</v>
      </c>
      <c r="K38" s="53"/>
      <c r="L38" s="130">
        <v>36</v>
      </c>
      <c r="M38" s="130"/>
      <c r="N38" s="130">
        <v>33</v>
      </c>
      <c r="O38" s="130"/>
      <c r="P38" s="130">
        <v>16</v>
      </c>
      <c r="Q38" s="131"/>
      <c r="R38" s="106">
        <f t="shared" si="7"/>
        <v>85</v>
      </c>
      <c r="S38" s="134">
        <f t="shared" si="7"/>
        <v>0</v>
      </c>
      <c r="T38" s="53"/>
      <c r="U38" s="140">
        <f>L38*6+N38*6+P38*6</f>
        <v>510</v>
      </c>
      <c r="V38" s="144">
        <f>U38/6</f>
        <v>85</v>
      </c>
      <c r="W38" s="142">
        <f>I38*6+J38</f>
        <v>21188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/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1309</v>
      </c>
      <c r="D42" s="173">
        <v>9</v>
      </c>
      <c r="E42" s="174"/>
      <c r="F42" s="174"/>
      <c r="G42" s="175">
        <v>32</v>
      </c>
      <c r="H42" s="176"/>
      <c r="I42" s="175">
        <f t="shared" si="4"/>
        <v>1277</v>
      </c>
      <c r="J42" s="177">
        <f t="shared" si="4"/>
        <v>9</v>
      </c>
      <c r="K42" s="178"/>
      <c r="L42" s="174">
        <v>4</v>
      </c>
      <c r="M42" s="174"/>
      <c r="N42" s="174">
        <v>12</v>
      </c>
      <c r="O42" s="174"/>
      <c r="P42" s="174">
        <v>16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15333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25030</v>
      </c>
      <c r="D44" s="123">
        <v>3</v>
      </c>
      <c r="E44" s="124"/>
      <c r="F44" s="124"/>
      <c r="G44" s="81">
        <v>1306</v>
      </c>
      <c r="H44" s="82"/>
      <c r="I44" s="76">
        <f>C44+E44-G44</f>
        <v>23724</v>
      </c>
      <c r="J44" s="186">
        <f t="shared" si="4"/>
        <v>3</v>
      </c>
      <c r="K44" s="53"/>
      <c r="L44" s="130">
        <v>676</v>
      </c>
      <c r="M44" s="130"/>
      <c r="N44" s="130">
        <v>314</v>
      </c>
      <c r="O44" s="130"/>
      <c r="P44" s="130">
        <v>316</v>
      </c>
      <c r="Q44" s="131"/>
      <c r="R44" s="187">
        <f t="shared" si="7"/>
        <v>1306</v>
      </c>
      <c r="S44" s="188">
        <f t="shared" si="7"/>
        <v>0</v>
      </c>
      <c r="T44" s="53"/>
      <c r="U44" s="140">
        <f>L44*6+N44*6+P44*6</f>
        <v>7836</v>
      </c>
      <c r="V44" s="139">
        <f>U44/6</f>
        <v>1306</v>
      </c>
      <c r="W44" s="142">
        <f>I44*6+J44</f>
        <v>142347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>
        <v>7</v>
      </c>
      <c r="H48" s="148"/>
      <c r="I48" s="148">
        <f t="shared" si="4"/>
        <v>2340</v>
      </c>
      <c r="J48" s="149">
        <f t="shared" si="4"/>
        <v>4</v>
      </c>
      <c r="K48" s="53"/>
      <c r="L48" s="130">
        <v>5</v>
      </c>
      <c r="M48" s="130"/>
      <c r="N48" s="130">
        <v>2</v>
      </c>
      <c r="O48" s="130"/>
      <c r="P48" s="130"/>
      <c r="Q48" s="131"/>
      <c r="R48" s="106">
        <f t="shared" si="7"/>
        <v>7</v>
      </c>
      <c r="S48" s="153">
        <f t="shared" si="7"/>
        <v>0</v>
      </c>
      <c r="T48" s="53"/>
      <c r="U48" s="140">
        <f>L48*6+N48*6+P48*6</f>
        <v>42</v>
      </c>
      <c r="V48" s="144">
        <f>U48/6</f>
        <v>7</v>
      </c>
      <c r="W48" s="142">
        <f>I48*6+J48</f>
        <v>14044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37260</v>
      </c>
      <c r="D60" s="57">
        <f>SUM(D8:D59)</f>
        <v>91</v>
      </c>
      <c r="E60" s="44">
        <f>SUM(E8:E59)</f>
        <v>0</v>
      </c>
      <c r="F60" s="44"/>
      <c r="G60" s="28">
        <f>SUM(G8:G59)</f>
        <v>1480</v>
      </c>
      <c r="H60" s="59">
        <f>SUM(H8:H59)</f>
        <v>23</v>
      </c>
      <c r="I60" s="59">
        <f>SUM(I8:I59)</f>
        <v>35780</v>
      </c>
      <c r="J60" s="45">
        <f>SUM(J8:J59)</f>
        <v>68</v>
      </c>
      <c r="K60" s="46"/>
      <c r="L60" s="77">
        <f t="shared" ref="L60:S60" si="20">SUM(L8:L59)</f>
        <v>749</v>
      </c>
      <c r="M60" s="77">
        <f t="shared" si="20"/>
        <v>4</v>
      </c>
      <c r="N60" s="77">
        <f t="shared" si="20"/>
        <v>373</v>
      </c>
      <c r="O60" s="77">
        <f t="shared" si="20"/>
        <v>7</v>
      </c>
      <c r="P60" s="77">
        <f t="shared" si="20"/>
        <v>358</v>
      </c>
      <c r="Q60" s="78">
        <f t="shared" si="20"/>
        <v>12</v>
      </c>
      <c r="R60" s="91">
        <f t="shared" si="20"/>
        <v>1480</v>
      </c>
      <c r="S60" s="90">
        <f t="shared" si="20"/>
        <v>23</v>
      </c>
      <c r="T60" s="46"/>
      <c r="U60" s="43">
        <f>SUM(U8:U59)</f>
        <v>9972</v>
      </c>
      <c r="V60" s="111">
        <f>SUM(V8:V59)</f>
        <v>1480</v>
      </c>
      <c r="W60" s="204">
        <f>SUM(W8:W59)</f>
        <v>310142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BD73-A48C-4F22-A504-2935EC0BD9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46095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22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689C-3A2A-47F7-8BBF-9939A9D59483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46098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22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62</v>
      </c>
      <c r="D8" s="120">
        <v>21</v>
      </c>
      <c r="E8" s="121"/>
      <c r="F8" s="121"/>
      <c r="G8" s="79">
        <v>5</v>
      </c>
      <c r="H8" s="76"/>
      <c r="I8" s="76">
        <f>C8-G8</f>
        <v>57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5</v>
      </c>
      <c r="Q8" s="129"/>
      <c r="R8" s="92">
        <f t="shared" ref="R8:S12" si="1">L8+N8+P8</f>
        <v>5</v>
      </c>
      <c r="S8" s="133">
        <f t="shared" si="1"/>
        <v>0</v>
      </c>
      <c r="T8" s="41"/>
      <c r="U8" s="116">
        <f>L8*24+N8*24+P8*24</f>
        <v>120</v>
      </c>
      <c r="V8" s="139">
        <f>U8/24</f>
        <v>5</v>
      </c>
      <c r="W8" s="138">
        <f t="shared" ref="W8:W12" si="2">I8*24+J8</f>
        <v>1389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>
        <v>5</v>
      </c>
      <c r="H9" s="82"/>
      <c r="I9" s="81">
        <f t="shared" ref="I9:J59" si="4">C9-G9</f>
        <v>95</v>
      </c>
      <c r="J9" s="103">
        <f t="shared" si="0"/>
        <v>0</v>
      </c>
      <c r="K9" s="53"/>
      <c r="L9" s="130">
        <v>3</v>
      </c>
      <c r="M9" s="130"/>
      <c r="N9" s="130"/>
      <c r="O9" s="130"/>
      <c r="P9" s="130">
        <v>2</v>
      </c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2280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23</v>
      </c>
      <c r="D10" s="120"/>
      <c r="E10" s="121"/>
      <c r="F10" s="121"/>
      <c r="G10" s="79">
        <v>7</v>
      </c>
      <c r="H10" s="76"/>
      <c r="I10" s="76">
        <f t="shared" si="4"/>
        <v>16</v>
      </c>
      <c r="J10" s="104">
        <f t="shared" si="0"/>
        <v>0</v>
      </c>
      <c r="K10" s="41"/>
      <c r="L10" s="121">
        <v>2</v>
      </c>
      <c r="M10" s="121"/>
      <c r="N10" s="121"/>
      <c r="O10" s="121"/>
      <c r="P10" s="121">
        <v>5</v>
      </c>
      <c r="Q10" s="129"/>
      <c r="R10" s="108">
        <f t="shared" si="1"/>
        <v>7</v>
      </c>
      <c r="S10" s="135">
        <f t="shared" si="1"/>
        <v>0</v>
      </c>
      <c r="T10" s="41"/>
      <c r="U10" s="116">
        <f>L10*24+N10*24+P10*24</f>
        <v>168</v>
      </c>
      <c r="V10" s="143">
        <f>U10/24</f>
        <v>7</v>
      </c>
      <c r="W10" s="138">
        <f t="shared" si="2"/>
        <v>384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</v>
      </c>
      <c r="D11" s="120"/>
      <c r="E11" s="121"/>
      <c r="F11" s="121"/>
      <c r="G11" s="79">
        <v>2</v>
      </c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>
        <v>2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>
        <v>6</v>
      </c>
      <c r="H12" s="76"/>
      <c r="I12" s="76">
        <f t="shared" si="4"/>
        <v>4</v>
      </c>
      <c r="J12" s="80">
        <f t="shared" si="0"/>
        <v>0</v>
      </c>
      <c r="K12" s="41"/>
      <c r="L12" s="121">
        <v>1</v>
      </c>
      <c r="M12" s="121"/>
      <c r="N12" s="121"/>
      <c r="O12" s="121"/>
      <c r="P12" s="121">
        <v>5</v>
      </c>
      <c r="Q12" s="129"/>
      <c r="R12" s="92">
        <f t="shared" si="1"/>
        <v>6</v>
      </c>
      <c r="S12" s="133">
        <f t="shared" si="1"/>
        <v>0</v>
      </c>
      <c r="T12" s="41"/>
      <c r="U12" s="116">
        <f t="shared" ref="U12:U37" si="5">L12*24+N12*24+P12*24</f>
        <v>144</v>
      </c>
      <c r="V12" s="139">
        <f t="shared" ref="V12:V41" si="6">U12/24</f>
        <v>6</v>
      </c>
      <c r="W12" s="138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3666</v>
      </c>
      <c r="D13" s="123">
        <v>21</v>
      </c>
      <c r="E13" s="124"/>
      <c r="F13" s="124"/>
      <c r="G13" s="81">
        <v>48</v>
      </c>
      <c r="H13" s="82">
        <v>14</v>
      </c>
      <c r="I13" s="85">
        <f t="shared" si="4"/>
        <v>3618</v>
      </c>
      <c r="J13" s="103">
        <f>D13-H13</f>
        <v>7</v>
      </c>
      <c r="K13" s="55"/>
      <c r="L13" s="130">
        <v>36</v>
      </c>
      <c r="M13" s="130">
        <v>6</v>
      </c>
      <c r="N13" s="130">
        <v>12</v>
      </c>
      <c r="O13" s="130">
        <v>8</v>
      </c>
      <c r="P13" s="130"/>
      <c r="Q13" s="131"/>
      <c r="R13" s="106">
        <f>L13+N13+P13</f>
        <v>48</v>
      </c>
      <c r="S13" s="134">
        <f>M13+O13+Q13</f>
        <v>14</v>
      </c>
      <c r="T13" s="55"/>
      <c r="U13" s="140">
        <f>L13*24+N13*24+P13*24</f>
        <v>1152</v>
      </c>
      <c r="V13" s="144">
        <f t="shared" si="6"/>
        <v>48</v>
      </c>
      <c r="W13" s="142">
        <f>I13*24+J13</f>
        <v>86839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>
        <v>1</v>
      </c>
      <c r="H14" s="76"/>
      <c r="I14" s="102">
        <f t="shared" si="4"/>
        <v>4</v>
      </c>
      <c r="J14" s="104">
        <f t="shared" si="4"/>
        <v>0</v>
      </c>
      <c r="K14" s="41"/>
      <c r="L14" s="121"/>
      <c r="M14" s="121"/>
      <c r="N14" s="121"/>
      <c r="O14" s="121"/>
      <c r="P14" s="121">
        <v>1</v>
      </c>
      <c r="Q14" s="129"/>
      <c r="R14" s="105">
        <f t="shared" ref="R14:S59" si="7">L14+N14+P14</f>
        <v>1</v>
      </c>
      <c r="S14" s="135">
        <f t="shared" si="7"/>
        <v>0</v>
      </c>
      <c r="T14" s="41"/>
      <c r="U14" s="116">
        <f t="shared" si="5"/>
        <v>24</v>
      </c>
      <c r="V14" s="118">
        <f t="shared" si="6"/>
        <v>1</v>
      </c>
      <c r="W14" s="138">
        <f t="shared" ref="W14:W37" si="8">I14*24+J14</f>
        <v>96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>
        <v>1</v>
      </c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>
        <v>1</v>
      </c>
      <c r="Q23" s="129"/>
      <c r="R23" s="92">
        <f t="shared" si="7"/>
        <v>1</v>
      </c>
      <c r="S23" s="133">
        <f t="shared" si="7"/>
        <v>0</v>
      </c>
      <c r="T23" s="42"/>
      <c r="U23" s="116">
        <f t="shared" si="5"/>
        <v>24</v>
      </c>
      <c r="V23" s="139">
        <f t="shared" si="6"/>
        <v>1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>
        <v>1</v>
      </c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>
        <v>1</v>
      </c>
      <c r="Q25" s="129"/>
      <c r="R25" s="92">
        <f t="shared" si="7"/>
        <v>1</v>
      </c>
      <c r="S25" s="133">
        <f t="shared" si="7"/>
        <v>0</v>
      </c>
      <c r="T25" s="41"/>
      <c r="U25" s="116">
        <f t="shared" si="5"/>
        <v>24</v>
      </c>
      <c r="V25" s="139">
        <f t="shared" si="6"/>
        <v>1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119</v>
      </c>
      <c r="D26" s="120">
        <v>11</v>
      </c>
      <c r="E26" s="121"/>
      <c r="F26" s="121"/>
      <c r="G26" s="79">
        <v>20</v>
      </c>
      <c r="H26" s="76"/>
      <c r="I26" s="76">
        <f t="shared" si="4"/>
        <v>99</v>
      </c>
      <c r="J26" s="80">
        <f t="shared" si="4"/>
        <v>11</v>
      </c>
      <c r="K26" s="41"/>
      <c r="L26" s="121">
        <v>15</v>
      </c>
      <c r="M26" s="121"/>
      <c r="N26" s="121"/>
      <c r="O26" s="121"/>
      <c r="P26" s="121">
        <v>5</v>
      </c>
      <c r="Q26" s="129"/>
      <c r="R26" s="92">
        <f t="shared" si="7"/>
        <v>20</v>
      </c>
      <c r="S26" s="133">
        <f t="shared" si="7"/>
        <v>0</v>
      </c>
      <c r="T26" s="41"/>
      <c r="U26" s="116">
        <f t="shared" si="5"/>
        <v>480</v>
      </c>
      <c r="V26" s="139">
        <f t="shared" si="6"/>
        <v>20</v>
      </c>
      <c r="W26" s="138">
        <f t="shared" si="8"/>
        <v>2387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>
        <v>3</v>
      </c>
      <c r="H27" s="76"/>
      <c r="I27" s="76">
        <f t="shared" si="4"/>
        <v>13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>
        <v>2</v>
      </c>
      <c r="Q27" s="129"/>
      <c r="R27" s="92">
        <f t="shared" si="7"/>
        <v>3</v>
      </c>
      <c r="S27" s="133">
        <f t="shared" si="7"/>
        <v>0</v>
      </c>
      <c r="T27" s="42"/>
      <c r="U27" s="116">
        <f t="shared" si="5"/>
        <v>72</v>
      </c>
      <c r="V27" s="139">
        <f t="shared" si="6"/>
        <v>3</v>
      </c>
      <c r="W27" s="138">
        <f t="shared" si="8"/>
        <v>312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78</v>
      </c>
      <c r="D29" s="120"/>
      <c r="E29" s="121"/>
      <c r="F29" s="121"/>
      <c r="G29" s="79">
        <v>40</v>
      </c>
      <c r="H29" s="76"/>
      <c r="I29" s="76">
        <f t="shared" si="4"/>
        <v>38</v>
      </c>
      <c r="J29" s="80">
        <f t="shared" si="4"/>
        <v>0</v>
      </c>
      <c r="K29" s="42"/>
      <c r="L29" s="121">
        <v>10</v>
      </c>
      <c r="M29" s="121"/>
      <c r="N29" s="121"/>
      <c r="O29" s="121"/>
      <c r="P29" s="121">
        <v>30</v>
      </c>
      <c r="Q29" s="129"/>
      <c r="R29" s="92">
        <f t="shared" si="7"/>
        <v>40</v>
      </c>
      <c r="S29" s="133">
        <f t="shared" si="7"/>
        <v>0</v>
      </c>
      <c r="T29" s="42"/>
      <c r="U29" s="116">
        <f t="shared" si="5"/>
        <v>960</v>
      </c>
      <c r="V29" s="139">
        <f t="shared" si="6"/>
        <v>40</v>
      </c>
      <c r="W29" s="138">
        <f t="shared" si="8"/>
        <v>912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6</v>
      </c>
      <c r="D30" s="120"/>
      <c r="E30" s="121"/>
      <c r="F30" s="121"/>
      <c r="G30" s="79">
        <v>6</v>
      </c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>
        <v>6</v>
      </c>
      <c r="Q30" s="129"/>
      <c r="R30" s="92">
        <f t="shared" si="7"/>
        <v>6</v>
      </c>
      <c r="S30" s="133">
        <f t="shared" si="7"/>
        <v>0</v>
      </c>
      <c r="T30" s="41"/>
      <c r="U30" s="116">
        <f t="shared" si="5"/>
        <v>144</v>
      </c>
      <c r="V30" s="139">
        <f t="shared" si="6"/>
        <v>6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>
        <v>2</v>
      </c>
      <c r="H31" s="76"/>
      <c r="I31" s="76">
        <f t="shared" si="4"/>
        <v>56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>
        <v>1</v>
      </c>
      <c r="H32" s="76"/>
      <c r="I32" s="76">
        <f t="shared" si="4"/>
        <v>0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113</v>
      </c>
      <c r="D35" s="120">
        <v>5</v>
      </c>
      <c r="E35" s="121"/>
      <c r="F35" s="121"/>
      <c r="G35" s="79">
        <v>20</v>
      </c>
      <c r="H35" s="76"/>
      <c r="I35" s="76">
        <f t="shared" si="4"/>
        <v>93</v>
      </c>
      <c r="J35" s="80">
        <f t="shared" si="4"/>
        <v>5</v>
      </c>
      <c r="K35" s="41"/>
      <c r="L35" s="121">
        <v>20</v>
      </c>
      <c r="M35" s="121"/>
      <c r="N35" s="121"/>
      <c r="O35" s="121"/>
      <c r="P35" s="121"/>
      <c r="Q35" s="129"/>
      <c r="R35" s="92">
        <f t="shared" si="7"/>
        <v>20</v>
      </c>
      <c r="S35" s="133">
        <f t="shared" si="7"/>
        <v>0</v>
      </c>
      <c r="T35" s="41"/>
      <c r="U35" s="116">
        <f t="shared" si="5"/>
        <v>480</v>
      </c>
      <c r="V35" s="139">
        <f t="shared" si="6"/>
        <v>20</v>
      </c>
      <c r="W35" s="138">
        <f t="shared" si="8"/>
        <v>2237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3458</v>
      </c>
      <c r="D38" s="123">
        <v>2</v>
      </c>
      <c r="E38" s="124"/>
      <c r="F38" s="124"/>
      <c r="G38" s="81">
        <v>253</v>
      </c>
      <c r="H38" s="82"/>
      <c r="I38" s="148">
        <f t="shared" si="4"/>
        <v>3205</v>
      </c>
      <c r="J38" s="149">
        <f t="shared" si="4"/>
        <v>2</v>
      </c>
      <c r="K38" s="53"/>
      <c r="L38" s="130">
        <v>118</v>
      </c>
      <c r="M38" s="130"/>
      <c r="N38" s="130">
        <v>30</v>
      </c>
      <c r="O38" s="130"/>
      <c r="P38" s="130">
        <v>105</v>
      </c>
      <c r="Q38" s="131"/>
      <c r="R38" s="106">
        <f t="shared" si="7"/>
        <v>253</v>
      </c>
      <c r="S38" s="134">
        <f t="shared" si="7"/>
        <v>0</v>
      </c>
      <c r="T38" s="53"/>
      <c r="U38" s="140">
        <f>L38*6+N38*6+P38*6</f>
        <v>1518</v>
      </c>
      <c r="V38" s="144">
        <f>U38/6</f>
        <v>253</v>
      </c>
      <c r="W38" s="142">
        <f>I38*6+J38</f>
        <v>19232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>
        <v>2</v>
      </c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>
        <v>2</v>
      </c>
      <c r="Q39" s="129"/>
      <c r="R39" s="105">
        <f t="shared" si="7"/>
        <v>2</v>
      </c>
      <c r="S39" s="135">
        <f t="shared" si="7"/>
        <v>0</v>
      </c>
      <c r="T39" s="41"/>
      <c r="U39" s="116">
        <f t="shared" ref="U39:U41" si="9">L39*24+N39*24+P39*24</f>
        <v>48</v>
      </c>
      <c r="V39" s="118">
        <f t="shared" si="6"/>
        <v>2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>
        <v>20</v>
      </c>
      <c r="H41" s="159"/>
      <c r="I41" s="160">
        <f t="shared" si="4"/>
        <v>484</v>
      </c>
      <c r="J41" s="161">
        <f t="shared" si="4"/>
        <v>0</v>
      </c>
      <c r="K41" s="162"/>
      <c r="L41" s="163"/>
      <c r="M41" s="163"/>
      <c r="N41" s="163"/>
      <c r="O41" s="163"/>
      <c r="P41" s="163">
        <v>20</v>
      </c>
      <c r="Q41" s="164"/>
      <c r="R41" s="165">
        <f t="shared" si="7"/>
        <v>20</v>
      </c>
      <c r="S41" s="166">
        <f t="shared" si="7"/>
        <v>0</v>
      </c>
      <c r="T41" s="162"/>
      <c r="U41" s="167">
        <f t="shared" si="9"/>
        <v>480</v>
      </c>
      <c r="V41" s="168">
        <f t="shared" si="6"/>
        <v>20</v>
      </c>
      <c r="W41" s="168">
        <f t="shared" si="10"/>
        <v>11616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1270</v>
      </c>
      <c r="D42" s="173">
        <v>9</v>
      </c>
      <c r="E42" s="174"/>
      <c r="F42" s="174"/>
      <c r="G42" s="175">
        <v>54</v>
      </c>
      <c r="H42" s="176"/>
      <c r="I42" s="175">
        <f t="shared" si="4"/>
        <v>1216</v>
      </c>
      <c r="J42" s="177">
        <f t="shared" si="4"/>
        <v>9</v>
      </c>
      <c r="K42" s="178"/>
      <c r="L42" s="174">
        <v>3</v>
      </c>
      <c r="M42" s="174"/>
      <c r="N42" s="174">
        <v>1</v>
      </c>
      <c r="O42" s="174"/>
      <c r="P42" s="174">
        <v>50</v>
      </c>
      <c r="Q42" s="179"/>
      <c r="R42" s="180">
        <f t="shared" si="7"/>
        <v>54</v>
      </c>
      <c r="S42" s="181">
        <f t="shared" si="7"/>
        <v>0</v>
      </c>
      <c r="T42" s="178"/>
      <c r="U42" s="182">
        <f>L42*12+N42*12+P42*12</f>
        <v>648</v>
      </c>
      <c r="V42" s="183">
        <f>U42/12</f>
        <v>54</v>
      </c>
      <c r="W42" s="184">
        <f>I42*12+J42</f>
        <v>14601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24513</v>
      </c>
      <c r="D44" s="123">
        <v>3</v>
      </c>
      <c r="E44" s="124">
        <v>3672</v>
      </c>
      <c r="F44" s="124"/>
      <c r="G44" s="81">
        <v>1555</v>
      </c>
      <c r="H44" s="82"/>
      <c r="I44" s="76">
        <f>C44+E44-G44</f>
        <v>26630</v>
      </c>
      <c r="J44" s="186">
        <f t="shared" si="4"/>
        <v>3</v>
      </c>
      <c r="K44" s="53"/>
      <c r="L44" s="130">
        <v>840</v>
      </c>
      <c r="M44" s="130"/>
      <c r="N44" s="130">
        <v>395</v>
      </c>
      <c r="O44" s="130"/>
      <c r="P44" s="130">
        <v>320</v>
      </c>
      <c r="Q44" s="131"/>
      <c r="R44" s="187">
        <f t="shared" si="7"/>
        <v>1555</v>
      </c>
      <c r="S44" s="188">
        <f t="shared" si="7"/>
        <v>0</v>
      </c>
      <c r="T44" s="53"/>
      <c r="U44" s="140">
        <f>L44*6+N44*6+P44*6</f>
        <v>9330</v>
      </c>
      <c r="V44" s="139">
        <f>U44/6</f>
        <v>1555</v>
      </c>
      <c r="W44" s="142">
        <f>I44*6+J44</f>
        <v>159783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2340</v>
      </c>
      <c r="D48" s="151">
        <v>4</v>
      </c>
      <c r="E48" s="130"/>
      <c r="F48" s="130"/>
      <c r="G48" s="152">
        <v>10</v>
      </c>
      <c r="H48" s="148"/>
      <c r="I48" s="148">
        <f t="shared" si="4"/>
        <v>2330</v>
      </c>
      <c r="J48" s="149">
        <f t="shared" si="4"/>
        <v>4</v>
      </c>
      <c r="K48" s="53"/>
      <c r="L48" s="130"/>
      <c r="M48" s="130"/>
      <c r="N48" s="130"/>
      <c r="O48" s="130"/>
      <c r="P48" s="130">
        <v>10</v>
      </c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13984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36460</v>
      </c>
      <c r="D60" s="57">
        <f>SUM(D8:D59)</f>
        <v>95</v>
      </c>
      <c r="E60" s="44">
        <f>SUM(E8:E59)</f>
        <v>3672</v>
      </c>
      <c r="F60" s="44"/>
      <c r="G60" s="28">
        <f>SUM(G8:G59)</f>
        <v>2062</v>
      </c>
      <c r="H60" s="59">
        <f>SUM(H8:H59)</f>
        <v>14</v>
      </c>
      <c r="I60" s="59">
        <f>SUM(I8:I59)</f>
        <v>38070</v>
      </c>
      <c r="J60" s="45">
        <f>SUM(J8:J59)</f>
        <v>81</v>
      </c>
      <c r="K60" s="46"/>
      <c r="L60" s="77">
        <f t="shared" ref="L60:S60" si="20">SUM(L8:L59)</f>
        <v>1050</v>
      </c>
      <c r="M60" s="77">
        <f t="shared" si="20"/>
        <v>6</v>
      </c>
      <c r="N60" s="77">
        <f t="shared" si="20"/>
        <v>438</v>
      </c>
      <c r="O60" s="77">
        <f t="shared" si="20"/>
        <v>8</v>
      </c>
      <c r="P60" s="77">
        <f t="shared" si="20"/>
        <v>574</v>
      </c>
      <c r="Q60" s="78">
        <f t="shared" si="20"/>
        <v>0</v>
      </c>
      <c r="R60" s="91">
        <f t="shared" si="20"/>
        <v>2062</v>
      </c>
      <c r="S60" s="90">
        <f t="shared" si="20"/>
        <v>14</v>
      </c>
      <c r="T60" s="46"/>
      <c r="U60" s="43">
        <f>SUM(U8:U59)</f>
        <v>16116</v>
      </c>
      <c r="V60" s="111">
        <f>SUM(V8:V59)</f>
        <v>2062</v>
      </c>
      <c r="W60" s="204">
        <f>SUM(W8:W59)</f>
        <v>319587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4243-0BE5-4936-9778-A087FD7BCC5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46099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25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57</v>
      </c>
      <c r="D8" s="120">
        <v>21</v>
      </c>
      <c r="E8" s="121"/>
      <c r="F8" s="121"/>
      <c r="G8" s="79">
        <v>11</v>
      </c>
      <c r="H8" s="76"/>
      <c r="I8" s="76">
        <f>C8-G8</f>
        <v>46</v>
      </c>
      <c r="J8" s="80">
        <f t="shared" ref="J8:J12" si="0">D8-H8</f>
        <v>21</v>
      </c>
      <c r="K8" s="41"/>
      <c r="L8" s="121">
        <v>10</v>
      </c>
      <c r="M8" s="121"/>
      <c r="N8" s="121">
        <v>1</v>
      </c>
      <c r="O8" s="121"/>
      <c r="P8" s="121"/>
      <c r="Q8" s="129"/>
      <c r="R8" s="92">
        <f t="shared" ref="R8:S12" si="1">L8+N8+P8</f>
        <v>11</v>
      </c>
      <c r="S8" s="133">
        <f t="shared" si="1"/>
        <v>0</v>
      </c>
      <c r="T8" s="41"/>
      <c r="U8" s="116">
        <f>L8*24+N8*24+P8*24</f>
        <v>264</v>
      </c>
      <c r="V8" s="139">
        <f>U8/24</f>
        <v>11</v>
      </c>
      <c r="W8" s="138">
        <f t="shared" ref="W8:W12" si="2">I8*24+J8</f>
        <v>1125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f>95</f>
        <v>95</v>
      </c>
      <c r="D9" s="123"/>
      <c r="E9" s="124"/>
      <c r="F9" s="124"/>
      <c r="G9" s="81">
        <v>5</v>
      </c>
      <c r="H9" s="82"/>
      <c r="I9" s="81">
        <f t="shared" ref="I9:J59" si="4">C9-G9</f>
        <v>90</v>
      </c>
      <c r="J9" s="103">
        <f t="shared" si="0"/>
        <v>0</v>
      </c>
      <c r="K9" s="53"/>
      <c r="L9" s="130">
        <v>5</v>
      </c>
      <c r="M9" s="130"/>
      <c r="N9" s="130"/>
      <c r="O9" s="130"/>
      <c r="P9" s="130"/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2160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16</v>
      </c>
      <c r="D10" s="120"/>
      <c r="E10" s="121"/>
      <c r="F10" s="121"/>
      <c r="G10" s="79">
        <v>5</v>
      </c>
      <c r="H10" s="76"/>
      <c r="I10" s="76">
        <f t="shared" si="4"/>
        <v>11</v>
      </c>
      <c r="J10" s="104">
        <f t="shared" si="0"/>
        <v>0</v>
      </c>
      <c r="K10" s="41"/>
      <c r="L10" s="121">
        <v>5</v>
      </c>
      <c r="M10" s="121"/>
      <c r="N10" s="121"/>
      <c r="O10" s="121"/>
      <c r="P10" s="121"/>
      <c r="Q10" s="129"/>
      <c r="R10" s="108">
        <f t="shared" si="1"/>
        <v>5</v>
      </c>
      <c r="S10" s="135">
        <f t="shared" si="1"/>
        <v>0</v>
      </c>
      <c r="T10" s="41"/>
      <c r="U10" s="116">
        <f>L10*24+N10*24+P10*24</f>
        <v>120</v>
      </c>
      <c r="V10" s="143">
        <f>U10/24</f>
        <v>5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4</v>
      </c>
      <c r="D12" s="120"/>
      <c r="E12" s="121"/>
      <c r="F12" s="121"/>
      <c r="G12" s="79">
        <v>3</v>
      </c>
      <c r="H12" s="76"/>
      <c r="I12" s="76">
        <f t="shared" si="4"/>
        <v>1</v>
      </c>
      <c r="J12" s="80">
        <f t="shared" si="0"/>
        <v>0</v>
      </c>
      <c r="K12" s="41"/>
      <c r="L12" s="121">
        <v>3</v>
      </c>
      <c r="M12" s="121"/>
      <c r="N12" s="121"/>
      <c r="O12" s="121"/>
      <c r="P12" s="121"/>
      <c r="Q12" s="129"/>
      <c r="R12" s="92">
        <f t="shared" si="1"/>
        <v>3</v>
      </c>
      <c r="S12" s="133">
        <f t="shared" si="1"/>
        <v>0</v>
      </c>
      <c r="T12" s="41"/>
      <c r="U12" s="116">
        <f t="shared" ref="U12:U37" si="5">L12*24+N12*24+P12*24</f>
        <v>72</v>
      </c>
      <c r="V12" s="139">
        <f t="shared" ref="V12:V41" si="6">U12/24</f>
        <v>3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3618</v>
      </c>
      <c r="D13" s="123">
        <v>7</v>
      </c>
      <c r="E13" s="124"/>
      <c r="F13" s="124"/>
      <c r="G13" s="81">
        <v>27</v>
      </c>
      <c r="H13" s="82">
        <v>22</v>
      </c>
      <c r="I13" s="85">
        <f t="shared" si="4"/>
        <v>3591</v>
      </c>
      <c r="J13" s="103">
        <f>D13-H13</f>
        <v>-15</v>
      </c>
      <c r="K13" s="55"/>
      <c r="L13" s="130">
        <v>1</v>
      </c>
      <c r="M13" s="130">
        <v>13</v>
      </c>
      <c r="N13" s="130">
        <v>14</v>
      </c>
      <c r="O13" s="130">
        <v>5</v>
      </c>
      <c r="P13" s="130">
        <v>12</v>
      </c>
      <c r="Q13" s="131">
        <v>4</v>
      </c>
      <c r="R13" s="106">
        <f>L13+N13+P13</f>
        <v>27</v>
      </c>
      <c r="S13" s="134">
        <f>M13+O13+Q13</f>
        <v>22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86169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4</v>
      </c>
      <c r="D14" s="120"/>
      <c r="E14" s="121"/>
      <c r="F14" s="121"/>
      <c r="G14" s="79">
        <v>1</v>
      </c>
      <c r="H14" s="76"/>
      <c r="I14" s="102">
        <f t="shared" si="4"/>
        <v>3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72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>
        <v>1</v>
      </c>
      <c r="H18" s="76"/>
      <c r="I18" s="76">
        <f t="shared" si="4"/>
        <v>3</v>
      </c>
      <c r="J18" s="80">
        <f t="shared" si="4"/>
        <v>0</v>
      </c>
      <c r="K18" s="41"/>
      <c r="L18" s="121">
        <v>1</v>
      </c>
      <c r="M18" s="121"/>
      <c r="N18" s="121"/>
      <c r="O18" s="121"/>
      <c r="P18" s="121"/>
      <c r="Q18" s="129"/>
      <c r="R18" s="92">
        <f t="shared" si="7"/>
        <v>1</v>
      </c>
      <c r="S18" s="133">
        <f t="shared" si="7"/>
        <v>0</v>
      </c>
      <c r="T18" s="41"/>
      <c r="U18" s="116">
        <f t="shared" si="5"/>
        <v>24</v>
      </c>
      <c r="V18" s="139">
        <f t="shared" si="6"/>
        <v>1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>
        <v>1</v>
      </c>
      <c r="H20" s="76"/>
      <c r="I20" s="76">
        <f t="shared" si="4"/>
        <v>3</v>
      </c>
      <c r="J20" s="80">
        <f t="shared" si="4"/>
        <v>0</v>
      </c>
      <c r="K20" s="41"/>
      <c r="L20" s="121">
        <v>1</v>
      </c>
      <c r="M20" s="121"/>
      <c r="N20" s="121"/>
      <c r="O20" s="121"/>
      <c r="P20" s="121"/>
      <c r="Q20" s="129"/>
      <c r="R20" s="92">
        <f t="shared" si="7"/>
        <v>1</v>
      </c>
      <c r="S20" s="133">
        <f t="shared" si="7"/>
        <v>0</v>
      </c>
      <c r="T20" s="41"/>
      <c r="U20" s="116">
        <f t="shared" si="5"/>
        <v>24</v>
      </c>
      <c r="V20" s="139">
        <f t="shared" si="6"/>
        <v>1</v>
      </c>
      <c r="W20" s="138">
        <f t="shared" si="8"/>
        <v>72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>
        <v>1</v>
      </c>
      <c r="H22" s="76"/>
      <c r="I22" s="76">
        <f t="shared" si="4"/>
        <v>3</v>
      </c>
      <c r="J22" s="80">
        <f t="shared" si="4"/>
        <v>0</v>
      </c>
      <c r="K22" s="41"/>
      <c r="L22" s="121">
        <v>1</v>
      </c>
      <c r="M22" s="121"/>
      <c r="N22" s="121"/>
      <c r="O22" s="121"/>
      <c r="P22" s="121"/>
      <c r="Q22" s="129"/>
      <c r="R22" s="92">
        <f t="shared" si="7"/>
        <v>1</v>
      </c>
      <c r="S22" s="133">
        <f t="shared" si="7"/>
        <v>0</v>
      </c>
      <c r="T22" s="41"/>
      <c r="U22" s="116">
        <f t="shared" si="5"/>
        <v>24</v>
      </c>
      <c r="V22" s="139">
        <f t="shared" si="6"/>
        <v>1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99</v>
      </c>
      <c r="D26" s="120">
        <v>11</v>
      </c>
      <c r="E26" s="121"/>
      <c r="F26" s="121"/>
      <c r="G26" s="79">
        <v>41</v>
      </c>
      <c r="H26" s="76"/>
      <c r="I26" s="76">
        <f t="shared" si="4"/>
        <v>58</v>
      </c>
      <c r="J26" s="80">
        <f t="shared" si="4"/>
        <v>11</v>
      </c>
      <c r="K26" s="41"/>
      <c r="L26" s="121">
        <v>40</v>
      </c>
      <c r="M26" s="121"/>
      <c r="N26" s="121">
        <v>1</v>
      </c>
      <c r="O26" s="121"/>
      <c r="P26" s="121"/>
      <c r="Q26" s="129"/>
      <c r="R26" s="92">
        <f t="shared" si="7"/>
        <v>41</v>
      </c>
      <c r="S26" s="133">
        <f t="shared" si="7"/>
        <v>0</v>
      </c>
      <c r="T26" s="41"/>
      <c r="U26" s="116">
        <f t="shared" si="5"/>
        <v>984</v>
      </c>
      <c r="V26" s="139">
        <f t="shared" si="6"/>
        <v>41</v>
      </c>
      <c r="W26" s="138">
        <f t="shared" si="8"/>
        <v>1403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13</v>
      </c>
      <c r="D27" s="120"/>
      <c r="E27" s="121"/>
      <c r="F27" s="121"/>
      <c r="G27" s="79">
        <v>5</v>
      </c>
      <c r="H27" s="76"/>
      <c r="I27" s="76">
        <f t="shared" si="4"/>
        <v>8</v>
      </c>
      <c r="J27" s="80">
        <f t="shared" si="4"/>
        <v>0</v>
      </c>
      <c r="K27" s="42"/>
      <c r="L27" s="121">
        <v>5</v>
      </c>
      <c r="M27" s="121"/>
      <c r="N27" s="121"/>
      <c r="O27" s="121"/>
      <c r="P27" s="121"/>
      <c r="Q27" s="129"/>
      <c r="R27" s="92">
        <f t="shared" si="7"/>
        <v>5</v>
      </c>
      <c r="S27" s="133">
        <f t="shared" si="7"/>
        <v>0</v>
      </c>
      <c r="T27" s="42"/>
      <c r="U27" s="116">
        <f t="shared" si="5"/>
        <v>120</v>
      </c>
      <c r="V27" s="139">
        <f t="shared" si="6"/>
        <v>5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38</v>
      </c>
      <c r="D29" s="120"/>
      <c r="E29" s="121"/>
      <c r="F29" s="121"/>
      <c r="G29" s="79">
        <v>26</v>
      </c>
      <c r="H29" s="76"/>
      <c r="I29" s="76">
        <f t="shared" si="4"/>
        <v>12</v>
      </c>
      <c r="J29" s="80">
        <f t="shared" si="4"/>
        <v>0</v>
      </c>
      <c r="K29" s="42"/>
      <c r="L29" s="121">
        <v>25</v>
      </c>
      <c r="M29" s="121"/>
      <c r="N29" s="121"/>
      <c r="O29" s="121"/>
      <c r="P29" s="121">
        <v>1</v>
      </c>
      <c r="Q29" s="129"/>
      <c r="R29" s="92">
        <f t="shared" si="7"/>
        <v>26</v>
      </c>
      <c r="S29" s="133">
        <f t="shared" si="7"/>
        <v>0</v>
      </c>
      <c r="T29" s="42"/>
      <c r="U29" s="116">
        <f t="shared" si="5"/>
        <v>624</v>
      </c>
      <c r="V29" s="139">
        <f t="shared" si="6"/>
        <v>26</v>
      </c>
      <c r="W29" s="138">
        <f t="shared" si="8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56</v>
      </c>
      <c r="D31" s="120"/>
      <c r="E31" s="121"/>
      <c r="F31" s="121"/>
      <c r="G31" s="79">
        <v>10</v>
      </c>
      <c r="H31" s="76"/>
      <c r="I31" s="76">
        <f t="shared" si="4"/>
        <v>46</v>
      </c>
      <c r="J31" s="80">
        <f t="shared" si="4"/>
        <v>0</v>
      </c>
      <c r="K31" s="41"/>
      <c r="L31" s="121">
        <v>10</v>
      </c>
      <c r="M31" s="121"/>
      <c r="N31" s="121"/>
      <c r="O31" s="121"/>
      <c r="P31" s="121"/>
      <c r="Q31" s="129"/>
      <c r="R31" s="92">
        <f t="shared" si="7"/>
        <v>10</v>
      </c>
      <c r="S31" s="133">
        <f t="shared" si="7"/>
        <v>0</v>
      </c>
      <c r="T31" s="41"/>
      <c r="U31" s="116">
        <f t="shared" si="5"/>
        <v>240</v>
      </c>
      <c r="V31" s="139">
        <f t="shared" si="6"/>
        <v>10</v>
      </c>
      <c r="W31" s="138">
        <f t="shared" si="8"/>
        <v>1104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93</v>
      </c>
      <c r="D35" s="120">
        <v>5</v>
      </c>
      <c r="E35" s="121"/>
      <c r="F35" s="121"/>
      <c r="G35" s="79">
        <v>11</v>
      </c>
      <c r="H35" s="76"/>
      <c r="I35" s="76">
        <f t="shared" si="4"/>
        <v>82</v>
      </c>
      <c r="J35" s="80">
        <f t="shared" si="4"/>
        <v>5</v>
      </c>
      <c r="K35" s="41"/>
      <c r="L35" s="121">
        <v>10</v>
      </c>
      <c r="M35" s="121"/>
      <c r="N35" s="121">
        <v>1</v>
      </c>
      <c r="O35" s="121"/>
      <c r="P35" s="121"/>
      <c r="Q35" s="129"/>
      <c r="R35" s="92">
        <f t="shared" si="7"/>
        <v>11</v>
      </c>
      <c r="S35" s="133">
        <f t="shared" si="7"/>
        <v>0</v>
      </c>
      <c r="T35" s="41"/>
      <c r="U35" s="116">
        <f t="shared" si="5"/>
        <v>264</v>
      </c>
      <c r="V35" s="139">
        <f t="shared" si="6"/>
        <v>11</v>
      </c>
      <c r="W35" s="138">
        <f t="shared" si="8"/>
        <v>1973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f>3205</f>
        <v>3205</v>
      </c>
      <c r="D38" s="123">
        <v>2</v>
      </c>
      <c r="E38" s="124"/>
      <c r="F38" s="124"/>
      <c r="G38" s="81">
        <v>88</v>
      </c>
      <c r="H38" s="82"/>
      <c r="I38" s="148">
        <f t="shared" si="4"/>
        <v>3117</v>
      </c>
      <c r="J38" s="149">
        <f t="shared" si="4"/>
        <v>2</v>
      </c>
      <c r="K38" s="53"/>
      <c r="L38" s="130">
        <v>8</v>
      </c>
      <c r="M38" s="130"/>
      <c r="N38" s="130">
        <v>7</v>
      </c>
      <c r="O38" s="130"/>
      <c r="P38" s="130">
        <v>73</v>
      </c>
      <c r="Q38" s="131"/>
      <c r="R38" s="106">
        <f t="shared" si="7"/>
        <v>88</v>
      </c>
      <c r="S38" s="134">
        <f t="shared" si="7"/>
        <v>0</v>
      </c>
      <c r="T38" s="53"/>
      <c r="U38" s="140">
        <f>L38*6+N38*6+P38*6</f>
        <v>528</v>
      </c>
      <c r="V38" s="144">
        <f>U38/6</f>
        <v>88</v>
      </c>
      <c r="W38" s="142">
        <f>I38*6+J38</f>
        <v>18704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484</v>
      </c>
      <c r="D41" s="156"/>
      <c r="E41" s="157"/>
      <c r="F41" s="157"/>
      <c r="G41" s="158">
        <v>13</v>
      </c>
      <c r="H41" s="159"/>
      <c r="I41" s="160">
        <f t="shared" si="4"/>
        <v>471</v>
      </c>
      <c r="J41" s="161">
        <f t="shared" si="4"/>
        <v>0</v>
      </c>
      <c r="K41" s="162"/>
      <c r="L41" s="163">
        <v>12</v>
      </c>
      <c r="M41" s="163"/>
      <c r="N41" s="163">
        <v>1</v>
      </c>
      <c r="O41" s="163"/>
      <c r="P41" s="163"/>
      <c r="Q41" s="164"/>
      <c r="R41" s="165">
        <f t="shared" si="7"/>
        <v>13</v>
      </c>
      <c r="S41" s="166">
        <f t="shared" si="7"/>
        <v>0</v>
      </c>
      <c r="T41" s="162"/>
      <c r="U41" s="167">
        <f t="shared" si="9"/>
        <v>312</v>
      </c>
      <c r="V41" s="168">
        <f t="shared" si="6"/>
        <v>13</v>
      </c>
      <c r="W41" s="168">
        <f t="shared" si="10"/>
        <v>11304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1216</v>
      </c>
      <c r="D42" s="173">
        <v>9</v>
      </c>
      <c r="E42" s="174"/>
      <c r="F42" s="174"/>
      <c r="G42" s="175">
        <v>23</v>
      </c>
      <c r="H42" s="176"/>
      <c r="I42" s="175">
        <f t="shared" si="4"/>
        <v>1193</v>
      </c>
      <c r="J42" s="177">
        <f t="shared" si="4"/>
        <v>9</v>
      </c>
      <c r="K42" s="178"/>
      <c r="L42" s="174">
        <v>21</v>
      </c>
      <c r="M42" s="174"/>
      <c r="N42" s="174">
        <v>1</v>
      </c>
      <c r="O42" s="174"/>
      <c r="P42" s="174">
        <v>1</v>
      </c>
      <c r="Q42" s="179"/>
      <c r="R42" s="180">
        <f t="shared" si="7"/>
        <v>23</v>
      </c>
      <c r="S42" s="181">
        <f t="shared" si="7"/>
        <v>0</v>
      </c>
      <c r="T42" s="178"/>
      <c r="U42" s="182">
        <f>L42*12+N42*12+P42*12</f>
        <v>276</v>
      </c>
      <c r="V42" s="183">
        <f>U42/12</f>
        <v>23</v>
      </c>
      <c r="W42" s="184">
        <f>I42*12+J42</f>
        <v>14325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26630</v>
      </c>
      <c r="D44" s="123">
        <v>3</v>
      </c>
      <c r="E44" s="124">
        <v>3672</v>
      </c>
      <c r="F44" s="124"/>
      <c r="G44" s="81">
        <v>1034</v>
      </c>
      <c r="H44" s="82"/>
      <c r="I44" s="76">
        <f>C44+E44-G44</f>
        <v>29268</v>
      </c>
      <c r="J44" s="186">
        <f t="shared" si="4"/>
        <v>3</v>
      </c>
      <c r="K44" s="53"/>
      <c r="L44" s="130">
        <v>314</v>
      </c>
      <c r="M44" s="130"/>
      <c r="N44" s="130">
        <v>388</v>
      </c>
      <c r="O44" s="130"/>
      <c r="P44" s="130">
        <v>332</v>
      </c>
      <c r="Q44" s="131"/>
      <c r="R44" s="187">
        <f t="shared" si="7"/>
        <v>1034</v>
      </c>
      <c r="S44" s="188">
        <f t="shared" si="7"/>
        <v>0</v>
      </c>
      <c r="T44" s="53"/>
      <c r="U44" s="140">
        <f>L44*6+N44*6+P44*6</f>
        <v>6204</v>
      </c>
      <c r="V44" s="139">
        <f>U44/6</f>
        <v>1034</v>
      </c>
      <c r="W44" s="142">
        <f>I44*6+J44</f>
        <v>175611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2330</v>
      </c>
      <c r="D48" s="151">
        <v>4</v>
      </c>
      <c r="E48" s="130"/>
      <c r="F48" s="130"/>
      <c r="G48" s="152">
        <v>10</v>
      </c>
      <c r="H48" s="148"/>
      <c r="I48" s="148">
        <f t="shared" si="4"/>
        <v>2320</v>
      </c>
      <c r="J48" s="149">
        <f t="shared" si="4"/>
        <v>4</v>
      </c>
      <c r="K48" s="53"/>
      <c r="L48" s="130">
        <v>10</v>
      </c>
      <c r="M48" s="130"/>
      <c r="N48" s="130"/>
      <c r="O48" s="130"/>
      <c r="P48" s="130"/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13924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38070</v>
      </c>
      <c r="D60" s="57">
        <f>SUM(D8:D59)</f>
        <v>81</v>
      </c>
      <c r="E60" s="44">
        <f>SUM(E8:E59)</f>
        <v>3672</v>
      </c>
      <c r="F60" s="44"/>
      <c r="G60" s="28">
        <f>SUM(G8:G59)</f>
        <v>1316</v>
      </c>
      <c r="H60" s="59">
        <f>SUM(H8:H59)</f>
        <v>22</v>
      </c>
      <c r="I60" s="59">
        <f>SUM(I8:I59)</f>
        <v>40426</v>
      </c>
      <c r="J60" s="45">
        <f>SUM(J8:J59)</f>
        <v>59</v>
      </c>
      <c r="K60" s="46"/>
      <c r="L60" s="77">
        <f t="shared" ref="L60:S60" si="20">SUM(L8:L59)</f>
        <v>482</v>
      </c>
      <c r="M60" s="77">
        <f t="shared" si="20"/>
        <v>13</v>
      </c>
      <c r="N60" s="77">
        <f t="shared" si="20"/>
        <v>414</v>
      </c>
      <c r="O60" s="77">
        <f t="shared" si="20"/>
        <v>5</v>
      </c>
      <c r="P60" s="77">
        <f t="shared" si="20"/>
        <v>419</v>
      </c>
      <c r="Q60" s="78">
        <f t="shared" si="20"/>
        <v>4</v>
      </c>
      <c r="R60" s="91">
        <f t="shared" si="20"/>
        <v>1315</v>
      </c>
      <c r="S60" s="90">
        <f t="shared" si="20"/>
        <v>22</v>
      </c>
      <c r="T60" s="46"/>
      <c r="U60" s="43">
        <f>SUM(U8:U59)</f>
        <v>10908</v>
      </c>
      <c r="V60" s="111">
        <f>SUM(V8:V59)</f>
        <v>1315</v>
      </c>
      <c r="W60" s="204">
        <f>SUM(W8:W59)</f>
        <v>330665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3" t="s">
        <v>3</v>
      </c>
      <c r="D69" s="22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0C7C1-0B2B-4C54-837E-057F029D73D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46100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28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46</v>
      </c>
      <c r="D8" s="120">
        <v>21</v>
      </c>
      <c r="E8" s="121"/>
      <c r="F8" s="121"/>
      <c r="G8" s="79">
        <v>1</v>
      </c>
      <c r="H8" s="76"/>
      <c r="I8" s="76">
        <f>C8-G8</f>
        <v>45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90</v>
      </c>
      <c r="D9" s="123"/>
      <c r="E9" s="124"/>
      <c r="F9" s="124"/>
      <c r="G9" s="81">
        <v>1</v>
      </c>
      <c r="H9" s="82"/>
      <c r="I9" s="81">
        <f t="shared" ref="I9:J59" si="4">C9-G9</f>
        <v>89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3590</v>
      </c>
      <c r="D13" s="123">
        <v>9</v>
      </c>
      <c r="E13" s="124"/>
      <c r="F13" s="124"/>
      <c r="G13" s="81">
        <v>43</v>
      </c>
      <c r="H13" s="82">
        <v>31</v>
      </c>
      <c r="I13" s="85">
        <f t="shared" si="4"/>
        <v>3547</v>
      </c>
      <c r="J13" s="103">
        <f>D13-H13</f>
        <v>-22</v>
      </c>
      <c r="K13" s="55"/>
      <c r="L13" s="130">
        <v>13</v>
      </c>
      <c r="M13" s="130">
        <v>16</v>
      </c>
      <c r="N13" s="130">
        <v>10</v>
      </c>
      <c r="O13" s="130">
        <v>5</v>
      </c>
      <c r="P13" s="130">
        <v>20</v>
      </c>
      <c r="Q13" s="131">
        <v>10</v>
      </c>
      <c r="R13" s="106">
        <f>L13+N13+P13</f>
        <v>43</v>
      </c>
      <c r="S13" s="134">
        <f>M13+O13+Q13</f>
        <v>31</v>
      </c>
      <c r="T13" s="55"/>
      <c r="U13" s="140">
        <f>L13*24+N13*24+P13*24</f>
        <v>1032</v>
      </c>
      <c r="V13" s="144">
        <f t="shared" si="6"/>
        <v>43</v>
      </c>
      <c r="W13" s="142">
        <f>I13*24+J13</f>
        <v>85106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3</v>
      </c>
      <c r="D14" s="120"/>
      <c r="E14" s="121"/>
      <c r="F14" s="121"/>
      <c r="G14" s="79"/>
      <c r="H14" s="76">
        <v>8</v>
      </c>
      <c r="I14" s="102">
        <f t="shared" si="4"/>
        <v>3</v>
      </c>
      <c r="J14" s="104">
        <f t="shared" si="4"/>
        <v>-8</v>
      </c>
      <c r="K14" s="41"/>
      <c r="L14" s="121"/>
      <c r="M14" s="121">
        <v>8</v>
      </c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8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3</v>
      </c>
      <c r="D20" s="120"/>
      <c r="E20" s="121"/>
      <c r="F20" s="121"/>
      <c r="G20" s="79"/>
      <c r="H20" s="76">
        <v>4</v>
      </c>
      <c r="I20" s="76">
        <f t="shared" si="4"/>
        <v>3</v>
      </c>
      <c r="J20" s="80">
        <f t="shared" si="4"/>
        <v>-4</v>
      </c>
      <c r="K20" s="41"/>
      <c r="L20" s="121"/>
      <c r="M20" s="121">
        <v>4</v>
      </c>
      <c r="N20" s="121"/>
      <c r="O20" s="121"/>
      <c r="P20" s="121"/>
      <c r="Q20" s="129"/>
      <c r="R20" s="92">
        <f t="shared" si="7"/>
        <v>0</v>
      </c>
      <c r="S20" s="133">
        <f t="shared" si="7"/>
        <v>4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>
        <v>8</v>
      </c>
      <c r="I21" s="76">
        <f t="shared" si="4"/>
        <v>6</v>
      </c>
      <c r="J21" s="80">
        <f t="shared" si="4"/>
        <v>-8</v>
      </c>
      <c r="K21" s="41"/>
      <c r="L21" s="121"/>
      <c r="M21" s="121">
        <v>8</v>
      </c>
      <c r="N21" s="121"/>
      <c r="O21" s="121"/>
      <c r="P21" s="121"/>
      <c r="Q21" s="129"/>
      <c r="R21" s="92">
        <f t="shared" si="7"/>
        <v>0</v>
      </c>
      <c r="S21" s="133">
        <f t="shared" si="7"/>
        <v>8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>
        <v>4</v>
      </c>
      <c r="I23" s="76">
        <f t="shared" si="4"/>
        <v>1</v>
      </c>
      <c r="J23" s="80">
        <f t="shared" si="4"/>
        <v>-4</v>
      </c>
      <c r="K23" s="42"/>
      <c r="L23" s="121"/>
      <c r="M23" s="121">
        <v>4</v>
      </c>
      <c r="N23" s="121"/>
      <c r="O23" s="121"/>
      <c r="P23" s="121"/>
      <c r="Q23" s="129"/>
      <c r="R23" s="92">
        <f t="shared" si="7"/>
        <v>0</v>
      </c>
      <c r="S23" s="133">
        <f t="shared" si="7"/>
        <v>4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58</v>
      </c>
      <c r="D26" s="120">
        <v>11</v>
      </c>
      <c r="E26" s="121"/>
      <c r="F26" s="121"/>
      <c r="G26" s="79">
        <v>10</v>
      </c>
      <c r="H26" s="76"/>
      <c r="I26" s="76">
        <f t="shared" si="4"/>
        <v>48</v>
      </c>
      <c r="J26" s="80">
        <f t="shared" si="4"/>
        <v>11</v>
      </c>
      <c r="K26" s="41"/>
      <c r="L26" s="121"/>
      <c r="M26" s="121"/>
      <c r="N26" s="121"/>
      <c r="O26" s="121"/>
      <c r="P26" s="121">
        <v>10</v>
      </c>
      <c r="Q26" s="129"/>
      <c r="R26" s="92">
        <f t="shared" si="7"/>
        <v>10</v>
      </c>
      <c r="S26" s="133">
        <f t="shared" si="7"/>
        <v>0</v>
      </c>
      <c r="T26" s="41"/>
      <c r="U26" s="116">
        <f t="shared" si="5"/>
        <v>240</v>
      </c>
      <c r="V26" s="139">
        <f t="shared" si="6"/>
        <v>10</v>
      </c>
      <c r="W26" s="138">
        <f t="shared" si="8"/>
        <v>1163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12</v>
      </c>
      <c r="D29" s="120"/>
      <c r="E29" s="121"/>
      <c r="F29" s="121"/>
      <c r="G29" s="79">
        <v>2</v>
      </c>
      <c r="H29" s="76"/>
      <c r="I29" s="76">
        <f t="shared" si="4"/>
        <v>10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46</v>
      </c>
      <c r="D30" s="120"/>
      <c r="E30" s="121"/>
      <c r="F30" s="121"/>
      <c r="G30" s="79"/>
      <c r="H30" s="76"/>
      <c r="I30" s="76">
        <f t="shared" si="4"/>
        <v>46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1104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82</v>
      </c>
      <c r="D35" s="120">
        <v>5</v>
      </c>
      <c r="E35" s="121"/>
      <c r="F35" s="121"/>
      <c r="G35" s="79">
        <v>2</v>
      </c>
      <c r="H35" s="76"/>
      <c r="I35" s="76">
        <f t="shared" si="4"/>
        <v>80</v>
      </c>
      <c r="J35" s="80">
        <f t="shared" si="4"/>
        <v>5</v>
      </c>
      <c r="K35" s="41"/>
      <c r="L35" s="121">
        <v>2</v>
      </c>
      <c r="M35" s="121"/>
      <c r="N35" s="121"/>
      <c r="O35" s="121"/>
      <c r="P35" s="121"/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3117</v>
      </c>
      <c r="D38" s="123">
        <v>2</v>
      </c>
      <c r="E38" s="124"/>
      <c r="F38" s="124"/>
      <c r="G38" s="81">
        <v>148</v>
      </c>
      <c r="H38" s="82"/>
      <c r="I38" s="148">
        <f t="shared" si="4"/>
        <v>2969</v>
      </c>
      <c r="J38" s="149">
        <f t="shared" si="4"/>
        <v>2</v>
      </c>
      <c r="K38" s="53"/>
      <c r="L38" s="130">
        <v>19</v>
      </c>
      <c r="M38" s="130"/>
      <c r="N38" s="130">
        <v>17</v>
      </c>
      <c r="O38" s="130"/>
      <c r="P38" s="130">
        <v>112</v>
      </c>
      <c r="Q38" s="131"/>
      <c r="R38" s="106">
        <f t="shared" si="7"/>
        <v>148</v>
      </c>
      <c r="S38" s="134">
        <f t="shared" si="7"/>
        <v>0</v>
      </c>
      <c r="T38" s="53"/>
      <c r="U38" s="140">
        <f>L38*6+N38*6+P38*6</f>
        <v>888</v>
      </c>
      <c r="V38" s="144">
        <f>U38/6</f>
        <v>148</v>
      </c>
      <c r="W38" s="142">
        <f>I38*6+J38</f>
        <v>17816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471</v>
      </c>
      <c r="D41" s="156"/>
      <c r="E41" s="157"/>
      <c r="F41" s="157"/>
      <c r="G41" s="158">
        <v>66</v>
      </c>
      <c r="H41" s="159"/>
      <c r="I41" s="160">
        <f t="shared" si="4"/>
        <v>405</v>
      </c>
      <c r="J41" s="161">
        <f t="shared" si="4"/>
        <v>0</v>
      </c>
      <c r="K41" s="162"/>
      <c r="L41" s="163">
        <v>65</v>
      </c>
      <c r="M41" s="163"/>
      <c r="N41" s="163">
        <v>1</v>
      </c>
      <c r="O41" s="163"/>
      <c r="P41" s="163"/>
      <c r="Q41" s="164"/>
      <c r="R41" s="165">
        <f t="shared" si="7"/>
        <v>66</v>
      </c>
      <c r="S41" s="166">
        <f t="shared" si="7"/>
        <v>0</v>
      </c>
      <c r="T41" s="162"/>
      <c r="U41" s="167">
        <f t="shared" si="9"/>
        <v>1584</v>
      </c>
      <c r="V41" s="168">
        <f t="shared" si="6"/>
        <v>66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1193</v>
      </c>
      <c r="D42" s="173">
        <v>9</v>
      </c>
      <c r="E42" s="174"/>
      <c r="F42" s="174"/>
      <c r="G42" s="175">
        <v>16</v>
      </c>
      <c r="H42" s="176"/>
      <c r="I42" s="175">
        <f t="shared" si="4"/>
        <v>1177</v>
      </c>
      <c r="J42" s="177">
        <f t="shared" si="4"/>
        <v>9</v>
      </c>
      <c r="K42" s="178"/>
      <c r="L42" s="174">
        <v>5</v>
      </c>
      <c r="M42" s="174"/>
      <c r="N42" s="174">
        <v>4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14133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29268</v>
      </c>
      <c r="D44" s="123">
        <v>3</v>
      </c>
      <c r="E44" s="124"/>
      <c r="F44" s="124"/>
      <c r="G44" s="81">
        <v>1213</v>
      </c>
      <c r="H44" s="82"/>
      <c r="I44" s="76">
        <f>C44+E44-G44</f>
        <v>28055</v>
      </c>
      <c r="J44" s="186">
        <f t="shared" si="4"/>
        <v>3</v>
      </c>
      <c r="K44" s="53"/>
      <c r="L44" s="130">
        <v>457</v>
      </c>
      <c r="M44" s="130"/>
      <c r="N44" s="130">
        <v>326</v>
      </c>
      <c r="O44" s="130"/>
      <c r="P44" s="130">
        <v>430</v>
      </c>
      <c r="Q44" s="131"/>
      <c r="R44" s="187">
        <f t="shared" si="7"/>
        <v>1213</v>
      </c>
      <c r="S44" s="188">
        <f t="shared" si="7"/>
        <v>0</v>
      </c>
      <c r="T44" s="53"/>
      <c r="U44" s="140">
        <f>L44*6+N44*6+P44*6</f>
        <v>7278</v>
      </c>
      <c r="V44" s="139">
        <f>U44/6</f>
        <v>1213</v>
      </c>
      <c r="W44" s="142">
        <f>I44*6+J44</f>
        <v>168333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2320</v>
      </c>
      <c r="D48" s="151">
        <v>4</v>
      </c>
      <c r="E48" s="130"/>
      <c r="F48" s="130"/>
      <c r="G48" s="152">
        <v>2</v>
      </c>
      <c r="H48" s="148"/>
      <c r="I48" s="148">
        <f t="shared" si="4"/>
        <v>2318</v>
      </c>
      <c r="J48" s="149">
        <f t="shared" si="4"/>
        <v>4</v>
      </c>
      <c r="K48" s="53"/>
      <c r="L48" s="130">
        <v>2</v>
      </c>
      <c r="M48" s="130"/>
      <c r="N48" s="130"/>
      <c r="O48" s="130"/>
      <c r="P48" s="130"/>
      <c r="Q48" s="131"/>
      <c r="R48" s="106">
        <f t="shared" si="7"/>
        <v>2</v>
      </c>
      <c r="S48" s="153">
        <f t="shared" si="7"/>
        <v>0</v>
      </c>
      <c r="T48" s="53"/>
      <c r="U48" s="140">
        <f>L48*6+N48*6+P48*6</f>
        <v>12</v>
      </c>
      <c r="V48" s="144">
        <f>U48/6</f>
        <v>2</v>
      </c>
      <c r="W48" s="142">
        <f>I48*6+J48</f>
        <v>13912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40425</v>
      </c>
      <c r="D60" s="57">
        <f>SUM(D8:D59)</f>
        <v>83</v>
      </c>
      <c r="E60" s="44">
        <f>SUM(E8:E59)</f>
        <v>0</v>
      </c>
      <c r="F60" s="44"/>
      <c r="G60" s="28">
        <f>SUM(G8:G59)</f>
        <v>1504</v>
      </c>
      <c r="H60" s="59">
        <f>SUM(H8:H59)</f>
        <v>55</v>
      </c>
      <c r="I60" s="59">
        <f>SUM(I8:I59)</f>
        <v>38921</v>
      </c>
      <c r="J60" s="45">
        <f>SUM(J8:J59)</f>
        <v>28</v>
      </c>
      <c r="K60" s="46"/>
      <c r="L60" s="77">
        <f t="shared" ref="L60:S60" si="20">SUM(L8:L59)</f>
        <v>567</v>
      </c>
      <c r="M60" s="77">
        <f t="shared" si="20"/>
        <v>40</v>
      </c>
      <c r="N60" s="77">
        <f t="shared" si="20"/>
        <v>358</v>
      </c>
      <c r="O60" s="77">
        <f t="shared" si="20"/>
        <v>5</v>
      </c>
      <c r="P60" s="77">
        <f t="shared" si="20"/>
        <v>579</v>
      </c>
      <c r="Q60" s="78">
        <f t="shared" si="20"/>
        <v>10</v>
      </c>
      <c r="R60" s="91">
        <f t="shared" si="20"/>
        <v>1504</v>
      </c>
      <c r="S60" s="90">
        <f t="shared" si="20"/>
        <v>55</v>
      </c>
      <c r="T60" s="46"/>
      <c r="U60" s="43">
        <f>SUM(U8:U59)</f>
        <v>11370</v>
      </c>
      <c r="V60" s="111">
        <f>SUM(V8:V59)</f>
        <v>1504</v>
      </c>
      <c r="W60" s="204">
        <f>SUM(W8:W59)</f>
        <v>319240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46101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28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/>
      <c r="H8" s="76"/>
      <c r="I8" s="76">
        <f>C8-G8</f>
        <v>45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3546</v>
      </c>
      <c r="D13" s="123">
        <v>2</v>
      </c>
      <c r="E13" s="124"/>
      <c r="F13" s="124"/>
      <c r="G13" s="81">
        <v>31</v>
      </c>
      <c r="H13" s="82">
        <v>23</v>
      </c>
      <c r="I13" s="85">
        <f t="shared" si="4"/>
        <v>3515</v>
      </c>
      <c r="J13" s="103">
        <f>D13-H13</f>
        <v>-21</v>
      </c>
      <c r="K13" s="55"/>
      <c r="L13" s="130">
        <v>7</v>
      </c>
      <c r="M13" s="130">
        <v>12</v>
      </c>
      <c r="N13" s="130">
        <v>12</v>
      </c>
      <c r="O13" s="130"/>
      <c r="P13" s="130">
        <v>12</v>
      </c>
      <c r="Q13" s="131">
        <v>11</v>
      </c>
      <c r="R13" s="106">
        <f>L13+N13+P13</f>
        <v>31</v>
      </c>
      <c r="S13" s="134">
        <f>M13+O13+Q13</f>
        <v>23</v>
      </c>
      <c r="T13" s="55"/>
      <c r="U13" s="140">
        <f>L13*24+N13*24+P13*24</f>
        <v>744</v>
      </c>
      <c r="V13" s="144">
        <f t="shared" si="6"/>
        <v>31</v>
      </c>
      <c r="W13" s="142">
        <f>I13*24+J13</f>
        <v>84339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48</v>
      </c>
      <c r="D26" s="120">
        <v>11</v>
      </c>
      <c r="E26" s="121"/>
      <c r="F26" s="121"/>
      <c r="G26" s="79">
        <v>2</v>
      </c>
      <c r="H26" s="76"/>
      <c r="I26" s="76">
        <f t="shared" si="4"/>
        <v>46</v>
      </c>
      <c r="J26" s="80">
        <f t="shared" si="4"/>
        <v>11</v>
      </c>
      <c r="K26" s="41"/>
      <c r="L26" s="121">
        <v>1</v>
      </c>
      <c r="M26" s="121"/>
      <c r="N26" s="121">
        <v>1</v>
      </c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1115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</v>
      </c>
      <c r="D29" s="120"/>
      <c r="E29" s="121"/>
      <c r="F29" s="121"/>
      <c r="G29" s="79">
        <v>6</v>
      </c>
      <c r="H29" s="76"/>
      <c r="I29" s="76">
        <f t="shared" si="4"/>
        <v>4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3</v>
      </c>
      <c r="Q29" s="129"/>
      <c r="R29" s="92">
        <f t="shared" si="7"/>
        <v>6</v>
      </c>
      <c r="S29" s="133">
        <f t="shared" si="7"/>
        <v>0</v>
      </c>
      <c r="T29" s="42"/>
      <c r="U29" s="116">
        <f t="shared" si="5"/>
        <v>144</v>
      </c>
      <c r="V29" s="139">
        <f t="shared" si="6"/>
        <v>6</v>
      </c>
      <c r="W29" s="138">
        <f t="shared" si="8"/>
        <v>96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46</v>
      </c>
      <c r="D31" s="120"/>
      <c r="E31" s="121"/>
      <c r="F31" s="121"/>
      <c r="G31" s="79">
        <v>1</v>
      </c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>
        <v>1</v>
      </c>
      <c r="O31" s="121"/>
      <c r="P31" s="121"/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/>
      <c r="H35" s="76"/>
      <c r="I35" s="76">
        <f t="shared" si="4"/>
        <v>80</v>
      </c>
      <c r="J35" s="80">
        <f t="shared" si="4"/>
        <v>5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2969</v>
      </c>
      <c r="D38" s="123">
        <v>2</v>
      </c>
      <c r="E38" s="124"/>
      <c r="F38" s="124"/>
      <c r="G38" s="81">
        <v>71</v>
      </c>
      <c r="H38" s="82"/>
      <c r="I38" s="148">
        <f t="shared" si="4"/>
        <v>2898</v>
      </c>
      <c r="J38" s="149">
        <f t="shared" si="4"/>
        <v>2</v>
      </c>
      <c r="K38" s="53"/>
      <c r="L38" s="130">
        <v>10</v>
      </c>
      <c r="M38" s="130"/>
      <c r="N38" s="130">
        <v>36</v>
      </c>
      <c r="O38" s="130"/>
      <c r="P38" s="130">
        <v>25</v>
      </c>
      <c r="Q38" s="131"/>
      <c r="R38" s="106">
        <f t="shared" si="7"/>
        <v>71</v>
      </c>
      <c r="S38" s="134">
        <f t="shared" si="7"/>
        <v>0</v>
      </c>
      <c r="T38" s="53"/>
      <c r="U38" s="140">
        <f>L38*6+N38*6+P38*6</f>
        <v>426</v>
      </c>
      <c r="V38" s="144">
        <f>U38/6</f>
        <v>71</v>
      </c>
      <c r="W38" s="142">
        <f>I38*6+J38</f>
        <v>17390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/>
      <c r="H41" s="159"/>
      <c r="I41" s="160">
        <f t="shared" si="4"/>
        <v>405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1177</v>
      </c>
      <c r="D42" s="173">
        <v>9</v>
      </c>
      <c r="E42" s="174"/>
      <c r="F42" s="174"/>
      <c r="G42" s="175">
        <v>16</v>
      </c>
      <c r="H42" s="176"/>
      <c r="I42" s="175">
        <f t="shared" si="4"/>
        <v>1161</v>
      </c>
      <c r="J42" s="177">
        <f t="shared" si="4"/>
        <v>9</v>
      </c>
      <c r="K42" s="178"/>
      <c r="L42" s="174"/>
      <c r="M42" s="174"/>
      <c r="N42" s="174">
        <v>9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13941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28055</v>
      </c>
      <c r="D44" s="123">
        <v>2</v>
      </c>
      <c r="E44" s="124">
        <v>1836</v>
      </c>
      <c r="F44" s="124"/>
      <c r="G44" s="81">
        <v>1206</v>
      </c>
      <c r="H44" s="82"/>
      <c r="I44" s="76">
        <f>C44+E44-G44</f>
        <v>28685</v>
      </c>
      <c r="J44" s="186">
        <f t="shared" si="4"/>
        <v>2</v>
      </c>
      <c r="K44" s="53"/>
      <c r="L44" s="130">
        <v>436</v>
      </c>
      <c r="M44" s="130"/>
      <c r="N44" s="130">
        <v>398</v>
      </c>
      <c r="O44" s="130"/>
      <c r="P44" s="130">
        <v>372</v>
      </c>
      <c r="Q44" s="131"/>
      <c r="R44" s="187">
        <f t="shared" si="7"/>
        <v>1206</v>
      </c>
      <c r="S44" s="188">
        <f t="shared" si="7"/>
        <v>0</v>
      </c>
      <c r="T44" s="53"/>
      <c r="U44" s="140">
        <f>L44*6+N44*6+P44*6</f>
        <v>7236</v>
      </c>
      <c r="V44" s="139">
        <f>U44/6</f>
        <v>1206</v>
      </c>
      <c r="W44" s="142">
        <f>I44*6+J44</f>
        <v>172112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2318</v>
      </c>
      <c r="D48" s="151">
        <v>4</v>
      </c>
      <c r="E48" s="130"/>
      <c r="F48" s="130"/>
      <c r="G48" s="152">
        <v>5</v>
      </c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>
        <v>5</v>
      </c>
      <c r="O48" s="130"/>
      <c r="P48" s="130"/>
      <c r="Q48" s="131"/>
      <c r="R48" s="106">
        <f t="shared" si="7"/>
        <v>5</v>
      </c>
      <c r="S48" s="153">
        <f t="shared" si="7"/>
        <v>0</v>
      </c>
      <c r="T48" s="53"/>
      <c r="U48" s="140">
        <f>L48*6+N48*6+P48*6</f>
        <v>30</v>
      </c>
      <c r="V48" s="144">
        <f>U48/6</f>
        <v>5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38916</v>
      </c>
      <c r="D60" s="57">
        <f>SUM(D8:D59)</f>
        <v>147</v>
      </c>
      <c r="E60" s="44">
        <f>SUM(E8:E59)</f>
        <v>1836</v>
      </c>
      <c r="F60" s="44"/>
      <c r="G60" s="28">
        <f>SUM(G8:G59)</f>
        <v>1338</v>
      </c>
      <c r="H60" s="59">
        <f>SUM(H8:H59)</f>
        <v>23</v>
      </c>
      <c r="I60" s="59">
        <f>SUM(I8:I59)</f>
        <v>39414</v>
      </c>
      <c r="J60" s="45">
        <f>SUM(J8:J59)</f>
        <v>124</v>
      </c>
      <c r="K60" s="46"/>
      <c r="L60" s="77">
        <f t="shared" ref="L60:S60" si="20">SUM(L8:L59)</f>
        <v>455</v>
      </c>
      <c r="M60" s="77">
        <f t="shared" si="20"/>
        <v>12</v>
      </c>
      <c r="N60" s="77">
        <f t="shared" si="20"/>
        <v>464</v>
      </c>
      <c r="O60" s="77">
        <f t="shared" si="20"/>
        <v>0</v>
      </c>
      <c r="P60" s="77">
        <f t="shared" si="20"/>
        <v>419</v>
      </c>
      <c r="Q60" s="78">
        <f t="shared" si="20"/>
        <v>11</v>
      </c>
      <c r="R60" s="91">
        <f t="shared" si="20"/>
        <v>1338</v>
      </c>
      <c r="S60" s="90">
        <f t="shared" si="20"/>
        <v>23</v>
      </c>
      <c r="T60" s="46"/>
      <c r="U60" s="43">
        <f>SUM(U8:U59)</f>
        <v>8844</v>
      </c>
      <c r="V60" s="111">
        <f>SUM(V8:V59)</f>
        <v>1338</v>
      </c>
      <c r="W60" s="204">
        <f>SUM(W8:W59)</f>
        <v>321388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7" sqref="P1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9.71093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46104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31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>
        <v>3</v>
      </c>
      <c r="H8" s="76"/>
      <c r="I8" s="76">
        <f>C8-G8</f>
        <v>42</v>
      </c>
      <c r="J8" s="80">
        <f t="shared" ref="J8:J12" si="0">D8-H8</f>
        <v>21</v>
      </c>
      <c r="K8" s="41"/>
      <c r="L8" s="121">
        <v>2</v>
      </c>
      <c r="M8" s="121"/>
      <c r="N8" s="121">
        <v>1</v>
      </c>
      <c r="O8" s="121"/>
      <c r="P8" s="121"/>
      <c r="Q8" s="129"/>
      <c r="R8" s="92">
        <f t="shared" ref="R8:S12" si="1">L8+N8+P8</f>
        <v>3</v>
      </c>
      <c r="S8" s="133">
        <f t="shared" si="1"/>
        <v>0</v>
      </c>
      <c r="T8" s="41"/>
      <c r="U8" s="116">
        <f>L8*24+N8*24+P8*24</f>
        <v>72</v>
      </c>
      <c r="V8" s="139">
        <f>U8/24</f>
        <v>3</v>
      </c>
      <c r="W8" s="138">
        <f t="shared" ref="W8:W12" si="2">I8*24+J8</f>
        <v>1029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>
        <v>6</v>
      </c>
      <c r="H10" s="76"/>
      <c r="I10" s="76">
        <f t="shared" si="4"/>
        <v>5</v>
      </c>
      <c r="J10" s="104">
        <f t="shared" si="0"/>
        <v>0</v>
      </c>
      <c r="K10" s="41"/>
      <c r="L10" s="121">
        <v>2</v>
      </c>
      <c r="M10" s="121"/>
      <c r="N10" s="121">
        <v>3</v>
      </c>
      <c r="O10" s="121"/>
      <c r="P10" s="121">
        <v>1</v>
      </c>
      <c r="Q10" s="129"/>
      <c r="R10" s="108">
        <f t="shared" si="1"/>
        <v>6</v>
      </c>
      <c r="S10" s="135">
        <f t="shared" si="1"/>
        <v>0</v>
      </c>
      <c r="T10" s="41"/>
      <c r="U10" s="116">
        <f>L10*24+N10*24+P10*24</f>
        <v>144</v>
      </c>
      <c r="V10" s="143">
        <f>U10/24</f>
        <v>6</v>
      </c>
      <c r="W10" s="138">
        <f t="shared" si="2"/>
        <v>120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3514</v>
      </c>
      <c r="D13" s="123">
        <v>3</v>
      </c>
      <c r="E13" s="124"/>
      <c r="F13" s="124"/>
      <c r="G13" s="81">
        <v>32</v>
      </c>
      <c r="H13" s="82">
        <v>13</v>
      </c>
      <c r="I13" s="85">
        <f t="shared" si="4"/>
        <v>3482</v>
      </c>
      <c r="J13" s="103">
        <f>D13-H13</f>
        <v>-10</v>
      </c>
      <c r="K13" s="55"/>
      <c r="L13" s="130">
        <v>1</v>
      </c>
      <c r="M13" s="130">
        <v>2</v>
      </c>
      <c r="N13" s="130">
        <v>18</v>
      </c>
      <c r="O13" s="130">
        <v>10</v>
      </c>
      <c r="P13" s="130">
        <v>13</v>
      </c>
      <c r="Q13" s="131">
        <v>1</v>
      </c>
      <c r="R13" s="106">
        <f>L13+N13+P13</f>
        <v>32</v>
      </c>
      <c r="S13" s="134">
        <f>M13+O13+Q13</f>
        <v>13</v>
      </c>
      <c r="T13" s="55"/>
      <c r="U13" s="140">
        <f>L13*24+N13*24+P13*24</f>
        <v>768</v>
      </c>
      <c r="V13" s="144">
        <f t="shared" si="6"/>
        <v>32</v>
      </c>
      <c r="W13" s="142">
        <f>I13*24+J13</f>
        <v>83558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46</v>
      </c>
      <c r="D26" s="120">
        <v>11</v>
      </c>
      <c r="E26" s="121"/>
      <c r="F26" s="121"/>
      <c r="G26" s="79">
        <v>2</v>
      </c>
      <c r="H26" s="76"/>
      <c r="I26" s="76">
        <f t="shared" si="4"/>
        <v>44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1067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>
        <v>1</v>
      </c>
      <c r="H27" s="76"/>
      <c r="I27" s="76">
        <f t="shared" si="4"/>
        <v>7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/>
      <c r="Q27" s="129"/>
      <c r="R27" s="92">
        <f t="shared" si="7"/>
        <v>1</v>
      </c>
      <c r="S27" s="133">
        <f t="shared" si="7"/>
        <v>0</v>
      </c>
      <c r="T27" s="42"/>
      <c r="U27" s="116">
        <f t="shared" si="5"/>
        <v>24</v>
      </c>
      <c r="V27" s="139">
        <f t="shared" si="6"/>
        <v>1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4</v>
      </c>
      <c r="D29" s="120"/>
      <c r="E29" s="121">
        <v>63</v>
      </c>
      <c r="F29" s="121"/>
      <c r="G29" s="79">
        <v>4</v>
      </c>
      <c r="H29" s="76"/>
      <c r="I29" s="76">
        <f>C29+E29-G29</f>
        <v>63</v>
      </c>
      <c r="J29" s="80">
        <f t="shared" si="4"/>
        <v>0</v>
      </c>
      <c r="K29" s="42"/>
      <c r="L29" s="121">
        <v>3</v>
      </c>
      <c r="M29" s="121"/>
      <c r="N29" s="121">
        <v>1</v>
      </c>
      <c r="O29" s="121"/>
      <c r="P29" s="121"/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1512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45</v>
      </c>
      <c r="D31" s="120"/>
      <c r="E31" s="121"/>
      <c r="F31" s="121"/>
      <c r="G31" s="79"/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>
        <v>4</v>
      </c>
      <c r="H35" s="76"/>
      <c r="I35" s="76">
        <f t="shared" si="4"/>
        <v>76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>
        <v>1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1829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2898</v>
      </c>
      <c r="D38" s="123">
        <v>2</v>
      </c>
      <c r="E38" s="124"/>
      <c r="F38" s="124"/>
      <c r="G38" s="81">
        <v>210</v>
      </c>
      <c r="H38" s="82"/>
      <c r="I38" s="148">
        <f t="shared" si="4"/>
        <v>2688</v>
      </c>
      <c r="J38" s="149">
        <f t="shared" si="4"/>
        <v>2</v>
      </c>
      <c r="K38" s="53"/>
      <c r="L38" s="130">
        <v>72</v>
      </c>
      <c r="M38" s="130"/>
      <c r="N38" s="130">
        <v>110</v>
      </c>
      <c r="O38" s="130"/>
      <c r="P38" s="130">
        <v>28</v>
      </c>
      <c r="Q38" s="131"/>
      <c r="R38" s="106">
        <f t="shared" si="7"/>
        <v>210</v>
      </c>
      <c r="S38" s="134">
        <f t="shared" si="7"/>
        <v>0</v>
      </c>
      <c r="T38" s="53"/>
      <c r="U38" s="140">
        <f>L38*6+N38*6+P38*6</f>
        <v>1260</v>
      </c>
      <c r="V38" s="144">
        <f>U38/6</f>
        <v>210</v>
      </c>
      <c r="W38" s="142">
        <f>I38*6+J38</f>
        <v>16130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>
        <v>1</v>
      </c>
      <c r="H39" s="76"/>
      <c r="I39" s="79">
        <f t="shared" si="4"/>
        <v>8</v>
      </c>
      <c r="J39" s="80">
        <f t="shared" si="4"/>
        <v>0</v>
      </c>
      <c r="K39" s="41"/>
      <c r="L39" s="121">
        <v>1</v>
      </c>
      <c r="M39" s="121"/>
      <c r="N39" s="121"/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>
        <v>2</v>
      </c>
      <c r="H41" s="159"/>
      <c r="I41" s="160">
        <f t="shared" si="4"/>
        <v>403</v>
      </c>
      <c r="J41" s="161">
        <f t="shared" si="4"/>
        <v>0</v>
      </c>
      <c r="K41" s="162"/>
      <c r="L41" s="163">
        <v>2</v>
      </c>
      <c r="M41" s="163"/>
      <c r="N41" s="163"/>
      <c r="O41" s="163"/>
      <c r="P41" s="163"/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9672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1161</v>
      </c>
      <c r="D42" s="173">
        <v>9</v>
      </c>
      <c r="E42" s="174"/>
      <c r="F42" s="174"/>
      <c r="G42" s="175">
        <v>20</v>
      </c>
      <c r="H42" s="176"/>
      <c r="I42" s="175">
        <f t="shared" si="4"/>
        <v>1141</v>
      </c>
      <c r="J42" s="177">
        <f t="shared" si="4"/>
        <v>9</v>
      </c>
      <c r="K42" s="178"/>
      <c r="L42" s="174">
        <v>10</v>
      </c>
      <c r="M42" s="174"/>
      <c r="N42" s="174">
        <v>1</v>
      </c>
      <c r="O42" s="174"/>
      <c r="P42" s="174">
        <v>9</v>
      </c>
      <c r="Q42" s="179"/>
      <c r="R42" s="180">
        <f t="shared" si="7"/>
        <v>20</v>
      </c>
      <c r="S42" s="181">
        <f t="shared" si="7"/>
        <v>0</v>
      </c>
      <c r="T42" s="178"/>
      <c r="U42" s="182">
        <f>L42*12+N42*12+P42*12</f>
        <v>240</v>
      </c>
      <c r="V42" s="183">
        <f>U42/12</f>
        <v>20</v>
      </c>
      <c r="W42" s="184">
        <f>I42*12+J42</f>
        <v>13701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28685</v>
      </c>
      <c r="D44" s="123">
        <v>2</v>
      </c>
      <c r="E44" s="124">
        <v>1728</v>
      </c>
      <c r="F44" s="124"/>
      <c r="G44" s="81">
        <v>1280</v>
      </c>
      <c r="H44" s="82"/>
      <c r="I44" s="76">
        <f>C44+E44-G44</f>
        <v>29133</v>
      </c>
      <c r="J44" s="186">
        <f t="shared" si="4"/>
        <v>2</v>
      </c>
      <c r="K44" s="53"/>
      <c r="L44" s="130">
        <v>480</v>
      </c>
      <c r="M44" s="130"/>
      <c r="N44" s="130">
        <v>349</v>
      </c>
      <c r="O44" s="130"/>
      <c r="P44" s="130">
        <v>451</v>
      </c>
      <c r="Q44" s="131"/>
      <c r="R44" s="187">
        <f t="shared" si="7"/>
        <v>1280</v>
      </c>
      <c r="S44" s="188">
        <f t="shared" si="7"/>
        <v>0</v>
      </c>
      <c r="T44" s="53"/>
      <c r="U44" s="140">
        <f>L44*6+N44*6+P44*6</f>
        <v>7680</v>
      </c>
      <c r="V44" s="139">
        <f>U44/6</f>
        <v>1280</v>
      </c>
      <c r="W44" s="142">
        <f>I44*6+J44</f>
        <v>174800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2313</v>
      </c>
      <c r="D48" s="151">
        <v>4</v>
      </c>
      <c r="E48" s="130"/>
      <c r="F48" s="130"/>
      <c r="G48" s="152"/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39413</v>
      </c>
      <c r="D60" s="57">
        <f>SUM(D8:D59)</f>
        <v>148</v>
      </c>
      <c r="E60" s="44">
        <f>SUM(E8:E59)</f>
        <v>1791</v>
      </c>
      <c r="F60" s="44"/>
      <c r="G60" s="28">
        <f>SUM(G8:G59)</f>
        <v>1565</v>
      </c>
      <c r="H60" s="59">
        <f>SUM(H8:H59)</f>
        <v>13</v>
      </c>
      <c r="I60" s="59">
        <f>SUM(I8:I59)</f>
        <v>39639</v>
      </c>
      <c r="J60" s="45">
        <f>SUM(J8:J59)</f>
        <v>135</v>
      </c>
      <c r="K60" s="46"/>
      <c r="L60" s="77">
        <f t="shared" ref="L60:S60" si="20">SUM(L8:L59)</f>
        <v>579</v>
      </c>
      <c r="M60" s="77">
        <f t="shared" si="20"/>
        <v>2</v>
      </c>
      <c r="N60" s="77">
        <f t="shared" si="20"/>
        <v>483</v>
      </c>
      <c r="O60" s="77">
        <f t="shared" si="20"/>
        <v>10</v>
      </c>
      <c r="P60" s="77">
        <f t="shared" si="20"/>
        <v>503</v>
      </c>
      <c r="Q60" s="78">
        <f t="shared" si="20"/>
        <v>1</v>
      </c>
      <c r="R60" s="91">
        <f t="shared" si="20"/>
        <v>1565</v>
      </c>
      <c r="S60" s="90">
        <f t="shared" si="20"/>
        <v>13</v>
      </c>
      <c r="T60" s="46"/>
      <c r="U60" s="43">
        <f>SUM(U8:U59)</f>
        <v>10500</v>
      </c>
      <c r="V60" s="111">
        <f>SUM(V8:V59)</f>
        <v>1565</v>
      </c>
      <c r="W60" s="204">
        <f>SUM(W8:W59)</f>
        <v>322755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9" t="s">
        <v>3</v>
      </c>
      <c r="D69" s="23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46105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28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42</v>
      </c>
      <c r="D8" s="120">
        <v>21</v>
      </c>
      <c r="E8" s="121"/>
      <c r="F8" s="121"/>
      <c r="G8" s="79"/>
      <c r="H8" s="76"/>
      <c r="I8" s="76">
        <f>C8-G8</f>
        <v>42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1029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>
        <v>2</v>
      </c>
      <c r="H9" s="82"/>
      <c r="I9" s="81">
        <f t="shared" ref="I9:J59" si="4">C9-G9</f>
        <v>87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2088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</v>
      </c>
      <c r="D10" s="120"/>
      <c r="E10" s="121"/>
      <c r="F10" s="121"/>
      <c r="G10" s="79"/>
      <c r="H10" s="76"/>
      <c r="I10" s="76">
        <f t="shared" si="4"/>
        <v>5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3481</v>
      </c>
      <c r="D13" s="123">
        <v>14</v>
      </c>
      <c r="E13" s="124"/>
      <c r="F13" s="124"/>
      <c r="G13" s="81">
        <v>40</v>
      </c>
      <c r="H13" s="82">
        <v>23</v>
      </c>
      <c r="I13" s="85">
        <f t="shared" si="4"/>
        <v>3441</v>
      </c>
      <c r="J13" s="103">
        <f>D13-H13</f>
        <v>-9</v>
      </c>
      <c r="K13" s="55"/>
      <c r="L13" s="130">
        <v>13</v>
      </c>
      <c r="M13" s="130">
        <v>20</v>
      </c>
      <c r="N13" s="130">
        <v>9</v>
      </c>
      <c r="O13" s="130">
        <v>1</v>
      </c>
      <c r="P13" s="130">
        <v>18</v>
      </c>
      <c r="Q13" s="131">
        <v>2</v>
      </c>
      <c r="R13" s="106">
        <f>L13+N13+P13</f>
        <v>40</v>
      </c>
      <c r="S13" s="134">
        <f>M13+O13+Q13</f>
        <v>23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82575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44</v>
      </c>
      <c r="D26" s="120">
        <v>11</v>
      </c>
      <c r="E26" s="121"/>
      <c r="F26" s="121"/>
      <c r="G26" s="79">
        <v>2</v>
      </c>
      <c r="H26" s="76"/>
      <c r="I26" s="76">
        <f t="shared" si="4"/>
        <v>42</v>
      </c>
      <c r="J26" s="80">
        <f t="shared" si="4"/>
        <v>11</v>
      </c>
      <c r="K26" s="41"/>
      <c r="L26" s="121"/>
      <c r="M26" s="121"/>
      <c r="N26" s="121"/>
      <c r="O26" s="121"/>
      <c r="P26" s="121">
        <v>2</v>
      </c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1019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7</v>
      </c>
      <c r="D27" s="120"/>
      <c r="E27" s="121"/>
      <c r="F27" s="121"/>
      <c r="G27" s="79"/>
      <c r="H27" s="76"/>
      <c r="I27" s="76">
        <f t="shared" si="4"/>
        <v>7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63</v>
      </c>
      <c r="D29" s="120"/>
      <c r="E29" s="121"/>
      <c r="F29" s="121"/>
      <c r="G29" s="79"/>
      <c r="H29" s="76"/>
      <c r="I29" s="76">
        <f t="shared" si="4"/>
        <v>63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1512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45</v>
      </c>
      <c r="D31" s="120"/>
      <c r="E31" s="121"/>
      <c r="F31" s="121"/>
      <c r="G31" s="79">
        <v>1</v>
      </c>
      <c r="H31" s="76"/>
      <c r="I31" s="76">
        <f t="shared" si="4"/>
        <v>44</v>
      </c>
      <c r="J31" s="80">
        <f t="shared" si="4"/>
        <v>0</v>
      </c>
      <c r="K31" s="41"/>
      <c r="L31" s="121"/>
      <c r="M31" s="121"/>
      <c r="N31" s="121">
        <v>1</v>
      </c>
      <c r="O31" s="121"/>
      <c r="P31" s="121"/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1056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76</v>
      </c>
      <c r="D35" s="120">
        <v>5</v>
      </c>
      <c r="E35" s="121"/>
      <c r="F35" s="121"/>
      <c r="G35" s="79">
        <v>1</v>
      </c>
      <c r="H35" s="76"/>
      <c r="I35" s="76">
        <f t="shared" si="4"/>
        <v>75</v>
      </c>
      <c r="J35" s="80">
        <f t="shared" si="4"/>
        <v>5</v>
      </c>
      <c r="K35" s="41"/>
      <c r="L35" s="121"/>
      <c r="M35" s="121"/>
      <c r="N35" s="121"/>
      <c r="O35" s="121"/>
      <c r="P35" s="121">
        <v>1</v>
      </c>
      <c r="Q35" s="129"/>
      <c r="R35" s="92">
        <f t="shared" si="7"/>
        <v>1</v>
      </c>
      <c r="S35" s="133">
        <f t="shared" si="7"/>
        <v>0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1805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2688</v>
      </c>
      <c r="D38" s="123">
        <v>2</v>
      </c>
      <c r="E38" s="124"/>
      <c r="F38" s="124"/>
      <c r="G38" s="81">
        <v>38</v>
      </c>
      <c r="H38" s="82"/>
      <c r="I38" s="148">
        <f t="shared" si="4"/>
        <v>2650</v>
      </c>
      <c r="J38" s="149">
        <f t="shared" si="4"/>
        <v>2</v>
      </c>
      <c r="K38" s="53"/>
      <c r="L38" s="130"/>
      <c r="M38" s="130"/>
      <c r="N38" s="130">
        <v>23</v>
      </c>
      <c r="O38" s="130"/>
      <c r="P38" s="130">
        <v>15</v>
      </c>
      <c r="Q38" s="131"/>
      <c r="R38" s="106">
        <f t="shared" si="7"/>
        <v>38</v>
      </c>
      <c r="S38" s="134">
        <f t="shared" si="7"/>
        <v>0</v>
      </c>
      <c r="T38" s="53"/>
      <c r="U38" s="140">
        <f>L38*6+N38*6+P38*6</f>
        <v>228</v>
      </c>
      <c r="V38" s="144">
        <f>U38/6</f>
        <v>38</v>
      </c>
      <c r="W38" s="142">
        <f>I38*6+J38</f>
        <v>15902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8</v>
      </c>
      <c r="D39" s="120"/>
      <c r="E39" s="121"/>
      <c r="F39" s="121"/>
      <c r="G39" s="79"/>
      <c r="H39" s="76"/>
      <c r="I39" s="79">
        <f t="shared" si="4"/>
        <v>8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403</v>
      </c>
      <c r="D41" s="156"/>
      <c r="E41" s="157"/>
      <c r="F41" s="157"/>
      <c r="G41" s="158">
        <v>2</v>
      </c>
      <c r="H41" s="159"/>
      <c r="I41" s="160">
        <f t="shared" si="4"/>
        <v>401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9624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1141</v>
      </c>
      <c r="D42" s="173">
        <v>9</v>
      </c>
      <c r="E42" s="174"/>
      <c r="F42" s="174"/>
      <c r="G42" s="175">
        <v>14</v>
      </c>
      <c r="H42" s="176"/>
      <c r="I42" s="175">
        <f t="shared" si="4"/>
        <v>1127</v>
      </c>
      <c r="J42" s="177">
        <f t="shared" si="4"/>
        <v>9</v>
      </c>
      <c r="K42" s="178"/>
      <c r="L42" s="174">
        <v>5</v>
      </c>
      <c r="M42" s="174"/>
      <c r="N42" s="174">
        <v>4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13533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29133</v>
      </c>
      <c r="D44" s="123">
        <v>2</v>
      </c>
      <c r="E44" s="124">
        <v>5508</v>
      </c>
      <c r="F44" s="124"/>
      <c r="G44" s="81">
        <v>1249</v>
      </c>
      <c r="H44" s="82"/>
      <c r="I44" s="76">
        <f>C44+E44-G44</f>
        <v>33392</v>
      </c>
      <c r="J44" s="186">
        <f t="shared" si="4"/>
        <v>2</v>
      </c>
      <c r="K44" s="53"/>
      <c r="L44" s="130">
        <v>458</v>
      </c>
      <c r="M44" s="130"/>
      <c r="N44" s="130">
        <v>350</v>
      </c>
      <c r="O44" s="130"/>
      <c r="P44" s="130">
        <v>441</v>
      </c>
      <c r="Q44" s="131"/>
      <c r="R44" s="187">
        <f t="shared" si="7"/>
        <v>1249</v>
      </c>
      <c r="S44" s="188">
        <f t="shared" si="7"/>
        <v>0</v>
      </c>
      <c r="T44" s="53"/>
      <c r="U44" s="140">
        <f>L44*6+N44*6+P44*6</f>
        <v>7494</v>
      </c>
      <c r="V44" s="139">
        <f>U44/6</f>
        <v>1249</v>
      </c>
      <c r="W44" s="142">
        <f>I44*6+J44</f>
        <v>200354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2313</v>
      </c>
      <c r="D48" s="151">
        <v>4</v>
      </c>
      <c r="E48" s="130"/>
      <c r="F48" s="130"/>
      <c r="G48" s="152">
        <v>2</v>
      </c>
      <c r="H48" s="148"/>
      <c r="I48" s="148">
        <f t="shared" si="4"/>
        <v>2311</v>
      </c>
      <c r="J48" s="149">
        <f t="shared" si="4"/>
        <v>4</v>
      </c>
      <c r="K48" s="53"/>
      <c r="L48" s="130"/>
      <c r="M48" s="130"/>
      <c r="N48" s="130">
        <v>2</v>
      </c>
      <c r="O48" s="130"/>
      <c r="P48" s="130"/>
      <c r="Q48" s="131"/>
      <c r="R48" s="106">
        <f t="shared" si="7"/>
        <v>2</v>
      </c>
      <c r="S48" s="153">
        <f t="shared" si="7"/>
        <v>0</v>
      </c>
      <c r="T48" s="53"/>
      <c r="U48" s="140">
        <f>L48*6+N48*6+P48*6</f>
        <v>12</v>
      </c>
      <c r="V48" s="144">
        <f>U48/6</f>
        <v>2</v>
      </c>
      <c r="W48" s="142">
        <f>I48*6+J48</f>
        <v>13870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39638</v>
      </c>
      <c r="D60" s="57">
        <f>SUM(D8:D59)</f>
        <v>159</v>
      </c>
      <c r="E60" s="44">
        <f>SUM(E8:E59)</f>
        <v>5508</v>
      </c>
      <c r="F60" s="44"/>
      <c r="G60" s="28">
        <f>SUM(G8:G59)</f>
        <v>1351</v>
      </c>
      <c r="H60" s="59">
        <f>SUM(H8:H59)</f>
        <v>23</v>
      </c>
      <c r="I60" s="59">
        <f>SUM(I8:I59)</f>
        <v>43795</v>
      </c>
      <c r="J60" s="45">
        <f>SUM(J8:J59)</f>
        <v>136</v>
      </c>
      <c r="K60" s="46"/>
      <c r="L60" s="77">
        <f t="shared" ref="L60:S60" si="20">SUM(L8:L59)</f>
        <v>476</v>
      </c>
      <c r="M60" s="77">
        <f t="shared" si="20"/>
        <v>20</v>
      </c>
      <c r="N60" s="77">
        <f t="shared" si="20"/>
        <v>389</v>
      </c>
      <c r="O60" s="77">
        <f t="shared" si="20"/>
        <v>1</v>
      </c>
      <c r="P60" s="77">
        <f t="shared" si="20"/>
        <v>486</v>
      </c>
      <c r="Q60" s="78">
        <f t="shared" si="20"/>
        <v>2</v>
      </c>
      <c r="R60" s="91">
        <f t="shared" si="20"/>
        <v>1351</v>
      </c>
      <c r="S60" s="90">
        <f t="shared" si="20"/>
        <v>23</v>
      </c>
      <c r="T60" s="46"/>
      <c r="U60" s="43">
        <f>SUM(U8:U59)</f>
        <v>9054</v>
      </c>
      <c r="V60" s="111">
        <f>SUM(V8:V59)</f>
        <v>1351</v>
      </c>
      <c r="W60" s="204">
        <f>SUM(W8:W59)</f>
        <v>346726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1F2E9-2AB6-4173-BB2F-95F8A5B1F27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46106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34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204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32" t="s">
        <v>3</v>
      </c>
      <c r="D69" s="233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DCC12-B63E-454C-B84A-5B38B2C1C84F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0">
        <v>46107</v>
      </c>
      <c r="Q1" s="241"/>
      <c r="R1" s="241"/>
      <c r="S1" s="241"/>
      <c r="T1" s="241"/>
      <c r="U1" s="241"/>
      <c r="V1" s="241"/>
      <c r="W1" s="241"/>
      <c r="X1" s="24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3" t="s">
        <v>74</v>
      </c>
      <c r="C4" s="244" t="s">
        <v>3</v>
      </c>
      <c r="D4" s="245" t="s">
        <v>75</v>
      </c>
      <c r="E4" s="246" t="s">
        <v>4</v>
      </c>
      <c r="F4" s="247"/>
      <c r="G4" s="248" t="s">
        <v>5</v>
      </c>
      <c r="H4" s="250" t="s">
        <v>75</v>
      </c>
      <c r="I4" s="252" t="s">
        <v>6</v>
      </c>
      <c r="J4" s="250" t="s">
        <v>75</v>
      </c>
      <c r="L4" s="254" t="s">
        <v>7</v>
      </c>
      <c r="M4" s="255"/>
      <c r="N4" s="255"/>
      <c r="O4" s="255"/>
      <c r="P4" s="255"/>
      <c r="Q4" s="255"/>
      <c r="R4" s="255"/>
      <c r="S4" s="255"/>
      <c r="T4" s="255"/>
      <c r="U4" s="255"/>
      <c r="V4" s="256"/>
      <c r="W4" s="255"/>
      <c r="X4" s="257"/>
    </row>
    <row r="5" spans="1:60" s="3" customFormat="1" ht="57" thickBot="1" x14ac:dyDescent="0.3">
      <c r="A5" s="49"/>
      <c r="B5" s="243"/>
      <c r="C5" s="244"/>
      <c r="D5" s="245"/>
      <c r="E5" s="48" t="s">
        <v>8</v>
      </c>
      <c r="F5" s="234" t="s">
        <v>9</v>
      </c>
      <c r="G5" s="249"/>
      <c r="H5" s="251"/>
      <c r="I5" s="253"/>
      <c r="J5" s="251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204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5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6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37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38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38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39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32" t="s">
        <v>3</v>
      </c>
      <c r="D69" s="233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03,14</vt:lpstr>
      <vt:lpstr>03,16</vt:lpstr>
      <vt:lpstr>03,17</vt:lpstr>
      <vt:lpstr>03,18</vt:lpstr>
      <vt:lpstr>03,19</vt:lpstr>
      <vt:lpstr>03,20</vt:lpstr>
      <vt:lpstr>03,23</vt:lpstr>
      <vt:lpstr>03,24</vt:lpstr>
      <vt:lpstr>03,25</vt:lpstr>
      <vt:lpstr>03,26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'03,14'!Print_Area</vt:lpstr>
      <vt:lpstr>'03,16'!Print_Area</vt:lpstr>
      <vt:lpstr>'03,17'!Print_Area</vt:lpstr>
      <vt:lpstr>'03,18'!Print_Area</vt:lpstr>
      <vt:lpstr>'03,19'!Print_Area</vt:lpstr>
      <vt:lpstr>'03,20'!Print_Area</vt:lpstr>
      <vt:lpstr>'03,23'!Print_Area</vt:lpstr>
      <vt:lpstr>'03,24'!Print_Area</vt:lpstr>
      <vt:lpstr>'03,25'!Print_Area</vt:lpstr>
      <vt:lpstr>'03,26'!Print_Area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2026-03-25T06:12:58Z</dcterms:modified>
</cp:coreProperties>
</file>